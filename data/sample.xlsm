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data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D2" i="2" l="1"/>
  <c r="Z15" i="1" l="1"/>
  <c r="X16" i="1"/>
  <c r="T16" i="1"/>
  <c r="P16" i="1"/>
  <c r="N16" i="1"/>
  <c r="L16" i="1" l="1"/>
  <c r="F16" i="1"/>
  <c r="H16" i="1"/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G87" i="2"/>
  <c r="D81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D51" i="2"/>
  <c r="C51" i="2"/>
  <c r="J73" i="2" l="1"/>
  <c r="R16" i="1"/>
  <c r="J16" i="1"/>
  <c r="J59" i="2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C42" i="2"/>
  <c r="D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C32" i="2"/>
  <c r="D32" i="2"/>
  <c r="V16" i="1" l="1"/>
  <c r="F32" i="2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F21" i="2"/>
  <c r="R20" i="2"/>
  <c r="Y26" i="2"/>
  <c r="R26" i="2"/>
  <c r="C26" i="2"/>
  <c r="F26" i="2" s="1"/>
  <c r="Q32" i="2"/>
  <c r="AA36" i="2"/>
  <c r="AA37" i="2"/>
  <c r="P32" i="2"/>
  <c r="R32" i="2"/>
  <c r="R33" i="2" s="1"/>
  <c r="B20" i="2"/>
  <c r="F20" i="2" s="1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27" i="2" l="1"/>
  <c r="S24" i="2" s="1"/>
  <c r="R19" i="2"/>
  <c r="AA39" i="2"/>
  <c r="AD39" i="2" s="1"/>
  <c r="N33" i="2"/>
  <c r="P33" i="2"/>
  <c r="S30" i="2"/>
  <c r="S31" i="2" s="1"/>
  <c r="AE42" i="2"/>
  <c r="AE45" i="2" s="1"/>
  <c r="AE39" i="2"/>
  <c r="N18" i="2"/>
  <c r="R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E11" i="2"/>
  <c r="Q14" i="2"/>
  <c r="C11" i="2"/>
  <c r="R21" i="2" l="1"/>
  <c r="S18" i="2" s="1"/>
  <c r="P14" i="2"/>
  <c r="I34" i="2" s="1"/>
  <c r="O14" i="2"/>
  <c r="AB16" i="2"/>
  <c r="AC16" i="2" s="1"/>
  <c r="N10" i="2"/>
  <c r="F10" i="2"/>
  <c r="F12" i="2" s="1"/>
  <c r="B10" i="2"/>
  <c r="B12" i="2" s="1"/>
  <c r="O9" i="2"/>
  <c r="W7" i="2"/>
  <c r="X7" i="2" s="1"/>
  <c r="S7" i="2"/>
  <c r="S9" i="2" s="1"/>
  <c r="F7" i="2"/>
  <c r="B7" i="2"/>
  <c r="V6" i="2"/>
  <c r="AA6" i="2" s="1"/>
  <c r="AB6" i="2" s="1"/>
  <c r="J6" i="2"/>
  <c r="I6" i="2"/>
  <c r="E6" i="2"/>
  <c r="C6" i="2"/>
  <c r="Z7" i="2" l="1"/>
  <c r="J7" i="2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C16" i="1"/>
  <c r="J15" i="1"/>
  <c r="X14" i="1"/>
  <c r="J14" i="1"/>
  <c r="T13" i="1"/>
  <c r="P14" i="1"/>
  <c r="R13" i="1"/>
  <c r="T14" i="1"/>
  <c r="V13" i="1"/>
  <c r="L13" i="1"/>
  <c r="H14" i="1"/>
  <c r="X13" i="1"/>
  <c r="L14" i="1"/>
  <c r="F14" i="1"/>
  <c r="F13" i="1"/>
  <c r="R14" i="1"/>
  <c r="P13" i="1"/>
  <c r="J13" i="1"/>
  <c r="H13" i="1"/>
  <c r="N13" i="1"/>
  <c r="N14" i="1"/>
  <c r="V14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V6" i="1"/>
  <c r="F10" i="1"/>
  <c r="H5" i="1"/>
  <c r="T7" i="1"/>
  <c r="P5" i="1"/>
  <c r="F5" i="1"/>
  <c r="H11" i="1"/>
  <c r="X7" i="1"/>
  <c r="R7" i="1"/>
  <c r="F11" i="1"/>
  <c r="F7" i="1"/>
  <c r="V7" i="1"/>
  <c r="N6" i="1"/>
  <c r="L11" i="1"/>
  <c r="N11" i="1"/>
  <c r="L7" i="1"/>
  <c r="R10" i="1"/>
  <c r="V5" i="1"/>
  <c r="T5" i="1"/>
  <c r="H6" i="1"/>
  <c r="H10" i="1"/>
  <c r="V11" i="1"/>
  <c r="T11" i="1"/>
  <c r="L6" i="1"/>
  <c r="T6" i="1"/>
  <c r="J7" i="1"/>
  <c r="J10" i="1"/>
  <c r="F6" i="1"/>
  <c r="X5" i="1"/>
  <c r="N10" i="1"/>
  <c r="N5" i="1"/>
  <c r="X11" i="1"/>
  <c r="V10" i="1"/>
  <c r="N7" i="1"/>
  <c r="J6" i="1"/>
  <c r="R11" i="1"/>
  <c r="L5" i="1"/>
  <c r="P11" i="1"/>
  <c r="X10" i="1"/>
  <c r="P10" i="1"/>
  <c r="J11" i="1"/>
  <c r="R6" i="1"/>
  <c r="T10" i="1"/>
  <c r="L10" i="1"/>
  <c r="X6" i="1"/>
  <c r="H7" i="1"/>
  <c r="P6" i="1"/>
  <c r="R5" i="1"/>
  <c r="P7" i="1"/>
  <c r="J5" i="1"/>
  <c r="H26" i="1"/>
  <c r="H28" i="1"/>
  <c r="H20" i="1"/>
  <c r="P20" i="1"/>
  <c r="N27" i="1"/>
  <c r="F29" i="1"/>
  <c r="F26" i="1"/>
  <c r="X24" i="1"/>
  <c r="L26" i="1"/>
  <c r="T24" i="1"/>
  <c r="N21" i="1"/>
  <c r="T21" i="1"/>
  <c r="H22" i="1"/>
  <c r="H21" i="1"/>
  <c r="H27" i="1"/>
  <c r="N17" i="1"/>
  <c r="X23" i="1"/>
  <c r="N28" i="1"/>
  <c r="T25" i="1"/>
  <c r="V27" i="1"/>
  <c r="P24" i="1"/>
  <c r="T19" i="1"/>
  <c r="V23" i="1"/>
  <c r="F20" i="1"/>
  <c r="X19" i="1"/>
  <c r="L20" i="1"/>
  <c r="N25" i="1"/>
  <c r="L27" i="1"/>
  <c r="L18" i="1"/>
  <c r="N26" i="1"/>
  <c r="V19" i="1"/>
  <c r="H25" i="1"/>
  <c r="T29" i="1"/>
  <c r="P22" i="1"/>
  <c r="X29" i="1"/>
  <c r="P18" i="1"/>
  <c r="F17" i="1"/>
  <c r="F18" i="1"/>
  <c r="V22" i="1"/>
  <c r="F25" i="1"/>
  <c r="X27" i="1"/>
  <c r="T28" i="1"/>
  <c r="F19" i="1"/>
  <c r="H24" i="1"/>
  <c r="T23" i="1"/>
  <c r="P17" i="1"/>
  <c r="P27" i="1"/>
  <c r="F22" i="1"/>
  <c r="P25" i="1"/>
  <c r="V20" i="1"/>
  <c r="L23" i="1"/>
  <c r="F23" i="1"/>
  <c r="L19" i="1"/>
  <c r="N20" i="1"/>
  <c r="N19" i="1"/>
  <c r="N24" i="1"/>
  <c r="X22" i="1"/>
  <c r="F27" i="1"/>
  <c r="L25" i="1"/>
  <c r="H19" i="1"/>
  <c r="P29" i="1"/>
  <c r="N18" i="1"/>
  <c r="X17" i="1"/>
  <c r="F24" i="1"/>
  <c r="T22" i="1"/>
  <c r="L17" i="1"/>
  <c r="T26" i="1"/>
  <c r="T18" i="1"/>
  <c r="N29" i="1"/>
  <c r="X18" i="1"/>
  <c r="V24" i="1"/>
  <c r="V26" i="1"/>
  <c r="L22" i="1"/>
  <c r="P21" i="1"/>
  <c r="H29" i="1"/>
  <c r="X28" i="1"/>
  <c r="X25" i="1"/>
  <c r="L28" i="1"/>
  <c r="H17" i="1"/>
  <c r="V21" i="1"/>
  <c r="N23" i="1"/>
  <c r="L21" i="1"/>
  <c r="V29" i="1"/>
  <c r="X26" i="1"/>
  <c r="T17" i="1"/>
  <c r="L24" i="1"/>
  <c r="H18" i="1"/>
  <c r="V18" i="1"/>
  <c r="X21" i="1"/>
  <c r="P23" i="1"/>
  <c r="X20" i="1"/>
  <c r="P19" i="1"/>
  <c r="F28" i="1"/>
  <c r="P28" i="1"/>
  <c r="H23" i="1"/>
  <c r="T27" i="1"/>
  <c r="T20" i="1"/>
  <c r="N22" i="1"/>
  <c r="P26" i="1"/>
  <c r="F21" i="1"/>
  <c r="V28" i="1"/>
  <c r="V17" i="1"/>
  <c r="L29" i="1"/>
  <c r="V25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R28" i="1"/>
  <c r="J17" i="1"/>
  <c r="P33" i="1"/>
  <c r="R33" i="1"/>
  <c r="J21" i="1"/>
  <c r="N33" i="1"/>
  <c r="R24" i="1"/>
  <c r="R25" i="1"/>
  <c r="T33" i="1"/>
  <c r="R22" i="1"/>
  <c r="J33" i="1"/>
  <c r="J18" i="1"/>
  <c r="L33" i="1"/>
  <c r="R19" i="1"/>
  <c r="V33" i="1"/>
  <c r="J22" i="1"/>
  <c r="J28" i="1"/>
  <c r="R17" i="1"/>
  <c r="J23" i="1"/>
  <c r="R21" i="1"/>
  <c r="R23" i="1"/>
  <c r="X33" i="1"/>
  <c r="R27" i="1"/>
  <c r="J24" i="1"/>
  <c r="J19" i="1"/>
  <c r="R29" i="1"/>
  <c r="J20" i="1"/>
  <c r="R26" i="1"/>
  <c r="R18" i="1"/>
  <c r="R20" i="1"/>
  <c r="J29" i="1"/>
  <c r="F33" i="1"/>
  <c r="J25" i="1"/>
  <c r="H33" i="1"/>
  <c r="J26" i="1"/>
  <c r="J27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<sst xmlns="http://schemas.openxmlformats.org/spreadsheetml/2006/main" count="480" uniqueCount="340">
  <si>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</si>
  <si>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</si>
  <si>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</si>
  <si>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</si>
  <si>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</si>
  <si>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</si>
  <si>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</si>
  <si>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</si>
  <si>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</si>
  <si>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</si>
  <si>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</si>
  <si>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</si>
  <si>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</si>
  <si>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</si>
  <si>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</si>
  <si>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</si>
  <si>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</si>
  <si>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</si>
  <si>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</si>
  <si>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</si>
  <si>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</si>
  <si>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</si>
  <si>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</si>
  <si>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</si>
  <si>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</si>
  <si>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</si>
  <si>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</si>
  <si>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</si>
  <si>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</si>
  <si>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</si>
  <si>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</si>
  <si>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</si>
  <si>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</si>
  <si>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</si>
  <si>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</si>
  <si>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</si>
  <si>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</si>
  <si>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</si>
  <si>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</si>
  <si>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</si>
  <si>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</si>
  <si>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</si>
  <si>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</si>
  <si>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</si>
  <si>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</si>
  <si>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</si>
  <si>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</si>
  <si>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</si>
  <si>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</si>
  <si>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</si>
  <si>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</si>
  <si>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</si>
  <si>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</si>
  <si>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</si>
  <si>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</si>
  <si>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</si>
  <si>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</si>
  <si>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</si>
  <si>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</si>
  <si>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</si>
  <si>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</si>
  <si>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</si>
  <si>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</si>
  <si>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</si>
  <si>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</si>
  <si>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</si>
  <si>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</si>
  <si>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</si>
  <si>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</si>
  <si>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</si>
  <si>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</si>
  <si>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</si>
  <si>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</si>
  <si>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</si>
  <si>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</si>
  <si>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</si>
  <si>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</si>
  <si>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</si>
  <si>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</si>
  <si>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</si>
  <si>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</si>
  <si>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</si>
  <si>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</si>
  <si>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</si>
  <si>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</si>
  <si>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</si>
  <si>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</si>
  <si>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</si>
  <si>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</si>
  <si>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</si>
  <si>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</si>
  <si>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</si>
  <si>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</si>
  <si>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</si>
  <si>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</si>
  <si>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</si>
  <si>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</si>
  <si>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</si>
  <si>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</si>
  <si>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</si>
  <si>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</si>
  <si>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</si>
  <si>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</si>
  <si>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</si>
  <si>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</si>
  <si>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</si>
  <si>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</si>
  <si>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</si>
  <si>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</si>
  <si>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</si>
  <si>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</si>
  <si>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</si>
  <si>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</si>
  <si>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</si>
  <si>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</si>
  <si>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</si>
  <si>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</si>
  <si>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</si>
  <si>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</si>
  <si>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</si>
  <si>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</si>
  <si>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</si>
  <si>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</si>
  <si>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</si>
  <si>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</si>
  <si>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</si>
  <si>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</si>
  <si>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</si>
  <si>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</si>
  <si>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</si>
  <si>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</si>
  <si>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</si>
  <si>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</si>
  <si>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</si>
  <si>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</si>
  <si>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</si>
  <si>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</si>
  <si>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</si>
  <si>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</si>
  <si>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</si>
  <si>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</si>
  <si>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</si>
  <si>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</si>
  <si>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</si>
  <si>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</si>
  <si>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</si>
  <si>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</si>
  <si>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</si>
  <si>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</si>
  <si>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</si>
  <si>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</si>
  <si>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</si>
  <si>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</si>
  <si>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</si>
  <si>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</si>
  <si>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</si>
  <si>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</si>
  <si>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</si>
  <si>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</si>
  <si>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</si>
  <si>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</si>
  <si>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</si>
  <si>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</si>
  <si>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</si>
  <si>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</si>
  <si>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</si>
  <si>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</si>
  <si>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</si>
  <si>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</si>
  <si>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</si>
  <si>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</si>
  <si>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</si>
  <si>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</si>
  <si>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</si>
  <si>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</si>
  <si>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</si>
  <si>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</si>
  <si>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</si>
  <si>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</si>
  <si>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</si>
  <si>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</si>
  <si>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</si>
  <si>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</si>
  <si>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</si>
  <si>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</si>
  <si>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</si>
  <si>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</si>
  <si>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</si>
  <si>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</si>
  <si>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</si>
  <si>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</si>
  <si>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</si>
  <si>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</si>
  <si>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</si>
  <si>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</si>
  <si>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</si>
  <si>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</si>
  <si>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</si>
  <si>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</si>
  <si>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</si>
  <si>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</si>
  <si>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</si>
  <si>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</si>
  <si>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</si>
  <si>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</si>
  <si>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</si>
  <si>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</si>
  <si>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</si>
  <si>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</si>
  <si>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</si>
  <si>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</si>
  <si>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</si>
  <si>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</si>
  <si>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</si>
  <si>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</si>
  <si>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</si>
  <si>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</si>
  <si>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</si>
  <si>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</si>
  <si>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</si>
  <si>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</si>
  <si>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</si>
  <si>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</si>
  <si>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</si>
  <si>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</si>
  <si>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</si>
  <si>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</si>
  <si>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</si>
  <si>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</si>
  <si>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</si>
  <si>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</si>
  <si>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</si>
  <si>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</si>
  <si>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</si>
  <si>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</si>
  <si>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</si>
  <si>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</si>
  <si>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</si>
  <si>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</si>
  <si>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</si>
  <si>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</si>
  <si>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</si>
  <si>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</si>
  <si>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</si>
  <si>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</si>
  <si>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</si>
  <si>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</si>
  <si>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</si>
  <si>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</si>
  <si>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</si>
  <si>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</si>
  <si>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</si>
  <si>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</si>
  <si>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</si>
  <si>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</si>
  <si>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</si>
  <si>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</si>
  <si>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</si>
  <si>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</si>
  <si>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</si>
  <si>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</si>
  <si>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</si>
  <si>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</si>
  <si>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</si>
  <si>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</si>
  <si>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</si>
  <si>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</si>
  <si>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</si>
  <si>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</si>
  <si>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</si>
  <si>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</si>
  <si>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</si>
  <si>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</si>
  <si>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</si>
  <si>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</si>
  <si>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</si>
  <si>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</si>
  <si>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</si>
  <si>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</si>
  <si>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</si>
  <si>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</si>
  <si>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</si>
  <si>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</si>
  <si>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</si>
  <si>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</si>
  <si>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</si>
  <si>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</si>
  <si>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</si>
  <si>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</si>
  <si>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</si>
  <si>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</si>
  <si>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</si>
  <si>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</si>
  <si>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</si>
  <si>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</si>
  <si>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</si>
  <si>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</si>
  <si>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</si>
  <si>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</si>
  <si>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</si>
  <si>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</si>
  <si>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</si>
  <si>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</si>
  <si>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</si>
  <si>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</si>
  <si>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</si>
  <si>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</si>
  <si>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</si>
  <si>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</si>
  <si>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</si>
  <si>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</si>
  <si>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</si>
  <si>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</si>
  <si>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</si>
  <si>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</si>
  <si>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</si>
  <si>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</si>
  <si>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</si>
  <si>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</si>
  <si>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</si>
  <si>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</si>
  <si>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</si>
  <si>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</si>
  <si>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</si>
  <si>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</si>
  <si>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</si>
  <si>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</si>
  <si>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</si>
  <si>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</si>
  <si>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</si>
  <si>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</si>
  <si>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</si>
  <si>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</si>
  <si>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</si>
  <si>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</si>
  <si>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</si>
  <si>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PnL Threshold</t>
    <phoneticPr fontId="5" type="noConversion"/>
  </si>
  <si>
    <t>Instrument</t>
    <phoneticPr fontId="5" type="noConversion"/>
  </si>
  <si>
    <t>STOPPED</t>
  </si>
  <si>
    <t>(13:24:31) Stopped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</si>
</sst>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8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7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1" applyNumberFormat="1" applyFont="1" applyFill="1" applyBorder="1" applyAlignment="1">
      <alignment horizontal="center" vertical="center"/>
    </xf>
    <xf numFmtId="0" fontId="0" fillId="0" borderId="29" xfId="0" applyNumberFormat="1" applyFill="1" applyBorder="1" applyAlignment="1">
      <alignment horizontal="left" vertical="center"/>
    </xf>
    <xf numFmtId="0" fontId="15" fillId="14" borderId="2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  <xf numFmtId="0" fontId="0" fillId="9" borderId="28" xfId="0" applyFill="1" applyBorder="1" applyAlignment="1">
      <alignment horizontal="center" vertical="center"/>
    </xf>
    <xf numFmtId="3" fontId="0" fillId="9" borderId="29" xfId="1" applyNumberFormat="1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1" fillId="4" borderId="2" xfId="5" applyFill="1" applyBorder="1">
      <alignment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0" fontId="8" fillId="4" borderId="2" xfId="5" applyFont="1" applyFill="1" applyBorder="1" applyAlignment="1">
      <alignment horizontal="center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9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>
        <v>7.6</v>
        <stp/>
        <stp>C</stp>
        <stp>0</stp>
        <stp>KR103501GEC6</stp>
        <stp>경과세금</stp>
        <stp>46253</stp>
        <stp>4.128</stp>
        <stp>세전수익률</stp>
        <tr r="J21" s="1"/>
      </tp>
      <tp>
        <v>20.7</v>
        <stp/>
        <stp>C</stp>
        <stp>0</stp>
        <stp>KR103503GG37</stp>
        <stp>경과세금</stp>
        <stp>46253</stp>
        <stp>4.128</stp>
        <stp>세전수익률</stp>
        <tr r="R21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7</v>
        <stp/>
        <stp>C</stp>
        <stp>0</stp>
        <stp>KR103502GF62</stp>
        <stp>경과세금</stp>
        <stp>46253</stp>
        <stp>4.255</stp>
        <stp>세전수익률</stp>
        <tr r="N21" s="1"/>
      </tp>
      <tp>
        <v>15.4</v>
        <stp/>
        <stp>C</stp>
        <stp>0</stp>
        <stp>KR103503GF95</stp>
        <stp>경과세금</stp>
        <stp>46253</stp>
        <stp>3.927</stp>
        <stp>세전수익률</stp>
        <tr r="X21" s="1"/>
      </tp>
      <tp>
        <v>11.3</v>
        <stp/>
        <stp>C</stp>
        <stp>0</stp>
        <stp>KR103503GG60</stp>
        <stp>경과세금</stp>
        <stp>46253</stp>
        <stp>4.413</stp>
        <stp>세전수익률</stp>
        <tr r="V21" s="1"/>
      </tp>
      <tp>
        <v>6</v>
        <stp/>
        <stp>C</stp>
        <stp>0</stp>
        <stp>KR103501GF63</stp>
        <stp>경과세금</stp>
        <stp>46253</stp>
        <stp>3.615</stp>
        <stp>세전수익률</stp>
        <tr r="P21" s="1"/>
      </tp>
      <tp>
        <v>7.3</v>
        <stp/>
        <stp>C</stp>
        <stp>0</stp>
        <stp>KR103501GFC3</stp>
        <stp>경과세금</stp>
        <stp>46253</stp>
        <stp>3.69</stp>
        <stp>세전수익률</stp>
        <tr r="H21" s="1"/>
      </tp>
      <tp>
        <v>72460.406015999994</v>
        <stp/>
        <stp>C</stp>
        <stp>0</stp>
        <stp>KR103502GFC1</stp>
        <stp>금액Duration</stp>
        <stp>46253</stp>
        <stp>4.3</stp>
        <stp>세전수익률</stp>
        <tr r="L23" s="1"/>
      </tp>
      <tp>
        <v>63715.399082999997</v>
        <stp/>
        <stp>C</stp>
        <stp>0</stp>
        <stp>KR103502GE63</stp>
        <stp>금액Duration</stp>
        <stp>46253</stp>
        <stp>4.3</stp>
        <stp>세전수익률</stp>
        <tr r="T23" s="1"/>
      </tp>
      <tp>
        <v>661321.15711999999</v>
        <stp/>
        <stp>C</stp>
        <stp>0</stp>
        <stp>KR103502GFC1</stp>
        <stp>금액Convexity</stp>
        <stp>46253</stp>
        <stp>4.3</stp>
        <stp>세전수익률</stp>
        <tr r="L26" s="1"/>
      </tp>
      <tp>
        <v>495663.962031</v>
        <stp/>
        <stp>C</stp>
        <stp>0</stp>
        <stp>KR103502GE63</stp>
        <stp>금액Convexity</stp>
        <stp>46253</stp>
        <stp>4.3</stp>
        <stp>세전수익률</stp>
        <tr r="T26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F6" s="1"/>
        <tr r="V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V7" s="1"/>
        <tr r="F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9951</v>
        <stp/>
        <stp>P</stp>
        <stp>0</stp>
        <stp>BND</stp>
        <stp>KR103503GG60</stp>
        <stp>장내국채-현재가격</stp>
        <stp/>
        <stp/>
        <tr r="C32" s="2"/>
      </tp>
      <tp>
        <v>9838</v>
        <stp/>
        <stp>P</stp>
        <stp>0</stp>
        <stp>BND</stp>
        <stp>KR103503GG37</stp>
        <stp>장내국채-현재가격</stp>
        <stp/>
        <stp/>
        <tr r="C51" s="2"/>
      </tp>
      <tp>
        <v>8154</v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52.595599999999997</v>
        <stp/>
        <stp>C</stp>
        <stp>0</stp>
        <stp>KR103501GFC3</stp>
        <stp>경과이자</stp>
        <stp>46253</stp>
        <stp>3.69</stp>
        <stp>세전수익률</stp>
        <tr r="H20" s="1"/>
      </tp>
      <tp>
        <v>11.3</v>
        <stp/>
        <stp>C</stp>
        <stp>0</stp>
        <stp>KR103503GG60</stp>
        <stp>경과세금</stp>
        <stp>46253</stp>
        <stp>0</stp>
        <stp>세전수익률</stp>
        <tr r="F21" s="1"/>
      </tp>
      <tp>
        <v>9540.09</v>
        <stp/>
        <stp>C</stp>
        <stp>0</stp>
        <stp>KR103502GE63</stp>
        <stp>세전단가</stp>
        <stp>46253</stp>
        <stp>4.3</stp>
        <stp>세전수익률</stp>
        <tr r="T18" s="1"/>
      </tp>
      <tp>
        <v>844</v>
        <stp/>
        <stp>C</stp>
        <stp>0</stp>
        <stp>KR103501GFC3</stp>
        <stp>잔존일수</stp>
        <stp>46253</stp>
        <stp>3.69</stp>
        <stp>세전수익률</stp>
        <tr r="H28" s="1"/>
      </tp>
      <tp>
        <v>21663.471707000001</v>
        <stp/>
        <stp>C</stp>
        <stp>0</stp>
        <stp>KR103501GFC3</stp>
        <stp>금액Duration</stp>
        <stp>46253</stp>
        <stp>3.69</stp>
        <stp>세전수익률</stp>
        <tr r="H23" s="1"/>
      </tp>
      <tp>
        <v>2852</v>
        <stp/>
        <stp>C</stp>
        <stp>0</stp>
        <stp>KR103502GE63</stp>
        <stp>잔존일수</stp>
        <stp>46253</stp>
        <stp>4.3</stp>
        <stp>세전수익률</stp>
        <tr r="T28" s="1"/>
      </tp>
      <tp>
        <v>3.927</v>
        <stp/>
        <stp>C</stp>
        <stp>0</stp>
        <stp>KR103503GF95</stp>
        <stp>세전수익률</stp>
        <stp>46253</stp>
        <stp>3.927</stp>
        <stp>세전수익률</stp>
        <tr r="X17" s="1"/>
      </tp>
      <tp>
        <v>3583</v>
        <stp/>
        <stp>C</stp>
        <stp>0</stp>
        <stp>KR103503GG60</stp>
        <stp>잔존일수</stp>
        <stp>46253</stp>
        <stp>0</stp>
        <stp>세전수익률</stp>
        <tr r="F28" s="1"/>
      </tp>
      <tp>
        <v>3.6150000000000002</v>
        <stp/>
        <stp>C</stp>
        <stp>0</stp>
        <stp>KR103501GF63</stp>
        <stp>세전수익률</stp>
        <stp>46253</stp>
        <stp>3.615</stp>
        <stp>세전수익률</stp>
        <tr r="P17" s="1"/>
      </tp>
      <tp>
        <v>4.4130000000000003</v>
        <stp/>
        <stp>C</stp>
        <stp>0</stp>
        <stp>KR103503GG60</stp>
        <stp>세전수익률</stp>
        <stp>46253</stp>
        <stp>4.413</stp>
        <stp>세전수익률</stp>
        <tr r="V17" s="1"/>
      </tp>
      <tp>
        <v>4.2549999999999999</v>
        <stp/>
        <stp>C</stp>
        <stp>0</stp>
        <stp>KR103502GF62</stp>
        <stp>세전수익률</stp>
        <stp>46253</stp>
        <stp>4.255</stp>
        <stp>세전수익률</stp>
        <tr r="N17" s="1"/>
      </tp>
      <tp>
        <v>4.1280000000000001</v>
        <stp/>
        <stp>C</stp>
        <stp>0</stp>
        <stp>KR103503GG37</stp>
        <stp>세전수익률</stp>
        <stp>46253</stp>
        <stp>4.128</stp>
        <stp>세전수익률</stp>
        <tr r="R17" s="1"/>
      </tp>
      <tp>
        <v>3400</v>
        <stp/>
        <stp>C</stp>
        <stp>0</stp>
        <stp>KR103502GFC1</stp>
        <stp>잔존일수</stp>
        <stp>46253</stp>
        <stp>4.3</stp>
        <stp>세전수익률</stp>
        <tr r="L28" s="1"/>
      </tp>
      <tp>
        <v>4.1280000000000001</v>
        <stp/>
        <stp>C</stp>
        <stp>0</stp>
        <stp>KR103501GEC6</stp>
        <stp>세전수익률</stp>
        <stp>46253</stp>
        <stp>4.128</stp>
        <stp>세전수익률</stp>
        <tr r="J17" s="1"/>
      </tp>
      <tp>
        <v>9262.7199999999993</v>
        <stp/>
        <stp>C</stp>
        <stp>0</stp>
        <stp>KR103502GFC1</stp>
        <stp>세전단가</stp>
        <stp>46253</stp>
        <stp>4.3</stp>
        <stp>세전수익률</stp>
        <tr r="L18" s="1"/>
      </tp>
      <tp>
        <v>0</v>
        <stp/>
        <stp>T</stp>
        <stp>x10.JJ1R1</stp>
        <stp>37</stp>
        <stp>666188</stp>
        <tr r="H33" s="1"/>
      </tp>
      <tp>
        <v>0</v>
        <stp/>
        <stp>T</stp>
        <stp>x1.JJ1R1</stp>
        <stp>28</stp>
        <stp>666188</stp>
        <tr r="P33" s="1"/>
      </tp>
      <tp>
        <v>0</v>
        <stp/>
        <stp>T</stp>
        <stp>x3.JJ1R1</stp>
        <stp>30</stp>
        <stp>666188</stp>
        <tr r="N33" s="1"/>
      </tp>
      <tp>
        <v>0</v>
        <stp/>
        <stp>T</stp>
        <stp>x2.JJ1R1</stp>
        <stp>29</stp>
        <stp>666188</stp>
        <tr r="R33" s="1"/>
      </tp>
      <tp>
        <v>0</v>
        <stp/>
        <stp>T</stp>
        <stp>x5.JJ1R1</stp>
        <stp>32</stp>
        <stp>666188</stp>
        <tr r="J33" s="1"/>
      </tp>
      <tp>
        <v>0</v>
        <stp/>
        <stp>T</stp>
        <stp>x4.JJ1R1</stp>
        <stp>31</stp>
        <stp>666188</stp>
        <tr r="T33" s="1"/>
      </tp>
      <tp>
        <v>0</v>
        <stp/>
        <stp>T</stp>
        <stp>x7.JJ1R1</stp>
        <stp>34</stp>
        <stp>666188</stp>
        <tr r="V33" s="1"/>
      </tp>
      <tp>
        <v>0</v>
        <stp/>
        <stp>T</stp>
        <stp>x6.JJ1R1</stp>
        <stp>33</stp>
        <stp>666188</stp>
        <tr r="L33" s="1"/>
      </tp>
      <tp>
        <v>0</v>
        <stp/>
        <stp>T</stp>
        <stp>x9.JJ1R1</stp>
        <stp>36</stp>
        <stp>666188</stp>
        <tr r="F33" s="1"/>
      </tp>
      <tp>
        <v>0</v>
        <stp/>
        <stp>T</stp>
        <stp>x8.JJ1R1</stp>
        <stp>35</stp>
        <stp>666188</stp>
        <tr r="X33" s="1"/>
      </tp>
      <tp>
        <v>14238.7</v>
        <stp/>
        <stp>C</stp>
        <stp>0</stp>
        <stp>KR103503GG60</stp>
        <stp>세후단가</stp>
        <stp>46253</stp>
        <stp>0</stp>
        <stp>세전수익률</stp>
        <tr r="F19" s="1"/>
      </tp>
      <tp>
        <v>14250</v>
        <stp/>
        <stp>C</stp>
        <stp>0</stp>
        <stp>KR103503GG60</stp>
        <stp>세전단가</stp>
        <stp>46253</stp>
        <stp>0</stp>
        <stp>세전수익률</stp>
        <tr r="F18" s="1"/>
      </tp>
      <tp>
        <v>2.9000000000000001E-2</v>
        <stp/>
        <stp>P</stp>
        <stp>0</stp>
        <stp>FUT</stp>
        <stp>A6769000</stp>
        <stp>저평가</stp>
        <stp/>
        <stp/>
        <tr r="H19" s="2"/>
      </tp>
      <tp>
        <v>-3.9E-2</v>
        <stp/>
        <stp>P</stp>
        <stp>0</stp>
        <stp>FUT</stp>
        <stp>A6569000</stp>
        <stp>저평가</stp>
        <stp/>
        <stp/>
        <tr r="G41" s="2"/>
      </tp>
      <tp>
        <v>9817.2999999999993</v>
        <stp/>
        <stp>C</stp>
        <stp>0</stp>
        <stp>KR103503GG37</stp>
        <stp>세후단가</stp>
        <stp>46253</stp>
        <stp>4.128</stp>
        <stp>세전수익률</stp>
        <tr r="R19" s="1"/>
      </tp>
      <tp>
        <v>9888.5</v>
        <stp/>
        <stp>C</stp>
        <stp>0</stp>
        <stp>KR103501GEC6</stp>
        <stp>세후단가</stp>
        <stp>46253</stp>
        <stp>4.128</stp>
        <stp>세전수익률</stp>
        <tr r="J19" s="1"/>
      </tp>
      <tp>
        <v>9896.1</v>
        <stp/>
        <stp>C</stp>
        <stp>0</stp>
        <stp>KR103501GEC6</stp>
        <stp>세전단가</stp>
        <stp>46253</stp>
        <stp>4.128</stp>
        <stp>세전수익률</stp>
        <tr r="J18" s="1"/>
      </tp>
      <tp>
        <v>9838.09</v>
        <stp/>
        <stp>C</stp>
        <stp>0</stp>
        <stp>KR103503GG37</stp>
        <stp>세전단가</stp>
        <stp>46253</stp>
        <stp>4.128</stp>
        <stp>세전수익률</stp>
        <tr r="R18" s="1"/>
      </tp>
      <tp>
        <v>4.3</v>
        <stp/>
        <stp>C</stp>
        <stp>0</stp>
        <stp>KR103502GE63</stp>
        <stp>세전수익률</stp>
        <stp>46253</stp>
        <stp>4.3</stp>
        <stp>세전수익률</stp>
        <tr r="T17" s="1"/>
      </tp>
      <tp>
        <v>4.3</v>
        <stp/>
        <stp>C</stp>
        <stp>0</stp>
        <stp>KR103502GFC1</stp>
        <stp>세전수익률</stp>
        <stp>46253</stp>
        <stp>4.3</stp>
        <stp>세전수익률</stp>
        <tr r="L17" s="1"/>
      </tp>
      <tp>
        <v>9563.6</v>
        <stp/>
        <stp>C</stp>
        <stp>0</stp>
        <stp>KR103503GF95</stp>
        <stp>세후단가</stp>
        <stp>46253</stp>
        <stp>3.927</stp>
        <stp>세전수익률</stp>
        <tr r="X19" s="1"/>
      </tp>
      <tp>
        <v>9579.01</v>
        <stp/>
        <stp>C</stp>
        <stp>0</stp>
        <stp>KR103503GF95</stp>
        <stp>세전단가</stp>
        <stp>46253</stp>
        <stp>3.927</stp>
        <stp>세전수익률</stp>
        <tr r="X18" s="1"/>
      </tp>
      <tp>
        <v>9799.4</v>
        <stp/>
        <stp>C</stp>
        <stp>0</stp>
        <stp>KR103501GF63</stp>
        <stp>세후단가</stp>
        <stp>46253</stp>
        <stp>3.615</stp>
        <stp>세전수익률</stp>
        <tr r="P19" s="1"/>
      </tp>
      <tp>
        <v>9805.49</v>
        <stp/>
        <stp>C</stp>
        <stp>0</stp>
        <stp>KR103501GF63</stp>
        <stp>세전단가</stp>
        <stp>46253</stp>
        <stp>3.615</stp>
        <stp>세전수익률</stp>
        <tr r="P18" s="1"/>
      </tp>
      <tp>
        <v>9940.2000000000007</v>
        <stp/>
        <stp>C</stp>
        <stp>0</stp>
        <stp>KR103503GG60</stp>
        <stp>세후단가</stp>
        <stp>46253</stp>
        <stp>4.413</stp>
        <stp>세전수익률</stp>
        <tr r="V19" s="1"/>
      </tp>
      <tp>
        <v>9951.5300000000007</v>
        <stp/>
        <stp>C</stp>
        <stp>0</stp>
        <stp>KR103503GG60</stp>
        <stp>세전단가</stp>
        <stp>46253</stp>
        <stp>4.413</stp>
        <stp>세전수익률</stp>
        <tr r="V18" s="1"/>
      </tp>
      <tp>
        <v>8855.2999999999993</v>
        <stp/>
        <stp>C</stp>
        <stp>0</stp>
        <stp>KR103502GF62</stp>
        <stp>세후단가</stp>
        <stp>46253</stp>
        <stp>4.255</stp>
        <stp>세전수익률</stp>
        <tr r="N19" s="1"/>
      </tp>
      <tp>
        <v>8862.35</v>
        <stp/>
        <stp>C</stp>
        <stp>0</stp>
        <stp>KR103502GF62</stp>
        <stp>세전단가</stp>
        <stp>46253</stp>
        <stp>4.255</stp>
        <stp>세전수익률</stp>
        <tr r="N1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3217</v>
        <stp/>
        <stp>C</stp>
        <stp>0</stp>
        <stp>KR103502GF62</stp>
        <stp>잔존일수</stp>
        <stp>46253</stp>
        <stp>4.255</stp>
        <stp>세전수익률</stp>
        <tr r="N28" s="1"/>
      </tp>
      <tp>
        <v>661</v>
        <stp/>
        <stp>C</stp>
        <stp>0</stp>
        <stp>KR103501GF63</stp>
        <stp>잔존일수</stp>
        <stp>46253</stp>
        <stp>3.615</stp>
        <stp>세전수익률</stp>
        <tr r="P28" s="1"/>
      </tp>
      <tp>
        <v>0</v>
        <stp/>
        <stp>C</stp>
        <stp>0</stp>
        <stp>KR103503GG60</stp>
        <stp>세전수익률</stp>
        <stp>46253</stp>
        <stp>0</stp>
        <stp>세전수익률</stp>
        <tr r="F17" s="1"/>
      </tp>
      <tp>
        <v>3583</v>
        <stp/>
        <stp>C</stp>
        <stp>0</stp>
        <stp>KR103503GG60</stp>
        <stp>잔존일수</stp>
        <stp>46253</stp>
        <stp>4.413</stp>
        <stp>세전수익률</stp>
        <tr r="V28" s="1"/>
      </tp>
      <tp>
        <v>1483</v>
        <stp/>
        <stp>C</stp>
        <stp>0</stp>
        <stp>KR103503GF95</stp>
        <stp>잔존일수</stp>
        <stp>46253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3.5030000000000001</v>
        <stp/>
        <stp>P</stp>
        <stp>0</stp>
        <stp>BND</stp>
        <stp>KR103501GEC6</stp>
        <stp>민평3사 수익률(산출일)</stp>
        <stp/>
        <stp/>
        <tr r="J14" s="1"/>
      </tp>
      <tp>
        <v>4.25</v>
        <stp/>
        <stp>P</stp>
        <stp>0</stp>
        <stp>BND</stp>
        <stp>KR103502GE63</stp>
        <stp>민평3사 수익률(산출일)</stp>
        <stp/>
        <stp/>
        <tr r="T14" s="1"/>
      </tp>
      <tp>
        <v>3.718</v>
        <stp/>
        <stp>P</stp>
        <stp>0</stp>
        <stp>BND</stp>
        <stp>KR103501GFC3</stp>
        <stp>민평3사 수익률(산출일)</stp>
        <stp/>
        <stp/>
        <tr r="H14" s="1"/>
      </tp>
      <tp>
        <v>4.3</v>
        <stp/>
        <stp>P</stp>
        <stp>0</stp>
        <stp>BND</stp>
        <stp>KR103502GFC1</stp>
        <stp>민평3사 수익률(산출일)</stp>
        <stp/>
        <stp/>
        <tr r="L14" s="1"/>
      </tp>
      <tp>
        <v>3.9950000000000001</v>
        <stp/>
        <stp>P</stp>
        <stp>0</stp>
        <stp>BND</stp>
        <stp>KR103503GF95</stp>
        <stp>민평3사 수익률(산출일)</stp>
        <stp/>
        <stp/>
        <tr r="X14" s="1"/>
      </tp>
      <tp>
        <v>3.64</v>
        <stp/>
        <stp>P</stp>
        <stp>0</stp>
        <stp>BND</stp>
        <stp>KR103501GF63</stp>
        <stp>민평3사 수익률(산출일)</stp>
        <stp/>
        <stp/>
        <tr r="P14" s="1"/>
      </tp>
      <tp>
        <v>4.274</v>
        <stp/>
        <stp>P</stp>
        <stp>0</stp>
        <stp>BND</stp>
        <stp>KR103502GF62</stp>
        <stp>민평3사 수익률(산출일)</stp>
        <stp/>
        <stp/>
        <tr r="N14" s="1"/>
      </tp>
      <tp>
        <v>4.3099999999999996</v>
        <stp/>
        <stp>P</stp>
        <stp>0</stp>
        <stp>BND</stp>
        <stp>KR103503GG60</stp>
        <stp>민평3사 수익률(산출일)</stp>
        <stp/>
        <stp/>
        <tr r="V14" s="1"/>
        <tr r="F14" s="1"/>
      </tp>
      <tp>
        <v>4.0430000000000001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F13" s="1"/>
        <tr r="V13" s="1"/>
      </tp>
      <tp>
        <v>478</v>
        <stp/>
        <stp>C</stp>
        <stp>0</stp>
        <stp>KR103501GEC6</stp>
        <stp>잔존일수</stp>
        <stp>46253</stp>
        <stp>4.128</stp>
        <stp>세전수익률</stp>
        <tr r="J28" s="1"/>
      </tp>
      <tp>
        <v>1664</v>
        <stp/>
        <stp>C</stp>
        <stp>0</stp>
        <stp>KR103503GG37</stp>
        <stp>잔존일수</stp>
        <stp>46253</stp>
        <stp>4.128</stp>
        <stp>세전수익률</stp>
        <tr r="R28" s="1"/>
      </tp>
      <tp>
        <v>6.9659000000000004</v>
        <stp/>
        <stp>C</stp>
        <stp>0</stp>
        <stp>KR103502GE63</stp>
        <stp>MacDuration</stp>
        <stp>46253</stp>
        <stp>4.3</stp>
        <stp>세전수익률</stp>
        <tr r="T24" s="1"/>
      </tp>
      <tp>
        <v>6.6787000000000001</v>
        <stp/>
        <stp>C</stp>
        <stp>0</stp>
        <stp>KR103502GE63</stp>
        <stp>ModDuration</stp>
        <stp>46253</stp>
        <stp>4.3</stp>
        <stp>세전수익률</stp>
        <tr r="T25" s="1"/>
      </tp>
      <tp>
        <v>8.1592000000000002</v>
        <stp/>
        <stp>C</stp>
        <stp>0</stp>
        <stp>KR103502GFC1</stp>
        <stp>MacDuration</stp>
        <stp>46253</stp>
        <stp>4.3</stp>
        <stp>세전수익률</stp>
        <tr r="L24" s="1"/>
      </tp>
      <tp>
        <v>7.8228</v>
        <stp/>
        <stp>C</stp>
        <stp>0</stp>
        <stp>KR103502GFC1</stp>
        <stp>ModDuration</stp>
        <stp>46253</stp>
        <stp>4.3</stp>
        <stp>세전수익률</stp>
        <tr r="L25" s="1"/>
      </tp>
      <tp>
        <v>2.2256</v>
        <stp/>
        <stp>C</stp>
        <stp>0</stp>
        <stp>KR103501GEC6</stp>
        <stp>Convexity</stp>
        <stp>46253</stp>
        <stp>4.128</stp>
        <stp>세전수익률</stp>
        <tr r="J27" s="1"/>
      </tp>
      <tp>
        <v>19.904399999999999</v>
        <stp/>
        <stp>C</stp>
        <stp>0</stp>
        <stp>KR103503GG37</stp>
        <stp>Convexity</stp>
        <stp>46253</stp>
        <stp>4.128</stp>
        <stp>세전수익률</stp>
        <tr r="R27" s="1"/>
      </tp>
      <tp>
        <v>9841.1137999999992</v>
        <stp/>
        <stp>C</stp>
        <stp>0</stp>
        <stp>KR103501GEC6</stp>
        <stp>Cleanprice</stp>
        <stp>46253</stp>
        <stp>4.128</stp>
        <stp>세전수익률</stp>
        <tr r="J22" s="1"/>
      </tp>
      <tp>
        <v>66.969099999999997</v>
        <stp/>
        <stp>C</stp>
        <stp>0</stp>
        <stp>KR103502GF62</stp>
        <stp>Convexity</stp>
        <stp>46253</stp>
        <stp>4.255</stp>
        <stp>세전수익률</stp>
        <tr r="N27" s="1"/>
      </tp>
      <tp>
        <v>3.9129999999999998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4.4020000000000001</v>
        <stp/>
        <stp>P</stp>
        <stp>0</stp>
        <stp>FUT</stp>
        <stp>A6769000</stp>
        <stp>국채수익률</stp>
        <stp/>
        <stp/>
        <tr r="C6" s="2"/>
      </tp>
      <tp>
        <v>9254.1</v>
        <stp/>
        <stp>C</stp>
        <stp>0</stp>
        <stp>KR103502GFC1</stp>
        <stp>세후단가</stp>
        <stp>46253</stp>
        <stp>4.3</stp>
        <stp>세전수익률</stp>
        <tr r="L19" s="1"/>
      </tp>
      <tp>
        <v>3.9333999999999998</v>
        <stp/>
        <stp>C</stp>
        <stp>0</stp>
        <stp>KR103501GF63</stp>
        <stp>Convexity</stp>
        <stp>46253</stp>
        <stp>3.615</stp>
        <stp>세전수익률</stp>
        <tr r="P27" s="1"/>
      </tp>
      <tp>
        <v>74.173500000000004</v>
        <stp/>
        <stp>C</stp>
        <stp>0</stp>
        <stp>KR103503GG60</stp>
        <stp>Convexity</stp>
        <stp>46253</stp>
        <stp>4.413</stp>
        <stp>세전수익률</stp>
        <tr r="V27" s="1"/>
      </tp>
      <tp>
        <v>16.566400000000002</v>
        <stp/>
        <stp>C</stp>
        <stp>0</stp>
        <stp>KR103503GF95</stp>
        <stp>Convexity</stp>
        <stp>46253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V10" s="1"/>
        <tr r="F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50.204900000000002</v>
        <stp/>
        <stp>C</stp>
        <stp>0</stp>
        <stp>KR103502GF62</stp>
        <stp>경과이자</stp>
        <stp>46253</stp>
        <stp>4.255</stp>
        <stp>세전수익률</stp>
        <tr r="N20" s="1"/>
      </tp>
      <tp>
        <v>110.0543</v>
        <stp/>
        <stp>C</stp>
        <stp>0</stp>
        <stp>KR103503GF95</stp>
        <stp>경과이자</stp>
        <stp>46253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81.284099999999995</v>
        <stp/>
        <stp>C</stp>
        <stp>0</stp>
        <stp>KR103503GG60</stp>
        <stp>경과이자</stp>
        <stp>46253</stp>
        <stp>4.413</stp>
        <stp>세전수익률</stp>
        <tr r="V20" s="1"/>
      </tp>
      <tp>
        <v>43.032699999999998</v>
        <stp/>
        <stp>C</stp>
        <stp>0</stp>
        <stp>KR103501GF63</stp>
        <stp>경과이자</stp>
        <stp>46253</stp>
        <stp>3.615</stp>
        <stp>세전수익률</stp>
        <tr r="P20" s="1"/>
      </tp>
      <tp>
        <v>3.69</v>
        <stp/>
        <stp>C</stp>
        <stp>0</stp>
        <stp>KR103501GFC3</stp>
        <stp>세전수익률</stp>
        <stp>46253</stp>
        <stp>3.69</stp>
        <stp>세전수익률</stp>
        <tr r="H17" s="1"/>
      </tp>
      <tp>
        <v>3.8660000000000001</v>
        <stp/>
        <stp>P</stp>
        <stp>0</stp>
        <stp>BND</stp>
        <stp>KR103501GG62</stp>
        <stp>장내국채-현재수익률</stp>
        <stp/>
        <stp/>
        <tr r="J41" s="2"/>
      </tp>
      <tp>
        <v>4.4130000000000003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6.016</v>
        <stp/>
        <stp>C</stp>
        <stp>0</stp>
        <stp>KR103501GFC3</stp>
        <stp>Convexity</stp>
        <stp>46253</stp>
        <stp>3.69</stp>
        <stp>세전수익률</stp>
        <tr r="H27" s="1"/>
      </tp>
      <tp>
        <v>54.9863</v>
        <stp/>
        <stp>C</stp>
        <stp>0</stp>
        <stp>KR103501GEC6</stp>
        <stp>경과이자</stp>
        <stp>46253</stp>
        <stp>4.128</stp>
        <stp>세전수익률</stp>
        <tr r="J20" s="1"/>
      </tp>
      <tp>
        <v>148.57329999999999</v>
        <stp/>
        <stp>C</stp>
        <stp>0</stp>
        <stp>KR103503GG37</stp>
        <stp>경과이자</stp>
        <stp>46253</stp>
        <stp>4.128</stp>
        <stp>세전수익률</stp>
        <tr r="R20" s="1"/>
      </tp>
      <tp>
        <v>12481.950930000001</v>
        <stp/>
        <stp>C</stp>
        <stp>0</stp>
        <stp>KR103501GEC6</stp>
        <stp>금액Duration</stp>
        <stp>46253</stp>
        <stp>4.128</stp>
        <stp>세전수익률</stp>
        <tr r="J23" s="1"/>
      </tp>
      <tp>
        <v>104.8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103.05</v>
        <stp/>
        <stp>P</stp>
        <stp>0</stp>
        <stp>FUT</stp>
        <stp>A6569000</stp>
        <stp>선물호가_현재가</stp>
        <stp/>
        <stp/>
        <tr r="E5" s="2"/>
        <tr r="C42" s="2"/>
      </tp>
      <tp>
        <v>4.7679999999999998</v>
        <stp/>
        <stp>P</stp>
        <stp>0</stp>
        <stp>BND</stp>
        <stp>KR103501GG39</stp>
        <stp>장내국채-현재수익률</stp>
        <stp/>
        <stp/>
        <tr r="C11" s="2"/>
      </tp>
      <tp>
        <v>4.1280000000000001</v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81.284099999999995</v>
        <stp/>
        <stp>C</stp>
        <stp>0</stp>
        <stp>KR103503GG60</stp>
        <stp>경과이자</stp>
        <stp>46253</stp>
        <stp>0</stp>
        <stp>세전수익률</stp>
        <tr r="F20" s="1"/>
      </tp>
      <tp>
        <v>9793.0975999999991</v>
        <stp/>
        <stp>C</stp>
        <stp>0</stp>
        <stp>KR103501GFC3</stp>
        <stp>Cleanprice</stp>
        <stp>46253</stp>
        <stp>3.69</stp>
        <stp>세전수익률</stp>
        <tr r="H22" s="1"/>
      </tp>
      <tp>
        <v>59231.671040000001</v>
        <stp/>
        <stp>C</stp>
        <stp>0</stp>
        <stp>KR103501GFC3</stp>
        <stp>금액Convexity</stp>
        <stp>46253</stp>
        <stp>3.69</stp>
        <stp>세전수익률</stp>
        <tr r="H26" s="1"/>
      </tp>
      <tp>
        <v>9473.1566999999995</v>
        <stp/>
        <stp>C</stp>
        <stp>0</stp>
        <stp>KR103502GE63</stp>
        <stp>Cleanprice</stp>
        <stp>46253</stp>
        <stp>4.3</stp>
        <stp>세전수익률</stp>
        <tr r="T22" s="1"/>
      </tp>
      <tp>
        <v>9200.5704999999998</v>
        <stp/>
        <stp>C</stp>
        <stp>0</stp>
        <stp>KR103502GFC1</stp>
        <stp>Cleanprice</stp>
        <stp>46253</stp>
        <stp>4.3</stp>
        <stp>세전수익률</stp>
        <tr r="L22" s="1"/>
      </tp>
      <tp>
        <v>7.2461000000000002</v>
        <stp/>
        <stp>C</stp>
        <stp>0</stp>
        <stp>KR103502GFC1</stp>
        <stp>bpv</stp>
        <stp>46253</stp>
        <stp>4.3</stp>
        <stp>세전수익률</stp>
        <tr r="L29" s="1"/>
      </tp>
      <tp>
        <v>6.3715000000000002</v>
        <stp/>
        <stp>C</stp>
        <stp>0</stp>
        <stp>KR103502GE63</stp>
        <stp>bpv</stp>
        <stp>46253</stp>
        <stp>4.3</stp>
        <stp>세전수익률</stp>
        <tr r="T29" s="1"/>
      </tp>
      <tp>
        <v>9.3000000000000007</v>
        <stp/>
        <stp>C</stp>
        <stp>0</stp>
        <stp>KR103502GE63</stp>
        <stp>경과세금</stp>
        <stp>46253</stp>
        <stp>4.3</stp>
        <stp>세전수익률</stp>
        <tr r="T21" s="1"/>
      </tp>
      <tp>
        <v>66.939800000000005</v>
        <stp/>
        <stp>C</stp>
        <stp>0</stp>
        <stp>KR103502GE63</stp>
        <stp>경과이자</stp>
        <stp>46253</stp>
        <stp>4.3</stp>
        <stp>세전수익률</stp>
        <tr r="T20" s="1"/>
      </tp>
      <tp>
        <v>2.1663999999999999</v>
        <stp/>
        <stp>C</stp>
        <stp>0</stp>
        <stp>KR103501GFC3</stp>
        <stp>bpv</stp>
        <stp>46253</stp>
        <stp>3.69</stp>
        <stp>세전수익률</stp>
        <tr r="H29" s="1"/>
      </tp>
      <tp>
        <v>2.2002999999999999</v>
        <stp/>
        <stp>C</stp>
        <stp>0</stp>
        <stp>KR103501GFC3</stp>
        <stp>ModDuration</stp>
        <stp>46253</stp>
        <stp>3.69</stp>
        <stp>세전수익률</stp>
        <tr r="H25" s="1"/>
      </tp>
      <tp>
        <v>2.2814999999999999</v>
        <stp/>
        <stp>C</stp>
        <stp>0</stp>
        <stp>KR103501GFC3</stp>
        <stp>MacDuration</stp>
        <stp>46253</stp>
        <stp>3.69</stp>
        <stp>세전수익률</stp>
        <tr r="H24" s="1"/>
      </tp>
      <tp>
        <v>81.824399999999997</v>
        <stp/>
        <stp>C</stp>
        <stp>0</stp>
        <stp>KR103503GG60</stp>
        <stp>Convexity</stp>
        <stp>46253</stp>
        <stp>0</stp>
        <stp>세전수익률</stp>
        <tr r="F27" s="1"/>
      </tp>
      <tp>
        <v>51.9559</v>
        <stp/>
        <stp>C</stp>
        <stp>0</stp>
        <stp>KR103502GE63</stp>
        <stp>Convexity</stp>
        <stp>46253</stp>
        <stp>4.3</stp>
        <stp>세전수익률</stp>
        <tr r="T27" s="1"/>
      </tp>
      <tp>
        <v>71.396000000000001</v>
        <stp/>
        <stp>C</stp>
        <stp>0</stp>
        <stp>KR103502GFC1</stp>
        <stp>Convexity</stp>
        <stp>46253</stp>
        <stp>4.3</stp>
        <stp>세전수익률</stp>
        <tr r="L27" s="1"/>
      </tp>
      <tp>
        <v>14168.7158</v>
        <stp/>
        <stp>C</stp>
        <stp>0</stp>
        <stp>KR103503GG60</stp>
        <stp>Cleanprice</stp>
        <stp>46253</stp>
        <stp>0</stp>
        <stp>세전수익률</stp>
        <tr r="F22" s="1"/>
      </tp>
      <tp>
        <v>1.2482</v>
        <stp/>
        <stp>C</stp>
        <stp>0</stp>
        <stp>KR103501GEC6</stp>
        <stp>bpv</stp>
        <stp>46253</stp>
        <stp>4.128</stp>
        <stp>세전수익률</stp>
        <tr r="J29" s="1"/>
      </tp>
      <tp>
        <v>62.1584</v>
        <stp/>
        <stp>C</stp>
        <stp>0</stp>
        <stp>KR103502GFC1</stp>
        <stp>경과이자</stp>
        <stp>46253</stp>
        <stp>4.3</stp>
        <stp>세전수익률</stp>
        <tr r="L20" s="1"/>
      </tp>
      <tp>
        <v>4.0434999999999999</v>
        <stp/>
        <stp>C</stp>
        <stp>0</stp>
        <stp>KR103503GG37</stp>
        <stp>bpv</stp>
        <stp>46253</stp>
        <stp>4.128</stp>
        <stp>세전수익률</stp>
        <tr r="R29" s="1"/>
      </tp>
      <tp>
        <v>9845.69</v>
        <stp/>
        <stp>C</stp>
        <stp>0</stp>
        <stp>KR103501GFC3</stp>
        <stp>세전단가</stp>
        <stp>46253</stp>
        <stp>3.69</stp>
        <stp>세전수익률</stp>
        <tr r="H18" s="1"/>
      </tp>
      <tp>
        <v>9838.2999999999993</v>
        <stp/>
        <stp>C</stp>
        <stp>0</stp>
        <stp>KR103501GFC3</stp>
        <stp>세후단가</stp>
        <stp>46253</stp>
        <stp>3.69</stp>
        <stp>세전수익률</stp>
        <tr r="H19" s="1"/>
      </tp>
      <tp>
        <v>8.6</v>
        <stp/>
        <stp>C</stp>
        <stp>0</stp>
        <stp>KR103502GFC1</stp>
        <stp>경과세금</stp>
        <stp>46253</stp>
        <stp>4.3</stp>
        <stp>세전수익률</stp>
        <tr r="L21" s="1"/>
      </tp>
      <tp>
        <v>3.6034000000000002</v>
        <stp/>
        <stp>C</stp>
        <stp>0</stp>
        <stp>KR103503GF95</stp>
        <stp>bpv</stp>
        <stp>46253</stp>
        <stp>3.927</stp>
        <stp>세전수익률</stp>
        <tr r="X29" s="1"/>
      </tp>
      <tp>
        <v>6.7735000000000003</v>
        <stp/>
        <stp>C</stp>
        <stp>0</stp>
        <stp>KR103502GF62</stp>
        <stp>bpv</stp>
        <stp>46253</stp>
        <stp>4.255</stp>
        <stp>세전수익률</stp>
        <tr r="N29" s="1"/>
      </tp>
      <tp>
        <v>7.8326000000000002</v>
        <stp/>
        <stp>C</stp>
        <stp>0</stp>
        <stp>KR103503GG60</stp>
        <stp>bpv</stp>
        <stp>46253</stp>
        <stp>4.413</stp>
        <stp>세전수익률</stp>
        <tr r="V29" s="1"/>
      </tp>
      <tp>
        <v>1.7097</v>
        <stp/>
        <stp>C</stp>
        <stp>0</stp>
        <stp>KR103501GF63</stp>
        <stp>bpv</stp>
        <stp>46253</stp>
        <stp>3.615</stp>
        <stp>세전수익률</stp>
        <tr r="P29" s="1"/>
      </tp>
      <tp>
        <v>1165997.7</v>
        <stp/>
        <stp>C</stp>
        <stp>0</stp>
        <stp>KR103503GG60</stp>
        <stp>금액Convexity</stp>
        <stp>46253</stp>
        <stp>0</stp>
        <stp>세전수익률</stp>
        <tr r="F26" s="1"/>
      </tp>
      <tp>
        <v>7.9682000000000004</v>
        <stp/>
        <stp>C</stp>
        <stp>0</stp>
        <stp>KR103502GF62</stp>
        <stp>MacDuration</stp>
        <stp>46253</stp>
        <stp>4.255</stp>
        <stp>세전수익률</stp>
        <tr r="N24" s="1"/>
      </tp>
      <tp>
        <v>3.9095</v>
        <stp/>
        <stp>C</stp>
        <stp>0</stp>
        <stp>KR103503GF95</stp>
        <stp>MacDuration</stp>
        <stp>46253</stp>
        <stp>3.927</stp>
        <stp>세전수익률</stp>
        <tr r="X24" s="1"/>
      </tp>
      <tp>
        <v>1.7436</v>
        <stp/>
        <stp>C</stp>
        <stp>0</stp>
        <stp>KR103501GF63</stp>
        <stp>ModDuration</stp>
        <stp>46253</stp>
        <stp>3.615</stp>
        <stp>세전수익률</stp>
        <tr r="P25" s="1"/>
      </tp>
      <tp>
        <v>7.8708</v>
        <stp/>
        <stp>C</stp>
        <stp>0</stp>
        <stp>KR103503GG60</stp>
        <stp>ModDuration</stp>
        <stp>46253</stp>
        <stp>4.413</stp>
        <stp>세전수익률</stp>
        <tr r="V25" s="1"/>
      </tp>
      <tp>
        <v>1.7750999999999999</v>
        <stp/>
        <stp>C</stp>
        <stp>0</stp>
        <stp>KR103501GF63</stp>
        <stp>MacDuration</stp>
        <stp>46253</stp>
        <stp>3.615</stp>
        <stp>세전수익률</stp>
        <tr r="P24" s="1"/>
      </tp>
      <tp>
        <v>8.2180999999999997</v>
        <stp/>
        <stp>C</stp>
        <stp>0</stp>
        <stp>KR103503GG60</stp>
        <stp>MacDuration</stp>
        <stp>46253</stp>
        <stp>4.413</stp>
        <stp>세전수익률</stp>
        <tr r="V24" s="1"/>
      </tp>
      <tp>
        <v>3.7618</v>
        <stp/>
        <stp>C</stp>
        <stp>0</stp>
        <stp>KR103503GF95</stp>
        <stp>ModDuration</stp>
        <stp>46253</stp>
        <stp>3.927</stp>
        <stp>세전수익률</stp>
        <tr r="X25" s="1"/>
      </tp>
      <tp>
        <v>7.6429999999999998</v>
        <stp/>
        <stp>C</stp>
        <stp>0</stp>
        <stp>KR103502GF62</stp>
        <stp>ModDuration</stp>
        <stp>46253</stp>
        <stp>4.255</stp>
        <stp>세전수익률</stp>
        <tr r="N25" s="1"/>
      </tp>
      <tp>
        <v>119587.425</v>
        <stp/>
        <stp>C</stp>
        <stp>0</stp>
        <stp>KR103503GG60</stp>
        <stp>금액Duration</stp>
        <stp>46253</stp>
        <stp>0</stp>
        <stp>세전수익률</stp>
        <tr r="F23" s="1"/>
      </tp>
      <tp>
        <v>4.2797000000000001</v>
        <stp/>
        <stp>C</stp>
        <stp>0</stp>
        <stp>KR103503GG37</stp>
        <stp>MacDuration</stp>
        <stp>46253</stp>
        <stp>4.128</stp>
        <stp>세전수익률</stp>
        <tr r="R24" s="1"/>
      </tp>
      <tp>
        <v>1.2874000000000001</v>
        <stp/>
        <stp>C</stp>
        <stp>0</stp>
        <stp>KR103501GEC6</stp>
        <stp>MacDuration</stp>
        <stp>46253</stp>
        <stp>4.128</stp>
        <stp>세전수익률</stp>
        <tr r="J24" s="1"/>
      </tp>
      <tp>
        <v>1.2613000000000001</v>
        <stp/>
        <stp>C</stp>
        <stp>0</stp>
        <stp>KR103501GEC6</stp>
        <stp>ModDuration</stp>
        <stp>46253</stp>
        <stp>4.128</stp>
        <stp>세전수익률</stp>
        <tr r="J25" s="1"/>
      </tp>
      <tp>
        <v>4.1100000000000003</v>
        <stp/>
        <stp>C</stp>
        <stp>0</stp>
        <stp>KR103503GG37</stp>
        <stp>ModDuration</stp>
        <stp>46253</stp>
        <stp>4.128</stp>
        <stp>세전수익률</stp>
        <tr r="R25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78326.502324000001</v>
        <stp/>
        <stp>C</stp>
        <stp>0</stp>
        <stp>KR103503GG60</stp>
        <stp>금액Duration</stp>
        <stp>46253</stp>
        <stp>4.413</stp>
        <stp>세전수익률</stp>
        <tr r="V23" s="1"/>
      </tp>
      <tp>
        <v>17096.852363999998</v>
        <stp/>
        <stp>C</stp>
        <stp>0</stp>
        <stp>KR103501GF63</stp>
        <stp>금액Duration</stp>
        <stp>46253</stp>
        <stp>3.615</stp>
        <stp>세전수익률</stp>
        <tr r="P23" s="1"/>
      </tp>
      <tp>
        <v>158689.71126400001</v>
        <stp/>
        <stp>C</stp>
        <stp>0</stp>
        <stp>KR103503GF95</stp>
        <stp>금액Convexity</stp>
        <stp>46253</stp>
        <stp>3.927</stp>
        <stp>세전수익률</stp>
        <tr r="X26" s="1"/>
      </tp>
      <tp>
        <v>593503.60338500002</v>
        <stp/>
        <stp>C</stp>
        <stp>0</stp>
        <stp>KR103502GF62</stp>
        <stp>금액Convexity</stp>
        <stp>46253</stp>
        <stp>4.255</stp>
        <stp>세전수익률</stp>
        <tr r="N26" s="1"/>
      </tp>
      <tp>
        <v>8.3920999999999992</v>
        <stp/>
        <stp>C</stp>
        <stp>0</stp>
        <stp>KR103503GG60</stp>
        <stp>MacDuration</stp>
        <stp>46253</stp>
        <stp>0</stp>
        <stp>세전수익률</stp>
        <tr r="F24" s="1"/>
      </tp>
      <tp>
        <v>8.3920999999999992</v>
        <stp/>
        <stp>C</stp>
        <stp>0</stp>
        <stp>KR103503GG60</stp>
        <stp>ModDuration</stp>
        <stp>46253</stp>
        <stp>0</stp>
        <stp>세전수익률</stp>
        <tr r="F25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67734.941049999994</v>
        <stp/>
        <stp>C</stp>
        <stp>0</stp>
        <stp>KR103502GF62</stp>
        <stp>금액Duration</stp>
        <stp>46253</stp>
        <stp>4.255</stp>
        <stp>세전수익률</stp>
        <tr r="N23" s="1"/>
      </tp>
      <tp>
        <v>738139.81045500003</v>
        <stp/>
        <stp>C</stp>
        <stp>0</stp>
        <stp>KR103503GG60</stp>
        <stp>금액Convexity</stp>
        <stp>46253</stp>
        <stp>4.413</stp>
        <stp>세전수익률</stp>
        <tr r="V26" s="1"/>
      </tp>
      <tp>
        <v>38568.914365999997</v>
        <stp/>
        <stp>C</stp>
        <stp>0</stp>
        <stp>KR103501GF63</stp>
        <stp>금액Convexity</stp>
        <stp>46253</stp>
        <stp>3.615</stp>
        <stp>세전수익률</stp>
        <tr r="P26" s="1"/>
      </tp>
      <tp>
        <v>22024.760160000002</v>
        <stp/>
        <stp>C</stp>
        <stp>0</stp>
        <stp>KR103501GEC6</stp>
        <stp>금액Convexity</stp>
        <stp>46253</stp>
        <stp>4.128</stp>
        <stp>세전수익률</stp>
        <tr r="J26" s="1"/>
      </tp>
      <tp>
        <v>195821.27859599999</v>
        <stp/>
        <stp>C</stp>
        <stp>0</stp>
        <stp>KR103503GG37</stp>
        <stp>금액Convexity</stp>
        <stp>46253</stp>
        <stp>4.128</stp>
        <stp>세전수익률</stp>
        <tr r="R26" s="1"/>
      </tp>
      <tp>
        <v>36034.319818000004</v>
        <stp/>
        <stp>C</stp>
        <stp>0</stp>
        <stp>KR103503GF95</stp>
        <stp>금액Duration</stp>
        <stp>46253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40434.549899999998</v>
        <stp/>
        <stp>C</stp>
        <stp>0</stp>
        <stp>KR103503GG37</stp>
        <stp>금액Duration</stp>
        <stp>46253</stp>
        <stp>4.128</stp>
        <stp>세전수익률</stp>
        <tr r="R23" s="1"/>
      </tp>
      <tp>
        <v>8812.1507000000001</v>
        <stp/>
        <stp>C</stp>
        <stp>0</stp>
        <stp>KR103502GF62</stp>
        <stp>Cleanprice</stp>
        <stp>46253</stp>
        <stp>4.255</stp>
        <stp>세전수익률</stp>
        <tr r="N22" s="1"/>
      </tp>
      <tp>
        <v>9762.4619999999995</v>
        <stp/>
        <stp>C</stp>
        <stp>0</stp>
        <stp>KR103501GF63</stp>
        <stp>Cleanprice</stp>
        <stp>46253</stp>
        <stp>3.615</stp>
        <stp>세전수익률</stp>
        <tr r="P22" s="1"/>
      </tp>
      <tp>
        <v>9870.2487999999994</v>
        <stp/>
        <stp>C</stp>
        <stp>0</stp>
        <stp>KR103503GG60</stp>
        <stp>Cleanprice</stp>
        <stp>46253</stp>
        <stp>4.413</stp>
        <stp>세전수익률</stp>
        <tr r="V22" s="1"/>
      </tp>
      <tp>
        <v>9530.7000000000007</v>
        <stp/>
        <stp>C</stp>
        <stp>0</stp>
        <stp>KR103502GE63</stp>
        <stp>세후단가</stp>
        <stp>46253</stp>
        <stp>4.3</stp>
        <stp>세전수익률</stp>
        <tr r="T19" s="1"/>
      </tp>
      <tp>
        <v>9689.5262000000002</v>
        <stp/>
        <stp>C</stp>
        <stp>0</stp>
        <stp>KR103503GG37</stp>
        <stp>Cleanprice</stp>
        <stp>46253</stp>
        <stp>4.128</stp>
        <stp>세전수익률</stp>
        <tr r="R22" s="1"/>
      </tp>
      <tp>
        <v>11.9587</v>
        <stp/>
        <stp>C</stp>
        <stp>0</stp>
        <stp>KR103503GG60</stp>
        <stp>bpv</stp>
        <stp>46253</stp>
        <stp>0</stp>
        <stp>세전수익률</stp>
        <tr r="F29" s="1"/>
      </tp>
      <tp>
        <v>9468.9609999999993</v>
        <stp/>
        <stp>C</stp>
        <stp>0</stp>
        <stp>KR103503GF95</stp>
        <stp>Cleanprice</stp>
        <stp>46253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100854</xdr:colOff>
      <xdr:row>0</xdr:row>
      <xdr:rowOff>56031</xdr:rowOff>
    </xdr:from>
    <xdr:to>
      <xdr:col>0</xdr:col>
      <xdr:colOff>806825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00854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941295</xdr:colOff>
      <xdr:row>0</xdr:row>
      <xdr:rowOff>56029</xdr:rowOff>
    </xdr:from>
    <xdr:to>
      <xdr:col>1</xdr:col>
      <xdr:colOff>859942</xdr:colOff>
      <xdr:row>1</xdr:row>
      <xdr:rowOff>211941</xdr:rowOff>
    </xdr:to>
    <xdr:sp macro="[0]!StartKBondWatcher" textlink="">
      <xdr:nvSpPr>
        <xdr:cNvPr id="5" name="빗면 4"/>
        <xdr:cNvSpPr/>
      </xdr:nvSpPr>
      <xdr:spPr>
        <a:xfrm>
          <a:off x="941295" y="56029"/>
          <a:ext cx="972000" cy="3240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1</xdr:col>
      <xdr:colOff>981634</xdr:colOff>
      <xdr:row>0</xdr:row>
      <xdr:rowOff>62752</xdr:rowOff>
    </xdr:from>
    <xdr:to>
      <xdr:col>2</xdr:col>
      <xdr:colOff>900281</xdr:colOff>
      <xdr:row>1</xdr:row>
      <xdr:rowOff>218664</xdr:rowOff>
    </xdr:to>
    <xdr:sp macro="[0]!StopKBondWatcher" textlink="">
      <xdr:nvSpPr>
        <xdr:cNvPr id="6" name="빗면 5"/>
        <xdr:cNvSpPr/>
      </xdr:nvSpPr>
      <xdr:spPr>
        <a:xfrm>
          <a:off x="2034987" y="62752"/>
          <a:ext cx="972000" cy="3240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D1" sqref="D1"/>
    </sheetView>
  </sheetViews>
  <sheetFormatPr defaultRowHeight="13.5" x14ac:dyDescent="0.25"/>
  <cols>
    <col min="1" max="10" width="15.71093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D1" s="373" t="s">
        <v>337</v>
      </c>
      <c r="E1" s="374" t="s">
        <v>336</v>
      </c>
      <c r="F1" s="366" t="s">
        <v>334</v>
      </c>
      <c r="G1" s="369" t="s">
        <v>335</v>
      </c>
      <c r="H1" s="369" t="s">
        <v>331</v>
      </c>
      <c r="I1" s="369" t="s">
        <v>332</v>
      </c>
      <c r="J1" s="367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thickBot="1" x14ac:dyDescent="0.3">
      <c r="A2" s="38"/>
      <c r="B2" s="39"/>
      <c r="C2" s="40"/>
      <c r="D2" s="375" t="str">
        <f>A56</f>
        <v>국고25-08</v>
      </c>
      <c r="E2" s="376">
        <v>0</v>
      </c>
      <c r="F2" s="368" t="s">
        <v>338</v>
      </c>
      <c r="G2" s="370"/>
      <c r="H2" s="370"/>
      <c r="I2" s="371"/>
      <c r="J2" s="372" t="s">
        <v>339</v>
      </c>
      <c r="M2" s="38"/>
      <c r="N2" s="28">
        <f ca="1">TODAY()</f>
        <v>46252</v>
      </c>
      <c r="O2" s="28">
        <v>45953</v>
      </c>
      <c r="P2">
        <f ca="1">O2-N2</f>
        <v>-299</v>
      </c>
      <c r="Q2" s="30">
        <v>640000</v>
      </c>
      <c r="R2" s="41">
        <f>Q2-O5</f>
        <v>-207030.1369863014</v>
      </c>
      <c r="S2" s="30">
        <f ca="1">R2*P2</f>
        <v>61902010.958904117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3.8460000000000001</v>
      </c>
      <c r="C5" s="60">
        <f>_xll.IMDP("FUT","A6569000","국채수익률")</f>
        <v>3.9129999999999998</v>
      </c>
      <c r="D5" s="61"/>
      <c r="E5" s="62">
        <f>_xll.IMDP("FUT","A6569000","선물호가_현재가")</f>
        <v>103.05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1.3746904109589064E-4</v>
      </c>
      <c r="Q5" s="30">
        <f ca="1">P5*50000000000</f>
        <v>6873452.0547945322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4.2960000000000003</v>
      </c>
      <c r="C6" s="77">
        <f>_xll.IMDP("FUT","A6769000","국채수익률")</f>
        <v>4.4020000000000001</v>
      </c>
      <c r="D6" s="61"/>
      <c r="E6" s="62">
        <f>_xll.IMDP("FUT","A6769000","선물호가_현재가")</f>
        <v>104.8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45.000000000000014</v>
      </c>
      <c r="C7" s="58">
        <f>(C6-C5)*100</f>
        <v>48.900000000000034</v>
      </c>
      <c r="D7" s="86">
        <f>C7-B7</f>
        <v>3.9000000000000199</v>
      </c>
      <c r="E7" s="87"/>
      <c r="F7" s="58">
        <f>(F6-F5)*100</f>
        <v>0</v>
      </c>
      <c r="G7" s="85">
        <f>C7-F7</f>
        <v>48.900000000000034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4.3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4.2960000000000003</v>
      </c>
      <c r="C10" s="87">
        <f>C6</f>
        <v>4.4020000000000001</v>
      </c>
      <c r="D10" s="86"/>
      <c r="E10" s="87">
        <f>E6</f>
        <v>104.8</v>
      </c>
      <c r="F10" s="76">
        <f>F6</f>
        <v>0</v>
      </c>
      <c r="G10" s="105"/>
      <c r="H10" s="106">
        <f>C10</f>
        <v>4.4020000000000001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4.3</v>
      </c>
      <c r="P10" s="109">
        <f>(P9-O10)*100</f>
        <v>-430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4.673</v>
      </c>
      <c r="C11" s="87">
        <f>_xll.IMDP("BND","KR103501GG39","장내국채-현재수익률")</f>
        <v>4.7679999999999998</v>
      </c>
      <c r="D11" s="113"/>
      <c r="E11" s="87">
        <f>_xll.IMDP("BND","KR103501GG39","장내국채-현재가격")</f>
        <v>8154</v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37.699999999999974</v>
      </c>
      <c r="C12" s="85">
        <f>(C11-C10)*100</f>
        <v>36.599999999999966</v>
      </c>
      <c r="D12" s="86">
        <f>C12-B12</f>
        <v>-1.1000000000000085</v>
      </c>
      <c r="E12" s="87"/>
      <c r="F12" s="58">
        <f>(F11-F10)*100</f>
        <v>0</v>
      </c>
      <c r="G12" s="85">
        <f>C12-F12</f>
        <v>36.599999999999966</v>
      </c>
      <c r="H12" s="58">
        <f>(H11-H10)*100</f>
        <v>-152</v>
      </c>
      <c r="I12" s="85">
        <f>H12-B12</f>
        <v>-189.7</v>
      </c>
      <c r="J12" s="117">
        <f>I12*21*9</f>
        <v>-35853.299999999996</v>
      </c>
      <c r="K12" s="44"/>
      <c r="L12" s="45"/>
      <c r="Q12" s="115"/>
      <c r="R12" s="118">
        <f ca="1">TODAY()</f>
        <v>46252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-91.199999999999989</v>
      </c>
      <c r="D13" s="119">
        <f>-(B12-C13)</f>
        <v>-128.89999999999998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>
        <f>Q14-0.031</f>
        <v>4.3820000000000006</v>
      </c>
      <c r="P14" s="126">
        <f>Q14-0.009</f>
        <v>4.4039999999999999</v>
      </c>
      <c r="Q14" s="127">
        <f>_xll.IMDP("BND","KR103503GG60","장내국채-현재수익률")</f>
        <v>4.4130000000000003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9259.5</v>
      </c>
      <c r="O18" s="141">
        <v>9320.9</v>
      </c>
      <c r="P18" s="142"/>
      <c r="Q18" s="143">
        <v>-150</v>
      </c>
      <c r="R18" s="144">
        <f>(O18-N18)*Q18*10000</f>
        <v>-92099999.999999449</v>
      </c>
      <c r="S18" s="377">
        <f>R21/10000/Q19</f>
        <v>0.11487546699934173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8859.5</v>
      </c>
      <c r="C19" s="147">
        <f ca="1">ROUNDDOWN(채권단가계산표!N18,0)-0.5</f>
        <v>8861.5</v>
      </c>
      <c r="D19" s="148">
        <v>4.2549999999999999</v>
      </c>
      <c r="E19" s="149">
        <v>-100</v>
      </c>
      <c r="F19" s="150">
        <f ca="1">(C19-B19)*E19*10000</f>
        <v>-2000000</v>
      </c>
      <c r="G19" s="380">
        <f ca="1">F22/10000/E20</f>
        <v>-86.340133645172529</v>
      </c>
      <c r="H19" s="151">
        <f>_xll.IMDP("FUT","A6769000","저평가")*100</f>
        <v>2.9000000000000004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105.67</v>
      </c>
      <c r="O19" s="155">
        <v>106.34</v>
      </c>
      <c r="P19" s="156"/>
      <c r="Q19" s="157">
        <f>-Q18*0.88</f>
        <v>132</v>
      </c>
      <c r="R19" s="144">
        <f>(O19-N19)*Q19*1000000</f>
        <v>88440000.000000224</v>
      </c>
      <c r="S19" s="378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105.67</v>
      </c>
      <c r="C20" s="158">
        <f>_xll.IMDP("FUT","A6769000","선물호가_현재가")</f>
        <v>104.8</v>
      </c>
      <c r="D20" s="159">
        <f>C6</f>
        <v>4.4020000000000001</v>
      </c>
      <c r="E20" s="160">
        <v>82</v>
      </c>
      <c r="F20" s="150">
        <f>(C20-B20)*E20*1000000</f>
        <v>-71340000.000000373</v>
      </c>
      <c r="G20" s="380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78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14.700000000000024</v>
      </c>
      <c r="E21" s="163">
        <f>E19</f>
        <v>-100</v>
      </c>
      <c r="F21" s="162">
        <f>-C21*E21*$D$17</f>
        <v>2541090.4109589048</v>
      </c>
      <c r="G21" s="380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151635.61643913109</v>
      </c>
      <c r="S21" s="379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 ca="1">SUM(F19:F21)</f>
        <v>-70798909.589041471</v>
      </c>
      <c r="G22" s="380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8859.5</v>
      </c>
      <c r="O24" s="141">
        <v>8900.8799999999992</v>
      </c>
      <c r="P24" s="142"/>
      <c r="Q24" s="172">
        <v>-100</v>
      </c>
      <c r="R24" s="144">
        <f>(O24-N24)*Q24*10000</f>
        <v>-41379999.999999203</v>
      </c>
      <c r="S24" s="377">
        <f>R27/10000/Q25</f>
        <v>19.635476110926639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9259.5</v>
      </c>
      <c r="C25" s="147">
        <f ca="1">ROUNDDOWN(채권단가계산표!L18,0)-0.5</f>
        <v>9261.5</v>
      </c>
      <c r="D25" s="148">
        <v>4.3</v>
      </c>
      <c r="E25" s="172">
        <v>-100</v>
      </c>
      <c r="F25" s="144">
        <f ca="1">(C25-B25)*E25*10000</f>
        <v>-2000000</v>
      </c>
      <c r="G25" s="377">
        <f ca="1">F28/10000/E26</f>
        <v>-86.385124533001715</v>
      </c>
      <c r="I25">
        <v>30</v>
      </c>
      <c r="J25" s="41">
        <f t="shared" si="1"/>
        <v>26.4</v>
      </c>
      <c r="M25" s="58" t="s">
        <v>142</v>
      </c>
      <c r="N25" s="154">
        <f>B26</f>
        <v>105.67</v>
      </c>
      <c r="O25" s="174">
        <f>O19</f>
        <v>106.34</v>
      </c>
      <c r="P25" s="156"/>
      <c r="Q25" s="175">
        <f>-Q24*0.82</f>
        <v>82</v>
      </c>
      <c r="R25" s="144">
        <f>(O25-N25)*Q25*1000000</f>
        <v>54940000.000000142</v>
      </c>
      <c r="S25" s="378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105.67</v>
      </c>
      <c r="C26" s="158">
        <f>C20</f>
        <v>104.8</v>
      </c>
      <c r="D26" s="156">
        <f>D20</f>
        <v>4.4020000000000001</v>
      </c>
      <c r="E26" s="157">
        <v>88</v>
      </c>
      <c r="F26" s="144">
        <f>(C26-B26)*E26*1000000</f>
        <v>-76560000.000000402</v>
      </c>
      <c r="G26" s="378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78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10.200000000000031</v>
      </c>
      <c r="E27" s="163">
        <f>E25</f>
        <v>-100</v>
      </c>
      <c r="F27" s="67">
        <f>-C27*E27*$D$17</f>
        <v>2541090.4109589048</v>
      </c>
      <c r="G27" s="378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16101090.410959844</v>
      </c>
      <c r="S27" s="379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 ca="1">SUM(F25:F27)</f>
        <v>-76018909.589041501</v>
      </c>
      <c r="G28" s="379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4.4999999999999929E-2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3.6986301369863014E-2</v>
      </c>
      <c r="Q30" s="36">
        <f ca="1">N30*$O$88/365*$P$66</f>
        <v>0.21495123287671233</v>
      </c>
      <c r="R30" s="36">
        <f ca="1">N30*$M$5%/365*$P$66</f>
        <v>0.2286981369863014</v>
      </c>
      <c r="S30" s="36">
        <f ca="1">P32+Q32-R32</f>
        <v>3.2423999999999953E-2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2.293150684931507E-2</v>
      </c>
      <c r="Q31" s="36">
        <f ca="1">N31*$O$88/365*$P$66</f>
        <v>0.21495123287671233</v>
      </c>
      <c r="R31" s="36">
        <f ca="1">N31*$M$5%/365*$P$66</f>
        <v>0.2286981369863014</v>
      </c>
      <c r="S31" s="190">
        <f ca="1">S30/0.0168</f>
        <v>1.9299999999999973</v>
      </c>
    </row>
    <row r="32" spans="1:30" x14ac:dyDescent="0.25">
      <c r="A32" s="76" t="s">
        <v>170</v>
      </c>
      <c r="B32" s="146">
        <v>10029</v>
      </c>
      <c r="C32" s="147">
        <f>_xll.IMDP("BND","KR103503GG60","장내국채-현재가격")</f>
        <v>9951</v>
      </c>
      <c r="D32" s="127">
        <f>_xll.IMDP("BND","KR103503GG60","장내국채-현재수익률")</f>
        <v>4.4130000000000003</v>
      </c>
      <c r="E32" s="191">
        <v>-100</v>
      </c>
      <c r="F32" s="192">
        <f>(C32-B32)*E32*10000</f>
        <v>78000000</v>
      </c>
      <c r="G32" s="381">
        <f>F35/10000/E33</f>
        <v>3.4956072033241599</v>
      </c>
      <c r="I32" s="63">
        <v>2.5525000000000002</v>
      </c>
      <c r="M32" s="193"/>
      <c r="N32" s="30"/>
      <c r="P32" s="194">
        <f ca="1">SUM(P30:P31)</f>
        <v>5.9917808219178081E-2</v>
      </c>
      <c r="Q32" s="194">
        <f ca="1">SUM(Q30:Q31)</f>
        <v>0.42990246575342467</v>
      </c>
      <c r="R32" s="194">
        <f ca="1">SUM(R30:R31)</f>
        <v>0.4573962739726028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105.67</v>
      </c>
      <c r="C33" s="158">
        <f>_xll.IMDP("FUT","A6769000","선물호가_현재가")</f>
        <v>104.8</v>
      </c>
      <c r="D33" s="196">
        <f>D26</f>
        <v>4.4020000000000001</v>
      </c>
      <c r="E33" s="197">
        <v>89</v>
      </c>
      <c r="F33" s="192">
        <f>(C33-B33)*E33*1000000</f>
        <v>-77430000.000000402</v>
      </c>
      <c r="G33" s="382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-3.5665362035225052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>
        <f>(D33-D32)*100</f>
        <v>-1.1000000000000121</v>
      </c>
      <c r="E34" s="200">
        <f>E32</f>
        <v>-100</v>
      </c>
      <c r="F34" s="201">
        <f>-C34*E34*$D$17</f>
        <v>2541090.4109589048</v>
      </c>
      <c r="G34" s="382"/>
      <c r="I34" s="203">
        <f>I32-P14</f>
        <v>-1.8514999999999997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>
        <f>SUM(F32:F34)</f>
        <v>3111090.4109585024</v>
      </c>
      <c r="G35" s="383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>
        <f>(D32-D25)*100</f>
        <v>11.300000000000043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9259.5</v>
      </c>
      <c r="O37" s="219">
        <f>O18</f>
        <v>9320.9</v>
      </c>
      <c r="P37" s="220"/>
      <c r="Q37" s="221">
        <v>-100</v>
      </c>
      <c r="R37" s="212">
        <f>(O37-N37)*Q37*10000</f>
        <v>-61399999.999999635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103.24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>
        <f>J41-0.129</f>
        <v>3.7370000000000001</v>
      </c>
      <c r="H39" s="138">
        <f>J41-0.837</f>
        <v>3.0289999999999999</v>
      </c>
      <c r="I39" s="138">
        <f>J41-0.512</f>
        <v>3.3540000000000001</v>
      </c>
      <c r="J39" s="228">
        <f>J43+0.185</f>
        <v>4.3129999999999997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9010708000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9842.5</v>
      </c>
      <c r="C41" s="233">
        <f ca="1">ROUNDDOWN(채권단가계산표!H18,0)-0.5</f>
        <v>9844.5</v>
      </c>
      <c r="D41" s="234">
        <v>3.69</v>
      </c>
      <c r="E41" s="235">
        <v>-100</v>
      </c>
      <c r="F41" s="236">
        <f ca="1">(C41-B41)*E41*10000</f>
        <v>-2000000</v>
      </c>
      <c r="G41" s="151">
        <f>_xll.IMDP("FUT","A6569000","저평가")*100</f>
        <v>-3.9</v>
      </c>
      <c r="H41" s="237">
        <f>J43-0.296</f>
        <v>3.8320000000000003</v>
      </c>
      <c r="I41" s="142">
        <f>J41-0.078</f>
        <v>3.7880000000000003</v>
      </c>
      <c r="J41" s="66">
        <f>_xll.IMDP("BND","KR103501GG62","장내국채-현재수익률")</f>
        <v>3.8660000000000001</v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103.24</v>
      </c>
      <c r="C42" s="158">
        <f>_xll.IMDP("FUT","A6569000","선물호가_현재가")</f>
        <v>103.05</v>
      </c>
      <c r="D42" s="62">
        <f>_xll.IMDP("FUT","A6569000","국채수익률")</f>
        <v>3.9129999999999998</v>
      </c>
      <c r="E42" s="240">
        <f ca="1">N50</f>
        <v>74.758325912733739</v>
      </c>
      <c r="F42" s="236">
        <f ca="1">(C42-B42)*E42*1000000</f>
        <v>-14204081.923419241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>
        <f>J43-0.038</f>
        <v>4.09</v>
      </c>
      <c r="I43" s="247">
        <f>J41-0.158</f>
        <v>3.7080000000000002</v>
      </c>
      <c r="J43" s="66">
        <f>_xll.IMDP("BND","KR103503GG37","장내국채-현재수익률")</f>
        <v>4.1280000000000001</v>
      </c>
      <c r="M43" s="248" t="str">
        <f>M71</f>
        <v>국고25-10</v>
      </c>
      <c r="N43" s="136">
        <f ca="1">O71</f>
        <v>73.30741350906095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-13662991.512460336</v>
      </c>
      <c r="G44" s="70"/>
      <c r="I44">
        <v>100</v>
      </c>
      <c r="J44" s="254">
        <v>146</v>
      </c>
      <c r="M44" s="248" t="s">
        <v>216</v>
      </c>
      <c r="N44" s="255">
        <f ca="1">O73</f>
        <v>58.952883031301482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7.4999999999999734E-2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114.74596375617793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9802.5</v>
      </c>
      <c r="C46" s="233">
        <f ca="1">ROUNDDOWN(채권단가계산표!P18,0)-0.5</f>
        <v>9804.5</v>
      </c>
      <c r="D46" s="234">
        <v>3.6150000000000002</v>
      </c>
      <c r="E46" s="87">
        <v>-100</v>
      </c>
      <c r="F46" s="213">
        <f ca="1">(C46-B46)*E46*10000</f>
        <v>-2000000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133.52421746293246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103.24</v>
      </c>
      <c r="C47" s="158">
        <f>C42</f>
        <v>103.05</v>
      </c>
      <c r="D47" s="79">
        <f>D42</f>
        <v>3.9129999999999998</v>
      </c>
      <c r="E47" s="260">
        <f ca="1">N53</f>
        <v>59.143009795191453</v>
      </c>
      <c r="F47" s="213">
        <f ca="1">(C47-B47)*E47*1000000</f>
        <v>-11237171.861086242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247.00626029654038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-10696081.450127337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>
        <f>D41-D51</f>
        <v>-0.43800000000000017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74.758325912733739</v>
      </c>
      <c r="O50" s="138">
        <v>6</v>
      </c>
      <c r="P50" s="249">
        <f ca="1">N50*O50</f>
        <v>448.54995547640243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48" t="s">
        <v>234</v>
      </c>
      <c r="B51" s="59">
        <v>9869</v>
      </c>
      <c r="C51" s="233">
        <f>_xll.IMDP("BND","KR103503GG37","장내국채-현재가격")</f>
        <v>9838</v>
      </c>
      <c r="D51" s="127">
        <f>_xll.IMDP("BND","KR103503GG37","장내국채-현재수익률")</f>
        <v>4.1280000000000001</v>
      </c>
      <c r="E51" s="248">
        <v>-100</v>
      </c>
      <c r="F51" s="269">
        <f>(C51-B51)*E51*10000</f>
        <v>31000000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139.65948352626893</v>
      </c>
      <c r="O51" s="63">
        <v>3.5</v>
      </c>
      <c r="P51" s="249">
        <f ca="1">N51*O51</f>
        <v>488.80819234194126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103.24</v>
      </c>
      <c r="C52" s="272">
        <f>C47</f>
        <v>103.05</v>
      </c>
      <c r="D52" s="33">
        <f>D47</f>
        <v>3.9129999999999998</v>
      </c>
      <c r="E52" s="273">
        <f ca="1">N51</f>
        <v>139.65948352626893</v>
      </c>
      <c r="F52" s="269">
        <f ca="1">(C52-B52)*E52*1000000</f>
        <v>-26535301.869990777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123.65378450578808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59.143009795191453</v>
      </c>
      <c r="O53" s="63">
        <v>4</v>
      </c>
      <c r="P53" s="249">
        <f ca="1">N53*O53</f>
        <v>236.57203918076581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>
        <f ca="1">SUM(F51:F53)</f>
        <v>7005788.5409681275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1173.9301869991095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>
        <f>H53-J41</f>
        <v>-0.85899999999999999</v>
      </c>
      <c r="O55" s="259"/>
      <c r="Q55" s="270" t="s">
        <v>241</v>
      </c>
    </row>
    <row r="56" spans="1:25" x14ac:dyDescent="0.25">
      <c r="A56" s="248" t="s">
        <v>242</v>
      </c>
      <c r="B56" s="59">
        <v>9575.5</v>
      </c>
      <c r="C56" s="282">
        <f ca="1">ROUNDDOWN(채권단가계산표!X18,0)-0.5</f>
        <v>9578.5</v>
      </c>
      <c r="D56" s="234">
        <v>3.927</v>
      </c>
      <c r="E56" s="248">
        <v>-100</v>
      </c>
      <c r="F56" s="269">
        <f ca="1">(C56-B56)*E56*10000</f>
        <v>-3000000</v>
      </c>
      <c r="H56" s="45"/>
      <c r="I56">
        <v>100</v>
      </c>
      <c r="J56" s="254">
        <v>137</v>
      </c>
      <c r="N56" s="283"/>
      <c r="P56" s="41">
        <f ca="1">P54*2.4</f>
        <v>2817.4324487978629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103.24</v>
      </c>
      <c r="C57" s="272">
        <f>C47</f>
        <v>103.05</v>
      </c>
      <c r="D57" s="284">
        <f>D52</f>
        <v>3.9129999999999998</v>
      </c>
      <c r="E57" s="273">
        <f ca="1">N52</f>
        <v>123.65378450578808</v>
      </c>
      <c r="F57" s="269">
        <f ca="1">(C57-B57)*E57*1000000</f>
        <v>-23494219.056099452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-23953128.645140547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74.758325912733739</v>
      </c>
      <c r="P59" s="87">
        <v>2</v>
      </c>
      <c r="Q59" s="287">
        <f ca="1">O59*P59</f>
        <v>149.51665182546748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139.65948352626893</v>
      </c>
      <c r="P60" s="87">
        <v>1</v>
      </c>
      <c r="Q60" s="287">
        <f ca="1">O60*P60</f>
        <v>139.65948352626893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123.65378450578808</v>
      </c>
      <c r="P61" s="87">
        <v>1</v>
      </c>
      <c r="Q61" s="287">
        <f ca="1">O61*P61</f>
        <v>123.65378450578808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4.4383561643835612E-2</v>
      </c>
      <c r="E62" s="36">
        <f ca="1">B62*$O$88/365*$P$66</f>
        <v>0.42990246575342467</v>
      </c>
      <c r="F62" s="36">
        <f ca="1">B62*M5%/365*$P$66</f>
        <v>0.4573962739726028</v>
      </c>
      <c r="G62" s="292">
        <f ca="1">D65+E65-F65</f>
        <v>7.55120547945205E-2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59.143009795191453</v>
      </c>
      <c r="P62" s="87">
        <v>2</v>
      </c>
      <c r="Q62" s="287">
        <f ca="1">O62*P62</f>
        <v>118.28601959038291</v>
      </c>
      <c r="R62" s="41">
        <f ca="1">Q59+Q61+Q62</f>
        <v>391.45645592163851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6.6575342465753418E-2</v>
      </c>
      <c r="E63" s="36">
        <f ca="1">B63*$O$88/365*$P$66</f>
        <v>0.42990246575342467</v>
      </c>
      <c r="F63" s="36">
        <f ca="1">B63*M5%/365*$P$66</f>
        <v>0.4573962739726028</v>
      </c>
      <c r="G63" s="190">
        <f ca="1">G62/0.0426</f>
        <v>1.772583445880763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3.3287671232876709E-2</v>
      </c>
      <c r="E64" s="36">
        <f ca="1">B64*$O$88/365*$P$66</f>
        <v>0.21495123287671233</v>
      </c>
      <c r="F64" s="36">
        <f ca="1">B64*M5%/365*$P$66</f>
        <v>0.2286981369863014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0.14424657534246574</v>
      </c>
      <c r="E65" s="36">
        <f ca="1">SUM(E62:E64)</f>
        <v>1.0747561643835617</v>
      </c>
      <c r="F65" s="36">
        <f ca="1">SUM(F62:F64)</f>
        <v>1.143490684931507</v>
      </c>
      <c r="H65">
        <f ca="1">G62/P66</f>
        <v>2.796742770167426E-3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46252</v>
      </c>
      <c r="O65" s="299">
        <f ca="1">EDATE(N65,36)</f>
        <v>47348</v>
      </c>
      <c r="P65" s="87">
        <f ca="1">O65-N65</f>
        <v>1096</v>
      </c>
      <c r="Q65" s="87">
        <f ca="1">P65+P66</f>
        <v>1123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5.3424657534246571E-3</v>
      </c>
      <c r="E66">
        <f ca="1">E65/P66</f>
        <v>3.9805783866057841E-2</v>
      </c>
      <c r="F66" s="81">
        <f ca="1">F65/P66</f>
        <v>4.2351506849315074E-2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46253</v>
      </c>
      <c r="O66" s="301">
        <v>46280</v>
      </c>
      <c r="P66" s="87">
        <f ca="1">O66-N66</f>
        <v>27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9802.5</v>
      </c>
      <c r="C70" s="305">
        <v>10261</v>
      </c>
      <c r="D70" s="306"/>
      <c r="E70" s="87">
        <v>100</v>
      </c>
      <c r="F70" s="213">
        <f>(C70-B70)*E70*10000</f>
        <v>458500000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114.74596375617793</v>
      </c>
      <c r="P70" s="87">
        <v>1</v>
      </c>
      <c r="Q70" s="287">
        <f ca="1">O70*P70</f>
        <v>114.74596375617793</v>
      </c>
    </row>
    <row r="71" spans="1:25" x14ac:dyDescent="0.25">
      <c r="A71" s="248" t="s">
        <v>205</v>
      </c>
      <c r="B71" s="232">
        <f>B47</f>
        <v>103.24</v>
      </c>
      <c r="C71" s="308">
        <v>106.99</v>
      </c>
      <c r="D71" s="87"/>
      <c r="E71" s="309">
        <v>-138.92635658914728</v>
      </c>
      <c r="F71" s="310">
        <f>(C71-B71)*E71*1000000</f>
        <v>-520973837.20930225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73.30741350906095</v>
      </c>
      <c r="P71" s="87">
        <v>2</v>
      </c>
      <c r="Q71" s="287">
        <f ca="1">O71*P71</f>
        <v>146.6148270181219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133.52421746293246</v>
      </c>
      <c r="P72" s="87">
        <v>1</v>
      </c>
      <c r="Q72" s="287">
        <f ca="1">O72*P72</f>
        <v>133.52421746293246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-65014927.620261148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58.952883031301482</v>
      </c>
      <c r="P73" s="87">
        <v>2</v>
      </c>
      <c r="Q73" s="287">
        <f ca="1">O73*P73</f>
        <v>117.90576606260296</v>
      </c>
      <c r="R73" s="41">
        <f ca="1">Q72+Q71+Q73</f>
        <v>398.04481054365738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103.24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-145403740.45801616</v>
      </c>
      <c r="G76" s="38"/>
      <c r="I76" s="41"/>
      <c r="M76" s="87" t="s">
        <v>285</v>
      </c>
      <c r="N76" s="299">
        <f ca="1">TODAY()</f>
        <v>46252</v>
      </c>
      <c r="O76" s="299">
        <f ca="1">EDATE(N76,36)</f>
        <v>47348</v>
      </c>
      <c r="P76" s="87">
        <f ca="1">O76-N76</f>
        <v>1096</v>
      </c>
      <c r="Q76" s="87">
        <f ca="1">P76+P77</f>
        <v>1214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46253</v>
      </c>
      <c r="O77" s="301">
        <v>46371</v>
      </c>
      <c r="P77" s="87">
        <f ca="1">O77-N77</f>
        <v>118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-990212650.04705751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9575.5</v>
      </c>
      <c r="C80" s="318">
        <v>10201.5</v>
      </c>
      <c r="D80" s="319"/>
      <c r="E80" s="87">
        <v>100</v>
      </c>
      <c r="F80" s="212">
        <f>(C80-B80)*E80*10000</f>
        <v>626000000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103.24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-209100000.00000092</v>
      </c>
      <c r="I81" s="41"/>
      <c r="M81" s="52" t="s">
        <v>290</v>
      </c>
      <c r="N81" s="321">
        <f ca="1">TODAY()+1</f>
        <v>46253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413939427.39725929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7.3972602739726029E-2</v>
      </c>
      <c r="O88" s="345">
        <f ca="1">((N88-N85)/(N86-N85))*(O86-O85)+O85</f>
        <v>2.9058222222222221E-2</v>
      </c>
      <c r="P88" s="323" t="s">
        <v>304</v>
      </c>
      <c r="Q88" s="332"/>
      <c r="R88" s="323"/>
      <c r="S88" s="36">
        <f ca="1">O88/365*100000000</f>
        <v>7961.1567732115682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 ca="1">C46</f>
        <v>9804.5</v>
      </c>
      <c r="S92" s="67">
        <f ca="1">R92*E41*2*10000</f>
        <v>-19609000000</v>
      </c>
      <c r="T92" s="68">
        <f ca="1">S92*$M$5/100/365*$N$88*365</f>
        <v>-44845417.681643829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 ca="1">C41</f>
        <v>9844.5</v>
      </c>
      <c r="S93" s="67">
        <f ca="1">R93*E46*10000</f>
        <v>-9844500000</v>
      </c>
      <c r="T93" s="68">
        <f ca="1">S93*$M$5/100/365*$N$88*365</f>
        <v>-22514188.095616437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>
        <f>C51</f>
        <v>9838</v>
      </c>
      <c r="S94" s="67">
        <f>R94*E51*2*10000</f>
        <v>-19676000000</v>
      </c>
      <c r="T94" s="68">
        <f ca="1">S94*$M$5/100/365*$N$88*365</f>
        <v>-44998645.433424659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-0.69041095890410964</v>
      </c>
      <c r="O98" s="361">
        <f ca="1">(N98-N86)/(N87-N86)*(O87-O86)+O86</f>
        <v>2.5319197080291969E-2</v>
      </c>
      <c r="P98" s="362">
        <f>IF($N$82&gt;M98,10000*P92/(12/Q92),0)</f>
        <v>112.5</v>
      </c>
      <c r="Q98" s="362">
        <f ca="1">P98/(1+O98*N98)</f>
        <v>114.50156185722579</v>
      </c>
      <c r="R98" s="362">
        <f ca="1">(R92-Q98)*(1+$O$88*$N$88)</f>
        <v>9710.827209251298</v>
      </c>
      <c r="S98" s="67">
        <f ca="1">R98*E56*2*10000</f>
        <v>-19421654418.502598</v>
      </c>
      <c r="T98" s="363">
        <f ca="1">S98-S92</f>
        <v>187345581.49740219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-0.44383561643835617</v>
      </c>
      <c r="O99" s="361">
        <f ca="1">(N99-N85)/(N86-N85)*(O86-O85)+O85</f>
        <v>2.8344222222222222E-2</v>
      </c>
      <c r="P99" s="362">
        <f>IF($N$82&gt;M99,10000*P93/(12/Q93),0)</f>
        <v>131.25</v>
      </c>
      <c r="Q99" s="362">
        <f ca="1">P99/(1+O99*N99)</f>
        <v>132.92218438648555</v>
      </c>
      <c r="R99" s="362">
        <f ca="1">(R93-Q99)*(1+$O$88*$N$88)</f>
        <v>9732.452971859957</v>
      </c>
      <c r="S99" s="67">
        <f ca="1">R99*E46*10000</f>
        <v>-9732452971.8599567</v>
      </c>
      <c r="T99" s="363">
        <f ca="1">S99-S93</f>
        <v>112047028.14004326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-0.69041095890410964</v>
      </c>
      <c r="O100" s="361">
        <f ca="1">(N100-N86)/(N87-N86)*(O87-O86)+O86</f>
        <v>2.5319197080291969E-2</v>
      </c>
      <c r="P100" s="362">
        <f>IF($N$82&gt;M100,10000*P94/(12/Q94),0)</f>
        <v>143.75</v>
      </c>
      <c r="Q100" s="362">
        <f ca="1">P100/(1+O100*N100)</f>
        <v>146.30755126201075</v>
      </c>
      <c r="R100" s="362">
        <f ca="1">(R94-Q100)*(1+$O$88*$N$88)</f>
        <v>9712.5248611431707</v>
      </c>
      <c r="S100" s="67">
        <f ca="1">R100*E51*2*10000</f>
        <v>-19425049722.286343</v>
      </c>
      <c r="T100" s="363">
        <f ca="1">S100-S94</f>
        <v>250950277.71365738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1873767.4941145107</v>
      </c>
      <c r="O104" s="363">
        <f ca="1">T99+U99+V99-T93</f>
        <v>1210052.1020980515</v>
      </c>
      <c r="P104" s="363">
        <f ca="1">T100+U100+V100-T94</f>
        <v>1654682.6607806683</v>
      </c>
      <c r="Q104" s="363">
        <f ca="1">SUM(N104:P104)</f>
        <v>4738502.2569932304</v>
      </c>
    </row>
    <row r="105" spans="3:22" x14ac:dyDescent="0.25">
      <c r="E105" s="41"/>
      <c r="M105" s="76" t="s">
        <v>329</v>
      </c>
      <c r="N105" s="67">
        <f ca="1">-E57*$G$41*2*10000</f>
        <v>9644995.1914514694</v>
      </c>
      <c r="O105" s="67">
        <f ca="1">-E47*$G$41*10000</f>
        <v>2306577.3820124669</v>
      </c>
      <c r="P105" s="67">
        <f ca="1">-E52*2*$G$41*10000</f>
        <v>10893439.715048976</v>
      </c>
      <c r="Q105" s="173">
        <f ca="1">SUM(N105:P105)</f>
        <v>22845012.288512912</v>
      </c>
    </row>
    <row r="106" spans="3:22" ht="17.25" x14ac:dyDescent="0.25">
      <c r="M106" s="76" t="s">
        <v>330</v>
      </c>
      <c r="N106" s="363">
        <f ca="1">SUM(N104:N105)</f>
        <v>11518762.68556598</v>
      </c>
      <c r="O106" s="363">
        <f ca="1">SUM(O104:O105)</f>
        <v>3516629.4841105184</v>
      </c>
      <c r="P106" s="363">
        <f ca="1">SUM(P104:P105)</f>
        <v>12548122.375829645</v>
      </c>
      <c r="Q106" s="365">
        <f ca="1">SUM(Q104:Q105)</f>
        <v>27583514.545506142</v>
      </c>
    </row>
    <row r="107" spans="3:22" x14ac:dyDescent="0.25">
      <c r="R107" s="30">
        <f ca="1">Q106*5</f>
        <v>137917572.72753072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8" priority="2" operator="equal">
      <formula>"SENT"</formula>
    </cfRule>
    <cfRule type="cellIs" dxfId="7" priority="3" operator="equal">
      <formula>"WATCHING"</formula>
    </cfRule>
    <cfRule type="cellIs" dxfId="6" priority="4" operator="equal">
      <formula>"ERROR"</formula>
    </cfRule>
    <cfRule type="cellIs" dxfId="5" priority="1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84" t="s">
        <v>1</v>
      </c>
      <c r="E4" s="10" t="s">
        <v>2</v>
      </c>
      <c r="F4" s="386" t="s">
        <v>3</v>
      </c>
      <c r="G4" s="387"/>
      <c r="H4" s="386" t="s">
        <v>4</v>
      </c>
      <c r="I4" s="387"/>
      <c r="J4" s="386" t="s">
        <v>5</v>
      </c>
      <c r="K4" s="387"/>
      <c r="L4" s="386" t="s">
        <v>6</v>
      </c>
      <c r="M4" s="387"/>
      <c r="N4" s="386" t="s">
        <v>7</v>
      </c>
      <c r="O4" s="387"/>
      <c r="P4" s="386" t="s">
        <v>8</v>
      </c>
      <c r="Q4" s="387"/>
      <c r="R4" s="386" t="s">
        <v>9</v>
      </c>
      <c r="S4" s="387"/>
      <c r="T4" s="386" t="s">
        <v>10</v>
      </c>
      <c r="U4" s="387"/>
      <c r="V4" s="386" t="s">
        <v>3</v>
      </c>
      <c r="W4" s="387"/>
      <c r="X4" s="386" t="s">
        <v>11</v>
      </c>
      <c r="Y4" s="387"/>
    </row>
    <row r="5" spans="2:26" x14ac:dyDescent="0.25">
      <c r="B5" s="9" t="s">
        <v>12</v>
      </c>
      <c r="C5" s="11" t="s">
        <v>13</v>
      </c>
      <c r="D5" s="385"/>
      <c r="E5" s="12" t="s">
        <v>14</v>
      </c>
      <c r="F5" s="388" t="str">
        <f>_xll.IMDP("BND",F$4,"한글종목명")</f>
        <v>국고04250-3606(26-6)</v>
      </c>
      <c r="G5" s="389"/>
      <c r="H5" s="390" t="str">
        <f>_xll.IMDP("BND",H$4,"한글종목명")</f>
        <v>국고02750-2812(25-10)</v>
      </c>
      <c r="I5" s="391"/>
      <c r="J5" s="392" t="str">
        <f>_xll.IMDP("BND",J$4,"한글종목명")</f>
        <v>국고02875-2712(24-12)</v>
      </c>
      <c r="K5" s="393"/>
      <c r="L5" s="394" t="str">
        <f>_xll.IMDP("BND",L$4,"한글종목명")</f>
        <v>국고03250-3512(25-11)</v>
      </c>
      <c r="M5" s="395"/>
      <c r="N5" s="390" t="str">
        <f>_xll.IMDP("BND",N$4,"한글종목명")</f>
        <v>국고02625-3506(25-5)</v>
      </c>
      <c r="O5" s="391"/>
      <c r="P5" s="398" t="str">
        <f>_xll.IMDP("BND",P$4,"한글종목명")</f>
        <v>국고02250-2806(25-4)</v>
      </c>
      <c r="Q5" s="399"/>
      <c r="R5" s="394" t="str">
        <f>_xll.IMDP("BND",R$4,"한글종목명")</f>
        <v>국고03375-3103(26-3)</v>
      </c>
      <c r="S5" s="395"/>
      <c r="T5" s="392" t="str">
        <f>_xll.IMDP("BND",T$4,"한글종목명")</f>
        <v>국고03500-3406(24-5)</v>
      </c>
      <c r="U5" s="393"/>
      <c r="V5" s="392" t="str">
        <f>_xll.IMDP("BND",V$4,"한글종목명")</f>
        <v>국고04250-3606(26-6)</v>
      </c>
      <c r="W5" s="393"/>
      <c r="X5" s="390" t="str">
        <f>_xll.IMDP("BND",X$4,"한글종목명")</f>
        <v>국고02500-3009(25-8)</v>
      </c>
      <c r="Y5" s="391"/>
    </row>
    <row r="6" spans="2:26" x14ac:dyDescent="0.25">
      <c r="B6" s="11" t="s">
        <v>15</v>
      </c>
      <c r="C6" s="11" t="s">
        <v>16</v>
      </c>
      <c r="D6" s="384" t="s">
        <v>17</v>
      </c>
      <c r="E6" s="13" t="s">
        <v>18</v>
      </c>
      <c r="F6" s="404">
        <f>_xll.IMDP("BND",F$4,"발행일")</f>
        <v>20260610</v>
      </c>
      <c r="G6" s="405"/>
      <c r="H6" s="396">
        <f>_xll.IMDP("BND",H$4,"발행일")</f>
        <v>20251210</v>
      </c>
      <c r="I6" s="397"/>
      <c r="J6" s="396">
        <f>_xll.IMDP("BND",J$4,"발행일")</f>
        <v>20241210</v>
      </c>
      <c r="K6" s="397"/>
      <c r="L6" s="396">
        <f>_xll.IMDP("BND",L$4,"발행일")</f>
        <v>20251210</v>
      </c>
      <c r="M6" s="397"/>
      <c r="N6" s="396">
        <f>_xll.IMDP("BND",N$4,"발행일")</f>
        <v>20250610</v>
      </c>
      <c r="O6" s="397"/>
      <c r="P6" s="396">
        <f>_xll.IMDP("BND",P$4,"발행일")</f>
        <v>20250610</v>
      </c>
      <c r="Q6" s="397"/>
      <c r="R6" s="396">
        <f>_xll.IMDP("BND",R$4,"발행일")</f>
        <v>20260310</v>
      </c>
      <c r="S6" s="397"/>
      <c r="T6" s="396">
        <f>_xll.IMDP("BND",T$4,"발행일")</f>
        <v>20240610</v>
      </c>
      <c r="U6" s="397"/>
      <c r="V6" s="396">
        <f>_xll.IMDP("BND",V$4,"발행일")</f>
        <v>20260610</v>
      </c>
      <c r="W6" s="397"/>
      <c r="X6" s="396">
        <f>_xll.IMDP("BND",X$4,"발행일")</f>
        <v>20250910</v>
      </c>
      <c r="Y6" s="397"/>
    </row>
    <row r="7" spans="2:26" x14ac:dyDescent="0.25">
      <c r="B7" s="11" t="s">
        <v>19</v>
      </c>
      <c r="C7" s="11" t="s">
        <v>20</v>
      </c>
      <c r="D7" s="385"/>
      <c r="E7" s="13" t="s">
        <v>21</v>
      </c>
      <c r="F7" s="404">
        <f>_xll.IMDP("BND",F$4,"만기일")</f>
        <v>20360610</v>
      </c>
      <c r="G7" s="405"/>
      <c r="H7" s="396">
        <f>_xll.IMDP("BND",H$4,"만기일")</f>
        <v>20281210</v>
      </c>
      <c r="I7" s="397"/>
      <c r="J7" s="396">
        <f>_xll.IMDP("BND",J$4,"만기일")</f>
        <v>20271210</v>
      </c>
      <c r="K7" s="397"/>
      <c r="L7" s="396">
        <f>_xll.IMDP("BND",L$4,"만기일")</f>
        <v>20351210</v>
      </c>
      <c r="M7" s="397"/>
      <c r="N7" s="396">
        <f>_xll.IMDP("BND",N$4,"만기일")</f>
        <v>20350610</v>
      </c>
      <c r="O7" s="397"/>
      <c r="P7" s="396">
        <f>_xll.IMDP("BND",P$4,"만기일")</f>
        <v>20280610</v>
      </c>
      <c r="Q7" s="397"/>
      <c r="R7" s="396">
        <f>_xll.IMDP("BND",R$4,"만기일")</f>
        <v>20310310</v>
      </c>
      <c r="S7" s="397"/>
      <c r="T7" s="396">
        <f>_xll.IMDP("BND",T$4,"만기일")</f>
        <v>20340610</v>
      </c>
      <c r="U7" s="397"/>
      <c r="V7" s="396">
        <f>_xll.IMDP("BND",V$4,"만기일")</f>
        <v>20360610</v>
      </c>
      <c r="W7" s="397"/>
      <c r="X7" s="396">
        <f>_xll.IMDP("BND",X$4,"만기일")</f>
        <v>20300910</v>
      </c>
      <c r="Y7" s="397"/>
    </row>
    <row r="8" spans="2:26" x14ac:dyDescent="0.25">
      <c r="B8" s="11" t="s">
        <v>22</v>
      </c>
      <c r="C8" s="11" t="s">
        <v>23</v>
      </c>
      <c r="D8" s="385"/>
      <c r="E8" s="13" t="s">
        <v>24</v>
      </c>
      <c r="F8" s="400" t="str">
        <f>ROUNDDOWN((DATE(LEFT(F7,4),MID(F7,5,2),RIGHT(F7,2))-DATE(LEFT(F6,4),MID(F6,5,2),RIGHT(F6,2)))/365,0)&amp;"Y"</f>
        <v>10Y</v>
      </c>
      <c r="G8" s="401"/>
      <c r="H8" s="402" t="str">
        <f t="shared" ref="H8:T8" si="0">ROUNDDOWN((DATE(LEFT(H7,4),MID(H7,5,2),RIGHT(H7,2))-DATE(LEFT(H6,4),MID(H6,5,2),RIGHT(H6,2)))/365,0)&amp;"Y"</f>
        <v>3Y</v>
      </c>
      <c r="I8" s="403"/>
      <c r="J8" s="402" t="str">
        <f t="shared" si="0"/>
        <v>3Y</v>
      </c>
      <c r="K8" s="403"/>
      <c r="L8" s="402" t="str">
        <f t="shared" si="0"/>
        <v>10Y</v>
      </c>
      <c r="M8" s="403"/>
      <c r="N8" s="402" t="str">
        <f t="shared" si="0"/>
        <v>10Y</v>
      </c>
      <c r="O8" s="403"/>
      <c r="P8" s="402" t="str">
        <f t="shared" si="0"/>
        <v>3Y</v>
      </c>
      <c r="Q8" s="403"/>
      <c r="R8" s="402" t="str">
        <f t="shared" si="0"/>
        <v>5Y</v>
      </c>
      <c r="S8" s="403"/>
      <c r="T8" s="402" t="str">
        <f t="shared" si="0"/>
        <v>10Y</v>
      </c>
      <c r="U8" s="403"/>
      <c r="V8" s="402" t="str">
        <f>ROUNDDOWN((DATE(LEFT(V7,4),MID(V7,5,2),RIGHT(V7,2))-DATE(LEFT(V6,4),MID(V6,5,2),RIGHT(V6,2)))/365,0)&amp;"Y"</f>
        <v>10Y</v>
      </c>
      <c r="W8" s="403"/>
      <c r="X8" s="402" t="str">
        <f>ROUNDDOWN((DATE(LEFT(X7,4),MID(X7,5,2),RIGHT(X7,2))-DATE(LEFT(X6,4),MID(X6,5,2),RIGHT(X6,2)))/365,0)&amp;"Y"</f>
        <v>5Y</v>
      </c>
      <c r="Y8" s="403"/>
    </row>
    <row r="9" spans="2:26" x14ac:dyDescent="0.25">
      <c r="B9" s="11" t="s">
        <v>25</v>
      </c>
      <c r="C9" s="11" t="s">
        <v>26</v>
      </c>
      <c r="D9" s="385"/>
      <c r="E9" s="13" t="s">
        <v>27</v>
      </c>
      <c r="F9" s="400">
        <f ca="1">DATE(LEFT(F7,4),MID(F7,5,2),RIGHT(F7,2))-TODAY()</f>
        <v>3584</v>
      </c>
      <c r="G9" s="401"/>
      <c r="H9" s="402">
        <f ca="1">DATE(LEFT(H7,4),MID(H7,5,2),RIGHT(H7,2))-TODAY()</f>
        <v>845</v>
      </c>
      <c r="I9" s="403"/>
      <c r="J9" s="402">
        <f t="shared" ref="J9:T9" ca="1" si="1">DATE(LEFT(J7,4),MID(J7,5,2),RIGHT(J7,2))-TODAY()</f>
        <v>479</v>
      </c>
      <c r="K9" s="403"/>
      <c r="L9" s="402">
        <f t="shared" ca="1" si="1"/>
        <v>3401</v>
      </c>
      <c r="M9" s="403"/>
      <c r="N9" s="402">
        <f t="shared" ca="1" si="1"/>
        <v>3218</v>
      </c>
      <c r="O9" s="403"/>
      <c r="P9" s="402">
        <f t="shared" ca="1" si="1"/>
        <v>662</v>
      </c>
      <c r="Q9" s="403"/>
      <c r="R9" s="402">
        <f t="shared" ca="1" si="1"/>
        <v>1665</v>
      </c>
      <c r="S9" s="403"/>
      <c r="T9" s="402">
        <f t="shared" ca="1" si="1"/>
        <v>2853</v>
      </c>
      <c r="U9" s="403"/>
      <c r="V9" s="402">
        <f ca="1">DATE(LEFT(V7,4),MID(V7,5,2),RIGHT(V7,2))-TODAY()</f>
        <v>3584</v>
      </c>
      <c r="W9" s="403"/>
      <c r="X9" s="402">
        <f ca="1">DATE(LEFT(X7,4),MID(X7,5,2),RIGHT(X7,2))-TODAY()</f>
        <v>1484</v>
      </c>
      <c r="Y9" s="403"/>
    </row>
    <row r="10" spans="2:26" x14ac:dyDescent="0.25">
      <c r="B10" s="11" t="s">
        <v>28</v>
      </c>
      <c r="C10" s="11" t="s">
        <v>29</v>
      </c>
      <c r="D10" s="385"/>
      <c r="E10" s="13" t="s">
        <v>30</v>
      </c>
      <c r="F10" s="404" t="str">
        <f>_xll.IMDP("BND",F$4,"이자종류")</f>
        <v>이표채</v>
      </c>
      <c r="G10" s="405"/>
      <c r="H10" s="396" t="str">
        <f>_xll.IMDP("BND",H$4,"이자종류")</f>
        <v>이표채</v>
      </c>
      <c r="I10" s="397"/>
      <c r="J10" s="396" t="str">
        <f>_xll.IMDP("BND",J$4,"이자종류")</f>
        <v>이표채</v>
      </c>
      <c r="K10" s="397"/>
      <c r="L10" s="396" t="str">
        <f>_xll.IMDP("BND",L$4,"이자종류")</f>
        <v>이표채</v>
      </c>
      <c r="M10" s="397"/>
      <c r="N10" s="396" t="str">
        <f>_xll.IMDP("BND",N$4,"이자종류")</f>
        <v>이표채</v>
      </c>
      <c r="O10" s="397"/>
      <c r="P10" s="396" t="str">
        <f>_xll.IMDP("BND",P$4,"이자종류")</f>
        <v>이표채</v>
      </c>
      <c r="Q10" s="397"/>
      <c r="R10" s="396" t="str">
        <f>_xll.IMDP("BND",R$4,"이자종류")</f>
        <v>이표채</v>
      </c>
      <c r="S10" s="397"/>
      <c r="T10" s="396" t="str">
        <f>_xll.IMDP("BND",T$4,"이자종류")</f>
        <v>이표채</v>
      </c>
      <c r="U10" s="397"/>
      <c r="V10" s="396" t="str">
        <f>_xll.IMDP("BND",V$4,"이자종류")</f>
        <v>이표채</v>
      </c>
      <c r="W10" s="397"/>
      <c r="X10" s="396" t="str">
        <f>_xll.IMDP("BND",X$4,"이자종류")</f>
        <v>이표채</v>
      </c>
      <c r="Y10" s="397"/>
    </row>
    <row r="11" spans="2:26" x14ac:dyDescent="0.25">
      <c r="D11" s="385"/>
      <c r="E11" s="13" t="s">
        <v>31</v>
      </c>
      <c r="F11" s="404">
        <f>_xll.IMDP("BND",F$4,"표면이율")</f>
        <v>4.25</v>
      </c>
      <c r="G11" s="405"/>
      <c r="H11" s="404">
        <f>_xll.IMDP("BND",H$4,"표면이율")</f>
        <v>2.75</v>
      </c>
      <c r="I11" s="405"/>
      <c r="J11" s="404">
        <f>_xll.IMDP("BND",J$4,"표면이율")</f>
        <v>2.875</v>
      </c>
      <c r="K11" s="405"/>
      <c r="L11" s="404">
        <f>_xll.IMDP("BND",L$4,"표면이율")</f>
        <v>3.25</v>
      </c>
      <c r="M11" s="405"/>
      <c r="N11" s="404">
        <f>_xll.IMDP("BND",N$4,"표면이율")</f>
        <v>2.625</v>
      </c>
      <c r="O11" s="405"/>
      <c r="P11" s="404">
        <f>_xll.IMDP("BND",P$4,"표면이율")</f>
        <v>2.25</v>
      </c>
      <c r="Q11" s="405"/>
      <c r="R11" s="404">
        <f>_xll.IMDP("BND",R$4,"표면이율")</f>
        <v>3.375</v>
      </c>
      <c r="S11" s="405"/>
      <c r="T11" s="404">
        <f>_xll.IMDP("BND",T$4,"표면이율")</f>
        <v>3.5</v>
      </c>
      <c r="U11" s="405"/>
      <c r="V11" s="404">
        <f>_xll.IMDP("BND",V$4,"표면이율")</f>
        <v>4.25</v>
      </c>
      <c r="W11" s="405"/>
      <c r="X11" s="404">
        <f>_xll.IMDP("BND",X$4,"표면이율")</f>
        <v>2.5</v>
      </c>
      <c r="Y11" s="405"/>
    </row>
    <row r="12" spans="2:26" x14ac:dyDescent="0.25">
      <c r="D12" s="385"/>
      <c r="E12" s="13" t="s">
        <v>32</v>
      </c>
      <c r="F12" s="406">
        <f>F35</f>
        <v>46366</v>
      </c>
      <c r="G12" s="407"/>
      <c r="H12" s="406">
        <f>H35</f>
        <v>46366</v>
      </c>
      <c r="I12" s="407"/>
      <c r="J12" s="408">
        <f>J35</f>
        <v>46366</v>
      </c>
      <c r="K12" s="397"/>
      <c r="L12" s="408">
        <f>L35</f>
        <v>46366</v>
      </c>
      <c r="M12" s="397"/>
      <c r="N12" s="408">
        <f>N35</f>
        <v>46366</v>
      </c>
      <c r="O12" s="397"/>
      <c r="P12" s="408">
        <f>P35</f>
        <v>46366</v>
      </c>
      <c r="Q12" s="397"/>
      <c r="R12" s="408">
        <f>R35</f>
        <v>46275</v>
      </c>
      <c r="S12" s="397"/>
      <c r="T12" s="408">
        <f>T35</f>
        <v>46366</v>
      </c>
      <c r="U12" s="397"/>
      <c r="V12" s="408">
        <f>V35</f>
        <v>46366</v>
      </c>
      <c r="W12" s="397"/>
      <c r="X12" s="408">
        <f>X35</f>
        <v>46275</v>
      </c>
      <c r="Y12" s="397"/>
    </row>
    <row r="13" spans="2:26" x14ac:dyDescent="0.25">
      <c r="D13" s="385"/>
      <c r="E13" s="13" t="s">
        <v>33</v>
      </c>
      <c r="F13" s="404" t="str">
        <f>_xll.IMDP("BND",F$4,"이자지급기간")</f>
        <v>06M</v>
      </c>
      <c r="G13" s="405"/>
      <c r="H13" s="396" t="str">
        <f>_xll.IMDP("BND",H$4,"이자지급기간")</f>
        <v>06M</v>
      </c>
      <c r="I13" s="397"/>
      <c r="J13" s="396" t="str">
        <f>_xll.IMDP("BND",J$4,"이자지급기간")</f>
        <v>06M</v>
      </c>
      <c r="K13" s="397"/>
      <c r="L13" s="396" t="str">
        <f>_xll.IMDP("BND",L$4,"이자지급기간")</f>
        <v>06M</v>
      </c>
      <c r="M13" s="397"/>
      <c r="N13" s="396" t="str">
        <f>_xll.IMDP("BND",N$4,"이자지급기간")</f>
        <v>06M</v>
      </c>
      <c r="O13" s="397"/>
      <c r="P13" s="396" t="str">
        <f>_xll.IMDP("BND",P$4,"이자지급기간")</f>
        <v>06M</v>
      </c>
      <c r="Q13" s="397"/>
      <c r="R13" s="396" t="str">
        <f>_xll.IMDP("BND",R$4,"이자지급기간")</f>
        <v>06M</v>
      </c>
      <c r="S13" s="397"/>
      <c r="T13" s="396" t="str">
        <f>_xll.IMDP("BND",T$4,"이자지급기간")</f>
        <v>06M</v>
      </c>
      <c r="U13" s="397"/>
      <c r="V13" s="396" t="str">
        <f>_xll.IMDP("BND",V$4,"이자지급기간")</f>
        <v>06M</v>
      </c>
      <c r="W13" s="397"/>
      <c r="X13" s="396" t="str">
        <f>_xll.IMDP("BND",X$4,"이자지급기간")</f>
        <v>06M</v>
      </c>
      <c r="Y13" s="397"/>
    </row>
    <row r="14" spans="2:26" ht="17.25" customHeight="1" thickBot="1" x14ac:dyDescent="0.3">
      <c r="D14" s="385"/>
      <c r="E14" s="13" t="s">
        <v>34</v>
      </c>
      <c r="F14" s="409">
        <f>_xll.IMDP("BND",F$4,INDEX($B$5:$C$10,$B$4,2))</f>
        <v>4.3099999999999996</v>
      </c>
      <c r="G14" s="410"/>
      <c r="H14" s="411">
        <f>_xll.IMDP("BND",H$4,INDEX($B$5:$C$10,$B$4,2))</f>
        <v>3.718</v>
      </c>
      <c r="I14" s="412"/>
      <c r="J14" s="411">
        <f>_xll.IMDP("BND",J$4,INDEX($B$5:$C$10,$B$4,2))</f>
        <v>3.5030000000000001</v>
      </c>
      <c r="K14" s="412"/>
      <c r="L14" s="411">
        <f>_xll.IMDP("BND",L$4,INDEX($B$5:$C$10,$B$4,2))</f>
        <v>4.3</v>
      </c>
      <c r="M14" s="412"/>
      <c r="N14" s="411">
        <f>_xll.IMDP("BND",N$4,INDEX($B$5:$C$10,$B$4,2))</f>
        <v>4.274</v>
      </c>
      <c r="O14" s="412"/>
      <c r="P14" s="411">
        <f>_xll.IMDP("BND",P$4,INDEX($B$5:$C$10,$B$4,2))</f>
        <v>3.64</v>
      </c>
      <c r="Q14" s="412"/>
      <c r="R14" s="411">
        <f>_xll.IMDP("BND",R$4,INDEX($B$5:$C$10,$B$4,2))</f>
        <v>4.0430000000000001</v>
      </c>
      <c r="S14" s="412"/>
      <c r="T14" s="411">
        <f>_xll.IMDP("BND",T$4,INDEX($B$5:$C$10,$B$4,2))</f>
        <v>4.25</v>
      </c>
      <c r="U14" s="412"/>
      <c r="V14" s="411">
        <f>_xll.IMDP("BND",V$4,INDEX($B$5:$C$10,$B$4,2))</f>
        <v>4.3099999999999996</v>
      </c>
      <c r="W14" s="412"/>
      <c r="X14" s="411">
        <f>_xll.IMDP("BND",X$4,INDEX($B$5:$C$10,$B$4,2))</f>
        <v>3.9950000000000001</v>
      </c>
      <c r="Y14" s="412"/>
      <c r="Z14" s="14" t="s">
        <v>35</v>
      </c>
    </row>
    <row r="15" spans="2:26" ht="14.25" thickBot="1" x14ac:dyDescent="0.3">
      <c r="D15" s="384" t="s">
        <v>36</v>
      </c>
      <c r="E15" s="13" t="s">
        <v>37</v>
      </c>
      <c r="F15" s="414">
        <f ca="1">$Z$15</f>
        <v>46253</v>
      </c>
      <c r="G15" s="415"/>
      <c r="H15" s="414">
        <f ca="1">$Z$15</f>
        <v>46253</v>
      </c>
      <c r="I15" s="415"/>
      <c r="J15" s="414">
        <f ca="1">$Z$15</f>
        <v>46253</v>
      </c>
      <c r="K15" s="415"/>
      <c r="L15" s="414">
        <f ca="1">$Z$15</f>
        <v>46253</v>
      </c>
      <c r="M15" s="415"/>
      <c r="N15" s="414">
        <f ca="1">$Z$15</f>
        <v>46253</v>
      </c>
      <c r="O15" s="415"/>
      <c r="P15" s="414">
        <f ca="1">$Z$15</f>
        <v>46253</v>
      </c>
      <c r="Q15" s="415"/>
      <c r="R15" s="414">
        <f ca="1">$Z$15</f>
        <v>46253</v>
      </c>
      <c r="S15" s="415"/>
      <c r="T15" s="414">
        <f ca="1">$Z$15</f>
        <v>46253</v>
      </c>
      <c r="U15" s="415"/>
      <c r="V15" s="414">
        <f ca="1">$Z$15</f>
        <v>46253</v>
      </c>
      <c r="W15" s="416"/>
      <c r="X15" s="414">
        <f ca="1">$Z$15</f>
        <v>46253</v>
      </c>
      <c r="Y15" s="416"/>
      <c r="Z15" s="15">
        <f ca="1">WORKDAY(TODAY(),1)</f>
        <v>46253</v>
      </c>
    </row>
    <row r="16" spans="2:26" ht="18" customHeight="1" x14ac:dyDescent="0.25">
      <c r="C16" s="1" t="str">
        <f>INDEX($C$18:$C$26,$C$17,1)</f>
        <v>세전수익률</v>
      </c>
      <c r="D16" s="413"/>
      <c r="E16" s="13"/>
      <c r="F16" s="417">
        <f>트레이딩!P36</f>
        <v>0</v>
      </c>
      <c r="G16" s="418"/>
      <c r="H16" s="417">
        <f>트레이딩!D41</f>
        <v>3.69</v>
      </c>
      <c r="I16" s="418"/>
      <c r="J16" s="417">
        <f>트레이딩!D51</f>
        <v>4.1280000000000001</v>
      </c>
      <c r="K16" s="418"/>
      <c r="L16" s="417">
        <f>트레이딩!D25</f>
        <v>4.3</v>
      </c>
      <c r="M16" s="418"/>
      <c r="N16" s="417">
        <f>트레이딩!D19</f>
        <v>4.2549999999999999</v>
      </c>
      <c r="O16" s="418"/>
      <c r="P16" s="417">
        <f>트레이딩!D46</f>
        <v>3.6150000000000002</v>
      </c>
      <c r="Q16" s="418"/>
      <c r="R16" s="417">
        <f>트레이딩!D51</f>
        <v>4.1280000000000001</v>
      </c>
      <c r="S16" s="418"/>
      <c r="T16" s="417">
        <f>트레이딩!D25</f>
        <v>4.3</v>
      </c>
      <c r="U16" s="418"/>
      <c r="V16" s="417">
        <f>트레이딩!D32</f>
        <v>4.4130000000000003</v>
      </c>
      <c r="W16" s="418"/>
      <c r="X16" s="417">
        <f>트레이딩!D56</f>
        <v>3.927</v>
      </c>
      <c r="Y16" s="418"/>
    </row>
    <row r="17" spans="3:28" x14ac:dyDescent="0.25">
      <c r="C17" s="16">
        <v>1</v>
      </c>
      <c r="D17" s="435" t="s">
        <v>38</v>
      </c>
      <c r="E17" s="13" t="s">
        <v>39</v>
      </c>
      <c r="F17" s="419">
        <f ca="1">_xll.IMBC(F$4,$E17,F$15,F$16,$C$16)</f>
        <v>0</v>
      </c>
      <c r="G17" s="420"/>
      <c r="H17" s="419">
        <f ca="1">_xll.IMBC(H$4,$E17,H$15,H$16,$C$16)</f>
        <v>3.69</v>
      </c>
      <c r="I17" s="420"/>
      <c r="J17" s="419">
        <f ca="1">_xll.IMBC(J$4,$E17,J$15,J$16,$C$16)</f>
        <v>4.1280000000000001</v>
      </c>
      <c r="K17" s="420"/>
      <c r="L17" s="419">
        <f ca="1">_xll.IMBC(L$4,$E17,L$15,L$16,$C$16)</f>
        <v>4.3</v>
      </c>
      <c r="M17" s="420"/>
      <c r="N17" s="419">
        <f ca="1">_xll.IMBC(N$4,$E17,N$15,N$16,$C$16)</f>
        <v>4.2549999999999999</v>
      </c>
      <c r="O17" s="420"/>
      <c r="P17" s="419">
        <f ca="1">_xll.IMBC(P$4,$E17,P$15,P$16,$C$16)</f>
        <v>3.6150000000000002</v>
      </c>
      <c r="Q17" s="420"/>
      <c r="R17" s="419">
        <f ca="1">_xll.IMBC(R$4,$E17,R$15,R$16,$C$16)</f>
        <v>4.1280000000000001</v>
      </c>
      <c r="S17" s="420"/>
      <c r="T17" s="419">
        <f ca="1">_xll.IMBC(T$4,$E17,T$15,T$16,$C$16)</f>
        <v>4.3</v>
      </c>
      <c r="U17" s="420"/>
      <c r="V17" s="419">
        <f ca="1">_xll.IMBC(V$4,$E17,V$15,V$16,$C$16)</f>
        <v>4.4130000000000003</v>
      </c>
      <c r="W17" s="420"/>
      <c r="X17" s="419">
        <f ca="1">_xll.IMBC(X$4,$E17,X$15,X$16,$C$16)</f>
        <v>3.927</v>
      </c>
      <c r="Y17" s="420"/>
    </row>
    <row r="18" spans="3:28" x14ac:dyDescent="0.25">
      <c r="C18" s="1" t="s">
        <v>40</v>
      </c>
      <c r="D18" s="436"/>
      <c r="E18" s="13" t="s">
        <v>41</v>
      </c>
      <c r="F18" s="423">
        <f ca="1">_xll.IMBC(F$4,$E18,F$15,F$16,$C$16)</f>
        <v>14250</v>
      </c>
      <c r="G18" s="424"/>
      <c r="H18" s="423">
        <f ca="1">_xll.IMBC(H$4,$E18,H$15,H$16,$C$16)</f>
        <v>9845.69</v>
      </c>
      <c r="I18" s="424"/>
      <c r="J18" s="423">
        <f ca="1">_xll.IMBC(J$4,$E18,J$15,J$16,$C$16)</f>
        <v>9896.1</v>
      </c>
      <c r="K18" s="424"/>
      <c r="L18" s="425">
        <f ca="1">_xll.IMBC(L$4,$E18,L$15,L$16,$C$16)</f>
        <v>9262.7199999999993</v>
      </c>
      <c r="M18" s="426"/>
      <c r="N18" s="423">
        <f ca="1">_xll.IMBC(N$4,$E18,N$15,N$16,$C$16)</f>
        <v>8862.35</v>
      </c>
      <c r="O18" s="424"/>
      <c r="P18" s="423">
        <f ca="1">_xll.IMBC(P$4,$E18,P$15,P$16,$C$16)</f>
        <v>9805.49</v>
      </c>
      <c r="Q18" s="424"/>
      <c r="R18" s="421">
        <f ca="1">_xll.IMBC(R$4,$E18,R$15,R$16,$C$16)</f>
        <v>9838.09</v>
      </c>
      <c r="S18" s="422"/>
      <c r="T18" s="423">
        <f ca="1">_xll.IMBC(T$4,$E18,T$15,T$16,$C$16)</f>
        <v>9540.09</v>
      </c>
      <c r="U18" s="424"/>
      <c r="V18" s="423">
        <f ca="1">_xll.IMBC(V$4,$E18,V$15,V$16,$C$16)</f>
        <v>9951.5300000000007</v>
      </c>
      <c r="W18" s="424"/>
      <c r="X18" s="423">
        <f ca="1">_xll.IMBC(X$4,$E18,X$15,X$16,$C$16)</f>
        <v>9579.01</v>
      </c>
      <c r="Y18" s="424"/>
      <c r="AA18">
        <v>10510</v>
      </c>
      <c r="AB18">
        <v>10510</v>
      </c>
    </row>
    <row r="19" spans="3:28" x14ac:dyDescent="0.25">
      <c r="C19" s="1" t="s">
        <v>41</v>
      </c>
      <c r="D19" s="436"/>
      <c r="E19" s="13" t="s">
        <v>42</v>
      </c>
      <c r="F19" s="421">
        <f ca="1">_xll.IMBC(F$4,$E19,F$15,F$16,$C$16)</f>
        <v>14238.7</v>
      </c>
      <c r="G19" s="422"/>
      <c r="H19" s="421">
        <f ca="1">_xll.IMBC(H$4,$E19,H$15,H$16,$C$16)</f>
        <v>9838.2999999999993</v>
      </c>
      <c r="I19" s="422"/>
      <c r="J19" s="421">
        <f ca="1">_xll.IMBC(J$4,$E19,J$15,J$16,$C$16)</f>
        <v>9888.5</v>
      </c>
      <c r="K19" s="422"/>
      <c r="L19" s="421">
        <f ca="1">_xll.IMBC(L$4,$E19,L$15,L$16,$C$16)</f>
        <v>9254.1</v>
      </c>
      <c r="M19" s="422"/>
      <c r="N19" s="421">
        <f ca="1">_xll.IMBC(N$4,$E19,N$15,N$16,$C$16)</f>
        <v>8855.2999999999993</v>
      </c>
      <c r="O19" s="422"/>
      <c r="P19" s="421">
        <f ca="1">_xll.IMBC(P$4,$E19,P$15,P$16,$C$16)</f>
        <v>9799.4</v>
      </c>
      <c r="Q19" s="422"/>
      <c r="R19" s="421">
        <f ca="1">_xll.IMBC(R$4,$E19,R$15,R$16,$C$16)</f>
        <v>9817.2999999999993</v>
      </c>
      <c r="S19" s="422"/>
      <c r="T19" s="421">
        <f ca="1">_xll.IMBC(T$4,$E19,T$15,T$16,$C$16)</f>
        <v>9530.7000000000007</v>
      </c>
      <c r="U19" s="422"/>
      <c r="V19" s="421">
        <f ca="1">_xll.IMBC(V$4,$E19,V$15,V$16,$C$16)</f>
        <v>9940.2000000000007</v>
      </c>
      <c r="W19" s="422"/>
      <c r="X19" s="421">
        <f ca="1">_xll.IMBC(X$4,$E19,X$15,X$16,$C$16)</f>
        <v>9563.6</v>
      </c>
      <c r="Y19" s="422"/>
      <c r="AA19">
        <v>10510</v>
      </c>
      <c r="AB19">
        <v>10510</v>
      </c>
    </row>
    <row r="20" spans="3:28" x14ac:dyDescent="0.25">
      <c r="C20" s="1" t="s">
        <v>42</v>
      </c>
      <c r="D20" s="436"/>
      <c r="E20" s="13" t="s">
        <v>43</v>
      </c>
      <c r="F20" s="421">
        <f ca="1">_xll.IMBC(F$4,$E20,F$15,F$16,$C$16)</f>
        <v>81.284099999999995</v>
      </c>
      <c r="G20" s="422"/>
      <c r="H20" s="421">
        <f ca="1">_xll.IMBC(H$4,$E20,H$15,H$16,$C$16)</f>
        <v>52.595599999999997</v>
      </c>
      <c r="I20" s="422"/>
      <c r="J20" s="421">
        <f ca="1">_xll.IMBC(J$4,$E20,J$15,J$16,$C$16)</f>
        <v>54.9863</v>
      </c>
      <c r="K20" s="422"/>
      <c r="L20" s="421">
        <f ca="1">_xll.IMBC(L$4,$E20,L$15,L$16,$C$16)</f>
        <v>62.1584</v>
      </c>
      <c r="M20" s="422"/>
      <c r="N20" s="421">
        <f ca="1">_xll.IMBC(N$4,$E20,N$15,N$16,$C$16)</f>
        <v>50.204900000000002</v>
      </c>
      <c r="O20" s="422"/>
      <c r="P20" s="421">
        <f ca="1">_xll.IMBC(P$4,$E20,P$15,P$16,$C$16)</f>
        <v>43.032699999999998</v>
      </c>
      <c r="Q20" s="422"/>
      <c r="R20" s="421">
        <f ca="1">_xll.IMBC(R$4,$E20,R$15,R$16,$C$16)</f>
        <v>148.57329999999999</v>
      </c>
      <c r="S20" s="422"/>
      <c r="T20" s="421">
        <f ca="1">_xll.IMBC(T$4,$E20,T$15,T$16,$C$16)</f>
        <v>66.939800000000005</v>
      </c>
      <c r="U20" s="422"/>
      <c r="V20" s="421">
        <f ca="1">_xll.IMBC(V$4,$E20,V$15,V$16,$C$16)</f>
        <v>81.284099999999995</v>
      </c>
      <c r="W20" s="422"/>
      <c r="X20" s="421">
        <f ca="1">_xll.IMBC(X$4,$E20,X$15,X$16,$C$16)</f>
        <v>110.0543</v>
      </c>
      <c r="Y20" s="422"/>
      <c r="AA20">
        <v>505</v>
      </c>
      <c r="AB20">
        <v>10005</v>
      </c>
    </row>
    <row r="21" spans="3:28" x14ac:dyDescent="0.25">
      <c r="C21" s="1" t="s">
        <v>44</v>
      </c>
      <c r="D21" s="436"/>
      <c r="E21" s="13" t="s">
        <v>45</v>
      </c>
      <c r="F21" s="421">
        <f ca="1">_xll.IMBC(F$4,$E21,F$15,F$16,$C$16)</f>
        <v>11.3</v>
      </c>
      <c r="G21" s="422"/>
      <c r="H21" s="421">
        <f ca="1">_xll.IMBC(H$4,$E21,H$15,H$16,$C$16)</f>
        <v>7.3</v>
      </c>
      <c r="I21" s="422"/>
      <c r="J21" s="421">
        <f ca="1">_xll.IMBC(J$4,$E21,J$15,J$16,$C$16)</f>
        <v>7.6</v>
      </c>
      <c r="K21" s="422"/>
      <c r="L21" s="421">
        <f ca="1">_xll.IMBC(L$4,$E21,L$15,L$16,$C$16)</f>
        <v>8.6</v>
      </c>
      <c r="M21" s="422"/>
      <c r="N21" s="421">
        <f ca="1">_xll.IMBC(N$4,$E21,N$15,N$16,$C$16)</f>
        <v>7</v>
      </c>
      <c r="O21" s="422"/>
      <c r="P21" s="421">
        <f ca="1">_xll.IMBC(P$4,$E21,P$15,P$16,$C$16)</f>
        <v>6</v>
      </c>
      <c r="Q21" s="422"/>
      <c r="R21" s="421">
        <f ca="1">_xll.IMBC(R$4,$E21,R$15,R$16,$C$16)</f>
        <v>20.7</v>
      </c>
      <c r="S21" s="422"/>
      <c r="T21" s="421">
        <f ca="1">_xll.IMBC(T$4,$E21,T$15,T$16,$C$16)</f>
        <v>9.3000000000000007</v>
      </c>
      <c r="U21" s="422"/>
      <c r="V21" s="421">
        <f ca="1">_xll.IMBC(V$4,$E21,V$15,V$16,$C$16)</f>
        <v>11.3</v>
      </c>
      <c r="W21" s="422"/>
      <c r="X21" s="421">
        <f ca="1">_xll.IMBC(X$4,$E21,X$15,X$16,$C$16)</f>
        <v>15.4</v>
      </c>
      <c r="Y21" s="422"/>
    </row>
    <row r="22" spans="3:28" x14ac:dyDescent="0.25">
      <c r="C22" s="1" t="s">
        <v>46</v>
      </c>
      <c r="D22" s="436"/>
      <c r="E22" s="13" t="s">
        <v>47</v>
      </c>
      <c r="F22" s="427">
        <f ca="1">_xll.IMBC(F$4,$E22,F$15,F$16,$C$16)</f>
        <v>14168.7158</v>
      </c>
      <c r="G22" s="428"/>
      <c r="H22" s="427">
        <f ca="1">_xll.IMBC(H$4,$E22,H$15,H$16,$C$16)</f>
        <v>9793.0975999999991</v>
      </c>
      <c r="I22" s="428"/>
      <c r="J22" s="427">
        <f ca="1">_xll.IMBC(J$4,$E22,J$15,J$16,$C$16)</f>
        <v>9841.1137999999992</v>
      </c>
      <c r="K22" s="428"/>
      <c r="L22" s="427">
        <f ca="1">_xll.IMBC(L$4,$E22,L$15,L$16,$C$16)</f>
        <v>9200.5704999999998</v>
      </c>
      <c r="M22" s="428"/>
      <c r="N22" s="427">
        <f ca="1">_xll.IMBC(N$4,$E22,N$15,N$16,$C$16)</f>
        <v>8812.1507000000001</v>
      </c>
      <c r="O22" s="428"/>
      <c r="P22" s="427">
        <f ca="1">_xll.IMBC(P$4,$E22,P$15,P$16,$C$16)</f>
        <v>9762.4619999999995</v>
      </c>
      <c r="Q22" s="428"/>
      <c r="R22" s="427">
        <f ca="1">_xll.IMBC(R$4,$E22,R$15,R$16,$C$16)</f>
        <v>9689.5262000000002</v>
      </c>
      <c r="S22" s="428"/>
      <c r="T22" s="427">
        <f ca="1">_xll.IMBC(T$4,$E22,T$15,T$16,$C$16)</f>
        <v>9473.1566999999995</v>
      </c>
      <c r="U22" s="428"/>
      <c r="V22" s="427">
        <f ca="1">_xll.IMBC(V$4,$E22,V$15,V$16,$C$16)</f>
        <v>9870.2487999999994</v>
      </c>
      <c r="W22" s="428"/>
      <c r="X22" s="427">
        <f ca="1">_xll.IMBC(X$4,$E22,X$15,X$16,$C$16)</f>
        <v>9468.9609999999993</v>
      </c>
      <c r="Y22" s="428"/>
    </row>
    <row r="23" spans="3:28" x14ac:dyDescent="0.25">
      <c r="C23" s="1" t="s">
        <v>48</v>
      </c>
      <c r="D23" s="436"/>
      <c r="E23" s="13" t="s">
        <v>49</v>
      </c>
      <c r="F23" s="427">
        <f ca="1">_xll.IMBC(F$4,$E23,F$15,F$16,$C$16)</f>
        <v>119587.425</v>
      </c>
      <c r="G23" s="428"/>
      <c r="H23" s="427">
        <f ca="1">_xll.IMBC(H$4,$E23,H$15,H$16,$C$16)</f>
        <v>21663.471707000001</v>
      </c>
      <c r="I23" s="428"/>
      <c r="J23" s="427">
        <f ca="1">_xll.IMBC(J$4,$E23,J$15,J$16,$C$16)</f>
        <v>12481.950930000001</v>
      </c>
      <c r="K23" s="428"/>
      <c r="L23" s="427">
        <f ca="1">_xll.IMBC(L$4,$E23,L$15,L$16,$C$16)</f>
        <v>72460.406015999994</v>
      </c>
      <c r="M23" s="428"/>
      <c r="N23" s="427">
        <f ca="1">_xll.IMBC(N$4,$E23,N$15,N$16,$C$16)</f>
        <v>67734.941049999994</v>
      </c>
      <c r="O23" s="428"/>
      <c r="P23" s="427">
        <f ca="1">_xll.IMBC(P$4,$E23,P$15,P$16,$C$16)</f>
        <v>17096.852363999998</v>
      </c>
      <c r="Q23" s="428"/>
      <c r="R23" s="427">
        <f ca="1">_xll.IMBC(R$4,$E23,R$15,R$16,$C$16)</f>
        <v>40434.549899999998</v>
      </c>
      <c r="S23" s="428"/>
      <c r="T23" s="427">
        <f ca="1">_xll.IMBC(T$4,$E23,T$15,T$16,$C$16)</f>
        <v>63715.399082999997</v>
      </c>
      <c r="U23" s="428"/>
      <c r="V23" s="427">
        <f ca="1">_xll.IMBC(V$4,$E23,V$15,V$16,$C$16)</f>
        <v>78326.502324000001</v>
      </c>
      <c r="W23" s="428"/>
      <c r="X23" s="427">
        <f ca="1">_xll.IMBC(X$4,$E23,X$15,X$16,$C$16)</f>
        <v>36034.319818000004</v>
      </c>
      <c r="Y23" s="428"/>
    </row>
    <row r="24" spans="3:28" x14ac:dyDescent="0.25">
      <c r="C24" s="1" t="s">
        <v>50</v>
      </c>
      <c r="D24" s="436"/>
      <c r="E24" s="13" t="s">
        <v>51</v>
      </c>
      <c r="F24" s="427">
        <f ca="1">_xll.IMBC(F$4,$E24,F$15,F$16,$C$16)</f>
        <v>8.3920999999999992</v>
      </c>
      <c r="G24" s="428"/>
      <c r="H24" s="427">
        <f ca="1">_xll.IMBC(H$4,$E24,H$15,H$16,$C$16)</f>
        <v>2.2814999999999999</v>
      </c>
      <c r="I24" s="428"/>
      <c r="J24" s="427">
        <f ca="1">_xll.IMBC(J$4,$E24,J$15,J$16,$C$16)</f>
        <v>1.2874000000000001</v>
      </c>
      <c r="K24" s="428"/>
      <c r="L24" s="427">
        <f ca="1">_xll.IMBC(L$4,$E24,L$15,L$16,$C$16)</f>
        <v>8.1592000000000002</v>
      </c>
      <c r="M24" s="428"/>
      <c r="N24" s="427">
        <f ca="1">_xll.IMBC(N$4,$E24,N$15,N$16,$C$16)</f>
        <v>7.9682000000000004</v>
      </c>
      <c r="O24" s="428"/>
      <c r="P24" s="427">
        <f ca="1">_xll.IMBC(P$4,$E24,P$15,P$16,$C$16)</f>
        <v>1.7750999999999999</v>
      </c>
      <c r="Q24" s="428"/>
      <c r="R24" s="427">
        <f ca="1">_xll.IMBC(R$4,$E24,R$15,R$16,$C$16)</f>
        <v>4.2797000000000001</v>
      </c>
      <c r="S24" s="428"/>
      <c r="T24" s="427">
        <f ca="1">_xll.IMBC(T$4,$E24,T$15,T$16,$C$16)</f>
        <v>6.9659000000000004</v>
      </c>
      <c r="U24" s="428"/>
      <c r="V24" s="427">
        <f ca="1">_xll.IMBC(V$4,$E24,V$15,V$16,$C$16)</f>
        <v>8.2180999999999997</v>
      </c>
      <c r="W24" s="428"/>
      <c r="X24" s="427">
        <f ca="1">_xll.IMBC(X$4,$E24,X$15,X$16,$C$16)</f>
        <v>3.9095</v>
      </c>
      <c r="Y24" s="428"/>
    </row>
    <row r="25" spans="3:28" x14ac:dyDescent="0.25">
      <c r="C25" s="1" t="s">
        <v>52</v>
      </c>
      <c r="D25" s="436"/>
      <c r="E25" s="13" t="s">
        <v>53</v>
      </c>
      <c r="F25" s="427">
        <f ca="1">_xll.IMBC(F$4,$E25,F$15,F$16,$C$16)</f>
        <v>8.3920999999999992</v>
      </c>
      <c r="G25" s="428"/>
      <c r="H25" s="427">
        <f ca="1">_xll.IMBC(H$4,$E25,H$15,H$16,$C$16)</f>
        <v>2.2002999999999999</v>
      </c>
      <c r="I25" s="428"/>
      <c r="J25" s="427">
        <f ca="1">_xll.IMBC(J$4,$E25,J$15,J$16,$C$16)</f>
        <v>1.2613000000000001</v>
      </c>
      <c r="K25" s="428"/>
      <c r="L25" s="427">
        <f ca="1">_xll.IMBC(L$4,$E25,L$15,L$16,$C$16)</f>
        <v>7.8228</v>
      </c>
      <c r="M25" s="428"/>
      <c r="N25" s="427">
        <f ca="1">_xll.IMBC(N$4,$E25,N$15,N$16,$C$16)</f>
        <v>7.6429999999999998</v>
      </c>
      <c r="O25" s="428"/>
      <c r="P25" s="427">
        <f ca="1">_xll.IMBC(P$4,$E25,P$15,P$16,$C$16)</f>
        <v>1.7436</v>
      </c>
      <c r="Q25" s="428"/>
      <c r="R25" s="427">
        <f ca="1">_xll.IMBC(R$4,$E25,R$15,R$16,$C$16)</f>
        <v>4.1100000000000003</v>
      </c>
      <c r="S25" s="428"/>
      <c r="T25" s="427">
        <f ca="1">_xll.IMBC(T$4,$E25,T$15,T$16,$C$16)</f>
        <v>6.6787000000000001</v>
      </c>
      <c r="U25" s="428"/>
      <c r="V25" s="427">
        <f ca="1">_xll.IMBC(V$4,$E25,V$15,V$16,$C$16)</f>
        <v>7.8708</v>
      </c>
      <c r="W25" s="428"/>
      <c r="X25" s="427">
        <f ca="1">_xll.IMBC(X$4,$E25,X$15,X$16,$C$16)</f>
        <v>3.7618</v>
      </c>
      <c r="Y25" s="428"/>
    </row>
    <row r="26" spans="3:28" x14ac:dyDescent="0.25">
      <c r="C26" s="1" t="s">
        <v>54</v>
      </c>
      <c r="D26" s="436"/>
      <c r="E26" s="13" t="s">
        <v>55</v>
      </c>
      <c r="F26" s="427">
        <f ca="1">_xll.IMBC(F$4,$E26,F$15,F$16,$C$16)</f>
        <v>1165997.7</v>
      </c>
      <c r="G26" s="428"/>
      <c r="H26" s="427">
        <f ca="1">_xll.IMBC(H$4,$E26,H$15,H$16,$C$16)</f>
        <v>59231.671040000001</v>
      </c>
      <c r="I26" s="428"/>
      <c r="J26" s="427">
        <f ca="1">_xll.IMBC(J$4,$E26,J$15,J$16,$C$16)</f>
        <v>22024.760160000002</v>
      </c>
      <c r="K26" s="428"/>
      <c r="L26" s="427">
        <f ca="1">_xll.IMBC(L$4,$E26,L$15,L$16,$C$16)</f>
        <v>661321.15711999999</v>
      </c>
      <c r="M26" s="428"/>
      <c r="N26" s="427">
        <f ca="1">_xll.IMBC(N$4,$E26,N$15,N$16,$C$16)</f>
        <v>593503.60338500002</v>
      </c>
      <c r="O26" s="428"/>
      <c r="P26" s="427">
        <f ca="1">_xll.IMBC(P$4,$E26,P$15,P$16,$C$16)</f>
        <v>38568.914365999997</v>
      </c>
      <c r="Q26" s="428"/>
      <c r="R26" s="427">
        <f ca="1">_xll.IMBC(R$4,$E26,R$15,R$16,$C$16)</f>
        <v>195821.27859599999</v>
      </c>
      <c r="S26" s="428"/>
      <c r="T26" s="427">
        <f ca="1">_xll.IMBC(T$4,$E26,T$15,T$16,$C$16)</f>
        <v>495663.962031</v>
      </c>
      <c r="U26" s="428"/>
      <c r="V26" s="427">
        <f ca="1">_xll.IMBC(V$4,$E26,V$15,V$16,$C$16)</f>
        <v>738139.81045500003</v>
      </c>
      <c r="W26" s="428"/>
      <c r="X26" s="427">
        <f ca="1">_xll.IMBC(X$4,$E26,X$15,X$16,$C$16)</f>
        <v>158689.71126400001</v>
      </c>
      <c r="Y26" s="428"/>
    </row>
    <row r="27" spans="3:28" x14ac:dyDescent="0.25">
      <c r="D27" s="436"/>
      <c r="E27" s="13" t="s">
        <v>56</v>
      </c>
      <c r="F27" s="427">
        <f ca="1">_xll.IMBC(F$4,$E27,F$15,F$16,$C$16)</f>
        <v>81.824399999999997</v>
      </c>
      <c r="G27" s="428"/>
      <c r="H27" s="427">
        <f ca="1">_xll.IMBC(H$4,$E27,H$15,H$16,$C$16)</f>
        <v>6.016</v>
      </c>
      <c r="I27" s="428"/>
      <c r="J27" s="427">
        <f ca="1">_xll.IMBC(J$4,$E27,J$15,J$16,$C$16)</f>
        <v>2.2256</v>
      </c>
      <c r="K27" s="428"/>
      <c r="L27" s="427">
        <f ca="1">_xll.IMBC(L$4,$E27,L$15,L$16,$C$16)</f>
        <v>71.396000000000001</v>
      </c>
      <c r="M27" s="428"/>
      <c r="N27" s="427">
        <f ca="1">_xll.IMBC(N$4,$E27,N$15,N$16,$C$16)</f>
        <v>66.969099999999997</v>
      </c>
      <c r="O27" s="428"/>
      <c r="P27" s="427">
        <f ca="1">_xll.IMBC(P$4,$E27,P$15,P$16,$C$16)</f>
        <v>3.9333999999999998</v>
      </c>
      <c r="Q27" s="428"/>
      <c r="R27" s="427">
        <f ca="1">_xll.IMBC(R$4,$E27,R$15,R$16,$C$16)</f>
        <v>19.904399999999999</v>
      </c>
      <c r="S27" s="428"/>
      <c r="T27" s="427">
        <f ca="1">_xll.IMBC(T$4,$E27,T$15,T$16,$C$16)</f>
        <v>51.9559</v>
      </c>
      <c r="U27" s="428"/>
      <c r="V27" s="427">
        <f ca="1">_xll.IMBC(V$4,$E27,V$15,V$16,$C$16)</f>
        <v>74.173500000000004</v>
      </c>
      <c r="W27" s="428"/>
      <c r="X27" s="427">
        <f ca="1">_xll.IMBC(X$4,$E27,X$15,X$16,$C$16)</f>
        <v>16.566400000000002</v>
      </c>
      <c r="Y27" s="428"/>
    </row>
    <row r="28" spans="3:28" x14ac:dyDescent="0.25">
      <c r="D28" s="436"/>
      <c r="E28" s="13" t="s">
        <v>57</v>
      </c>
      <c r="F28" s="433">
        <f ca="1">_xll.IMBC(F$4,$E28,F$15,F$16,$C$16)</f>
        <v>3583</v>
      </c>
      <c r="G28" s="434"/>
      <c r="H28" s="433">
        <f ca="1">_xll.IMBC(H$4,$E28,H$15,H$16,$C$16)</f>
        <v>844</v>
      </c>
      <c r="I28" s="434"/>
      <c r="J28" s="433">
        <f ca="1">_xll.IMBC(J$4,$E28,J$15,J$16,$C$16)</f>
        <v>478</v>
      </c>
      <c r="K28" s="434"/>
      <c r="L28" s="433">
        <f ca="1">_xll.IMBC(L$4,$E28,L$15,L$16,$C$16)</f>
        <v>3400</v>
      </c>
      <c r="M28" s="434"/>
      <c r="N28" s="433">
        <f ca="1">_xll.IMBC(N$4,$E28,N$15,N$16,$C$16)</f>
        <v>3217</v>
      </c>
      <c r="O28" s="434"/>
      <c r="P28" s="433">
        <f ca="1">_xll.IMBC(P$4,$E28,P$15,P$16,$C$16)</f>
        <v>661</v>
      </c>
      <c r="Q28" s="434"/>
      <c r="R28" s="433">
        <f ca="1">_xll.IMBC(R$4,$E28,R$15,R$16,$C$16)</f>
        <v>1664</v>
      </c>
      <c r="S28" s="434"/>
      <c r="T28" s="433">
        <f ca="1">_xll.IMBC(T$4,$E28,T$15,T$16,$C$16)</f>
        <v>2852</v>
      </c>
      <c r="U28" s="434"/>
      <c r="V28" s="433">
        <f ca="1">_xll.IMBC(V$4,$E28,V$15,V$16,$C$16)</f>
        <v>3583</v>
      </c>
      <c r="W28" s="434"/>
      <c r="X28" s="433">
        <f ca="1">_xll.IMBC(X$4,$E28,X$15,X$16,$C$16)</f>
        <v>1483</v>
      </c>
      <c r="Y28" s="434"/>
    </row>
    <row r="29" spans="3:28" x14ac:dyDescent="0.25">
      <c r="D29" s="437"/>
      <c r="E29" s="13" t="s">
        <v>58</v>
      </c>
      <c r="F29" s="427">
        <f ca="1">_xll.IMBC(F$4,$E29,F$15,F$16,$C$16)</f>
        <v>11.9587</v>
      </c>
      <c r="G29" s="428"/>
      <c r="H29" s="427">
        <f ca="1">_xll.IMBC(H$4,$E29,H$15,H$16,$C$16)</f>
        <v>2.1663999999999999</v>
      </c>
      <c r="I29" s="428"/>
      <c r="J29" s="427">
        <f ca="1">_xll.IMBC(J$4,$E29,J$15,J$16,$C$16)</f>
        <v>1.2482</v>
      </c>
      <c r="K29" s="428"/>
      <c r="L29" s="427">
        <f ca="1">_xll.IMBC(L$4,$E29,L$15,L$16,$C$16)</f>
        <v>7.2461000000000002</v>
      </c>
      <c r="M29" s="428"/>
      <c r="N29" s="427">
        <f ca="1">_xll.IMBC(N$4,$E29,N$15,N$16,$C$16)</f>
        <v>6.7735000000000003</v>
      </c>
      <c r="O29" s="428"/>
      <c r="P29" s="427">
        <f ca="1">_xll.IMBC(P$4,$E29,P$15,P$16,$C$16)</f>
        <v>1.7097</v>
      </c>
      <c r="Q29" s="428"/>
      <c r="R29" s="427">
        <f ca="1">_xll.IMBC(R$4,$E29,R$15,R$16,$C$16)</f>
        <v>4.0434999999999999</v>
      </c>
      <c r="S29" s="428"/>
      <c r="T29" s="427">
        <f ca="1">_xll.IMBC(T$4,$E29,T$15,T$16,$C$16)</f>
        <v>6.3715000000000002</v>
      </c>
      <c r="U29" s="428"/>
      <c r="V29" s="427">
        <f ca="1">_xll.IMBC(V$4,$E29,V$15,V$16,$C$16)</f>
        <v>7.8326000000000002</v>
      </c>
      <c r="W29" s="428"/>
      <c r="X29" s="427">
        <f ca="1">_xll.IMBC(X$4,$E29,X$15,X$16,$C$16)</f>
        <v>3.6034000000000002</v>
      </c>
      <c r="Y29" s="428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429" t="s">
        <v>60</v>
      </c>
      <c r="E33" s="430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431"/>
      <c r="E34" s="432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D4:D5"/>
    <mergeCell ref="F4:G4"/>
    <mergeCell ref="H4:I4"/>
    <mergeCell ref="J4:K4"/>
    <mergeCell ref="L4:M4"/>
    <mergeCell ref="N4:O4"/>
    <mergeCell ref="P4:Q4"/>
    <mergeCell ref="R4:S4"/>
    <mergeCell ref="T4:U4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2026-08-18T04:24:40Z</dcterms:modified>
</cp:coreProperties>
</file>