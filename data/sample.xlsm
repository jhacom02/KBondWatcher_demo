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data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D2" i="2" l="1"/>
  <c r="Z15" i="1" l="1"/>
  <c r="X16" i="1"/>
  <c r="T16" i="1"/>
  <c r="P16" i="1"/>
  <c r="N16" i="1"/>
  <c r="L16" i="1" l="1"/>
  <c r="F16" i="1"/>
  <c r="H16" i="1"/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D51" i="2"/>
  <c r="C51" i="2"/>
  <c r="J73" i="2" l="1"/>
  <c r="R16" i="1"/>
  <c r="J16" i="1"/>
  <c r="J59" i="2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C42" i="2"/>
  <c r="D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C32" i="2"/>
  <c r="D32" i="2"/>
  <c r="V16" i="1" l="1"/>
  <c r="F32" i="2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F21" i="2"/>
  <c r="R20" i="2"/>
  <c r="Y26" i="2"/>
  <c r="R26" i="2"/>
  <c r="C26" i="2"/>
  <c r="F26" i="2" s="1"/>
  <c r="Q32" i="2"/>
  <c r="AA36" i="2"/>
  <c r="AA37" i="2"/>
  <c r="P32" i="2"/>
  <c r="R32" i="2"/>
  <c r="R33" i="2" s="1"/>
  <c r="B20" i="2"/>
  <c r="F20" i="2" s="1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27" i="2" l="1"/>
  <c r="S24" i="2" s="1"/>
  <c r="R19" i="2"/>
  <c r="AA39" i="2"/>
  <c r="AD39" i="2" s="1"/>
  <c r="N33" i="2"/>
  <c r="P33" i="2"/>
  <c r="S30" i="2"/>
  <c r="S31" i="2" s="1"/>
  <c r="AE42" i="2"/>
  <c r="AE45" i="2" s="1"/>
  <c r="AE39" i="2"/>
  <c r="N18" i="2"/>
  <c r="R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C11" i="2"/>
  <c r="Q14" i="2"/>
  <c r="E11" i="2"/>
  <c r="R21" i="2" l="1"/>
  <c r="S18" i="2" s="1"/>
  <c r="P14" i="2"/>
  <c r="I34" i="2" s="1"/>
  <c r="O14" i="2"/>
  <c r="AB16" i="2"/>
  <c r="AC16" i="2" s="1"/>
  <c r="N10" i="2"/>
  <c r="F10" i="2"/>
  <c r="F12" i="2" s="1"/>
  <c r="B10" i="2"/>
  <c r="B12" i="2" s="1"/>
  <c r="O9" i="2"/>
  <c r="W7" i="2"/>
  <c r="X7" i="2" s="1"/>
  <c r="S7" i="2"/>
  <c r="S9" i="2" s="1"/>
  <c r="F7" i="2"/>
  <c r="B7" i="2"/>
  <c r="V6" i="2"/>
  <c r="AA6" i="2" s="1"/>
  <c r="AB6" i="2" s="1"/>
  <c r="J6" i="2"/>
  <c r="I6" i="2"/>
  <c r="C6" i="2"/>
  <c r="E6" i="2"/>
  <c r="Z7" i="2" l="1"/>
  <c r="J7" i="2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C16" i="1"/>
  <c r="J15" i="1"/>
  <c r="T13" i="1"/>
  <c r="V13" i="1"/>
  <c r="L14" i="1"/>
  <c r="P13" i="1"/>
  <c r="N14" i="1"/>
  <c r="F14" i="1"/>
  <c r="X14" i="1"/>
  <c r="F13" i="1"/>
  <c r="R13" i="1"/>
  <c r="J14" i="1"/>
  <c r="T14" i="1"/>
  <c r="X13" i="1"/>
  <c r="R14" i="1"/>
  <c r="N13" i="1"/>
  <c r="P14" i="1"/>
  <c r="L13" i="1"/>
  <c r="J13" i="1"/>
  <c r="V14" i="1"/>
  <c r="H14" i="1"/>
  <c r="H13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F10" i="1"/>
  <c r="F5" i="1"/>
  <c r="F11" i="1"/>
  <c r="L11" i="1"/>
  <c r="V5" i="1"/>
  <c r="V11" i="1"/>
  <c r="J7" i="1"/>
  <c r="N10" i="1"/>
  <c r="N7" i="1"/>
  <c r="P11" i="1"/>
  <c r="R6" i="1"/>
  <c r="H7" i="1"/>
  <c r="J5" i="1"/>
  <c r="H5" i="1"/>
  <c r="H11" i="1"/>
  <c r="F7" i="1"/>
  <c r="N11" i="1"/>
  <c r="T11" i="1"/>
  <c r="N5" i="1"/>
  <c r="J6" i="1"/>
  <c r="T10" i="1"/>
  <c r="T7" i="1"/>
  <c r="L7" i="1"/>
  <c r="L6" i="1"/>
  <c r="X11" i="1"/>
  <c r="P10" i="1"/>
  <c r="V7" i="1"/>
  <c r="V6" i="1"/>
  <c r="P5" i="1"/>
  <c r="R7" i="1"/>
  <c r="N6" i="1"/>
  <c r="R10" i="1"/>
  <c r="H10" i="1"/>
  <c r="T6" i="1"/>
  <c r="X5" i="1"/>
  <c r="V10" i="1"/>
  <c r="L5" i="1"/>
  <c r="J11" i="1"/>
  <c r="X6" i="1"/>
  <c r="P7" i="1"/>
  <c r="T5" i="1"/>
  <c r="J10" i="1"/>
  <c r="X10" i="1"/>
  <c r="P6" i="1"/>
  <c r="X7" i="1"/>
  <c r="H6" i="1"/>
  <c r="F6" i="1"/>
  <c r="R11" i="1"/>
  <c r="L10" i="1"/>
  <c r="R5" i="1"/>
  <c r="P20" i="1"/>
  <c r="H26" i="1"/>
  <c r="N27" i="1"/>
  <c r="L26" i="1"/>
  <c r="H22" i="1"/>
  <c r="X23" i="1"/>
  <c r="P24" i="1"/>
  <c r="X19" i="1"/>
  <c r="L18" i="1"/>
  <c r="T29" i="1"/>
  <c r="F17" i="1"/>
  <c r="X27" i="1"/>
  <c r="T23" i="1"/>
  <c r="P25" i="1"/>
  <c r="L19" i="1"/>
  <c r="X22" i="1"/>
  <c r="P29" i="1"/>
  <c r="T22" i="1"/>
  <c r="N29" i="1"/>
  <c r="L22" i="1"/>
  <c r="X25" i="1"/>
  <c r="N23" i="1"/>
  <c r="T17" i="1"/>
  <c r="X21" i="1"/>
  <c r="F28" i="1"/>
  <c r="T20" i="1"/>
  <c r="V28" i="1"/>
  <c r="P23" i="1"/>
  <c r="N22" i="1"/>
  <c r="L25" i="1"/>
  <c r="H29" i="1"/>
  <c r="H18" i="1"/>
  <c r="P26" i="1"/>
  <c r="T21" i="1"/>
  <c r="F20" i="1"/>
  <c r="P18" i="1"/>
  <c r="F22" i="1"/>
  <c r="H19" i="1"/>
  <c r="T18" i="1"/>
  <c r="V21" i="1"/>
  <c r="P19" i="1"/>
  <c r="V25" i="1"/>
  <c r="H28" i="1"/>
  <c r="F29" i="1"/>
  <c r="T24" i="1"/>
  <c r="H21" i="1"/>
  <c r="N28" i="1"/>
  <c r="T19" i="1"/>
  <c r="L20" i="1"/>
  <c r="N26" i="1"/>
  <c r="P22" i="1"/>
  <c r="F18" i="1"/>
  <c r="T28" i="1"/>
  <c r="P17" i="1"/>
  <c r="V20" i="1"/>
  <c r="N20" i="1"/>
  <c r="F27" i="1"/>
  <c r="N18" i="1"/>
  <c r="L17" i="1"/>
  <c r="X18" i="1"/>
  <c r="P21" i="1"/>
  <c r="L28" i="1"/>
  <c r="L21" i="1"/>
  <c r="L24" i="1"/>
  <c r="P28" i="1"/>
  <c r="V17" i="1"/>
  <c r="T26" i="1"/>
  <c r="H17" i="1"/>
  <c r="X20" i="1"/>
  <c r="L29" i="1"/>
  <c r="N17" i="1"/>
  <c r="L27" i="1"/>
  <c r="F25" i="1"/>
  <c r="F23" i="1"/>
  <c r="F24" i="1"/>
  <c r="X28" i="1"/>
  <c r="V18" i="1"/>
  <c r="F21" i="1"/>
  <c r="H20" i="1"/>
  <c r="F26" i="1"/>
  <c r="N21" i="1"/>
  <c r="H27" i="1"/>
  <c r="T25" i="1"/>
  <c r="V23" i="1"/>
  <c r="N25" i="1"/>
  <c r="V19" i="1"/>
  <c r="X29" i="1"/>
  <c r="V22" i="1"/>
  <c r="F19" i="1"/>
  <c r="P27" i="1"/>
  <c r="L23" i="1"/>
  <c r="N19" i="1"/>
  <c r="X17" i="1"/>
  <c r="V24" i="1"/>
  <c r="V29" i="1"/>
  <c r="H23" i="1"/>
  <c r="X24" i="1"/>
  <c r="V27" i="1"/>
  <c r="H25" i="1"/>
  <c r="H24" i="1"/>
  <c r="N24" i="1"/>
  <c r="V26" i="1"/>
  <c r="X26" i="1"/>
  <c r="T27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R33" i="1"/>
  <c r="J22" i="1"/>
  <c r="R26" i="1"/>
  <c r="J27" i="1"/>
  <c r="J21" i="1"/>
  <c r="J28" i="1"/>
  <c r="R23" i="1"/>
  <c r="R18" i="1"/>
  <c r="J25" i="1"/>
  <c r="H33" i="1"/>
  <c r="L33" i="1"/>
  <c r="J17" i="1"/>
  <c r="N33" i="1"/>
  <c r="R19" i="1"/>
  <c r="R29" i="1"/>
  <c r="X33" i="1"/>
  <c r="P33" i="1"/>
  <c r="R24" i="1"/>
  <c r="J33" i="1"/>
  <c r="V33" i="1"/>
  <c r="J23" i="1"/>
  <c r="R27" i="1"/>
  <c r="J20" i="1"/>
  <c r="J29" i="1"/>
  <c r="J26" i="1"/>
  <c r="R25" i="1"/>
  <c r="J18" i="1"/>
  <c r="R21" i="1"/>
  <c r="J24" i="1"/>
  <c r="F33" i="1"/>
  <c r="R28" i="1"/>
  <c r="T33" i="1"/>
  <c r="J19" i="1"/>
  <c r="R22" i="1"/>
  <c r="R17" i="1"/>
  <c r="R20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<sst xmlns="http://schemas.openxmlformats.org/spreadsheetml/2006/main" count="482" uniqueCount="342">
  <si>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</si>
  <si>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</si>
  <si>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</si>
  <si>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</si>
  <si>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</si>
  <si>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</si>
  <si>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</si>
  <si>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</si>
  <si>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</si>
  <si>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</si>
  <si>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</si>
  <si>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</si>
  <si>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</si>
  <si>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</si>
  <si>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</si>
  <si>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</si>
  <si>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</si>
  <si>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</si>
  <si>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</si>
  <si>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</si>
  <si>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</si>
  <si>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</si>
  <si>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</si>
  <si>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</si>
  <si>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</si>
  <si>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</si>
  <si>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</si>
  <si>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</si>
  <si>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</si>
  <si>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</si>
  <si>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</si>
  <si>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</si>
  <si>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</si>
  <si>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</si>
  <si>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</si>
  <si>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</si>
  <si>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</si>
  <si>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</si>
  <si>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</si>
  <si>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</si>
  <si>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</si>
  <si>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</si>
  <si>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</si>
  <si>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</si>
  <si>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</si>
  <si>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</si>
  <si>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</si>
  <si>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</si>
  <si>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</si>
  <si>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</si>
  <si>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</si>
  <si>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</si>
  <si>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</si>
  <si>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</si>
  <si>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</si>
  <si>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</si>
  <si>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</si>
  <si>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</si>
  <si>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</si>
  <si>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</si>
  <si>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</si>
  <si>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</si>
  <si>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</si>
  <si>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</si>
  <si>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</si>
  <si>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</si>
  <si>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</si>
  <si>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</si>
  <si>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</si>
  <si>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</si>
  <si>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</si>
  <si>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</si>
  <si>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</si>
  <si>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</si>
  <si>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</si>
  <si>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</si>
  <si>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</si>
  <si>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</si>
  <si>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</si>
  <si>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</si>
  <si>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</si>
  <si>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</si>
  <si>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</si>
  <si>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</si>
  <si>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</si>
  <si>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</si>
  <si>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</si>
  <si>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</si>
  <si>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</si>
  <si>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</si>
  <si>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</si>
  <si>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</si>
  <si>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</si>
  <si>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</si>
  <si>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</si>
  <si>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</si>
  <si>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</si>
  <si>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</si>
  <si>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</si>
  <si>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</si>
  <si>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</si>
  <si>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</si>
  <si>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</si>
  <si>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</si>
  <si>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</si>
  <si>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</si>
  <si>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</si>
  <si>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</si>
  <si>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</si>
  <si>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</si>
  <si>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</si>
  <si>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</si>
  <si>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</si>
  <si>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</si>
  <si>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</si>
  <si>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</si>
  <si>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</si>
  <si>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</si>
  <si>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</si>
  <si>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</si>
  <si>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</si>
  <si>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</si>
  <si>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</si>
  <si>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</si>
  <si>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</si>
  <si>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</si>
  <si>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</si>
  <si>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</si>
  <si>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</si>
  <si>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</si>
  <si>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</si>
  <si>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</si>
  <si>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</si>
  <si>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</si>
  <si>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</si>
  <si>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</si>
  <si>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</si>
  <si>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</si>
  <si>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</si>
  <si>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</si>
  <si>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</si>
  <si>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</si>
  <si>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</si>
  <si>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</si>
  <si>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</si>
  <si>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</si>
  <si>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</si>
  <si>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</si>
  <si>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</si>
  <si>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</si>
  <si>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</si>
  <si>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</si>
  <si>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</si>
  <si>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</si>
  <si>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</si>
  <si>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</si>
  <si>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</si>
  <si>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</si>
  <si>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</si>
  <si>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</si>
  <si>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</si>
  <si>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</si>
  <si>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</si>
  <si>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</si>
  <si>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</si>
  <si>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</si>
  <si>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</si>
  <si>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</si>
  <si>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</si>
  <si>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</si>
  <si>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</si>
  <si>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</si>
  <si>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</si>
  <si>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</si>
  <si>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</si>
  <si>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</si>
  <si>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</si>
  <si>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</si>
  <si>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</si>
  <si>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</si>
  <si>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</si>
  <si>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</si>
  <si>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</si>
  <si>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</si>
  <si>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</si>
  <si>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</si>
  <si>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</si>
  <si>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</si>
  <si>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</si>
  <si>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</si>
  <si>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</si>
  <si>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</si>
  <si>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</si>
  <si>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</si>
  <si>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</si>
  <si>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</si>
  <si>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</si>
  <si>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</si>
  <si>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</si>
  <si>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</si>
  <si>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</si>
  <si>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</si>
  <si>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</si>
  <si>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</si>
  <si>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</si>
  <si>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</si>
  <si>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</si>
  <si>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</si>
  <si>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</si>
  <si>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</si>
  <si>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</si>
  <si>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</si>
  <si>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</si>
  <si>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</si>
  <si>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</si>
  <si>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</si>
  <si>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</si>
  <si>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</si>
  <si>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</si>
  <si>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</si>
  <si>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</si>
  <si>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</si>
  <si>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</si>
  <si>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</si>
  <si>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</si>
  <si>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</si>
  <si>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</si>
  <si>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</si>
  <si>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</si>
  <si>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</si>
  <si>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</si>
  <si>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</si>
  <si>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</si>
  <si>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</si>
  <si>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</si>
  <si>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</si>
  <si>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</si>
  <si>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</si>
  <si>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</si>
  <si>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</si>
  <si>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</si>
  <si>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</si>
  <si>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</si>
  <si>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</si>
  <si>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</si>
  <si>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</si>
  <si>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</si>
  <si>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</si>
  <si>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</si>
  <si>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</si>
  <si>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</si>
  <si>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</si>
  <si>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</si>
  <si>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</si>
  <si>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</si>
  <si>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</si>
  <si>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</si>
  <si>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</si>
  <si>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</si>
  <si>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</si>
  <si>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</si>
  <si>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</si>
  <si>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</si>
  <si>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</si>
  <si>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</si>
  <si>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</si>
  <si>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</si>
  <si>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</si>
  <si>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</si>
  <si>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</si>
  <si>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</si>
  <si>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</si>
  <si>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</si>
  <si>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</si>
  <si>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</si>
  <si>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</si>
  <si>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</si>
  <si>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</si>
  <si>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</si>
  <si>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</si>
  <si>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</si>
  <si>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</si>
  <si>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</si>
  <si>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</si>
  <si>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</si>
  <si>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</si>
  <si>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</si>
  <si>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</si>
  <si>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</si>
  <si>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</si>
  <si>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</si>
  <si>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</si>
  <si>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</si>
  <si>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</si>
  <si>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</si>
  <si>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</si>
  <si>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</si>
  <si>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</si>
  <si>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</si>
  <si>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</si>
  <si>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</si>
  <si>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</si>
  <si>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</si>
  <si>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</si>
  <si>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</si>
  <si>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</si>
  <si>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</si>
  <si>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</si>
  <si>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</si>
  <si>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</si>
  <si>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</si>
  <si>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</si>
  <si>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</si>
  <si>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</si>
  <si>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</si>
  <si>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</si>
  <si>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</si>
  <si>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</si>
  <si>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</si>
  <si>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</si>
  <si>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</si>
  <si>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</si>
  <si>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</si>
  <si>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</si>
  <si>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</si>
  <si>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</si>
  <si>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</si>
  <si>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</si>
  <si>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</si>
  <si>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</si>
  <si>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</si>
  <si>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</si>
  <si>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</si>
  <si>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</si>
  <si>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</si>
  <si>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</si>
  <si>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PnL Threshold</t>
    <phoneticPr fontId="5" type="noConversion"/>
  </si>
  <si>
    <t>Instrument</t>
    <phoneticPr fontId="5" type="noConversion"/>
  </si>
  <si>
    <t>STOPPED</t>
    <phoneticPr fontId="5" type="noConversion"/>
  </si>
  <si>
    <t>25-10 / BID</t>
    <phoneticPr fontId="5" type="noConversion"/>
  </si>
  <si>
    <t>25-10 755+</t>
    <phoneticPr fontId="5" type="noConversion"/>
  </si>
  <si>
    <t>(17:38:45) Stopped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</si>
</sst>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6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0" fontId="0" fillId="6" borderId="0" xfId="0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7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1" applyNumberFormat="1" applyFont="1" applyFill="1" applyBorder="1" applyAlignment="1">
      <alignment horizontal="center" vertical="center"/>
    </xf>
    <xf numFmtId="0" fontId="0" fillId="0" borderId="29" xfId="0" applyNumberFormat="1" applyFill="1" applyBorder="1" applyAlignment="1">
      <alignment horizontal="left" vertical="center"/>
    </xf>
    <xf numFmtId="0" fontId="15" fillId="14" borderId="2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3" fontId="0" fillId="9" borderId="29" xfId="1" applyNumberFormat="1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8" fillId="4" borderId="2" xfId="5" applyFont="1" applyFill="1" applyBorder="1" applyAlignment="1">
      <alignment horizontal="center" vertical="center"/>
    </xf>
    <xf numFmtId="0" fontId="1" fillId="4" borderId="2" xfId="5" applyFill="1" applyBorder="1">
      <alignment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4" fontId="12" fillId="9" borderId="14" xfId="0" applyNumberFormat="1" applyFont="1" applyFill="1" applyBorder="1" applyAlignment="1">
      <alignment horizontal="center" vertical="center"/>
    </xf>
    <xf numFmtId="4" fontId="23" fillId="6" borderId="14" xfId="0" applyNumberFormat="1" applyFont="1" applyFill="1" applyBorder="1" applyAlignment="1">
      <alignment horizontal="center" vertical="center"/>
    </xf>
    <xf numFmtId="4" fontId="0" fillId="9" borderId="14" xfId="0" applyNumberFormat="1" applyFill="1" applyBorder="1" applyAlignment="1">
      <alignment horizontal="center" vertical="center"/>
    </xf>
    <xf numFmtId="4" fontId="0" fillId="0" borderId="14" xfId="0" applyNumberFormat="1" applyFill="1" applyBorder="1" applyAlignment="1">
      <alignment horizontal="center" vertical="center"/>
    </xf>
    <xf numFmtId="4" fontId="23" fillId="0" borderId="14" xfId="1" applyNumberFormat="1" applyFont="1" applyBorder="1" applyAlignment="1">
      <alignment horizontal="center" vertical="center"/>
    </xf>
    <xf numFmtId="176" fontId="0" fillId="9" borderId="14" xfId="0" applyNumberFormat="1" applyFill="1" applyBorder="1" applyAlignment="1">
      <alignment horizontal="center" vertical="center"/>
    </xf>
    <xf numFmtId="176" fontId="9" fillId="0" borderId="14" xfId="0" applyNumberFormat="1" applyFont="1" applyBorder="1" applyAlignment="1">
      <alignment horizontal="center" vertical="center"/>
    </xf>
    <xf numFmtId="176" fontId="0" fillId="0" borderId="14" xfId="0" applyNumberFormat="1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76" fontId="23" fillId="9" borderId="14" xfId="0" applyNumberFormat="1" applyFont="1" applyFill="1" applyBorder="1" applyAlignment="1">
      <alignment horizontal="center" vertical="center"/>
    </xf>
    <xf numFmtId="41" fontId="23" fillId="6" borderId="14" xfId="1" applyFont="1" applyFill="1" applyBorder="1" applyAlignment="1">
      <alignment horizontal="center" vertical="center"/>
    </xf>
    <xf numFmtId="41" fontId="23" fillId="0" borderId="14" xfId="1" applyFont="1" applyFill="1" applyBorder="1" applyAlignment="1">
      <alignment horizontal="center" vertical="center"/>
    </xf>
    <xf numFmtId="41" fontId="23" fillId="0" borderId="14" xfId="1" applyFont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190" fontId="36" fillId="6" borderId="14" xfId="0" applyNumberFormat="1" applyFont="1" applyFill="1" applyBorder="1" applyAlignment="1">
      <alignment horizontal="center" vertical="center"/>
    </xf>
    <xf numFmtId="190" fontId="36" fillId="0" borderId="14" xfId="0" applyNumberFormat="1" applyFont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190" fontId="36" fillId="0" borderId="14" xfId="0" applyNumberFormat="1" applyFont="1" applyFill="1" applyBorder="1" applyAlignment="1">
      <alignment horizontal="center" vertical="center"/>
    </xf>
    <xf numFmtId="41" fontId="9" fillId="0" borderId="14" xfId="1" applyFont="1" applyFill="1" applyBorder="1" applyAlignment="1">
      <alignment horizontal="center" vertical="center"/>
    </xf>
    <xf numFmtId="4" fontId="37" fillId="0" borderId="14" xfId="0" applyNumberFormat="1" applyFont="1" applyFill="1" applyBorder="1" applyAlignment="1">
      <alignment horizontal="center" vertical="center"/>
    </xf>
    <xf numFmtId="180" fontId="31" fillId="0" borderId="0" xfId="36" applyNumberFormat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7</v>
        <stp/>
        <stp>C</stp>
        <stp>0</stp>
        <stp>KR103502GF62</stp>
        <stp>경과세금</stp>
        <stp>46253</stp>
        <stp>4.255</stp>
        <stp>세전수익률</stp>
        <tr r="N21" s="1"/>
      </tp>
      <tp>
        <v>15.4</v>
        <stp/>
        <stp>C</stp>
        <stp>0</stp>
        <stp>KR103503GF95</stp>
        <stp>경과세금</stp>
        <stp>46253</stp>
        <stp>3.927</stp>
        <stp>세전수익률</stp>
        <tr r="X21" s="1"/>
      </tp>
      <tp>
        <v>11.3</v>
        <stp/>
        <stp>C</stp>
        <stp>0</stp>
        <stp>KR103503GG60</stp>
        <stp>경과세금</stp>
        <stp>46253</stp>
        <stp>4.383</stp>
        <stp>세전수익률</stp>
        <tr r="V21" s="1"/>
      </tp>
      <tp>
        <v>7.3</v>
        <stp/>
        <stp>C</stp>
        <stp>0</stp>
        <stp>KR103501GFC3</stp>
        <stp>경과세금</stp>
        <stp>46253</stp>
        <stp>3.755</stp>
        <stp>세전수익률</stp>
        <tr r="H21" s="1"/>
      </tp>
      <tp>
        <v>6</v>
        <stp/>
        <stp>C</stp>
        <stp>0</stp>
        <stp>KR103501GF63</stp>
        <stp>경과세금</stp>
        <stp>46253</stp>
        <stp>3.615</stp>
        <stp>세전수익률</stp>
        <tr r="P21" s="1"/>
      </tp>
      <tp>
        <v>72460.406015999994</v>
        <stp/>
        <stp>C</stp>
        <stp>0</stp>
        <stp>KR103502GFC1</stp>
        <stp>금액Duration</stp>
        <stp>46253</stp>
        <stp>4.3</stp>
        <stp>세전수익률</stp>
        <tr r="L23" s="1"/>
      </tp>
      <tp>
        <v>63715.399082999997</v>
        <stp/>
        <stp>C</stp>
        <stp>0</stp>
        <stp>KR103502GE63</stp>
        <stp>금액Duration</stp>
        <stp>46253</stp>
        <stp>4.3</stp>
        <stp>세전수익률</stp>
        <tr r="T23" s="1"/>
      </tp>
      <tp>
        <v>661321.15711999999</v>
        <stp/>
        <stp>C</stp>
        <stp>0</stp>
        <stp>KR103502GFC1</stp>
        <stp>금액Convexity</stp>
        <stp>46253</stp>
        <stp>4.3</stp>
        <stp>세전수익률</stp>
        <tr r="L26" s="1"/>
      </tp>
      <tp>
        <v>495663.962031</v>
        <stp/>
        <stp>C</stp>
        <stp>0</stp>
        <stp>KR103502GE63</stp>
        <stp>금액Convexity</stp>
        <stp>46253</stp>
        <stp>4.3</stp>
        <stp>세전수익률</stp>
        <tr r="T26" s="1"/>
      </tp>
      <tp>
        <v>7.6</v>
        <stp/>
        <stp>C</stp>
        <stp>0</stp>
        <stp>KR103501GEC6</stp>
        <stp>경과세금</stp>
        <stp>46253</stp>
        <stp>4.11</stp>
        <stp>세전수익률</stp>
        <tr r="J21" s="1"/>
      </tp>
      <tp>
        <v>20.7</v>
        <stp/>
        <stp>C</stp>
        <stp>0</stp>
        <stp>KR103503GG37</stp>
        <stp>경과세금</stp>
        <stp>46253</stp>
        <stp>4.11</stp>
        <stp>세전수익률</stp>
        <tr r="R21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F6" s="1"/>
        <tr r="V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V7" s="1"/>
        <tr r="F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9975</v>
        <stp/>
        <stp>P</stp>
        <stp>0</stp>
        <stp>BND</stp>
        <stp>KR103503GG60</stp>
        <stp>장내국채-현재가격</stp>
        <stp/>
        <stp/>
        <tr r="C32" s="2"/>
      </tp>
      <tp>
        <v>9845</v>
        <stp/>
        <stp>P</stp>
        <stp>0</stp>
        <stp>BND</stp>
        <stp>KR103503GG37</stp>
        <stp>장내국채-현재가격</stp>
        <stp/>
        <stp/>
        <tr r="C51" s="2"/>
      </tp>
      <tp>
        <v>8177</v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478</v>
        <stp/>
        <stp>C</stp>
        <stp>0</stp>
        <stp>KR103501GEC6</stp>
        <stp>잔존일수</stp>
        <stp>46253</stp>
        <stp>4.11</stp>
        <stp>세전수익률</stp>
        <tr r="J28" s="1"/>
      </tp>
      <tp>
        <v>40470.419027999997</v>
        <stp/>
        <stp>C</stp>
        <stp>0</stp>
        <stp>KR103503GG37</stp>
        <stp>금액Duration</stp>
        <stp>46253</stp>
        <stp>4.11</stp>
        <stp>세전수익률</stp>
        <tr r="R23" s="1"/>
      </tp>
      <tp>
        <v>12486.768524999999</v>
        <stp/>
        <stp>C</stp>
        <stp>0</stp>
        <stp>KR103501GEC6</stp>
        <stp>금액Duration</stp>
        <stp>46253</stp>
        <stp>4.11</stp>
        <stp>세전수익률</stp>
        <tr r="J23" s="1"/>
      </tp>
      <tp>
        <v>1664</v>
        <stp/>
        <stp>C</stp>
        <stp>0</stp>
        <stp>KR103503GG37</stp>
        <stp>잔존일수</stp>
        <stp>46253</stp>
        <stp>4.11</stp>
        <stp>세전수익률</stp>
        <tr r="R28" s="1"/>
      </tp>
      <tp>
        <v>11.3</v>
        <stp/>
        <stp>C</stp>
        <stp>0</stp>
        <stp>KR103503GG60</stp>
        <stp>경과세금</stp>
        <stp>46253</stp>
        <stp>0</stp>
        <stp>세전수익률</stp>
        <tr r="F21" s="1"/>
      </tp>
      <tp>
        <v>9540.09</v>
        <stp/>
        <stp>C</stp>
        <stp>0</stp>
        <stp>KR103502GE63</stp>
        <stp>세전단가</stp>
        <stp>46253</stp>
        <stp>4.3</stp>
        <stp>세전수익률</stp>
        <tr r="T18" s="1"/>
      </tp>
      <tp>
        <v>54.9863</v>
        <stp/>
        <stp>C</stp>
        <stp>0</stp>
        <stp>KR103501GEC6</stp>
        <stp>경과이자</stp>
        <stp>46253</stp>
        <stp>4.11</stp>
        <stp>세전수익률</stp>
        <tr r="J20" s="1"/>
      </tp>
      <tp>
        <v>148.57329999999999</v>
        <stp/>
        <stp>C</stp>
        <stp>0</stp>
        <stp>KR103503GG37</stp>
        <stp>경과이자</stp>
        <stp>46253</stp>
        <stp>4.11</stp>
        <stp>세전수익률</stp>
        <tr r="R20" s="1"/>
      </tp>
      <tp>
        <v>2852</v>
        <stp/>
        <stp>C</stp>
        <stp>0</stp>
        <stp>KR103502GE63</stp>
        <stp>잔존일수</stp>
        <stp>46253</stp>
        <stp>4.3</stp>
        <stp>세전수익률</stp>
        <tr r="T28" s="1"/>
      </tp>
      <tp>
        <v>3.927</v>
        <stp/>
        <stp>C</stp>
        <stp>0</stp>
        <stp>KR103503GF95</stp>
        <stp>세전수익률</stp>
        <stp>46253</stp>
        <stp>3.927</stp>
        <stp>세전수익률</stp>
        <tr r="X17" s="1"/>
      </tp>
      <tp>
        <v>3583</v>
        <stp/>
        <stp>C</stp>
        <stp>0</stp>
        <stp>KR103503GG60</stp>
        <stp>잔존일수</stp>
        <stp>46253</stp>
        <stp>0</stp>
        <stp>세전수익률</stp>
        <tr r="F28" s="1"/>
      </tp>
      <tp>
        <v>4.383</v>
        <stp/>
        <stp>C</stp>
        <stp>0</stp>
        <stp>KR103503GG60</stp>
        <stp>세전수익률</stp>
        <stp>46253</stp>
        <stp>4.383</stp>
        <stp>세전수익률</stp>
        <tr r="V17" s="1"/>
      </tp>
      <tp>
        <v>3.6150000000000002</v>
        <stp/>
        <stp>C</stp>
        <stp>0</stp>
        <stp>KR103501GF63</stp>
        <stp>세전수익률</stp>
        <stp>46253</stp>
        <stp>3.615</stp>
        <stp>세전수익률</stp>
        <tr r="P17" s="1"/>
      </tp>
      <tp>
        <v>3.7549999999999999</v>
        <stp/>
        <stp>C</stp>
        <stp>0</stp>
        <stp>KR103501GFC3</stp>
        <stp>세전수익률</stp>
        <stp>46253</stp>
        <stp>3.755</stp>
        <stp>세전수익률</stp>
        <tr r="H17" s="1"/>
      </tp>
      <tp>
        <v>4.2549999999999999</v>
        <stp/>
        <stp>C</stp>
        <stp>0</stp>
        <stp>KR103502GF62</stp>
        <stp>세전수익률</stp>
        <stp>46253</stp>
        <stp>4.255</stp>
        <stp>세전수익률</stp>
        <tr r="N17" s="1"/>
      </tp>
      <tp>
        <v>3400</v>
        <stp/>
        <stp>C</stp>
        <stp>0</stp>
        <stp>KR103502GFC1</stp>
        <stp>잔존일수</stp>
        <stp>46253</stp>
        <stp>4.3</stp>
        <stp>세전수익률</stp>
        <tr r="L28" s="1"/>
      </tp>
      <tp>
        <v>9262.7199999999993</v>
        <stp/>
        <stp>C</stp>
        <stp>0</stp>
        <stp>KR103502GFC1</stp>
        <stp>세전단가</stp>
        <stp>46253</stp>
        <stp>4.3</stp>
        <stp>세전수익률</stp>
        <tr r="L18" s="1"/>
      </tp>
      <tp>
        <v>0</v>
        <stp/>
        <stp>T</stp>
        <stp>x10.IN1R1</stp>
        <stp>47</stp>
        <stp>273494</stp>
        <tr r="T33" s="1"/>
      </tp>
      <tp>
        <v>0</v>
        <stp/>
        <stp>T</stp>
        <stp>x9.IN1R1</stp>
        <stp>46</stp>
        <stp>273494</stp>
        <tr r="F33" s="1"/>
      </tp>
      <tp>
        <v>0</v>
        <stp/>
        <stp>T</stp>
        <stp>x3.IN1R1</stp>
        <stp>40</stp>
        <stp>273494</stp>
        <tr r="L33" s="1"/>
      </tp>
      <tp>
        <v>0</v>
        <stp/>
        <stp>T</stp>
        <stp>x6.IN1R1</stp>
        <stp>43</stp>
        <stp>273494</stp>
        <tr r="P33" s="1"/>
      </tp>
      <tp>
        <v>0</v>
        <stp/>
        <stp>T</stp>
        <stp>x5.IN1R1</stp>
        <stp>42</stp>
        <stp>273494</stp>
        <tr r="X33" s="1"/>
      </tp>
      <tp>
        <v>0</v>
        <stp/>
        <stp>T</stp>
        <stp>x4.IN1R1</stp>
        <stp>41</stp>
        <stp>273494</stp>
        <tr r="N33" s="1"/>
      </tp>
      <tp>
        <v>14238.7</v>
        <stp/>
        <stp>C</stp>
        <stp>0</stp>
        <stp>KR103503GG60</stp>
        <stp>세후단가</stp>
        <stp>46253</stp>
        <stp>0</stp>
        <stp>세전수익률</stp>
        <tr r="F19" s="1"/>
      </tp>
      <tp>
        <v>14250</v>
        <stp/>
        <stp>C</stp>
        <stp>0</stp>
        <stp>KR103503GG60</stp>
        <stp>세전단가</stp>
        <stp>46253</stp>
        <stp>0</stp>
        <stp>세전수익률</stp>
        <tr r="F18" s="1"/>
      </tp>
      <tp>
        <v>1.7999999999999999E-2</v>
        <stp/>
        <stp>P</stp>
        <stp>0</stp>
        <stp>FUT</stp>
        <stp>A6769000</stp>
        <stp>저평가</stp>
        <stp/>
        <stp/>
        <tr r="H19" s="2"/>
      </tp>
      <tp>
        <v>-2.5000000000000001E-2</v>
        <stp/>
        <stp>P</stp>
        <stp>0</stp>
        <stp>FUT</stp>
        <stp>A6569000</stp>
        <stp>저평가</stp>
        <stp/>
        <stp/>
        <tr r="G41" s="2"/>
      </tp>
      <tp>
        <v>0</v>
        <stp/>
        <stp>T</stp>
        <stp>x7.IN1R1</stp>
        <stp>290</stp>
        <stp>273494</stp>
        <tr r="J33" s="1"/>
      </tp>
      <tp>
        <v>0</v>
        <stp/>
        <stp>T</stp>
        <stp>x1.IN1R1</stp>
        <stp>289</stp>
        <stp>273494</stp>
        <tr r="R33" s="1"/>
      </tp>
      <tp>
        <v>0</v>
        <stp/>
        <stp>T</stp>
        <stp>x2.IN1R1</stp>
        <stp>293</stp>
        <stp>273494</stp>
        <tr r="H33" s="1"/>
      </tp>
      <tp>
        <v>0</v>
        <stp/>
        <stp>T</stp>
        <stp>x8.IN1R1</stp>
        <stp>291</stp>
        <stp>273494</stp>
        <tr r="V33" s="1"/>
      </tp>
      <tp>
        <v>4.3</v>
        <stp/>
        <stp>C</stp>
        <stp>0</stp>
        <stp>KR103502GE63</stp>
        <stp>세전수익률</stp>
        <stp>46253</stp>
        <stp>4.3</stp>
        <stp>세전수익률</stp>
        <tr r="T17" s="1"/>
      </tp>
      <tp>
        <v>4.3</v>
        <stp/>
        <stp>C</stp>
        <stp>0</stp>
        <stp>KR103502GFC1</stp>
        <stp>세전수익률</stp>
        <stp>46253</stp>
        <stp>4.3</stp>
        <stp>세전수익률</stp>
        <tr r="L17" s="1"/>
      </tp>
      <tp>
        <v>9563.6</v>
        <stp/>
        <stp>C</stp>
        <stp>0</stp>
        <stp>KR103503GF95</stp>
        <stp>세후단가</stp>
        <stp>46253</stp>
        <stp>3.927</stp>
        <stp>세전수익률</stp>
        <tr r="X19" s="1"/>
      </tp>
      <tp>
        <v>9579.01</v>
        <stp/>
        <stp>C</stp>
        <stp>0</stp>
        <stp>KR103503GF95</stp>
        <stp>세전단가</stp>
        <stp>46253</stp>
        <stp>3.927</stp>
        <stp>세전수익률</stp>
        <tr r="X18" s="1"/>
      </tp>
      <tp>
        <v>9799.4</v>
        <stp/>
        <stp>C</stp>
        <stp>0</stp>
        <stp>KR103501GF63</stp>
        <stp>세후단가</stp>
        <stp>46253</stp>
        <stp>3.615</stp>
        <stp>세전수익률</stp>
        <tr r="P19" s="1"/>
      </tp>
      <tp>
        <v>9824.2999999999993</v>
        <stp/>
        <stp>C</stp>
        <stp>0</stp>
        <stp>KR103501GFC3</stp>
        <stp>세후단가</stp>
        <stp>46253</stp>
        <stp>3.755</stp>
        <stp>세전수익률</stp>
        <tr r="H19" s="1"/>
      </tp>
      <tp>
        <v>9831.61</v>
        <stp/>
        <stp>C</stp>
        <stp>0</stp>
        <stp>KR103501GFC3</stp>
        <stp>세전단가</stp>
        <stp>46253</stp>
        <stp>3.755</stp>
        <stp>세전수익률</stp>
        <tr r="H18" s="1"/>
      </tp>
      <tp>
        <v>9805.49</v>
        <stp/>
        <stp>C</stp>
        <stp>0</stp>
        <stp>KR103501GF63</stp>
        <stp>세전단가</stp>
        <stp>46253</stp>
        <stp>3.615</stp>
        <stp>세전수익률</stp>
        <tr r="P18" s="1"/>
      </tp>
      <tp>
        <v>9963.7000000000007</v>
        <stp/>
        <stp>C</stp>
        <stp>0</stp>
        <stp>KR103503GG60</stp>
        <stp>세후단가</stp>
        <stp>46253</stp>
        <stp>4.383</stp>
        <stp>세전수익률</stp>
        <tr r="V19" s="1"/>
      </tp>
      <tp>
        <v>9975.07</v>
        <stp/>
        <stp>C</stp>
        <stp>0</stp>
        <stp>KR103503GG60</stp>
        <stp>세전단가</stp>
        <stp>46253</stp>
        <stp>4.383</stp>
        <stp>세전수익률</stp>
        <tr r="V18" s="1"/>
      </tp>
      <tp>
        <v>8855.2999999999993</v>
        <stp/>
        <stp>C</stp>
        <stp>0</stp>
        <stp>KR103502GF62</stp>
        <stp>세후단가</stp>
        <stp>46253</stp>
        <stp>4.255</stp>
        <stp>세전수익률</stp>
        <tr r="N19" s="1"/>
      </tp>
      <tp>
        <v>8862.35</v>
        <stp/>
        <stp>C</stp>
        <stp>0</stp>
        <stp>KR103502GF62</stp>
        <stp>세전단가</stp>
        <stp>46253</stp>
        <stp>4.255</stp>
        <stp>세전수익률</stp>
        <tr r="N1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3217</v>
        <stp/>
        <stp>C</stp>
        <stp>0</stp>
        <stp>KR103502GF62</stp>
        <stp>잔존일수</stp>
        <stp>46253</stp>
        <stp>4.255</stp>
        <stp>세전수익률</stp>
        <tr r="N28" s="1"/>
      </tp>
      <tp>
        <v>844</v>
        <stp/>
        <stp>C</stp>
        <stp>0</stp>
        <stp>KR103501GFC3</stp>
        <stp>잔존일수</stp>
        <stp>46253</stp>
        <stp>3.755</stp>
        <stp>세전수익률</stp>
        <tr r="H28" s="1"/>
      </tp>
      <tp>
        <v>661</v>
        <stp/>
        <stp>C</stp>
        <stp>0</stp>
        <stp>KR103501GF63</stp>
        <stp>잔존일수</stp>
        <stp>46253</stp>
        <stp>3.615</stp>
        <stp>세전수익률</stp>
        <tr r="P28" s="1"/>
      </tp>
      <tp>
        <v>0</v>
        <stp/>
        <stp>C</stp>
        <stp>0</stp>
        <stp>KR103503GG60</stp>
        <stp>세전수익률</stp>
        <stp>46253</stp>
        <stp>0</stp>
        <stp>세전수익률</stp>
        <tr r="F17" s="1"/>
      </tp>
      <tp>
        <v>3583</v>
        <stp/>
        <stp>C</stp>
        <stp>0</stp>
        <stp>KR103503GG60</stp>
        <stp>잔존일수</stp>
        <stp>46253</stp>
        <stp>4.383</stp>
        <stp>세전수익률</stp>
        <tr r="V28" s="1"/>
      </tp>
      <tp>
        <v>1483</v>
        <stp/>
        <stp>C</stp>
        <stp>0</stp>
        <stp>KR103503GF95</stp>
        <stp>잔존일수</stp>
        <stp>46253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3.5030000000000001</v>
        <stp/>
        <stp>P</stp>
        <stp>0</stp>
        <stp>BND</stp>
        <stp>KR103501GEC6</stp>
        <stp>민평3사 수익률(산출일)</stp>
        <stp/>
        <stp/>
        <tr r="J14" s="1"/>
      </tp>
      <tp>
        <v>4.25</v>
        <stp/>
        <stp>P</stp>
        <stp>0</stp>
        <stp>BND</stp>
        <stp>KR103502GE63</stp>
        <stp>민평3사 수익률(산출일)</stp>
        <stp/>
        <stp/>
        <tr r="T14" s="1"/>
      </tp>
      <tp>
        <v>3.718</v>
        <stp/>
        <stp>P</stp>
        <stp>0</stp>
        <stp>BND</stp>
        <stp>KR103501GFC3</stp>
        <stp>민평3사 수익률(산출일)</stp>
        <stp/>
        <stp/>
        <tr r="H14" s="1"/>
      </tp>
      <tp>
        <v>4.3</v>
        <stp/>
        <stp>P</stp>
        <stp>0</stp>
        <stp>BND</stp>
        <stp>KR103502GFC1</stp>
        <stp>민평3사 수익률(산출일)</stp>
        <stp/>
        <stp/>
        <tr r="L14" s="1"/>
      </tp>
      <tp>
        <v>3.9950000000000001</v>
        <stp/>
        <stp>P</stp>
        <stp>0</stp>
        <stp>BND</stp>
        <stp>KR103503GF95</stp>
        <stp>민평3사 수익률(산출일)</stp>
        <stp/>
        <stp/>
        <tr r="X14" s="1"/>
      </tp>
      <tp>
        <v>3.64</v>
        <stp/>
        <stp>P</stp>
        <stp>0</stp>
        <stp>BND</stp>
        <stp>KR103501GF63</stp>
        <stp>민평3사 수익률(산출일)</stp>
        <stp/>
        <stp/>
        <tr r="P14" s="1"/>
      </tp>
      <tp>
        <v>4.274</v>
        <stp/>
        <stp>P</stp>
        <stp>0</stp>
        <stp>BND</stp>
        <stp>KR103502GF62</stp>
        <stp>민평3사 수익률(산출일)</stp>
        <stp/>
        <stp/>
        <tr r="N14" s="1"/>
      </tp>
      <tp>
        <v>4.3099999999999996</v>
        <stp/>
        <stp>P</stp>
        <stp>0</stp>
        <stp>BND</stp>
        <stp>KR103503GG60</stp>
        <stp>민평3사 수익률(산출일)</stp>
        <stp/>
        <stp/>
        <tr r="V14" s="1"/>
        <tr r="F14" s="1"/>
      </tp>
      <tp>
        <v>4.0430000000000001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F13" s="1"/>
        <tr r="V13" s="1"/>
      </tp>
      <tp>
        <v>6.9659000000000004</v>
        <stp/>
        <stp>C</stp>
        <stp>0</stp>
        <stp>KR103502GE63</stp>
        <stp>MacDuration</stp>
        <stp>46253</stp>
        <stp>4.3</stp>
        <stp>세전수익률</stp>
        <tr r="T24" s="1"/>
      </tp>
      <tp>
        <v>6.6787000000000001</v>
        <stp/>
        <stp>C</stp>
        <stp>0</stp>
        <stp>KR103502GE63</stp>
        <stp>ModDuration</stp>
        <stp>46253</stp>
        <stp>4.3</stp>
        <stp>세전수익률</stp>
        <tr r="T25" s="1"/>
      </tp>
      <tp>
        <v>8.1592000000000002</v>
        <stp/>
        <stp>C</stp>
        <stp>0</stp>
        <stp>KR103502GFC1</stp>
        <stp>MacDuration</stp>
        <stp>46253</stp>
        <stp>4.3</stp>
        <stp>세전수익률</stp>
        <tr r="L24" s="1"/>
      </tp>
      <tp>
        <v>7.8228</v>
        <stp/>
        <stp>C</stp>
        <stp>0</stp>
        <stp>KR103502GFC1</stp>
        <stp>ModDuration</stp>
        <stp>46253</stp>
        <stp>4.3</stp>
        <stp>세전수익률</stp>
        <tr r="L25" s="1"/>
      </tp>
      <tp>
        <v>9779.0149000000001</v>
        <stp/>
        <stp>C</stp>
        <stp>0</stp>
        <stp>KR103501GFC3</stp>
        <stp>Cleanprice</stp>
        <stp>46253</stp>
        <stp>3.755</stp>
        <stp>세전수익률</stp>
        <tr r="H22" s="1"/>
      </tp>
      <tp>
        <v>66.969099999999997</v>
        <stp/>
        <stp>C</stp>
        <stp>0</stp>
        <stp>KR103502GF62</stp>
        <stp>Convexity</stp>
        <stp>46253</stp>
        <stp>4.255</stp>
        <stp>세전수익률</stp>
        <tr r="N27" s="1"/>
      </tp>
      <tp>
        <v>3.8849999999999998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4.3689999999999998</v>
        <stp/>
        <stp>P</stp>
        <stp>0</stp>
        <stp>FUT</stp>
        <stp>A6769000</stp>
        <stp>국채수익률</stp>
        <stp/>
        <stp/>
        <tr r="C6" s="2"/>
      </tp>
      <tp>
        <v>6.0118999999999998</v>
        <stp/>
        <stp>C</stp>
        <stp>0</stp>
        <stp>KR103501GFC3</stp>
        <stp>Convexity</stp>
        <stp>46253</stp>
        <stp>3.755</stp>
        <stp>세전수익률</stp>
        <tr r="H27" s="1"/>
      </tp>
      <tp>
        <v>9254.1</v>
        <stp/>
        <stp>C</stp>
        <stp>0</stp>
        <stp>KR103502GFC1</stp>
        <stp>세후단가</stp>
        <stp>46253</stp>
        <stp>4.3</stp>
        <stp>세전수익률</stp>
        <tr r="L19" s="1"/>
      </tp>
      <tp>
        <v>74.225700000000003</v>
        <stp/>
        <stp>C</stp>
        <stp>0</stp>
        <stp>KR103503GG60</stp>
        <stp>Convexity</stp>
        <stp>46253</stp>
        <stp>4.383</stp>
        <stp>세전수익률</stp>
        <tr r="V27" s="1"/>
      </tp>
      <tp>
        <v>3.9333999999999998</v>
        <stp/>
        <stp>C</stp>
        <stp>0</stp>
        <stp>KR103501GF63</stp>
        <stp>Convexity</stp>
        <stp>46253</stp>
        <stp>3.615</stp>
        <stp>세전수익률</stp>
        <tr r="P27" s="1"/>
      </tp>
      <tp>
        <v>16.566400000000002</v>
        <stp/>
        <stp>C</stp>
        <stp>0</stp>
        <stp>KR103503GF95</stp>
        <stp>Convexity</stp>
        <stp>46253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V10" s="1"/>
        <tr r="F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50.204900000000002</v>
        <stp/>
        <stp>C</stp>
        <stp>0</stp>
        <stp>KR103502GF62</stp>
        <stp>경과이자</stp>
        <stp>46253</stp>
        <stp>4.255</stp>
        <stp>세전수익률</stp>
        <tr r="N20" s="1"/>
      </tp>
      <tp>
        <v>4.1100000000000003</v>
        <stp/>
        <stp>C</stp>
        <stp>0</stp>
        <stp>KR103501GEC6</stp>
        <stp>세전수익률</stp>
        <stp>46253</stp>
        <stp>4.11</stp>
        <stp>세전수익률</stp>
        <tr r="J17" s="1"/>
      </tp>
      <tp>
        <v>4.1100000000000003</v>
        <stp/>
        <stp>C</stp>
        <stp>0</stp>
        <stp>KR103503GG37</stp>
        <stp>세전수익률</stp>
        <stp>46253</stp>
        <stp>4.11</stp>
        <stp>세전수익률</stp>
        <tr r="R17" s="1"/>
      </tp>
      <tp>
        <v>19.908999999999999</v>
        <stp/>
        <stp>C</stp>
        <stp>0</stp>
        <stp>KR103503GG37</stp>
        <stp>Convexity</stp>
        <stp>46253</stp>
        <stp>4.11</stp>
        <stp>세전수익률</stp>
        <tr r="R27" s="1"/>
      </tp>
      <tp>
        <v>2.226</v>
        <stp/>
        <stp>C</stp>
        <stp>0</stp>
        <stp>KR103501GEC6</stp>
        <stp>Convexity</stp>
        <stp>46253</stp>
        <stp>4.11</stp>
        <stp>세전수익률</stp>
        <tr r="J27" s="1"/>
      </tp>
      <tp>
        <v>21625.609356000001</v>
        <stp/>
        <stp>C</stp>
        <stp>0</stp>
        <stp>KR103501GFC3</stp>
        <stp>금액Duration</stp>
        <stp>46253</stp>
        <stp>3.755</stp>
        <stp>세전수익률</stp>
        <tr r="H23" s="1"/>
      </tp>
      <tp>
        <v>110.0543</v>
        <stp/>
        <stp>C</stp>
        <stp>0</stp>
        <stp>KR103503GF95</stp>
        <stp>경과이자</stp>
        <stp>46253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81.284099999999995</v>
        <stp/>
        <stp>C</stp>
        <stp>0</stp>
        <stp>KR103503GG60</stp>
        <stp>경과이자</stp>
        <stp>46253</stp>
        <stp>4.383</stp>
        <stp>세전수익률</stp>
        <tr r="V20" s="1"/>
      </tp>
      <tp>
        <v>52.595599999999997</v>
        <stp/>
        <stp>C</stp>
        <stp>0</stp>
        <stp>KR103501GFC3</stp>
        <stp>경과이자</stp>
        <stp>46253</stp>
        <stp>3.755</stp>
        <stp>세전수익률</stp>
        <tr r="H20" s="1"/>
      </tp>
      <tp>
        <v>43.032699999999998</v>
        <stp/>
        <stp>C</stp>
        <stp>0</stp>
        <stp>KR103501GF63</stp>
        <stp>경과이자</stp>
        <stp>46253</stp>
        <stp>3.615</stp>
        <stp>세전수익률</stp>
        <tr r="P20" s="1"/>
      </tp>
      <tp>
        <v>3.8490000000000002</v>
        <stp/>
        <stp>P</stp>
        <stp>0</stp>
        <stp>BND</stp>
        <stp>KR103501GG62</stp>
        <stp>장내국채-현재수익률</stp>
        <stp/>
        <stp/>
        <tr r="J41" s="2"/>
      </tp>
      <tp>
        <v>4.383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105.07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103.13</v>
        <stp/>
        <stp>P</stp>
        <stp>0</stp>
        <stp>FUT</stp>
        <stp>A6569000</stp>
        <stp>선물호가_현재가</stp>
        <stp/>
        <stp/>
        <tr r="E5" s="2"/>
        <tr r="C42" s="2"/>
      </tp>
      <tp>
        <v>4.7510000000000003</v>
        <stp/>
        <stp>P</stp>
        <stp>0</stp>
        <stp>BND</stp>
        <stp>KR103501GG39</stp>
        <stp>장내국채-현재수익률</stp>
        <stp/>
        <stp/>
        <tr r="C11" s="2"/>
      </tp>
      <tp>
        <v>4.1100000000000003</v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81.284099999999995</v>
        <stp/>
        <stp>C</stp>
        <stp>0</stp>
        <stp>KR103503GG60</stp>
        <stp>경과이자</stp>
        <stp>46253</stp>
        <stp>0</stp>
        <stp>세전수익률</stp>
        <tr r="F20" s="1"/>
      </tp>
      <tp>
        <v>9843.3652000000002</v>
        <stp/>
        <stp>C</stp>
        <stp>0</stp>
        <stp>KR103501GEC6</stp>
        <stp>Cleanprice</stp>
        <stp>46253</stp>
        <stp>4.11</stp>
        <stp>세전수익률</stp>
        <tr r="J22" s="1"/>
      </tp>
      <tp>
        <v>9696.8094999999994</v>
        <stp/>
        <stp>C</stp>
        <stp>0</stp>
        <stp>KR103503GG37</stp>
        <stp>Cleanprice</stp>
        <stp>46253</stp>
        <stp>4.11</stp>
        <stp>세전수익률</stp>
        <tr r="R22" s="1"/>
      </tp>
      <tp>
        <v>9473.1566999999995</v>
        <stp/>
        <stp>C</stp>
        <stp>0</stp>
        <stp>KR103502GE63</stp>
        <stp>Cleanprice</stp>
        <stp>46253</stp>
        <stp>4.3</stp>
        <stp>세전수익률</stp>
        <tr r="T22" s="1"/>
      </tp>
      <tp>
        <v>9200.5704999999998</v>
        <stp/>
        <stp>C</stp>
        <stp>0</stp>
        <stp>KR103502GFC1</stp>
        <stp>Cleanprice</stp>
        <stp>46253</stp>
        <stp>4.3</stp>
        <stp>세전수익률</stp>
        <tr r="L22" s="1"/>
      </tp>
      <tp>
        <v>22033.7271</v>
        <stp/>
        <stp>C</stp>
        <stp>0</stp>
        <stp>KR103501GEC6</stp>
        <stp>금액Convexity</stp>
        <stp>46253</stp>
        <stp>4.11</stp>
        <stp>세전수익률</stp>
        <tr r="J26" s="1"/>
      </tp>
      <tp>
        <v>1.2874000000000001</v>
        <stp/>
        <stp>C</stp>
        <stp>0</stp>
        <stp>KR103501GEC6</stp>
        <stp>MacDuration</stp>
        <stp>46253</stp>
        <stp>4.11</stp>
        <stp>세전수익률</stp>
        <tr r="J24" s="1"/>
      </tp>
      <tp>
        <v>7.2461000000000002</v>
        <stp/>
        <stp>C</stp>
        <stp>0</stp>
        <stp>KR103502GFC1</stp>
        <stp>bpv</stp>
        <stp>46253</stp>
        <stp>4.3</stp>
        <stp>세전수익률</stp>
        <tr r="L29" s="1"/>
      </tp>
      <tp>
        <v>6.3715000000000002</v>
        <stp/>
        <stp>C</stp>
        <stp>0</stp>
        <stp>KR103502GE63</stp>
        <stp>bpv</stp>
        <stp>46253</stp>
        <stp>4.3</stp>
        <stp>세전수익률</stp>
        <tr r="T29" s="1"/>
      </tp>
      <tp>
        <v>9.3000000000000007</v>
        <stp/>
        <stp>C</stp>
        <stp>0</stp>
        <stp>KR103502GE63</stp>
        <stp>경과세금</stp>
        <stp>46253</stp>
        <stp>4.3</stp>
        <stp>세전수익률</stp>
        <tr r="T21" s="1"/>
      </tp>
      <tp>
        <v>66.939800000000005</v>
        <stp/>
        <stp>C</stp>
        <stp>0</stp>
        <stp>KR103502GE63</stp>
        <stp>경과이자</stp>
        <stp>46253</stp>
        <stp>4.3</stp>
        <stp>세전수익률</stp>
        <tr r="T20" s="1"/>
      </tp>
      <tp>
        <v>81.824399999999997</v>
        <stp/>
        <stp>C</stp>
        <stp>0</stp>
        <stp>KR103503GG60</stp>
        <stp>Convexity</stp>
        <stp>46253</stp>
        <stp>0</stp>
        <stp>세전수익률</stp>
        <tr r="F27" s="1"/>
      </tp>
      <tp>
        <v>51.9559</v>
        <stp/>
        <stp>C</stp>
        <stp>0</stp>
        <stp>KR103502GE63</stp>
        <stp>Convexity</stp>
        <stp>46253</stp>
        <stp>4.3</stp>
        <stp>세전수익률</stp>
        <tr r="T27" s="1"/>
      </tp>
      <tp>
        <v>1.2485999999999999</v>
        <stp/>
        <stp>C</stp>
        <stp>0</stp>
        <stp>KR103501GEC6</stp>
        <stp>bpv</stp>
        <stp>46253</stp>
        <stp>4.11</stp>
        <stp>세전수익률</stp>
        <tr r="J29" s="1"/>
      </tp>
      <tp>
        <v>71.396000000000001</v>
        <stp/>
        <stp>C</stp>
        <stp>0</stp>
        <stp>KR103502GFC1</stp>
        <stp>Convexity</stp>
        <stp>46253</stp>
        <stp>4.3</stp>
        <stp>세전수익률</stp>
        <tr r="L27" s="1"/>
      </tp>
      <tp>
        <v>1.2615000000000001</v>
        <stp/>
        <stp>C</stp>
        <stp>0</stp>
        <stp>KR103501GEC6</stp>
        <stp>ModDuration</stp>
        <stp>46253</stp>
        <stp>4.11</stp>
        <stp>세전수익률</stp>
        <tr r="J25" s="1"/>
      </tp>
      <tp>
        <v>14168.7158</v>
        <stp/>
        <stp>C</stp>
        <stp>0</stp>
        <stp>KR103503GG60</stp>
        <stp>Cleanprice</stp>
        <stp>46253</stp>
        <stp>0</stp>
        <stp>세전수익률</stp>
        <tr r="F22" s="1"/>
      </tp>
      <tp>
        <v>4.2794999999999996</v>
        <stp/>
        <stp>C</stp>
        <stp>0</stp>
        <stp>KR103503GG37</stp>
        <stp>MacDuration</stp>
        <stp>46253</stp>
        <stp>4.11</stp>
        <stp>세전수익률</stp>
        <tr r="R24" s="1"/>
      </tp>
      <tp>
        <v>62.1584</v>
        <stp/>
        <stp>C</stp>
        <stp>0</stp>
        <stp>KR103502GFC1</stp>
        <stp>경과이자</stp>
        <stp>46253</stp>
        <stp>4.3</stp>
        <stp>세전수익률</stp>
        <tr r="L20" s="1"/>
      </tp>
      <tp>
        <v>8.6</v>
        <stp/>
        <stp>C</stp>
        <stp>0</stp>
        <stp>KR103502GFC1</stp>
        <stp>경과세금</stp>
        <stp>46253</stp>
        <stp>4.3</stp>
        <stp>세전수익률</stp>
        <tr r="L21" s="1"/>
      </tp>
      <tp>
        <v>3.6034000000000002</v>
        <stp/>
        <stp>C</stp>
        <stp>0</stp>
        <stp>KR103503GF95</stp>
        <stp>bpv</stp>
        <stp>46253</stp>
        <stp>3.927</stp>
        <stp>세전수익률</stp>
        <tr r="X29" s="1"/>
      </tp>
      <tp>
        <v>6.7735000000000003</v>
        <stp/>
        <stp>C</stp>
        <stp>0</stp>
        <stp>KR103502GF62</stp>
        <stp>bpv</stp>
        <stp>46253</stp>
        <stp>4.255</stp>
        <stp>세전수익률</stp>
        <tr r="N29" s="1"/>
      </tp>
      <tp>
        <v>4.0469999999999997</v>
        <stp/>
        <stp>C</stp>
        <stp>0</stp>
        <stp>KR103503GG37</stp>
        <stp>bpv</stp>
        <stp>46253</stp>
        <stp>4.11</stp>
        <stp>세전수익률</stp>
        <tr r="R29" s="1"/>
      </tp>
      <tp>
        <v>9845.3799999999992</v>
        <stp/>
        <stp>C</stp>
        <stp>0</stp>
        <stp>KR103503GG37</stp>
        <stp>세전단가</stp>
        <stp>46253</stp>
        <stp>4.11</stp>
        <stp>세전수익률</stp>
        <tr r="R18" s="1"/>
      </tp>
      <tp>
        <v>9824.6</v>
        <stp/>
        <stp>C</stp>
        <stp>0</stp>
        <stp>KR103503GG37</stp>
        <stp>세후단가</stp>
        <stp>46253</stp>
        <stp>4.11</stp>
        <stp>세전수익률</stp>
        <tr r="R19" s="1"/>
      </tp>
      <tp>
        <v>2.1625000000000001</v>
        <stp/>
        <stp>C</stp>
        <stp>0</stp>
        <stp>KR103501GFC3</stp>
        <stp>bpv</stp>
        <stp>46253</stp>
        <stp>3.755</stp>
        <stp>세전수익률</stp>
        <tr r="H29" s="1"/>
      </tp>
      <tp>
        <v>1.7097</v>
        <stp/>
        <stp>C</stp>
        <stp>0</stp>
        <stp>KR103501GF63</stp>
        <stp>bpv</stp>
        <stp>46253</stp>
        <stp>3.615</stp>
        <stp>세전수익률</stp>
        <tr r="P29" s="1"/>
      </tp>
      <tp>
        <v>7.8548</v>
        <stp/>
        <stp>C</stp>
        <stp>0</stp>
        <stp>KR103503GG60</stp>
        <stp>bpv</stp>
        <stp>46253</stp>
        <stp>4.383</stp>
        <stp>세전수익률</stp>
        <tr r="V29" s="1"/>
      </tp>
      <tp>
        <v>9898.35</v>
        <stp/>
        <stp>C</stp>
        <stp>0</stp>
        <stp>KR103501GEC6</stp>
        <stp>세전단가</stp>
        <stp>46253</stp>
        <stp>4.11</stp>
        <stp>세전수익률</stp>
        <tr r="J18" s="1"/>
      </tp>
      <tp>
        <v>9890.7000000000007</v>
        <stp/>
        <stp>C</stp>
        <stp>0</stp>
        <stp>KR103501GEC6</stp>
        <stp>세후단가</stp>
        <stp>46253</stp>
        <stp>4.11</stp>
        <stp>세전수익률</stp>
        <tr r="J19" s="1"/>
      </tp>
      <tp>
        <v>4.1105999999999998</v>
        <stp/>
        <stp>C</stp>
        <stp>0</stp>
        <stp>KR103503GG37</stp>
        <stp>ModDuration</stp>
        <stp>46253</stp>
        <stp>4.11</stp>
        <stp>세전수익률</stp>
        <tr r="R25" s="1"/>
      </tp>
      <tp>
        <v>1165997.7</v>
        <stp/>
        <stp>C</stp>
        <stp>0</stp>
        <stp>KR103503GG60</stp>
        <stp>금액Convexity</stp>
        <stp>46253</stp>
        <stp>0</stp>
        <stp>세전수익률</stp>
        <tr r="F26" s="1"/>
      </tp>
      <tp>
        <v>7.9682000000000004</v>
        <stp/>
        <stp>C</stp>
        <stp>0</stp>
        <stp>KR103502GF62</stp>
        <stp>MacDuration</stp>
        <stp>46253</stp>
        <stp>4.255</stp>
        <stp>세전수익률</stp>
        <tr r="N24" s="1"/>
      </tp>
      <tp>
        <v>3.9095</v>
        <stp/>
        <stp>C</stp>
        <stp>0</stp>
        <stp>KR103503GF95</stp>
        <stp>MacDuration</stp>
        <stp>46253</stp>
        <stp>3.927</stp>
        <stp>세전수익률</stp>
        <tr r="X24" s="1"/>
      </tp>
      <tp>
        <v>1.7436</v>
        <stp/>
        <stp>C</stp>
        <stp>0</stp>
        <stp>KR103501GF63</stp>
        <stp>ModDuration</stp>
        <stp>46253</stp>
        <stp>3.615</stp>
        <stp>세전수익률</stp>
        <tr r="P25" s="1"/>
      </tp>
      <tp>
        <v>2.1996000000000002</v>
        <stp/>
        <stp>C</stp>
        <stp>0</stp>
        <stp>KR103501GFC3</stp>
        <stp>ModDuration</stp>
        <stp>46253</stp>
        <stp>3.755</stp>
        <stp>세전수익률</stp>
        <tr r="H25" s="1"/>
      </tp>
      <tp>
        <v>7.8743999999999996</v>
        <stp/>
        <stp>C</stp>
        <stp>0</stp>
        <stp>KR103503GG60</stp>
        <stp>ModDuration</stp>
        <stp>46253</stp>
        <stp>4.383</stp>
        <stp>세전수익률</stp>
        <tr r="V25" s="1"/>
      </tp>
      <tp>
        <v>1.7750999999999999</v>
        <stp/>
        <stp>C</stp>
        <stp>0</stp>
        <stp>KR103501GF63</stp>
        <stp>MacDuration</stp>
        <stp>46253</stp>
        <stp>3.615</stp>
        <stp>세전수익률</stp>
        <tr r="P24" s="1"/>
      </tp>
      <tp>
        <v>2.2822</v>
        <stp/>
        <stp>C</stp>
        <stp>0</stp>
        <stp>KR103501GFC3</stp>
        <stp>MacDuration</stp>
        <stp>46253</stp>
        <stp>3.755</stp>
        <stp>세전수익률</stp>
        <tr r="H24" s="1"/>
      </tp>
      <tp>
        <v>8.2195999999999998</v>
        <stp/>
        <stp>C</stp>
        <stp>0</stp>
        <stp>KR103503GG60</stp>
        <stp>MacDuration</stp>
        <stp>46253</stp>
        <stp>4.383</stp>
        <stp>세전수익률</stp>
        <tr r="V24" s="1"/>
      </tp>
      <tp>
        <v>3.7618</v>
        <stp/>
        <stp>C</stp>
        <stp>0</stp>
        <stp>KR103503GF95</stp>
        <stp>ModDuration</stp>
        <stp>46253</stp>
        <stp>3.927</stp>
        <stp>세전수익률</stp>
        <tr r="X25" s="1"/>
      </tp>
      <tp>
        <v>7.6429999999999998</v>
        <stp/>
        <stp>C</stp>
        <stp>0</stp>
        <stp>KR103502GF62</stp>
        <stp>ModDuration</stp>
        <stp>46253</stp>
        <stp>4.255</stp>
        <stp>세전수익률</stp>
        <tr r="N25" s="1"/>
      </tp>
      <tp>
        <v>119587.425</v>
        <stp/>
        <stp>C</stp>
        <stp>0</stp>
        <stp>KR103503GG60</stp>
        <stp>금액Duration</stp>
        <stp>46253</stp>
        <stp>0</stp>
        <stp>세전수익률</stp>
        <tr r="F23" s="1"/>
      </tp>
      <tp>
        <v>196011.67042000001</v>
        <stp/>
        <stp>C</stp>
        <stp>0</stp>
        <stp>KR103503GG37</stp>
        <stp>금액Convexity</stp>
        <stp>46253</stp>
        <stp>4.11</stp>
        <stp>세전수익률</stp>
        <tr r="R26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78547.691208000004</v>
        <stp/>
        <stp>C</stp>
        <stp>0</stp>
        <stp>KR103503GG60</stp>
        <stp>금액Duration</stp>
        <stp>46253</stp>
        <stp>4.383</stp>
        <stp>세전수익률</stp>
        <tr r="V23" s="1"/>
      </tp>
      <tp>
        <v>17096.852363999998</v>
        <stp/>
        <stp>C</stp>
        <stp>0</stp>
        <stp>KR103501GF63</stp>
        <stp>금액Duration</stp>
        <stp>46253</stp>
        <stp>3.615</stp>
        <stp>세전수익률</stp>
        <tr r="P23" s="1"/>
      </tp>
      <tp>
        <v>158689.71126400001</v>
        <stp/>
        <stp>C</stp>
        <stp>0</stp>
        <stp>KR103503GF95</stp>
        <stp>금액Convexity</stp>
        <stp>46253</stp>
        <stp>3.927</stp>
        <stp>세전수익률</stp>
        <tr r="X26" s="1"/>
      </tp>
      <tp>
        <v>593503.60338500002</v>
        <stp/>
        <stp>C</stp>
        <stp>0</stp>
        <stp>KR103502GF62</stp>
        <stp>금액Convexity</stp>
        <stp>46253</stp>
        <stp>4.255</stp>
        <stp>세전수익률</stp>
        <tr r="N26" s="1"/>
      </tp>
      <tp>
        <v>8.3920999999999992</v>
        <stp/>
        <stp>C</stp>
        <stp>0</stp>
        <stp>KR103503GG60</stp>
        <stp>MacDuration</stp>
        <stp>46253</stp>
        <stp>0</stp>
        <stp>세전수익률</stp>
        <tr r="F24" s="1"/>
      </tp>
      <tp>
        <v>8.3920999999999992</v>
        <stp/>
        <stp>C</stp>
        <stp>0</stp>
        <stp>KR103503GG60</stp>
        <stp>ModDuration</stp>
        <stp>46253</stp>
        <stp>0</stp>
        <stp>세전수익률</stp>
        <tr r="F25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67734.941049999994</v>
        <stp/>
        <stp>C</stp>
        <stp>0</stp>
        <stp>KR103502GF62</stp>
        <stp>금액Duration</stp>
        <stp>46253</stp>
        <stp>4.255</stp>
        <stp>세전수익률</stp>
        <tr r="N23" s="1"/>
      </tp>
      <tp>
        <v>59106.656158999998</v>
        <stp/>
        <stp>C</stp>
        <stp>0</stp>
        <stp>KR103501GFC3</stp>
        <stp>금액Convexity</stp>
        <stp>46253</stp>
        <stp>3.755</stp>
        <stp>세전수익률</stp>
        <tr r="H26" s="1"/>
      </tp>
      <tp>
        <v>38568.914365999997</v>
        <stp/>
        <stp>C</stp>
        <stp>0</stp>
        <stp>KR103501GF63</stp>
        <stp>금액Convexity</stp>
        <stp>46253</stp>
        <stp>3.615</stp>
        <stp>세전수익률</stp>
        <tr r="P26" s="1"/>
      </tp>
      <tp>
        <v>740406.55329900002</v>
        <stp/>
        <stp>C</stp>
        <stp>0</stp>
        <stp>KR103503GG60</stp>
        <stp>금액Convexity</stp>
        <stp>46253</stp>
        <stp>4.383</stp>
        <stp>세전수익률</stp>
        <tr r="V26" s="1"/>
      </tp>
      <tp>
        <v>36034.319818000004</v>
        <stp/>
        <stp>C</stp>
        <stp>0</stp>
        <stp>KR103503GF95</stp>
        <stp>금액Duration</stp>
        <stp>46253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8812.1507000000001</v>
        <stp/>
        <stp>C</stp>
        <stp>0</stp>
        <stp>KR103502GF62</stp>
        <stp>Cleanprice</stp>
        <stp>46253</stp>
        <stp>4.255</stp>
        <stp>세전수익률</stp>
        <tr r="N22" s="1"/>
      </tp>
      <tp>
        <v>9762.4619999999995</v>
        <stp/>
        <stp>C</stp>
        <stp>0</stp>
        <stp>KR103501GF63</stp>
        <stp>Cleanprice</stp>
        <stp>46253</stp>
        <stp>3.615</stp>
        <stp>세전수익률</stp>
        <tr r="P22" s="1"/>
      </tp>
      <tp>
        <v>9893.7875000000004</v>
        <stp/>
        <stp>C</stp>
        <stp>0</stp>
        <stp>KR103503GG60</stp>
        <stp>Cleanprice</stp>
        <stp>46253</stp>
        <stp>4.383</stp>
        <stp>세전수익률</stp>
        <tr r="V22" s="1"/>
      </tp>
      <tp>
        <v>9530.7000000000007</v>
        <stp/>
        <stp>C</stp>
        <stp>0</stp>
        <stp>KR103502GE63</stp>
        <stp>세후단가</stp>
        <stp>46253</stp>
        <stp>4.3</stp>
        <stp>세전수익률</stp>
        <tr r="T19" s="1"/>
      </tp>
      <tp>
        <v>11.9587</v>
        <stp/>
        <stp>C</stp>
        <stp>0</stp>
        <stp>KR103503GG60</stp>
        <stp>bpv</stp>
        <stp>46253</stp>
        <stp>0</stp>
        <stp>세전수익률</stp>
        <tr r="F29" s="1"/>
      </tp>
      <tp>
        <v>9468.9609999999993</v>
        <stp/>
        <stp>C</stp>
        <stp>0</stp>
        <stp>KR103503GF95</stp>
        <stp>Cleanprice</stp>
        <stp>46253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100854</xdr:colOff>
      <xdr:row>0</xdr:row>
      <xdr:rowOff>56031</xdr:rowOff>
    </xdr:from>
    <xdr:to>
      <xdr:col>0</xdr:col>
      <xdr:colOff>806825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00854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941295</xdr:colOff>
      <xdr:row>0</xdr:row>
      <xdr:rowOff>56029</xdr:rowOff>
    </xdr:from>
    <xdr:to>
      <xdr:col>1</xdr:col>
      <xdr:colOff>859942</xdr:colOff>
      <xdr:row>1</xdr:row>
      <xdr:rowOff>211941</xdr:rowOff>
    </xdr:to>
    <xdr:sp macro="[0]!StartKBondWatcher" textlink="">
      <xdr:nvSpPr>
        <xdr:cNvPr id="5" name="빗면 4"/>
        <xdr:cNvSpPr/>
      </xdr:nvSpPr>
      <xdr:spPr>
        <a:xfrm>
          <a:off x="941295" y="56029"/>
          <a:ext cx="972000" cy="3240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1</xdr:col>
      <xdr:colOff>981634</xdr:colOff>
      <xdr:row>0</xdr:row>
      <xdr:rowOff>62752</xdr:rowOff>
    </xdr:from>
    <xdr:to>
      <xdr:col>2</xdr:col>
      <xdr:colOff>900281</xdr:colOff>
      <xdr:row>1</xdr:row>
      <xdr:rowOff>218664</xdr:rowOff>
    </xdr:to>
    <xdr:sp macro="[0]!StopKBondWatcher" textlink="">
      <xdr:nvSpPr>
        <xdr:cNvPr id="6" name="빗면 5"/>
        <xdr:cNvSpPr/>
      </xdr:nvSpPr>
      <xdr:spPr>
        <a:xfrm>
          <a:off x="2034987" y="62752"/>
          <a:ext cx="972000" cy="3240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D1" sqref="D1"/>
    </sheetView>
  </sheetViews>
  <sheetFormatPr defaultRowHeight="13.5" x14ac:dyDescent="0.25"/>
  <cols>
    <col min="1" max="10" width="15.71093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D1" s="349" t="s">
        <v>337</v>
      </c>
      <c r="E1" s="350" t="s">
        <v>336</v>
      </c>
      <c r="F1" s="342" t="s">
        <v>334</v>
      </c>
      <c r="G1" s="345" t="s">
        <v>335</v>
      </c>
      <c r="H1" s="345" t="s">
        <v>331</v>
      </c>
      <c r="I1" s="345" t="s">
        <v>332</v>
      </c>
      <c r="J1" s="343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thickBot="1" x14ac:dyDescent="0.3">
      <c r="A2" s="38"/>
      <c r="B2" s="39"/>
      <c r="C2" s="40"/>
      <c r="D2" s="351" t="str">
        <f>A41</f>
        <v>국고25-10</v>
      </c>
      <c r="E2" s="352">
        <v>10000000</v>
      </c>
      <c r="F2" s="344" t="s">
        <v>338</v>
      </c>
      <c r="G2" s="346" t="s">
        <v>339</v>
      </c>
      <c r="H2" s="346" t="s">
        <v>340</v>
      </c>
      <c r="I2" s="347">
        <v>6317674.5605582353</v>
      </c>
      <c r="J2" s="348" t="s">
        <v>341</v>
      </c>
      <c r="M2" s="38"/>
      <c r="N2" s="28">
        <f ca="1">TODAY()</f>
        <v>46252</v>
      </c>
      <c r="O2" s="28">
        <v>45953</v>
      </c>
      <c r="P2">
        <f ca="1">O2-N2</f>
        <v>-299</v>
      </c>
      <c r="Q2" s="30">
        <v>640000</v>
      </c>
      <c r="R2" s="41">
        <f>Q2-O5</f>
        <v>-207030.1369863014</v>
      </c>
      <c r="S2" s="30">
        <f ca="1">R2*P2</f>
        <v>61902010.958904117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419">
        <v>3.8849999999999998</v>
      </c>
      <c r="C5" s="420">
        <f>_xll.IMDP("FUT","A6569000","국채수익률")</f>
        <v>3.8849999999999998</v>
      </c>
      <c r="D5" s="60"/>
      <c r="E5" s="61">
        <f>_xll.IMDP("FUT","A6569000","선물호가_현재가")</f>
        <v>103.13</v>
      </c>
      <c r="F5" s="62"/>
      <c r="G5" s="63"/>
      <c r="H5" s="63"/>
      <c r="I5" s="64"/>
      <c r="J5" s="65"/>
      <c r="K5" s="44"/>
      <c r="L5" s="45"/>
      <c r="M5" s="62">
        <v>3.0916600000000001</v>
      </c>
      <c r="N5" s="66">
        <v>10000000000</v>
      </c>
      <c r="O5" s="67">
        <f>M5/100/365*N5</f>
        <v>847030.1369863014</v>
      </c>
      <c r="P5" s="68">
        <f ca="1">(M5/100-O88)/365*P66</f>
        <v>1.3746904109589064E-4</v>
      </c>
      <c r="Q5" s="30">
        <f ca="1">P5*50000000000</f>
        <v>6873452.0547945322</v>
      </c>
      <c r="R5" s="69">
        <v>1</v>
      </c>
      <c r="S5" s="70">
        <v>9285</v>
      </c>
      <c r="U5" s="71">
        <v>45400</v>
      </c>
      <c r="V5" s="71">
        <f>U5+1</f>
        <v>45401</v>
      </c>
      <c r="W5" s="58">
        <v>500</v>
      </c>
      <c r="X5" s="58">
        <v>10004.75</v>
      </c>
      <c r="Y5" s="71">
        <v>45429</v>
      </c>
      <c r="Z5" s="72">
        <v>10033.91</v>
      </c>
      <c r="AA5" s="58">
        <f>Y5-V5</f>
        <v>28</v>
      </c>
      <c r="AB5" s="73">
        <f>O26*AA5*W5</f>
        <v>118584219.1780822</v>
      </c>
      <c r="AC5" s="74"/>
      <c r="AD5" s="51"/>
    </row>
    <row r="6" spans="1:30" x14ac:dyDescent="0.25">
      <c r="A6" s="75" t="s">
        <v>104</v>
      </c>
      <c r="B6" s="419">
        <v>4.3689999999999998</v>
      </c>
      <c r="C6" s="421">
        <f>_xll.IMDP("FUT","A6769000","국채수익률")</f>
        <v>4.3689999999999998</v>
      </c>
      <c r="D6" s="60"/>
      <c r="E6" s="61">
        <f>_xll.IMDP("FUT","A6769000","선물호가_현재가")</f>
        <v>105.07</v>
      </c>
      <c r="F6" s="62"/>
      <c r="G6" s="63"/>
      <c r="H6" s="63"/>
      <c r="I6" s="77">
        <f>-I5/3</f>
        <v>0</v>
      </c>
      <c r="J6" s="78">
        <f>-J5/9</f>
        <v>0</v>
      </c>
      <c r="K6" s="44"/>
      <c r="L6" s="45"/>
      <c r="O6" s="79"/>
      <c r="Q6" s="80"/>
      <c r="R6" s="81">
        <v>2</v>
      </c>
      <c r="S6" s="82">
        <v>9277</v>
      </c>
      <c r="U6" s="71">
        <v>45401</v>
      </c>
      <c r="V6" s="71">
        <f>U6+3</f>
        <v>45404</v>
      </c>
      <c r="W6" s="58">
        <v>300</v>
      </c>
      <c r="X6" s="58">
        <v>10005.75</v>
      </c>
      <c r="Y6" s="71">
        <v>45429</v>
      </c>
      <c r="Z6" s="72">
        <v>10033.92</v>
      </c>
      <c r="AA6" s="58">
        <f>Y6-V6</f>
        <v>25</v>
      </c>
      <c r="AB6" s="73">
        <f>O26*AA6*W6</f>
        <v>63527260.273972616</v>
      </c>
      <c r="AC6" s="74"/>
      <c r="AD6" s="83"/>
    </row>
    <row r="7" spans="1:30" x14ac:dyDescent="0.25">
      <c r="A7" s="75" t="s">
        <v>105</v>
      </c>
      <c r="B7" s="84">
        <f>(B6-B5)*100</f>
        <v>48.4</v>
      </c>
      <c r="C7" s="58">
        <f>(C6-C5)*100</f>
        <v>48.4</v>
      </c>
      <c r="D7" s="85">
        <f>C7-B7</f>
        <v>0</v>
      </c>
      <c r="E7" s="86"/>
      <c r="F7" s="58">
        <f>(F6-F5)*100</f>
        <v>0</v>
      </c>
      <c r="G7" s="84">
        <f>C7-F7</f>
        <v>48.4</v>
      </c>
      <c r="H7" s="86" t="str">
        <f>IF(G7&gt;0,"스팁","플랫")</f>
        <v>스팁</v>
      </c>
      <c r="I7" s="87"/>
      <c r="J7" s="88">
        <f>J6-I6</f>
        <v>0</v>
      </c>
      <c r="K7" s="44"/>
      <c r="L7" s="45"/>
      <c r="R7" s="89" t="s">
        <v>106</v>
      </c>
      <c r="S7" s="90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1">
        <f>SUMPRODUCT(W5:W6,Z5:Z6)/W7</f>
        <v>10033.91375</v>
      </c>
      <c r="AA7" s="58"/>
      <c r="AB7" s="73">
        <f>SUM(AB5:AB6)</f>
        <v>182111479.4520548</v>
      </c>
      <c r="AC7" s="92">
        <f>(Z7-X7)*W7*10000-AB7</f>
        <v>48198520.547942877</v>
      </c>
    </row>
    <row r="8" spans="1:30" x14ac:dyDescent="0.25">
      <c r="A8" s="42" t="s">
        <v>107</v>
      </c>
      <c r="B8" s="58"/>
      <c r="C8" s="58"/>
      <c r="D8" s="85"/>
      <c r="E8" s="86"/>
      <c r="F8" s="93"/>
      <c r="G8" s="94"/>
      <c r="H8" s="95"/>
      <c r="I8" s="95"/>
      <c r="J8" s="96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7">
        <v>9285</v>
      </c>
      <c r="U8" s="93"/>
      <c r="V8" s="93"/>
      <c r="W8" s="93"/>
      <c r="X8" s="93"/>
      <c r="Y8" s="93"/>
      <c r="Z8" s="98"/>
      <c r="AA8" s="93"/>
      <c r="AB8" s="99"/>
      <c r="AC8" s="100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2"/>
      <c r="N9" s="62"/>
      <c r="O9" s="101">
        <f>D25</f>
        <v>4.3</v>
      </c>
      <c r="P9" s="102"/>
      <c r="R9" s="90" t="s">
        <v>116</v>
      </c>
      <c r="S9" s="90">
        <f>AVERAGE(S7:S8)</f>
        <v>9283</v>
      </c>
      <c r="T9" s="103"/>
      <c r="U9" s="93">
        <v>9495</v>
      </c>
      <c r="V9" s="93"/>
      <c r="W9" s="93"/>
      <c r="X9" s="93"/>
      <c r="Y9" s="93"/>
      <c r="Z9" s="98"/>
      <c r="AA9" s="93"/>
      <c r="AB9" s="99"/>
      <c r="AC9" s="100"/>
    </row>
    <row r="10" spans="1:30" x14ac:dyDescent="0.25">
      <c r="A10" s="75" t="s">
        <v>117</v>
      </c>
      <c r="B10" s="422">
        <f>B6</f>
        <v>4.3689999999999998</v>
      </c>
      <c r="C10" s="422">
        <f>C6</f>
        <v>4.3689999999999998</v>
      </c>
      <c r="D10" s="85"/>
      <c r="E10" s="86">
        <f>E6</f>
        <v>105.07</v>
      </c>
      <c r="F10" s="75">
        <f>F6</f>
        <v>0</v>
      </c>
      <c r="G10" s="104"/>
      <c r="H10" s="105">
        <f>C10</f>
        <v>4.3689999999999998</v>
      </c>
      <c r="I10" s="106">
        <v>-10.3</v>
      </c>
      <c r="J10" s="107"/>
      <c r="K10" s="44"/>
      <c r="L10" s="45"/>
      <c r="M10" s="58" t="s">
        <v>118</v>
      </c>
      <c r="N10" s="58">
        <f>N9-M9</f>
        <v>0</v>
      </c>
      <c r="O10" s="101">
        <f>O9-N10/0.09/100</f>
        <v>4.3</v>
      </c>
      <c r="P10" s="108">
        <f>(P9-O10)*100</f>
        <v>-430</v>
      </c>
      <c r="R10" s="109"/>
      <c r="U10" s="93"/>
      <c r="V10" s="93"/>
      <c r="W10" s="93"/>
      <c r="X10" s="93"/>
      <c r="Y10" s="93"/>
      <c r="Z10" s="98"/>
      <c r="AA10" s="93"/>
      <c r="AB10" s="99"/>
      <c r="AC10" s="100"/>
    </row>
    <row r="11" spans="1:30" x14ac:dyDescent="0.25">
      <c r="A11" s="110" t="s">
        <v>119</v>
      </c>
      <c r="B11" s="423">
        <v>4.7510000000000003</v>
      </c>
      <c r="C11" s="422">
        <f>_xll.IMDP("BND","KR103501GG39","장내국채-현재수익률")</f>
        <v>4.7510000000000003</v>
      </c>
      <c r="D11" s="111"/>
      <c r="E11" s="86">
        <f>_xll.IMDP("BND","KR103501GG39","장내국채-현재가격")</f>
        <v>8177</v>
      </c>
      <c r="F11" s="62"/>
      <c r="G11" s="63"/>
      <c r="H11" s="62">
        <v>2.8820000000000001</v>
      </c>
      <c r="I11" s="52" t="s">
        <v>120</v>
      </c>
      <c r="J11" s="112"/>
      <c r="K11" s="44"/>
      <c r="L11" s="45"/>
      <c r="Q11" s="113"/>
      <c r="R11" s="28">
        <v>46570</v>
      </c>
      <c r="S11" s="28">
        <v>46178</v>
      </c>
      <c r="U11" s="93"/>
      <c r="V11" s="93"/>
      <c r="W11" s="93"/>
      <c r="X11" s="93"/>
      <c r="Y11" s="93"/>
      <c r="Z11" s="98"/>
      <c r="AA11" s="93"/>
      <c r="AB11" s="99"/>
      <c r="AC11" s="100"/>
    </row>
    <row r="12" spans="1:30" ht="16.5" x14ac:dyDescent="0.25">
      <c r="A12" s="75" t="s">
        <v>121</v>
      </c>
      <c r="B12" s="114">
        <f>(B11-B10)*100</f>
        <v>38.20000000000006</v>
      </c>
      <c r="C12" s="84">
        <f>(C11-C10)*100</f>
        <v>38.20000000000006</v>
      </c>
      <c r="D12" s="85">
        <f>C12-B12</f>
        <v>0</v>
      </c>
      <c r="E12" s="86"/>
      <c r="F12" s="58">
        <f>(F11-F10)*100</f>
        <v>0</v>
      </c>
      <c r="G12" s="84">
        <f>C12-F12</f>
        <v>38.20000000000006</v>
      </c>
      <c r="H12" s="58">
        <f>(H11-H10)*100</f>
        <v>-148.69999999999996</v>
      </c>
      <c r="I12" s="84">
        <f>H12-B12</f>
        <v>-186.90000000000003</v>
      </c>
      <c r="J12" s="115">
        <f>I12*21*9</f>
        <v>-35324.100000000006</v>
      </c>
      <c r="K12" s="44"/>
      <c r="L12" s="45"/>
      <c r="Q12" s="113"/>
      <c r="R12" s="116">
        <f ca="1">TODAY()</f>
        <v>46252</v>
      </c>
      <c r="S12" s="30">
        <f>R11-S11</f>
        <v>392</v>
      </c>
      <c r="U12" s="93"/>
      <c r="V12" s="93"/>
      <c r="W12" s="93"/>
      <c r="X12" s="93"/>
      <c r="Y12" s="93"/>
      <c r="Z12" s="98"/>
      <c r="AA12" s="93"/>
      <c r="AB12" s="99"/>
      <c r="AC12" s="100"/>
    </row>
    <row r="13" spans="1:30" x14ac:dyDescent="0.25">
      <c r="A13" s="45"/>
      <c r="B13" s="93">
        <v>3.49</v>
      </c>
      <c r="C13" s="93">
        <f>(B13-C10)*100</f>
        <v>-87.899999999999949</v>
      </c>
      <c r="D13" s="117">
        <f>-(B12-C13)</f>
        <v>-126.10000000000001</v>
      </c>
      <c r="E13" s="95"/>
      <c r="F13" s="93">
        <f>180*1.3</f>
        <v>234</v>
      </c>
      <c r="G13" s="94">
        <f>8476-8456.73</f>
        <v>19.270000000000437</v>
      </c>
      <c r="H13" s="95">
        <f>G13*10</f>
        <v>192.70000000000437</v>
      </c>
      <c r="I13" s="95">
        <f>H13-1520</f>
        <v>-1327.2999999999956</v>
      </c>
      <c r="J13" s="96"/>
      <c r="K13" s="44"/>
      <c r="L13" s="45"/>
      <c r="M13" s="52" t="s">
        <v>122</v>
      </c>
      <c r="N13" s="118"/>
      <c r="O13" s="119" t="s">
        <v>123</v>
      </c>
      <c r="P13" s="119" t="s">
        <v>124</v>
      </c>
      <c r="Q13" s="119" t="s">
        <v>125</v>
      </c>
      <c r="R13" s="120"/>
      <c r="S13" s="30"/>
      <c r="U13" s="50" t="s">
        <v>126</v>
      </c>
    </row>
    <row r="14" spans="1:30" x14ac:dyDescent="0.25">
      <c r="A14" s="44"/>
      <c r="B14" s="44"/>
      <c r="C14" s="44"/>
      <c r="D14" s="121"/>
      <c r="E14" s="44"/>
      <c r="F14" s="44"/>
      <c r="G14" s="44"/>
      <c r="H14" s="122"/>
      <c r="I14" s="37"/>
      <c r="J14" s="37"/>
      <c r="M14" s="58" t="s">
        <v>127</v>
      </c>
      <c r="N14" s="102"/>
      <c r="O14" s="123">
        <f>Q14-0.031</f>
        <v>4.3520000000000003</v>
      </c>
      <c r="P14" s="124">
        <f>Q14-0.009</f>
        <v>4.3739999999999997</v>
      </c>
      <c r="Q14" s="125">
        <f>_xll.IMDP("BND","KR103503GG60","장내국채-현재수익률")</f>
        <v>4.383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6" t="s">
        <v>129</v>
      </c>
    </row>
    <row r="15" spans="1:30" x14ac:dyDescent="0.25">
      <c r="B15" s="127"/>
      <c r="C15" s="80"/>
      <c r="G15">
        <v>200</v>
      </c>
      <c r="H15" s="128">
        <v>4.0000000000000001E-3</v>
      </c>
      <c r="I15">
        <f>G15*H15/4</f>
        <v>0.2</v>
      </c>
      <c r="O15" s="90"/>
      <c r="P15" s="120"/>
      <c r="Q15" s="30"/>
      <c r="R15" s="129"/>
      <c r="S15" s="30"/>
      <c r="T15" s="128"/>
      <c r="U15" s="71">
        <v>46037</v>
      </c>
      <c r="V15" s="71">
        <v>46038</v>
      </c>
      <c r="W15" s="58">
        <v>100</v>
      </c>
      <c r="X15" s="58">
        <v>10057.5</v>
      </c>
      <c r="Y15" s="130"/>
      <c r="Z15" s="131"/>
      <c r="AA15" s="58">
        <f t="shared" ref="AA15" si="0">Y15-V15</f>
        <v>-46038</v>
      </c>
      <c r="AB15" s="67">
        <f>O26*AA15*$W$15</f>
        <v>-38995573446.575348</v>
      </c>
      <c r="AC15" s="132">
        <f>($Z$15-$X$15)*W15*10000-AB15</f>
        <v>28938073446.575348</v>
      </c>
      <c r="AD15" s="133"/>
    </row>
    <row r="16" spans="1:30" ht="16.5" x14ac:dyDescent="0.25">
      <c r="A16" s="50" t="s">
        <v>130</v>
      </c>
      <c r="B16" s="127"/>
      <c r="F16">
        <f>E20*1.5</f>
        <v>123</v>
      </c>
      <c r="J16" s="134"/>
      <c r="M16" s="135" t="s">
        <v>131</v>
      </c>
      <c r="T16" s="90"/>
      <c r="U16" s="71"/>
      <c r="V16" s="71"/>
      <c r="W16" s="58"/>
      <c r="X16" s="58"/>
      <c r="Y16" s="71"/>
      <c r="Z16" s="91"/>
      <c r="AA16" s="58"/>
      <c r="AB16" s="67">
        <f>$O$26*$AA$15*W16</f>
        <v>0</v>
      </c>
      <c r="AC16" s="132">
        <f>($Z$15-$X$15)*W16*10000-AB16</f>
        <v>0</v>
      </c>
    </row>
    <row r="17" spans="1:30" x14ac:dyDescent="0.25">
      <c r="C17" t="s">
        <v>132</v>
      </c>
      <c r="D17" s="136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6" t="s">
        <v>138</v>
      </c>
      <c r="U17" s="71"/>
      <c r="V17" s="71"/>
      <c r="W17" s="58"/>
      <c r="X17" s="58"/>
      <c r="Y17" s="71"/>
      <c r="Z17" s="91"/>
      <c r="AA17" s="58"/>
      <c r="AB17" s="67"/>
      <c r="AC17" s="132"/>
      <c r="AD17" s="133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1">
        <v>100</v>
      </c>
      <c r="J18" s="137">
        <v>88</v>
      </c>
      <c r="M18" s="58" t="s">
        <v>140</v>
      </c>
      <c r="N18" s="138">
        <f>B25</f>
        <v>9261.5</v>
      </c>
      <c r="O18" s="139">
        <v>9320.9</v>
      </c>
      <c r="P18" s="140"/>
      <c r="Q18" s="141">
        <v>-150</v>
      </c>
      <c r="R18" s="142">
        <f>(O18-N18)*Q18*10000</f>
        <v>-89099999.999999449</v>
      </c>
      <c r="S18" s="353">
        <f>R21/10000/Q19</f>
        <v>62.387602739727463</v>
      </c>
      <c r="T18">
        <v>2</v>
      </c>
      <c r="U18" s="71"/>
      <c r="V18" s="71"/>
      <c r="W18" s="58"/>
      <c r="X18" s="58"/>
      <c r="Y18" s="130"/>
      <c r="Z18" s="143"/>
      <c r="AA18" s="58"/>
      <c r="AB18" s="67"/>
      <c r="AC18" s="132"/>
    </row>
    <row r="19" spans="1:30" ht="17.25" x14ac:dyDescent="0.25">
      <c r="A19" s="105" t="s">
        <v>141</v>
      </c>
      <c r="B19" s="144">
        <v>8861.5</v>
      </c>
      <c r="C19" s="418">
        <f ca="1">ROUNDDOWN(채권단가계산표!N18,0)-0.5</f>
        <v>8861.5</v>
      </c>
      <c r="D19" s="145">
        <v>4.2549999999999999</v>
      </c>
      <c r="E19" s="427">
        <v>-100</v>
      </c>
      <c r="F19" s="220">
        <f ca="1">(C19-B19)*E19*10000</f>
        <v>0</v>
      </c>
      <c r="G19" s="356">
        <f ca="1">F22/10000/E20</f>
        <v>3.0988907450718353</v>
      </c>
      <c r="H19" s="146">
        <f>_xll.IMDP("FUT","A6769000","저평가")*100</f>
        <v>1.7999999999999998</v>
      </c>
      <c r="I19">
        <v>90</v>
      </c>
      <c r="J19" s="41">
        <f>J18*I19/I18</f>
        <v>79.2</v>
      </c>
      <c r="K19" s="147"/>
      <c r="L19" s="148"/>
      <c r="M19" s="58" t="s">
        <v>142</v>
      </c>
      <c r="N19" s="149">
        <f>B26</f>
        <v>105.07</v>
      </c>
      <c r="O19" s="150">
        <v>106.34</v>
      </c>
      <c r="P19" s="151"/>
      <c r="Q19" s="152">
        <f>-Q18*0.88</f>
        <v>132</v>
      </c>
      <c r="R19" s="142">
        <f>(O19-N19)*Q19*1000000</f>
        <v>167640000.00000134</v>
      </c>
      <c r="S19" s="354"/>
      <c r="U19" s="71"/>
      <c r="V19" s="71"/>
      <c r="W19" s="58"/>
      <c r="X19" s="58"/>
      <c r="Y19" s="71"/>
      <c r="Z19" s="91"/>
      <c r="AA19" s="58"/>
      <c r="AB19" s="67"/>
      <c r="AC19" s="132"/>
    </row>
    <row r="20" spans="1:30" x14ac:dyDescent="0.25">
      <c r="A20" s="105" t="s">
        <v>117</v>
      </c>
      <c r="B20" s="138">
        <f>B26</f>
        <v>105.07</v>
      </c>
      <c r="C20" s="428">
        <f>_xll.IMDP("FUT","A6769000","선물호가_현재가")</f>
        <v>105.07</v>
      </c>
      <c r="D20" s="153">
        <f>C6</f>
        <v>4.3689999999999998</v>
      </c>
      <c r="E20" s="153">
        <v>82</v>
      </c>
      <c r="F20" s="220">
        <f>(C20-B20)*E20*1000000</f>
        <v>0</v>
      </c>
      <c r="G20" s="356"/>
      <c r="I20">
        <v>80</v>
      </c>
      <c r="J20" s="41">
        <f t="shared" ref="J20:J28" si="1">J19*I20/I19</f>
        <v>70.400000000000006</v>
      </c>
      <c r="M20" s="58" t="s">
        <v>101</v>
      </c>
      <c r="N20" s="154"/>
      <c r="O20" s="155">
        <f>$M$5/100/365*100000000</f>
        <v>8470.3013698630148</v>
      </c>
      <c r="P20" s="101"/>
      <c r="Q20" s="156">
        <f>Q18</f>
        <v>-150</v>
      </c>
      <c r="R20" s="66">
        <f>-O20*Q20*$D$17</f>
        <v>3811635.6164383562</v>
      </c>
      <c r="S20" s="354"/>
      <c r="U20" s="157"/>
      <c r="V20" s="157"/>
      <c r="W20" s="158"/>
      <c r="X20" s="158"/>
      <c r="Y20" s="71"/>
      <c r="Z20" s="91"/>
      <c r="AA20" s="58"/>
      <c r="AB20" s="67"/>
      <c r="AC20" s="132"/>
    </row>
    <row r="21" spans="1:30" x14ac:dyDescent="0.25">
      <c r="A21" s="105" t="s">
        <v>101</v>
      </c>
      <c r="B21" s="427"/>
      <c r="C21" s="220">
        <f>$M$5/100/365*100000000</f>
        <v>8470.3013698630148</v>
      </c>
      <c r="D21" s="429">
        <f>(D20-D19)*100</f>
        <v>11.399999999999988</v>
      </c>
      <c r="E21" s="427">
        <f>E19</f>
        <v>-100</v>
      </c>
      <c r="F21" s="220">
        <f>-C21*E21*$D$17</f>
        <v>2541090.4109589048</v>
      </c>
      <c r="G21" s="356"/>
      <c r="I21">
        <v>70</v>
      </c>
      <c r="J21" s="41">
        <f t="shared" si="1"/>
        <v>61.6</v>
      </c>
      <c r="M21" s="58" t="s">
        <v>143</v>
      </c>
      <c r="N21" s="154"/>
      <c r="O21" s="154"/>
      <c r="P21" s="58"/>
      <c r="Q21" s="154"/>
      <c r="R21" s="66">
        <f>SUM(R18:R20)</f>
        <v>82351635.616440251</v>
      </c>
      <c r="S21" s="355"/>
      <c r="U21" s="58"/>
      <c r="V21" s="58"/>
      <c r="W21" s="58"/>
      <c r="X21" s="84"/>
      <c r="Y21" s="58"/>
      <c r="Z21" s="91"/>
      <c r="AA21" s="58"/>
      <c r="AB21" s="67"/>
      <c r="AC21" s="67"/>
    </row>
    <row r="22" spans="1:30" x14ac:dyDescent="0.25">
      <c r="A22" s="105" t="s">
        <v>143</v>
      </c>
      <c r="B22" s="427"/>
      <c r="C22" s="427"/>
      <c r="D22" s="216"/>
      <c r="E22" s="427"/>
      <c r="F22" s="220">
        <f ca="1">SUM(F19:F21)</f>
        <v>2541090.4109589048</v>
      </c>
      <c r="G22" s="356"/>
      <c r="I22">
        <v>60</v>
      </c>
      <c r="J22" s="41">
        <f t="shared" si="1"/>
        <v>52.8</v>
      </c>
      <c r="M22" s="159" t="s">
        <v>144</v>
      </c>
      <c r="R22" t="s">
        <v>145</v>
      </c>
      <c r="U22" s="50" t="s">
        <v>146</v>
      </c>
      <c r="W22" t="s">
        <v>147</v>
      </c>
      <c r="X22" s="160">
        <v>2</v>
      </c>
    </row>
    <row r="23" spans="1:30" x14ac:dyDescent="0.25">
      <c r="A23" s="93"/>
      <c r="B23" s="161"/>
      <c r="C23" s="161"/>
      <c r="D23" s="93"/>
      <c r="E23" s="161"/>
      <c r="F23" s="162"/>
      <c r="G23" s="163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6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38">
        <f>B19</f>
        <v>8861.5</v>
      </c>
      <c r="O24" s="139">
        <v>8900.8799999999992</v>
      </c>
      <c r="P24" s="140"/>
      <c r="Q24" s="164">
        <v>-100</v>
      </c>
      <c r="R24" s="142">
        <f>(O24-N24)*Q24*10000</f>
        <v>-39379999.999999203</v>
      </c>
      <c r="S24" s="353">
        <f>R27/10000/Q25</f>
        <v>82.074500501171386</v>
      </c>
      <c r="T24">
        <v>1</v>
      </c>
      <c r="U24" s="58" t="s">
        <v>149</v>
      </c>
      <c r="V24" s="62">
        <v>10065.030000000001</v>
      </c>
      <c r="W24" s="62">
        <v>10066.59</v>
      </c>
      <c r="X24" s="165">
        <v>100</v>
      </c>
      <c r="Y24" s="142">
        <f>(W24-V24)*X24*10000</f>
        <v>1559999.9999994906</v>
      </c>
    </row>
    <row r="25" spans="1:30" x14ac:dyDescent="0.25">
      <c r="A25" s="105" t="s">
        <v>150</v>
      </c>
      <c r="B25" s="144">
        <v>9261.5</v>
      </c>
      <c r="C25" s="418">
        <f ca="1">ROUNDDOWN(채권단가계산표!L18,0)-0.5</f>
        <v>9261.5</v>
      </c>
      <c r="D25" s="145">
        <v>4.3</v>
      </c>
      <c r="E25" s="76">
        <v>-100</v>
      </c>
      <c r="F25" s="197">
        <f ca="1">(C25-B25)*E25*10000</f>
        <v>0</v>
      </c>
      <c r="G25" s="353">
        <f ca="1">F28/10000/E26</f>
        <v>2.8876027397260282</v>
      </c>
      <c r="I25">
        <v>30</v>
      </c>
      <c r="J25" s="41">
        <f t="shared" si="1"/>
        <v>26.4</v>
      </c>
      <c r="M25" s="58" t="s">
        <v>142</v>
      </c>
      <c r="N25" s="149">
        <f>B26</f>
        <v>105.07</v>
      </c>
      <c r="O25" s="166">
        <f>O19</f>
        <v>106.34</v>
      </c>
      <c r="P25" s="151"/>
      <c r="Q25" s="167">
        <f>-Q24*0.82</f>
        <v>82</v>
      </c>
      <c r="R25" s="142">
        <f>(O25-N25)*Q25*1000000</f>
        <v>104140000.00000083</v>
      </c>
      <c r="S25" s="354"/>
      <c r="T25" s="42"/>
      <c r="U25" s="58" t="s">
        <v>101</v>
      </c>
      <c r="V25" s="58"/>
      <c r="W25" s="75"/>
      <c r="X25" s="165"/>
      <c r="Y25" s="67">
        <f>-$O$26*X24*X22</f>
        <v>-1694060.273972603</v>
      </c>
    </row>
    <row r="26" spans="1:30" x14ac:dyDescent="0.25">
      <c r="A26" s="58" t="s">
        <v>117</v>
      </c>
      <c r="B26" s="144">
        <v>105.07</v>
      </c>
      <c r="C26" s="428">
        <f>C20</f>
        <v>105.07</v>
      </c>
      <c r="D26" s="151">
        <f>D20</f>
        <v>4.3689999999999998</v>
      </c>
      <c r="E26" s="151">
        <v>88</v>
      </c>
      <c r="F26" s="197">
        <f>(C26-B26)*E26*1000000</f>
        <v>0</v>
      </c>
      <c r="G26" s="354"/>
      <c r="I26">
        <v>20</v>
      </c>
      <c r="J26" s="41">
        <f t="shared" si="1"/>
        <v>17.600000000000001</v>
      </c>
      <c r="M26" s="58" t="s">
        <v>101</v>
      </c>
      <c r="N26" s="154"/>
      <c r="O26" s="155">
        <f>$M$5/100/365*100000000</f>
        <v>8470.3013698630148</v>
      </c>
      <c r="P26" s="101">
        <f>(P25-P24)*100</f>
        <v>0</v>
      </c>
      <c r="Q26" s="156">
        <f>Q24</f>
        <v>-100</v>
      </c>
      <c r="R26" s="66">
        <f>-O26*Q26*$D$17</f>
        <v>2541090.4109589048</v>
      </c>
      <c r="S26" s="354"/>
      <c r="U26" s="58"/>
      <c r="V26" s="58"/>
      <c r="W26" s="58"/>
      <c r="X26" s="58"/>
      <c r="Y26" s="168">
        <f>Y24+Y25</f>
        <v>-134060.27397311246</v>
      </c>
    </row>
    <row r="27" spans="1:30" x14ac:dyDescent="0.25">
      <c r="A27" s="58" t="s">
        <v>101</v>
      </c>
      <c r="B27" s="76"/>
      <c r="C27" s="220">
        <f>$M$5/100/365*100000000</f>
        <v>8470.3013698630148</v>
      </c>
      <c r="D27" s="430">
        <f>(D26-D25)*100</f>
        <v>6.899999999999995</v>
      </c>
      <c r="E27" s="427">
        <f>E25</f>
        <v>-100</v>
      </c>
      <c r="F27" s="197">
        <f>-C27*E27*$D$17</f>
        <v>2541090.4109589048</v>
      </c>
      <c r="G27" s="354"/>
      <c r="H27" s="127"/>
      <c r="I27" s="169">
        <v>10</v>
      </c>
      <c r="J27" s="41">
        <f t="shared" si="1"/>
        <v>8.8000000000000007</v>
      </c>
      <c r="M27" s="58" t="s">
        <v>143</v>
      </c>
      <c r="N27" s="154"/>
      <c r="O27" s="154"/>
      <c r="P27" s="58"/>
      <c r="Q27" s="154"/>
      <c r="R27" s="66">
        <f>SUM(R24:R26)</f>
        <v>67301090.41096054</v>
      </c>
      <c r="S27" s="355"/>
      <c r="U27" s="42" t="s">
        <v>151</v>
      </c>
    </row>
    <row r="28" spans="1:30" x14ac:dyDescent="0.25">
      <c r="A28" s="58" t="s">
        <v>143</v>
      </c>
      <c r="B28" s="76"/>
      <c r="C28" s="76"/>
      <c r="D28" s="86"/>
      <c r="E28" s="76"/>
      <c r="F28" s="197">
        <f ca="1">SUM(F25:F27)</f>
        <v>2541090.4109589048</v>
      </c>
      <c r="G28" s="355"/>
      <c r="H28" s="127"/>
      <c r="I28" s="169">
        <v>300</v>
      </c>
      <c r="J28" s="41">
        <f t="shared" si="1"/>
        <v>264</v>
      </c>
      <c r="P28" s="80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7"/>
      <c r="I29" s="127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3" t="s">
        <v>164</v>
      </c>
      <c r="S29" t="s">
        <v>165</v>
      </c>
      <c r="T29" s="36"/>
      <c r="U29" s="170" t="s">
        <v>166</v>
      </c>
      <c r="V29" s="59"/>
      <c r="W29" s="62"/>
      <c r="X29" s="58">
        <f>(V29-W29)</f>
        <v>0</v>
      </c>
      <c r="Y29" s="62"/>
      <c r="Z29" s="171" t="e">
        <f>ROUNDDOWN(Y30,0)-ROUNDDOWN(Y29,0)</f>
        <v>#VALUE!</v>
      </c>
    </row>
    <row r="30" spans="1:30" x14ac:dyDescent="0.25">
      <c r="D30" s="172">
        <f>D25-D19</f>
        <v>4.4999999999999929E-2</v>
      </c>
      <c r="F30">
        <v>0.86</v>
      </c>
      <c r="G30" s="80"/>
      <c r="M30" s="173" t="s">
        <v>123</v>
      </c>
      <c r="N30">
        <v>100</v>
      </c>
      <c r="O30" s="174">
        <v>5.0000000000000001E-3</v>
      </c>
      <c r="P30" s="175">
        <f ca="1">N30*O30/365*$P$66</f>
        <v>3.6986301369863014E-2</v>
      </c>
      <c r="Q30" s="36">
        <f ca="1">N30*$O$88/365*$P$66</f>
        <v>0.21495123287671233</v>
      </c>
      <c r="R30" s="36">
        <f ca="1">N30*$M$5%/365*$P$66</f>
        <v>0.2286981369863014</v>
      </c>
      <c r="S30" s="36">
        <f ca="1">P32+Q32-R32</f>
        <v>3.2423999999999953E-2</v>
      </c>
      <c r="U30" s="170" t="s">
        <v>167</v>
      </c>
      <c r="V30" s="176"/>
      <c r="W30" s="177">
        <f>V30-AVERAGE(X29:X30)</f>
        <v>0</v>
      </c>
      <c r="X30" s="178"/>
      <c r="Y30" s="179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0" t="s">
        <v>169</v>
      </c>
      <c r="N31" s="41">
        <v>100</v>
      </c>
      <c r="O31" s="174">
        <v>3.0999999999999999E-3</v>
      </c>
      <c r="P31" s="175">
        <f ca="1">N31*O31/365*P66</f>
        <v>2.293150684931507E-2</v>
      </c>
      <c r="Q31" s="36">
        <f ca="1">N31*$O$88/365*$P$66</f>
        <v>0.21495123287671233</v>
      </c>
      <c r="R31" s="36">
        <f ca="1">N31*$M$5%/365*$P$66</f>
        <v>0.2286981369863014</v>
      </c>
      <c r="S31" s="181">
        <f ca="1">S30/0.0168</f>
        <v>1.9299999999999973</v>
      </c>
    </row>
    <row r="32" spans="1:30" x14ac:dyDescent="0.25">
      <c r="A32" s="75" t="s">
        <v>170</v>
      </c>
      <c r="B32" s="144">
        <v>9975</v>
      </c>
      <c r="C32" s="418">
        <f>_xll.IMDP("BND","KR103503GG60","장내국채-현재가격")</f>
        <v>9975</v>
      </c>
      <c r="D32" s="125">
        <f>_xll.IMDP("BND","KR103503GG60","장내국채-현재수익률")</f>
        <v>4.383</v>
      </c>
      <c r="E32" s="431">
        <v>-100</v>
      </c>
      <c r="F32" s="250">
        <f>(C32-B32)*E32*10000</f>
        <v>0</v>
      </c>
      <c r="G32" s="357">
        <f>F35/10000/E33</f>
        <v>2.8551577651223652</v>
      </c>
      <c r="I32" s="62">
        <v>2.5525000000000002</v>
      </c>
      <c r="M32" s="182"/>
      <c r="N32" s="30"/>
      <c r="P32" s="183">
        <f ca="1">SUM(P30:P31)</f>
        <v>5.9917808219178081E-2</v>
      </c>
      <c r="Q32" s="183">
        <f ca="1">SUM(Q30:Q31)</f>
        <v>0.42990246575342467</v>
      </c>
      <c r="R32" s="183">
        <f ca="1">SUM(R30:R31)</f>
        <v>0.4573962739726028</v>
      </c>
      <c r="S32" s="184"/>
      <c r="U32" s="41">
        <f>U33/170</f>
        <v>25.035294117647059</v>
      </c>
    </row>
    <row r="33" spans="1:32" x14ac:dyDescent="0.25">
      <c r="A33" s="75" t="s">
        <v>117</v>
      </c>
      <c r="B33" s="138">
        <f>B26</f>
        <v>105.07</v>
      </c>
      <c r="C33" s="428">
        <f>_xll.IMDP("FUT","A6769000","선물호가_현재가")</f>
        <v>105.07</v>
      </c>
      <c r="D33" s="185">
        <f>D26</f>
        <v>4.3689999999999998</v>
      </c>
      <c r="E33" s="185">
        <v>89</v>
      </c>
      <c r="F33" s="250">
        <f>(C33-B33)*E33*1000000</f>
        <v>0</v>
      </c>
      <c r="G33" s="358"/>
      <c r="I33" s="52" t="s">
        <v>171</v>
      </c>
      <c r="J33">
        <f>14*5</f>
        <v>70</v>
      </c>
      <c r="M33">
        <f>7.8944/2.7725</f>
        <v>2.8473940486925158</v>
      </c>
      <c r="N33" s="186">
        <f ca="1">P32/P66</f>
        <v>2.2191780821917808E-3</v>
      </c>
      <c r="O33" s="90" t="s">
        <v>172</v>
      </c>
      <c r="P33" s="187">
        <f ca="1">-P32/0.0168</f>
        <v>-3.5665362035225052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5" t="s">
        <v>101</v>
      </c>
      <c r="B34" s="431"/>
      <c r="C34" s="250">
        <f>$M$5/100/365*100000000</f>
        <v>8470.3013698630148</v>
      </c>
      <c r="D34" s="432">
        <f>(D33-D32)*100</f>
        <v>-1.4000000000000234</v>
      </c>
      <c r="E34" s="431">
        <f>E32</f>
        <v>-100</v>
      </c>
      <c r="F34" s="250">
        <f>-C34*E34*$D$17</f>
        <v>2541090.4109589048</v>
      </c>
      <c r="G34" s="358"/>
      <c r="I34" s="188">
        <f>I32-P14</f>
        <v>-1.8214999999999995</v>
      </c>
      <c r="M34" s="189" t="s">
        <v>173</v>
      </c>
      <c r="P34" s="42"/>
      <c r="W34" s="135" t="s">
        <v>174</v>
      </c>
    </row>
    <row r="35" spans="1:32" x14ac:dyDescent="0.25">
      <c r="A35" s="75" t="s">
        <v>143</v>
      </c>
      <c r="B35" s="431"/>
      <c r="C35" s="431"/>
      <c r="D35" s="231"/>
      <c r="E35" s="431"/>
      <c r="F35" s="433">
        <f>SUM(F32:F34)</f>
        <v>2541090.4109589048</v>
      </c>
      <c r="G35" s="359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190" t="s">
        <v>178</v>
      </c>
      <c r="X35" s="190" t="s">
        <v>179</v>
      </c>
      <c r="Y35" s="190" t="s">
        <v>180</v>
      </c>
      <c r="Z35" s="190" t="s">
        <v>96</v>
      </c>
      <c r="AA35" s="190" t="s">
        <v>147</v>
      </c>
      <c r="AB35" s="190" t="s">
        <v>181</v>
      </c>
      <c r="AC35" s="190" t="s">
        <v>182</v>
      </c>
      <c r="AD35" s="190" t="s">
        <v>183</v>
      </c>
      <c r="AE35" s="190" t="s">
        <v>115</v>
      </c>
      <c r="AF35" s="190" t="s">
        <v>184</v>
      </c>
    </row>
    <row r="36" spans="1:32" x14ac:dyDescent="0.25">
      <c r="D36" s="191">
        <f>(D32-D25)*100</f>
        <v>8.3000000000000185</v>
      </c>
      <c r="M36" s="192" t="s">
        <v>185</v>
      </c>
      <c r="N36" s="193"/>
      <c r="O36" s="194">
        <v>10080.120000000001</v>
      </c>
      <c r="P36" s="195"/>
      <c r="Q36" s="59">
        <v>90</v>
      </c>
      <c r="R36" s="196">
        <f>(O36-N36)*Q36*10000</f>
        <v>9072108000</v>
      </c>
      <c r="S36" s="86">
        <v>8.1300000000000008</v>
      </c>
      <c r="T36" s="197">
        <f>S36*O36*100</f>
        <v>8195137.5600000015</v>
      </c>
      <c r="U36" s="198">
        <f>T37/T36</f>
        <v>0.90193406100678042</v>
      </c>
      <c r="V36" s="199" t="s">
        <v>186</v>
      </c>
      <c r="W36" s="136">
        <f>V24</f>
        <v>10065.030000000001</v>
      </c>
      <c r="X36" s="200"/>
      <c r="Y36" s="160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01"/>
      <c r="B37" s="201"/>
      <c r="C37" s="201"/>
      <c r="D37" s="201"/>
      <c r="E37" s="201"/>
      <c r="F37" s="201"/>
      <c r="G37" s="201"/>
      <c r="H37" s="201"/>
      <c r="I37" s="201"/>
      <c r="J37" s="201"/>
      <c r="M37" s="202" t="s">
        <v>124</v>
      </c>
      <c r="N37" s="193">
        <f>B25</f>
        <v>9261.5</v>
      </c>
      <c r="O37" s="203">
        <f>O18</f>
        <v>9320.9</v>
      </c>
      <c r="P37" s="204"/>
      <c r="Q37" s="205">
        <v>-100</v>
      </c>
      <c r="R37" s="196">
        <f>(O37-N37)*Q37*10000</f>
        <v>-59399999.999999635</v>
      </c>
      <c r="S37" s="86">
        <v>7.93</v>
      </c>
      <c r="T37" s="197">
        <f>S37*O37*100</f>
        <v>7391473.6999999993</v>
      </c>
      <c r="V37" s="206"/>
      <c r="X37" s="136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18" t="s">
        <v>153</v>
      </c>
      <c r="H38" s="207" t="s">
        <v>187</v>
      </c>
      <c r="I38" s="207" t="s">
        <v>188</v>
      </c>
      <c r="J38" s="207" t="s">
        <v>189</v>
      </c>
      <c r="M38" s="86" t="s">
        <v>101</v>
      </c>
      <c r="N38" s="86"/>
      <c r="O38" s="208"/>
      <c r="P38" s="209"/>
      <c r="Q38" s="197"/>
      <c r="R38" s="210"/>
      <c r="V38" s="199" t="s">
        <v>190</v>
      </c>
      <c r="W38" s="211">
        <f>B47</f>
        <v>103.13</v>
      </c>
      <c r="X38" s="136"/>
      <c r="Y38" s="160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62">
        <f>J41-0.129</f>
        <v>3.72</v>
      </c>
      <c r="H39" s="62">
        <f>J41-0.837</f>
        <v>3.0120000000000005</v>
      </c>
      <c r="I39" s="62">
        <f>J41-0.512</f>
        <v>3.3370000000000002</v>
      </c>
      <c r="J39" s="212">
        <f>J43+0.185</f>
        <v>4.2949999999999999</v>
      </c>
      <c r="M39" s="86" t="s">
        <v>192</v>
      </c>
      <c r="N39" s="86"/>
      <c r="O39" s="86"/>
      <c r="P39" s="213">
        <f>(P36-P37)*100</f>
        <v>0</v>
      </c>
      <c r="Q39" s="86"/>
      <c r="R39" s="214">
        <f>R36+R37</f>
        <v>9012708000</v>
      </c>
      <c r="S39" s="52" t="s">
        <v>193</v>
      </c>
      <c r="T39" s="62">
        <v>-1.2</v>
      </c>
      <c r="W39" t="s">
        <v>194</v>
      </c>
      <c r="AA39" s="133">
        <f>AA36+AA37</f>
        <v>0</v>
      </c>
      <c r="AB39" s="133"/>
      <c r="AD39" s="133">
        <f>AA39+AB39+AC38</f>
        <v>0</v>
      </c>
      <c r="AE39" s="133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15" t="s">
        <v>195</v>
      </c>
      <c r="I40" s="207" t="s">
        <v>196</v>
      </c>
      <c r="J40" s="207" t="s">
        <v>197</v>
      </c>
      <c r="O40" t="s">
        <v>198</v>
      </c>
      <c r="P40" s="134">
        <v>-1.1999999999999567</v>
      </c>
      <c r="S40" s="52" t="s">
        <v>199</v>
      </c>
      <c r="T40" s="160"/>
      <c r="V40" s="157"/>
      <c r="W40" s="51"/>
      <c r="X40" s="51"/>
      <c r="Y40" s="51"/>
      <c r="Z40" s="51"/>
    </row>
    <row r="41" spans="1:32" ht="17.25" x14ac:dyDescent="0.25">
      <c r="A41" s="216" t="s">
        <v>200</v>
      </c>
      <c r="B41" s="414">
        <v>9830.5</v>
      </c>
      <c r="C41" s="217">
        <f ca="1">ROUNDDOWN(채권단가계산표!H18,0)-0.5</f>
        <v>9830.5</v>
      </c>
      <c r="D41" s="218">
        <v>3.7549999999999999</v>
      </c>
      <c r="E41" s="219">
        <v>-100</v>
      </c>
      <c r="F41" s="220">
        <f ca="1">(C41-B41)*E41*10000</f>
        <v>0</v>
      </c>
      <c r="G41" s="146">
        <f>_xll.IMDP("FUT","A6569000","저평가")*100</f>
        <v>-2.5</v>
      </c>
      <c r="H41" s="221">
        <f>J43-0.296</f>
        <v>3.8140000000000005</v>
      </c>
      <c r="I41" s="140">
        <f>J41-0.078</f>
        <v>3.7710000000000004</v>
      </c>
      <c r="J41" s="65">
        <f>_xll.IMDP("BND","KR103501GG62","장내국채-현재수익률")</f>
        <v>3.8490000000000002</v>
      </c>
      <c r="M41" s="42" t="s">
        <v>201</v>
      </c>
      <c r="R41" s="222" t="s">
        <v>202</v>
      </c>
      <c r="S41" s="102"/>
      <c r="T41" s="28"/>
      <c r="W41" s="45"/>
      <c r="X41" s="45"/>
      <c r="Y41" s="45"/>
      <c r="Z41" s="45"/>
      <c r="AC41" t="s">
        <v>203</v>
      </c>
      <c r="AD41" t="s">
        <v>204</v>
      </c>
      <c r="AE41" s="133">
        <f>AE36+AE37</f>
        <v>0</v>
      </c>
    </row>
    <row r="42" spans="1:32" x14ac:dyDescent="0.25">
      <c r="A42" s="216" t="s">
        <v>205</v>
      </c>
      <c r="B42" s="415">
        <f>B47</f>
        <v>103.13</v>
      </c>
      <c r="C42" s="428">
        <f>_xll.IMDP("FUT","A6569000","선물호가_현재가")</f>
        <v>103.13</v>
      </c>
      <c r="D42" s="61">
        <f>_xll.IMDP("FUT","A6569000","국채수익률")</f>
        <v>3.8849999999999998</v>
      </c>
      <c r="E42" s="223">
        <f ca="1">N50</f>
        <v>74.758325912733739</v>
      </c>
      <c r="F42" s="220">
        <f ca="1">(C42-B42)*E42*1000000</f>
        <v>0</v>
      </c>
      <c r="G42" s="224"/>
      <c r="H42" s="215" t="s">
        <v>206</v>
      </c>
      <c r="I42" s="207" t="s">
        <v>207</v>
      </c>
      <c r="J42" s="207" t="s">
        <v>208</v>
      </c>
      <c r="M42" s="52" t="s">
        <v>209</v>
      </c>
      <c r="N42" s="52" t="s">
        <v>210</v>
      </c>
      <c r="O42" s="225" t="s">
        <v>211</v>
      </c>
      <c r="P42" s="52" t="s">
        <v>212</v>
      </c>
      <c r="R42" s="226" t="s">
        <v>124</v>
      </c>
      <c r="S42" s="62"/>
      <c r="T42" s="227"/>
      <c r="U42" s="227"/>
      <c r="AD42" t="s">
        <v>213</v>
      </c>
      <c r="AE42" s="133">
        <f>AD39</f>
        <v>0</v>
      </c>
    </row>
    <row r="43" spans="1:32" x14ac:dyDescent="0.25">
      <c r="A43" s="216" t="s">
        <v>101</v>
      </c>
      <c r="B43" s="216"/>
      <c r="C43" s="228">
        <f>$O$5</f>
        <v>847030.1369863014</v>
      </c>
      <c r="D43" s="430"/>
      <c r="E43" s="216">
        <f>E41/100</f>
        <v>-1</v>
      </c>
      <c r="F43" s="220">
        <f>-C43*D39*$E$43</f>
        <v>2541090.4109589043</v>
      </c>
      <c r="G43" s="229"/>
      <c r="H43" s="221">
        <f>J43-0.038</f>
        <v>4.0720000000000001</v>
      </c>
      <c r="I43" s="230">
        <f>J41-0.158</f>
        <v>3.6910000000000003</v>
      </c>
      <c r="J43" s="65">
        <f>_xll.IMDP("BND","KR103503GG37","장내국채-현재수익률")</f>
        <v>4.1100000000000003</v>
      </c>
      <c r="M43" s="231" t="str">
        <f>M71</f>
        <v>국고25-10</v>
      </c>
      <c r="N43" s="134">
        <f ca="1">O71</f>
        <v>73.30741350906095</v>
      </c>
      <c r="O43" s="136"/>
      <c r="P43" s="232">
        <f ca="1">N43*O43</f>
        <v>0</v>
      </c>
      <c r="R43" t="s">
        <v>214</v>
      </c>
      <c r="S43" s="84">
        <f>(S41-S42)*100</f>
        <v>0</v>
      </c>
      <c r="T43" s="233">
        <f>0.3*T36*2</f>
        <v>4917082.5360000003</v>
      </c>
      <c r="U43" s="234"/>
      <c r="V43" s="227"/>
      <c r="AD43" t="s">
        <v>215</v>
      </c>
      <c r="AE43" s="235">
        <v>-1655347</v>
      </c>
    </row>
    <row r="44" spans="1:32" x14ac:dyDescent="0.25">
      <c r="A44" s="216" t="s">
        <v>192</v>
      </c>
      <c r="B44" s="216"/>
      <c r="C44" s="216"/>
      <c r="D44" s="216"/>
      <c r="E44" s="216"/>
      <c r="F44" s="424">
        <f ca="1">SUM(F41:F43)</f>
        <v>2541090.4109589043</v>
      </c>
      <c r="G44" s="69"/>
      <c r="I44">
        <v>100</v>
      </c>
      <c r="J44" s="236">
        <v>146</v>
      </c>
      <c r="M44" s="231" t="s">
        <v>216</v>
      </c>
      <c r="N44" s="237">
        <f ca="1">O73</f>
        <v>58.952883031301482</v>
      </c>
      <c r="O44" s="62"/>
      <c r="P44" s="232">
        <f ca="1">N44*O44</f>
        <v>0</v>
      </c>
      <c r="R44" s="134"/>
      <c r="U44" s="41"/>
      <c r="V44" s="227"/>
      <c r="Y44" s="133"/>
      <c r="AD44" t="s">
        <v>217</v>
      </c>
      <c r="AE44" s="238"/>
    </row>
    <row r="45" spans="1:32" x14ac:dyDescent="0.25">
      <c r="D45">
        <f>D41-D46</f>
        <v>0.13999999999999968</v>
      </c>
      <c r="F45" s="30"/>
      <c r="G45" s="45"/>
      <c r="I45" s="81">
        <v>90</v>
      </c>
      <c r="J45" s="41">
        <f>J44*I45/I44</f>
        <v>131.4</v>
      </c>
      <c r="M45" s="231" t="str">
        <f>M70</f>
        <v>국고25-8</v>
      </c>
      <c r="N45" s="237">
        <f ca="1">O70</f>
        <v>114.74596375617793</v>
      </c>
      <c r="O45" s="62"/>
      <c r="P45" s="232">
        <f ca="1">N45*O45</f>
        <v>0</v>
      </c>
      <c r="Q45" s="41"/>
      <c r="U45" s="41"/>
      <c r="W45" s="36"/>
      <c r="X45" s="30"/>
      <c r="AD45" t="s">
        <v>218</v>
      </c>
      <c r="AE45" s="133">
        <f>SUM(AE41:AE44)</f>
        <v>-1655347</v>
      </c>
    </row>
    <row r="46" spans="1:32" x14ac:dyDescent="0.25">
      <c r="A46" s="231" t="s">
        <v>216</v>
      </c>
      <c r="B46" s="416">
        <v>9804.5</v>
      </c>
      <c r="C46" s="217">
        <f ca="1">ROUNDDOWN(채권단가계산표!P18,0)-0.5</f>
        <v>9804.5</v>
      </c>
      <c r="D46" s="218">
        <v>3.6150000000000002</v>
      </c>
      <c r="E46" s="86">
        <v>-100</v>
      </c>
      <c r="F46" s="197">
        <f ca="1">(C46-B46)*E46*10000</f>
        <v>0</v>
      </c>
      <c r="G46" s="239"/>
      <c r="H46" s="239">
        <f>115-62</f>
        <v>53</v>
      </c>
      <c r="I46" s="81">
        <f>I45-10</f>
        <v>80</v>
      </c>
      <c r="J46" s="41">
        <f>J45*I46/I45</f>
        <v>116.8</v>
      </c>
      <c r="M46" s="231" t="str">
        <f>M72</f>
        <v>26-03</v>
      </c>
      <c r="N46" s="134">
        <f ca="1">O72</f>
        <v>133.52421746293246</v>
      </c>
      <c r="O46" s="240"/>
      <c r="P46" s="232">
        <f ca="1">N46*O46</f>
        <v>0</v>
      </c>
      <c r="Q46" s="241"/>
      <c r="R46" t="s">
        <v>219</v>
      </c>
      <c r="S46">
        <v>3.4849999999999999</v>
      </c>
      <c r="T46">
        <v>3.2570000000000001</v>
      </c>
      <c r="U46" s="80">
        <f>T46-S46</f>
        <v>-0.22799999999999976</v>
      </c>
    </row>
    <row r="47" spans="1:32" x14ac:dyDescent="0.25">
      <c r="A47" s="231" t="s">
        <v>220</v>
      </c>
      <c r="B47" s="416">
        <v>103.13</v>
      </c>
      <c r="C47" s="428">
        <f>C42</f>
        <v>103.13</v>
      </c>
      <c r="D47" s="78">
        <f>D42</f>
        <v>3.8849999999999998</v>
      </c>
      <c r="E47" s="242">
        <f ca="1">N53</f>
        <v>59.143009795191453</v>
      </c>
      <c r="F47" s="197">
        <f ca="1">(C47-B47)*E47*1000000</f>
        <v>0</v>
      </c>
      <c r="G47" s="243"/>
      <c r="H47" s="244">
        <f>0.58*19</f>
        <v>11.02</v>
      </c>
      <c r="I47" s="81">
        <f t="shared" ref="I47:I54" si="2">I46-10</f>
        <v>70</v>
      </c>
      <c r="J47" s="41">
        <f t="shared" ref="J47:J54" si="3">J46*I47/I46</f>
        <v>102.2</v>
      </c>
      <c r="M47" s="231" t="s">
        <v>221</v>
      </c>
      <c r="N47" s="84">
        <f ca="1">SUM(N43:N45)</f>
        <v>247.00626029654038</v>
      </c>
      <c r="O47" s="58">
        <f>SUM(O43:O46)</f>
        <v>0</v>
      </c>
      <c r="P47" s="245">
        <f ca="1">SUM(P43:P46)</f>
        <v>0</v>
      </c>
      <c r="Q47" s="41"/>
      <c r="R47" s="41" t="s">
        <v>222</v>
      </c>
      <c r="S47">
        <v>3.5339999999999998</v>
      </c>
      <c r="U47" s="80">
        <f>T46-S47</f>
        <v>-0.27699999999999969</v>
      </c>
    </row>
    <row r="48" spans="1:32" x14ac:dyDescent="0.25">
      <c r="A48" s="231" t="s">
        <v>223</v>
      </c>
      <c r="B48" s="86"/>
      <c r="C48" s="208">
        <f>$O$5</f>
        <v>847030.1369863014</v>
      </c>
      <c r="D48" s="86"/>
      <c r="E48" s="86">
        <f>E46/100</f>
        <v>-1</v>
      </c>
      <c r="F48" s="197">
        <f>-C48*D39*E48</f>
        <v>2541090.4109589043</v>
      </c>
      <c r="G48" s="246"/>
      <c r="H48" s="239">
        <f>H46-5.5</f>
        <v>47.5</v>
      </c>
      <c r="I48" s="81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31" t="s">
        <v>225</v>
      </c>
      <c r="B49" s="86"/>
      <c r="C49" s="86"/>
      <c r="D49" s="86"/>
      <c r="E49" s="86"/>
      <c r="F49" s="426">
        <f ca="1">SUM(F46:F48)</f>
        <v>2541090.4109589043</v>
      </c>
      <c r="G49" s="247"/>
      <c r="H49" s="239"/>
      <c r="I49" s="81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25" t="s">
        <v>228</v>
      </c>
      <c r="P49" s="52" t="s">
        <v>229</v>
      </c>
      <c r="Q49" s="248" t="s">
        <v>230</v>
      </c>
      <c r="R49" s="248" t="s">
        <v>231</v>
      </c>
      <c r="S49" s="52" t="s">
        <v>232</v>
      </c>
      <c r="U49" s="41"/>
    </row>
    <row r="50" spans="1:25" x14ac:dyDescent="0.25">
      <c r="D50">
        <f>D41-D51</f>
        <v>-0.35500000000000043</v>
      </c>
      <c r="F50" s="30"/>
      <c r="G50" s="249"/>
      <c r="H50" s="51" t="str">
        <f>_xll.IMDP("BND","KR103503GF38","장내국채-현재가격")</f>
        <v/>
      </c>
      <c r="I50" s="81">
        <f t="shared" si="2"/>
        <v>40</v>
      </c>
      <c r="J50" s="41">
        <f t="shared" si="3"/>
        <v>58.4</v>
      </c>
      <c r="M50" s="231" t="s">
        <v>233</v>
      </c>
      <c r="N50" s="134">
        <f ca="1">O59</f>
        <v>74.758325912733739</v>
      </c>
      <c r="O50" s="136">
        <v>6</v>
      </c>
      <c r="P50" s="232">
        <f ca="1">N50*O50</f>
        <v>448.54995547640243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31" t="s">
        <v>234</v>
      </c>
      <c r="B51" s="416">
        <v>9845</v>
      </c>
      <c r="C51" s="217">
        <f>_xll.IMDP("BND","KR103503GG37","장내국채-현재가격")</f>
        <v>9845</v>
      </c>
      <c r="D51" s="125">
        <f>_xll.IMDP("BND","KR103503GG37","장내국채-현재수익률")</f>
        <v>4.1100000000000003</v>
      </c>
      <c r="E51" s="231">
        <v>-100</v>
      </c>
      <c r="F51" s="250">
        <f>(C51-B51)*E51*10000</f>
        <v>0</v>
      </c>
      <c r="G51" s="45"/>
      <c r="I51" s="81">
        <f t="shared" si="2"/>
        <v>30</v>
      </c>
      <c r="J51" s="41">
        <f t="shared" si="3"/>
        <v>43.8</v>
      </c>
      <c r="M51" s="192" t="s">
        <v>235</v>
      </c>
      <c r="N51" s="237">
        <f ca="1">O60</f>
        <v>139.65948352626893</v>
      </c>
      <c r="O51" s="62">
        <v>3.5</v>
      </c>
      <c r="P51" s="232">
        <f ca="1">N51*O51</f>
        <v>488.80819234194126</v>
      </c>
      <c r="Q51" s="251">
        <f>R51-O51</f>
        <v>2.5</v>
      </c>
      <c r="R51" s="252">
        <v>6</v>
      </c>
      <c r="S51">
        <f>O51*65</f>
        <v>227.5</v>
      </c>
      <c r="U51" s="41">
        <v>0</v>
      </c>
    </row>
    <row r="52" spans="1:25" x14ac:dyDescent="0.25">
      <c r="A52" s="231" t="s">
        <v>220</v>
      </c>
      <c r="B52" s="417">
        <f>B47</f>
        <v>103.13</v>
      </c>
      <c r="C52" s="434">
        <f>C47</f>
        <v>103.13</v>
      </c>
      <c r="D52" s="33">
        <f>D47</f>
        <v>3.8849999999999998</v>
      </c>
      <c r="E52" s="253">
        <f ca="1">N51</f>
        <v>139.65948352626893</v>
      </c>
      <c r="F52" s="250">
        <f ca="1">(C52-B52)*E52*1000000</f>
        <v>0</v>
      </c>
      <c r="H52" s="215" t="s">
        <v>236</v>
      </c>
      <c r="I52" s="81">
        <f t="shared" si="2"/>
        <v>20</v>
      </c>
      <c r="J52" s="41">
        <f t="shared" si="3"/>
        <v>29.2</v>
      </c>
      <c r="M52" s="192" t="s">
        <v>237</v>
      </c>
      <c r="N52" s="237">
        <f ca="1">O61</f>
        <v>123.65378450578808</v>
      </c>
      <c r="O52" s="62">
        <v>0</v>
      </c>
      <c r="P52" s="232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31" t="s">
        <v>223</v>
      </c>
      <c r="B53" s="231"/>
      <c r="C53" s="254">
        <f>$O$5</f>
        <v>847030.1369863014</v>
      </c>
      <c r="D53" s="231"/>
      <c r="E53" s="231">
        <f>E51/100</f>
        <v>-1</v>
      </c>
      <c r="F53" s="250">
        <f>-C53*$D$39*E53</f>
        <v>2541090.4109589043</v>
      </c>
      <c r="H53" s="255">
        <v>3.0070000000000001</v>
      </c>
      <c r="I53" s="81">
        <f t="shared" si="2"/>
        <v>10</v>
      </c>
      <c r="J53" s="41">
        <f t="shared" si="3"/>
        <v>14.6</v>
      </c>
      <c r="M53" s="231" t="s">
        <v>238</v>
      </c>
      <c r="N53" s="237">
        <f ca="1">O62</f>
        <v>59.143009795191453</v>
      </c>
      <c r="O53" s="62">
        <v>4</v>
      </c>
      <c r="P53" s="232">
        <f ca="1">N53*O53</f>
        <v>236.57203918076581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31" t="s">
        <v>225</v>
      </c>
      <c r="B54" s="231"/>
      <c r="C54" s="231"/>
      <c r="D54" s="231"/>
      <c r="E54" s="231"/>
      <c r="F54" s="425">
        <f ca="1">SUM(F51:F53)</f>
        <v>2541090.4109589043</v>
      </c>
      <c r="G54" s="30"/>
      <c r="H54" s="215" t="s">
        <v>239</v>
      </c>
      <c r="I54" s="81">
        <f t="shared" si="2"/>
        <v>0</v>
      </c>
      <c r="J54" s="41">
        <f t="shared" si="3"/>
        <v>0</v>
      </c>
      <c r="M54" s="231" t="s">
        <v>221</v>
      </c>
      <c r="N54" s="58"/>
      <c r="O54" s="58">
        <f>SUM(O50:O53)</f>
        <v>13.5</v>
      </c>
      <c r="P54" s="245">
        <f ca="1">SUM(P50:P53)</f>
        <v>1173.9301869991095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56"/>
      <c r="B55" s="257" t="s">
        <v>240</v>
      </c>
      <c r="C55" s="258"/>
      <c r="D55" s="258"/>
      <c r="E55" s="259"/>
      <c r="F55" s="260"/>
      <c r="H55" s="58">
        <f>H53-J41</f>
        <v>-0.84200000000000008</v>
      </c>
      <c r="O55" s="241"/>
      <c r="Q55" s="251" t="s">
        <v>241</v>
      </c>
    </row>
    <row r="56" spans="1:25" x14ac:dyDescent="0.25">
      <c r="A56" s="231" t="s">
        <v>242</v>
      </c>
      <c r="B56" s="416">
        <v>9578.5</v>
      </c>
      <c r="C56" s="217">
        <f ca="1">ROUNDDOWN(채권단가계산표!X18,0)-0.5</f>
        <v>9578.5</v>
      </c>
      <c r="D56" s="218">
        <v>3.927</v>
      </c>
      <c r="E56" s="231">
        <v>-100</v>
      </c>
      <c r="F56" s="250">
        <f ca="1">(C56-B56)*E56*10000</f>
        <v>0</v>
      </c>
      <c r="H56" s="45"/>
      <c r="I56">
        <v>100</v>
      </c>
      <c r="J56" s="236">
        <v>137</v>
      </c>
      <c r="N56" s="261"/>
      <c r="P56" s="41">
        <f ca="1">P54*2.4</f>
        <v>2817.4324487978629</v>
      </c>
      <c r="Q56" t="s">
        <v>243</v>
      </c>
      <c r="S56" s="30"/>
      <c r="T56" s="30"/>
      <c r="W56" s="41"/>
    </row>
    <row r="57" spans="1:25" ht="16.5" x14ac:dyDescent="0.25">
      <c r="A57" s="231" t="s">
        <v>220</v>
      </c>
      <c r="B57" s="193">
        <f>B47</f>
        <v>103.13</v>
      </c>
      <c r="C57" s="434">
        <f>C47</f>
        <v>103.13</v>
      </c>
      <c r="D57" s="435">
        <f>D52</f>
        <v>3.8849999999999998</v>
      </c>
      <c r="E57" s="253">
        <f ca="1">N52</f>
        <v>123.65378450578808</v>
      </c>
      <c r="F57" s="250">
        <f ca="1">(C57-B57)*E57*1000000</f>
        <v>0</v>
      </c>
      <c r="I57" s="81">
        <v>90</v>
      </c>
      <c r="J57" s="41">
        <f>J56*I57/I56</f>
        <v>123.3</v>
      </c>
      <c r="M57" s="135" t="s">
        <v>244</v>
      </c>
      <c r="Q57" t="s">
        <v>245</v>
      </c>
      <c r="T57" s="30">
        <f>200000000*0.045</f>
        <v>9000000</v>
      </c>
      <c r="U57" s="90">
        <f>T57</f>
        <v>9000000</v>
      </c>
      <c r="W57" s="41"/>
    </row>
    <row r="58" spans="1:25" x14ac:dyDescent="0.25">
      <c r="A58" s="231" t="s">
        <v>223</v>
      </c>
      <c r="B58" s="231"/>
      <c r="C58" s="254">
        <f>$O$5</f>
        <v>847030.1369863014</v>
      </c>
      <c r="D58" s="231"/>
      <c r="E58" s="231">
        <f>E56/100</f>
        <v>-1</v>
      </c>
      <c r="F58" s="250">
        <f>-C58*D39*E58</f>
        <v>2541090.4109589043</v>
      </c>
      <c r="H58">
        <f>30*170</f>
        <v>5100</v>
      </c>
      <c r="I58" s="81">
        <f>I57-10</f>
        <v>80</v>
      </c>
      <c r="J58" s="41">
        <f>J57*I58/I57</f>
        <v>109.6</v>
      </c>
      <c r="M58" s="262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63"/>
      <c r="W58" s="41"/>
    </row>
    <row r="59" spans="1:25" x14ac:dyDescent="0.25">
      <c r="A59" s="231" t="s">
        <v>225</v>
      </c>
      <c r="B59" s="231"/>
      <c r="C59" s="231"/>
      <c r="D59" s="231"/>
      <c r="E59" s="231"/>
      <c r="F59" s="425">
        <f ca="1">SUM(F56:F58)</f>
        <v>2541090.4109589043</v>
      </c>
      <c r="G59" s="41"/>
      <c r="I59" s="81">
        <f t="shared" ref="I59:I66" si="4">I58-10</f>
        <v>70</v>
      </c>
      <c r="J59" s="41">
        <f t="shared" ref="J59:J66" si="5">J58*I59/I58</f>
        <v>95.9</v>
      </c>
      <c r="M59" s="231" t="s">
        <v>233</v>
      </c>
      <c r="N59" s="59">
        <v>76.599999999999994</v>
      </c>
      <c r="O59" s="209">
        <f ca="1">N59*$P$65/$Q$65</f>
        <v>74.758325912733739</v>
      </c>
      <c r="P59" s="86">
        <v>2</v>
      </c>
      <c r="Q59" s="264">
        <f ca="1">O59*P59</f>
        <v>149.51665182546748</v>
      </c>
      <c r="S59" s="36"/>
      <c r="W59" s="41"/>
      <c r="Y59" s="41"/>
    </row>
    <row r="60" spans="1:25" x14ac:dyDescent="0.25">
      <c r="H60">
        <f>22*170</f>
        <v>3740</v>
      </c>
      <c r="I60" s="81">
        <f t="shared" si="4"/>
        <v>60</v>
      </c>
      <c r="J60" s="41">
        <f t="shared" si="5"/>
        <v>82.2</v>
      </c>
      <c r="M60" s="192" t="s">
        <v>235</v>
      </c>
      <c r="N60" s="59">
        <v>143.1</v>
      </c>
      <c r="O60" s="209">
        <f ca="1">N60*$P$65/$Q$65</f>
        <v>139.65948352626893</v>
      </c>
      <c r="P60" s="86">
        <v>1</v>
      </c>
      <c r="Q60" s="264">
        <f ca="1">O60*P60</f>
        <v>139.65948352626893</v>
      </c>
      <c r="S60" s="36"/>
      <c r="T60" s="265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1">
        <f t="shared" si="4"/>
        <v>50</v>
      </c>
      <c r="J61" s="41">
        <f t="shared" si="5"/>
        <v>68.5</v>
      </c>
      <c r="M61" s="192" t="s">
        <v>237</v>
      </c>
      <c r="N61" s="266">
        <v>126.7</v>
      </c>
      <c r="O61" s="209">
        <f ca="1">N61*$P$65/$Q$65</f>
        <v>123.65378450578808</v>
      </c>
      <c r="P61" s="86">
        <v>1</v>
      </c>
      <c r="Q61" s="264">
        <f ca="1">O61*P61</f>
        <v>123.65378450578808</v>
      </c>
      <c r="S61" s="36"/>
      <c r="Y61" s="41"/>
    </row>
    <row r="62" spans="1:25" x14ac:dyDescent="0.25">
      <c r="A62" s="267" t="s">
        <v>257</v>
      </c>
      <c r="B62">
        <v>200</v>
      </c>
      <c r="C62" s="174">
        <v>3.0000000000000001E-3</v>
      </c>
      <c r="D62" s="268">
        <f ca="1">B62*C62/365*$P$66</f>
        <v>4.4383561643835612E-2</v>
      </c>
      <c r="E62" s="36">
        <f ca="1">B62*$O$88/365*$P$66</f>
        <v>0.42990246575342467</v>
      </c>
      <c r="F62" s="36">
        <f ca="1">B62*M5%/365*$P$66</f>
        <v>0.4573962739726028</v>
      </c>
      <c r="G62" s="269">
        <f ca="1">D65+E65-F65</f>
        <v>7.55120547945205E-2</v>
      </c>
      <c r="H62" s="42"/>
      <c r="I62" s="81">
        <f t="shared" si="4"/>
        <v>40</v>
      </c>
      <c r="J62" s="41">
        <f t="shared" si="5"/>
        <v>54.8</v>
      </c>
      <c r="M62" s="231" t="s">
        <v>238</v>
      </c>
      <c r="N62" s="270">
        <v>60.6</v>
      </c>
      <c r="O62" s="209">
        <f ca="1">N62*$P$65/$Q$65</f>
        <v>59.143009795191453</v>
      </c>
      <c r="P62" s="86">
        <v>2</v>
      </c>
      <c r="Q62" s="264">
        <f ca="1">O62*P62</f>
        <v>118.28601959038291</v>
      </c>
      <c r="R62" s="41">
        <f ca="1">Q59+Q61+Q62</f>
        <v>391.45645592163851</v>
      </c>
      <c r="S62" s="36"/>
    </row>
    <row r="63" spans="1:25" x14ac:dyDescent="0.25">
      <c r="A63" s="271" t="s">
        <v>258</v>
      </c>
      <c r="B63">
        <v>200</v>
      </c>
      <c r="C63" s="174">
        <v>4.4999999999999997E-3</v>
      </c>
      <c r="D63" s="268">
        <f ca="1">B63*C63/365*$P$66</f>
        <v>6.6575342465753418E-2</v>
      </c>
      <c r="E63" s="36">
        <f ca="1">B63*$O$88/365*$P$66</f>
        <v>0.42990246575342467</v>
      </c>
      <c r="F63" s="36">
        <f ca="1">B63*M5%/365*$P$66</f>
        <v>0.4573962739726028</v>
      </c>
      <c r="G63" s="181">
        <f ca="1">G62/0.0426</f>
        <v>1.772583445880763</v>
      </c>
      <c r="I63" s="81">
        <f t="shared" si="4"/>
        <v>30</v>
      </c>
      <c r="J63" s="41">
        <f t="shared" si="5"/>
        <v>41.1</v>
      </c>
      <c r="R63" s="41"/>
      <c r="S63" s="36"/>
      <c r="T63" s="272"/>
    </row>
    <row r="64" spans="1:25" x14ac:dyDescent="0.25">
      <c r="A64" s="271" t="s">
        <v>237</v>
      </c>
      <c r="B64">
        <v>100</v>
      </c>
      <c r="C64" s="174">
        <v>4.4999999999999997E-3</v>
      </c>
      <c r="D64" s="273">
        <f ca="1">B64*C64/365*$P$66</f>
        <v>3.3287671232876709E-2</v>
      </c>
      <c r="E64" s="36">
        <f ca="1">B64*$O$88/365*$P$66</f>
        <v>0.21495123287671233</v>
      </c>
      <c r="F64" s="36">
        <f ca="1">B64*M5%/365*$P$66</f>
        <v>0.2286981369863014</v>
      </c>
      <c r="H64" t="s">
        <v>259</v>
      </c>
      <c r="I64" s="81">
        <f t="shared" si="4"/>
        <v>20</v>
      </c>
      <c r="J64" s="41">
        <f t="shared" si="5"/>
        <v>27.4</v>
      </c>
      <c r="M64" s="52" t="s">
        <v>260</v>
      </c>
      <c r="N64" s="274" t="s">
        <v>261</v>
      </c>
      <c r="O64" s="274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75">
        <f>SUMPRODUCT(B62:B64,C62:C64)/B65</f>
        <v>3.8999999999999998E-3</v>
      </c>
      <c r="D65" s="273">
        <f ca="1">SUM(D62:D64)</f>
        <v>0.14424657534246574</v>
      </c>
      <c r="E65" s="36">
        <f ca="1">SUM(E62:E64)</f>
        <v>1.0747561643835617</v>
      </c>
      <c r="F65" s="36">
        <f ca="1">SUM(F62:F64)</f>
        <v>1.143490684931507</v>
      </c>
      <c r="H65">
        <f ca="1">G62/P66</f>
        <v>2.796742770167426E-3</v>
      </c>
      <c r="I65" s="81">
        <f t="shared" si="4"/>
        <v>10</v>
      </c>
      <c r="J65" s="41">
        <f t="shared" si="5"/>
        <v>13.7</v>
      </c>
      <c r="M65" s="86" t="s">
        <v>266</v>
      </c>
      <c r="N65" s="276">
        <f ca="1">TODAY()</f>
        <v>46252</v>
      </c>
      <c r="O65" s="276">
        <f ca="1">EDATE(N65,36)</f>
        <v>47348</v>
      </c>
      <c r="P65" s="86">
        <f ca="1">O65-N65</f>
        <v>1096</v>
      </c>
      <c r="Q65" s="86">
        <f ca="1">P65+P66</f>
        <v>1123</v>
      </c>
      <c r="T65" s="134">
        <v>2500</v>
      </c>
      <c r="U65">
        <v>2252</v>
      </c>
      <c r="W65" s="41"/>
    </row>
    <row r="66" spans="1:25" x14ac:dyDescent="0.25">
      <c r="D66" s="277">
        <f ca="1">D65/P66</f>
        <v>5.3424657534246571E-3</v>
      </c>
      <c r="E66">
        <f ca="1">E65/P66</f>
        <v>3.9805783866057841E-2</v>
      </c>
      <c r="F66" s="80">
        <f ca="1">F65/P66</f>
        <v>4.2351506849315074E-2</v>
      </c>
      <c r="I66" s="81">
        <f t="shared" si="4"/>
        <v>0</v>
      </c>
      <c r="J66" s="41">
        <f t="shared" si="5"/>
        <v>0</v>
      </c>
      <c r="M66" s="86" t="s">
        <v>267</v>
      </c>
      <c r="N66" s="276">
        <f ca="1">TODAY()+1</f>
        <v>46253</v>
      </c>
      <c r="O66" s="278">
        <v>46280</v>
      </c>
      <c r="P66" s="86">
        <f ca="1">O66-N66</f>
        <v>27</v>
      </c>
      <c r="Q66" s="86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65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279"/>
      <c r="F68" s="37"/>
      <c r="G68" s="37"/>
      <c r="H68" s="280"/>
      <c r="I68" s="280"/>
      <c r="J68" s="37"/>
      <c r="M68" s="135" t="s">
        <v>270</v>
      </c>
      <c r="R68">
        <f>3020*0.4%/365</f>
        <v>3.3095890410958902E-2</v>
      </c>
      <c r="U68" s="265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36"/>
      <c r="F69" s="38"/>
      <c r="G69" s="38"/>
      <c r="H69" s="249"/>
      <c r="I69" s="281"/>
      <c r="M69" s="262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31" t="s">
        <v>277</v>
      </c>
      <c r="B70" s="59">
        <f>B46</f>
        <v>9804.5</v>
      </c>
      <c r="C70" s="282">
        <v>10261</v>
      </c>
      <c r="D70" s="283"/>
      <c r="E70" s="86">
        <v>100</v>
      </c>
      <c r="F70" s="197">
        <f>(C70-B70)*E70*10000</f>
        <v>456500000</v>
      </c>
      <c r="G70" s="38"/>
      <c r="H70" s="45">
        <v>100</v>
      </c>
      <c r="I70" s="284">
        <v>3.0000000000000001E-3</v>
      </c>
      <c r="J70">
        <f>H70*I70/365</f>
        <v>8.2191780821917802E-4</v>
      </c>
      <c r="M70" s="231" t="s">
        <v>278</v>
      </c>
      <c r="N70" s="59">
        <v>127.1</v>
      </c>
      <c r="O70" s="209">
        <f ca="1">N70*$P$76/$Q$76</f>
        <v>114.74596375617793</v>
      </c>
      <c r="P70" s="86">
        <v>1</v>
      </c>
      <c r="Q70" s="264">
        <f ca="1">O70*P70</f>
        <v>114.74596375617793</v>
      </c>
    </row>
    <row r="71" spans="1:25" x14ac:dyDescent="0.25">
      <c r="A71" s="231" t="s">
        <v>205</v>
      </c>
      <c r="B71" s="216">
        <f>B47</f>
        <v>103.13</v>
      </c>
      <c r="C71" s="285">
        <v>106.99</v>
      </c>
      <c r="D71" s="86"/>
      <c r="E71" s="286">
        <v>-138.92635658914728</v>
      </c>
      <c r="F71" s="287">
        <f>(C71-B71)*E71*1000000</f>
        <v>-536255736.43410838</v>
      </c>
      <c r="G71" s="38"/>
      <c r="H71">
        <v>0</v>
      </c>
      <c r="I71" s="275">
        <v>2.5000000000000001E-3</v>
      </c>
      <c r="J71">
        <f>H71*I71/365</f>
        <v>0</v>
      </c>
      <c r="M71" s="231" t="s">
        <v>279</v>
      </c>
      <c r="N71" s="59">
        <v>81.2</v>
      </c>
      <c r="O71" s="209">
        <f ca="1">N71*$P$76/$Q$76</f>
        <v>73.30741350906095</v>
      </c>
      <c r="P71" s="86">
        <v>2</v>
      </c>
      <c r="Q71" s="264">
        <f ca="1">O71*P71</f>
        <v>146.6148270181219</v>
      </c>
    </row>
    <row r="72" spans="1:25" x14ac:dyDescent="0.25">
      <c r="A72" s="231" t="s">
        <v>101</v>
      </c>
      <c r="B72" s="58"/>
      <c r="C72" s="208">
        <f>C48</f>
        <v>847030.1369863014</v>
      </c>
      <c r="D72" s="86"/>
      <c r="E72" s="86">
        <f>E70/100</f>
        <v>1</v>
      </c>
      <c r="F72" s="288">
        <f>-C72*D39*$E$72</f>
        <v>-2541090.4109589043</v>
      </c>
      <c r="G72" s="38"/>
      <c r="H72">
        <v>250</v>
      </c>
      <c r="I72" s="275">
        <v>3.5000000000000001E-3</v>
      </c>
      <c r="J72">
        <f>H72*I72/365</f>
        <v>2.3972602739726029E-3</v>
      </c>
      <c r="M72" s="192" t="s">
        <v>208</v>
      </c>
      <c r="N72" s="266">
        <v>147.9</v>
      </c>
      <c r="O72" s="209">
        <f ca="1">N72*$P$76/$Q$76</f>
        <v>133.52421746293246</v>
      </c>
      <c r="P72" s="86">
        <v>1</v>
      </c>
      <c r="Q72" s="264">
        <f ca="1">O72*P72</f>
        <v>133.52421746293246</v>
      </c>
      <c r="W72" s="41"/>
    </row>
    <row r="73" spans="1:25" x14ac:dyDescent="0.25">
      <c r="A73" s="231" t="s">
        <v>192</v>
      </c>
      <c r="B73" s="58"/>
      <c r="C73" s="67"/>
      <c r="D73" s="58"/>
      <c r="E73" s="58"/>
      <c r="F73" s="289">
        <f>SUM(F70:F72)</f>
        <v>-82296826.845067278</v>
      </c>
      <c r="G73" s="38"/>
      <c r="I73" s="36"/>
      <c r="J73" s="290">
        <f>SUM(J70:J72)</f>
        <v>3.2191780821917808E-3</v>
      </c>
      <c r="M73" s="231" t="s">
        <v>216</v>
      </c>
      <c r="N73" s="270">
        <v>65.3</v>
      </c>
      <c r="O73" s="209">
        <f ca="1">N73*$P$76/$Q$76</f>
        <v>58.952883031301482</v>
      </c>
      <c r="P73" s="86">
        <v>2</v>
      </c>
      <c r="Q73" s="264">
        <f ca="1">O73*P73</f>
        <v>117.90576606260296</v>
      </c>
      <c r="R73" s="41">
        <f ca="1">Q72+Q71+Q73</f>
        <v>398.04481054365738</v>
      </c>
      <c r="W73" s="41"/>
    </row>
    <row r="74" spans="1:25" x14ac:dyDescent="0.25">
      <c r="A74" s="38"/>
      <c r="B74" s="38"/>
      <c r="C74" s="38"/>
      <c r="D74" s="38"/>
      <c r="E74" s="236"/>
      <c r="F74" s="38"/>
      <c r="G74" s="38"/>
      <c r="I74" s="41"/>
      <c r="T74">
        <v>2000</v>
      </c>
      <c r="W74" s="41"/>
      <c r="Y74" s="41"/>
    </row>
    <row r="75" spans="1:25" x14ac:dyDescent="0.25">
      <c r="A75" s="231" t="s">
        <v>280</v>
      </c>
      <c r="B75" s="212">
        <v>10167.85</v>
      </c>
      <c r="C75" s="291">
        <f>ROUNDDOWN([1]채권단가계산표!L18,0)-0.5</f>
        <v>9320.5</v>
      </c>
      <c r="D75" s="292">
        <v>3.23</v>
      </c>
      <c r="E75" s="86">
        <v>100</v>
      </c>
      <c r="F75" s="197">
        <f>(C75-B75)*E75*10000</f>
        <v>-847350000.00000024</v>
      </c>
      <c r="G75" s="38"/>
      <c r="I75" s="41">
        <f>4*82</f>
        <v>328</v>
      </c>
      <c r="M75" s="52" t="s">
        <v>79</v>
      </c>
      <c r="N75" s="274" t="s">
        <v>281</v>
      </c>
      <c r="O75" s="274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31" t="s">
        <v>284</v>
      </c>
      <c r="B76" s="59">
        <f>B47</f>
        <v>103.13</v>
      </c>
      <c r="C76" s="293">
        <v>105.18</v>
      </c>
      <c r="D76" s="86">
        <v>3.42</v>
      </c>
      <c r="E76" s="286">
        <v>-74.950381679389309</v>
      </c>
      <c r="F76" s="197">
        <f>(C76-B76)*E76*1000000</f>
        <v>-153648282.44274896</v>
      </c>
      <c r="G76" s="38"/>
      <c r="I76" s="41"/>
      <c r="M76" s="86" t="s">
        <v>285</v>
      </c>
      <c r="N76" s="276">
        <f ca="1">TODAY()</f>
        <v>46252</v>
      </c>
      <c r="O76" s="276">
        <f ca="1">EDATE(N76,36)</f>
        <v>47348</v>
      </c>
      <c r="P76" s="86">
        <f ca="1">O76-N76</f>
        <v>1096</v>
      </c>
      <c r="Q76" s="86">
        <f ca="1">P76+P77</f>
        <v>1214</v>
      </c>
      <c r="T76">
        <f>T75/4</f>
        <v>15</v>
      </c>
      <c r="W76" s="41"/>
    </row>
    <row r="77" spans="1:25" x14ac:dyDescent="0.25">
      <c r="A77" s="86" t="s">
        <v>101</v>
      </c>
      <c r="B77" s="86"/>
      <c r="C77" s="208">
        <v>986857.5342465752</v>
      </c>
      <c r="D77" s="86"/>
      <c r="E77" s="86"/>
      <c r="F77" s="208">
        <f>$F$43</f>
        <v>2541090.4109589043</v>
      </c>
      <c r="G77" s="38"/>
      <c r="I77" s="41"/>
      <c r="M77" s="86" t="s">
        <v>267</v>
      </c>
      <c r="N77" s="276">
        <f ca="1">TODAY()+1</f>
        <v>46253</v>
      </c>
      <c r="O77" s="278">
        <v>46371</v>
      </c>
      <c r="P77" s="86">
        <f ca="1">O77-N77</f>
        <v>118</v>
      </c>
      <c r="Q77" s="86"/>
    </row>
    <row r="78" spans="1:25" x14ac:dyDescent="0.25">
      <c r="A78" s="86" t="s">
        <v>192</v>
      </c>
      <c r="B78" s="86"/>
      <c r="C78" s="86"/>
      <c r="D78" s="86"/>
      <c r="E78" s="86"/>
      <c r="F78" s="289">
        <f>SUM(F75:F77)</f>
        <v>-998457192.03179038</v>
      </c>
      <c r="I78" s="41"/>
      <c r="T78" t="s">
        <v>286</v>
      </c>
      <c r="X78" s="81">
        <v>100</v>
      </c>
      <c r="Y78" s="236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31" t="s">
        <v>288</v>
      </c>
      <c r="B80" s="59">
        <f>B56</f>
        <v>9578.5</v>
      </c>
      <c r="C80" s="294">
        <v>10201.5</v>
      </c>
      <c r="D80" s="295"/>
      <c r="E80" s="86">
        <v>100</v>
      </c>
      <c r="F80" s="196">
        <f>(C80-B80)*E80*10000</f>
        <v>623000000</v>
      </c>
      <c r="I80" s="41"/>
      <c r="M80" s="296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31" t="s">
        <v>284</v>
      </c>
      <c r="B81" s="216">
        <f>B71</f>
        <v>103.13</v>
      </c>
      <c r="C81" s="285">
        <v>105.79</v>
      </c>
      <c r="D81" s="86" t="str">
        <f>_xll.IMDP("FUT","165TC000","국채수익률")</f>
        <v/>
      </c>
      <c r="E81" s="286">
        <v>-82</v>
      </c>
      <c r="F81" s="196">
        <f>(C81-B81)*E81*1000000</f>
        <v>-218120000.00000089</v>
      </c>
      <c r="I81" s="41"/>
      <c r="M81" s="52" t="s">
        <v>290</v>
      </c>
      <c r="N81" s="297">
        <f ca="1">TODAY()+1</f>
        <v>46253</v>
      </c>
      <c r="O81" s="298"/>
      <c r="P81" s="299"/>
      <c r="Q81" s="299"/>
      <c r="R81" s="299"/>
      <c r="X81">
        <v>70</v>
      </c>
      <c r="Y81" s="41">
        <f t="shared" si="6"/>
        <v>0</v>
      </c>
    </row>
    <row r="82" spans="1:25" ht="14.25" thickBot="1" x14ac:dyDescent="0.3">
      <c r="A82" s="86" t="s">
        <v>291</v>
      </c>
      <c r="B82" s="86"/>
      <c r="C82" s="208">
        <v>986857.5342465752</v>
      </c>
      <c r="D82" s="86"/>
      <c r="E82" s="86">
        <f>E80/100</f>
        <v>1</v>
      </c>
      <c r="F82" s="300">
        <f>-C82*D39*E82</f>
        <v>-2960572.6027397257</v>
      </c>
      <c r="G82" s="30"/>
      <c r="I82" s="41"/>
      <c r="M82" s="52" t="s">
        <v>292</v>
      </c>
      <c r="N82" s="297">
        <f>$O$66</f>
        <v>46280</v>
      </c>
      <c r="O82" s="298"/>
      <c r="P82" s="299"/>
      <c r="Q82" s="299"/>
      <c r="R82" s="299"/>
      <c r="X82">
        <v>60</v>
      </c>
      <c r="Y82" s="41">
        <f t="shared" si="6"/>
        <v>0</v>
      </c>
    </row>
    <row r="83" spans="1:25" x14ac:dyDescent="0.15">
      <c r="A83" s="86" t="s">
        <v>293</v>
      </c>
      <c r="B83" s="86"/>
      <c r="C83" s="86"/>
      <c r="D83" s="86"/>
      <c r="E83" s="86"/>
      <c r="F83" s="214">
        <f>SUM(F80:F82)</f>
        <v>401919427.39725935</v>
      </c>
      <c r="H83" s="301"/>
      <c r="I83" s="41"/>
      <c r="M83" s="302"/>
      <c r="N83" s="303"/>
      <c r="O83" s="304"/>
      <c r="P83" s="299"/>
      <c r="Q83" s="299"/>
      <c r="R83" s="299"/>
      <c r="X83">
        <v>50</v>
      </c>
      <c r="Y83" s="41">
        <f t="shared" si="6"/>
        <v>0</v>
      </c>
    </row>
    <row r="84" spans="1:25" x14ac:dyDescent="0.25">
      <c r="A84" s="122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299" t="s">
        <v>105</v>
      </c>
      <c r="Q84" s="299"/>
      <c r="R84" s="299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6">
        <v>1</v>
      </c>
      <c r="H85" s="83"/>
      <c r="I85" s="41"/>
      <c r="M85" s="305" t="s">
        <v>298</v>
      </c>
      <c r="N85" s="306">
        <f>1/365</f>
        <v>2.7397260273972603E-3</v>
      </c>
      <c r="O85" s="307">
        <v>2.896E-2</v>
      </c>
      <c r="P85" s="299"/>
      <c r="Q85" s="308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09" t="s">
        <v>102</v>
      </c>
      <c r="G86" s="52" t="s">
        <v>139</v>
      </c>
      <c r="J86" s="41"/>
      <c r="M86" s="305" t="s">
        <v>299</v>
      </c>
      <c r="N86" s="310">
        <f>91/365</f>
        <v>0.24931506849315069</v>
      </c>
      <c r="O86" s="311">
        <v>2.93E-2</v>
      </c>
      <c r="P86" s="312"/>
      <c r="Q86" s="308"/>
      <c r="X86">
        <v>20</v>
      </c>
      <c r="Y86" s="41">
        <f t="shared" si="6"/>
        <v>0</v>
      </c>
    </row>
    <row r="87" spans="1:25" ht="17.25" x14ac:dyDescent="0.25">
      <c r="A87" s="231" t="s">
        <v>300</v>
      </c>
      <c r="B87" s="59">
        <v>9675.64</v>
      </c>
      <c r="C87" s="313">
        <f>ROUNDDOWN([1]채권단가계산표!N18,0)-0.5</f>
        <v>8900.5</v>
      </c>
      <c r="D87" s="145">
        <v>3.39</v>
      </c>
      <c r="E87" s="86">
        <v>100</v>
      </c>
      <c r="F87" s="196">
        <f>(C87-B87)*E87*10000</f>
        <v>-775139999.9999994</v>
      </c>
      <c r="G87" s="314" t="e">
        <f>_xll.IMDP("FUT","170V3000","저평가")*100</f>
        <v>#VALUE!</v>
      </c>
      <c r="M87" s="315" t="s">
        <v>301</v>
      </c>
      <c r="N87" s="316">
        <v>1</v>
      </c>
      <c r="O87" s="317">
        <v>3.2480000000000002E-2</v>
      </c>
      <c r="P87" s="299"/>
      <c r="Q87" s="308"/>
      <c r="X87">
        <v>10</v>
      </c>
      <c r="Y87" s="41">
        <f t="shared" si="6"/>
        <v>0</v>
      </c>
    </row>
    <row r="88" spans="1:25" x14ac:dyDescent="0.15">
      <c r="A88" s="231" t="s">
        <v>302</v>
      </c>
      <c r="B88" s="59">
        <v>129.56</v>
      </c>
      <c r="C88" s="318" t="str">
        <f>_xll.IMDP("FUT","170V6000","선물호가_현재가")</f>
        <v/>
      </c>
      <c r="D88" s="86" t="str">
        <f>_xll.IMDP("FUT","165V3000","국채수익률")</f>
        <v/>
      </c>
      <c r="E88" s="286">
        <v>-79.7</v>
      </c>
      <c r="F88" s="196" t="e">
        <f>(C88-B88)*E88*1000000</f>
        <v>#VALUE!</v>
      </c>
      <c r="M88" s="319" t="s">
        <v>303</v>
      </c>
      <c r="N88" s="320">
        <f ca="1">(N82-N81)/365</f>
        <v>7.3972602739726029E-2</v>
      </c>
      <c r="O88" s="321">
        <f ca="1">((N88-N85)/(N86-N85))*(O86-O85)+O85</f>
        <v>2.9058222222222221E-2</v>
      </c>
      <c r="P88" s="299" t="s">
        <v>304</v>
      </c>
      <c r="Q88" s="308"/>
      <c r="R88" s="299"/>
      <c r="S88" s="36">
        <f ca="1">O88/365*100000000</f>
        <v>7961.1567732115682</v>
      </c>
    </row>
    <row r="89" spans="1:25" x14ac:dyDescent="0.15">
      <c r="A89" s="86" t="s">
        <v>101</v>
      </c>
      <c r="B89" s="86"/>
      <c r="C89" s="208">
        <f>$O$5</f>
        <v>847030.1369863014</v>
      </c>
      <c r="D89" s="86"/>
      <c r="E89" s="86">
        <f>E87/100</f>
        <v>1</v>
      </c>
      <c r="F89" s="300">
        <f>-C89*D85*E89</f>
        <v>-847030.1369863014</v>
      </c>
      <c r="M89" s="322"/>
      <c r="N89" s="323"/>
      <c r="O89" s="323"/>
      <c r="P89" s="323"/>
      <c r="Q89" s="323"/>
      <c r="R89" s="323"/>
      <c r="V89" s="30"/>
    </row>
    <row r="90" spans="1:25" x14ac:dyDescent="0.15">
      <c r="A90" s="86" t="s">
        <v>192</v>
      </c>
      <c r="B90" s="86"/>
      <c r="C90" s="86"/>
      <c r="D90" s="86"/>
      <c r="E90" s="86"/>
      <c r="F90" s="214" t="e">
        <f>SUM(F87:F89)</f>
        <v>#VALUE!</v>
      </c>
      <c r="M90" s="322"/>
      <c r="N90" s="323"/>
      <c r="O90" s="323"/>
      <c r="P90" s="323"/>
      <c r="Q90" s="323"/>
      <c r="R90" s="323"/>
    </row>
    <row r="91" spans="1:25" x14ac:dyDescent="0.25">
      <c r="A91" s="42"/>
      <c r="D91" s="160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24"/>
      <c r="V91" s="93"/>
    </row>
    <row r="92" spans="1:25" x14ac:dyDescent="0.15">
      <c r="A92" s="231" t="s">
        <v>312</v>
      </c>
      <c r="B92" s="59">
        <v>10376.14</v>
      </c>
      <c r="C92" s="313" t="str">
        <f>_xll.IMDP("BND","KR103502GD98","장내국채-현재가격")</f>
        <v/>
      </c>
      <c r="D92" s="325" t="str">
        <f>_xll.IMDP("BND","KR103502GD98","장내국채-현재수익률")</f>
        <v/>
      </c>
      <c r="E92" s="86">
        <v>100</v>
      </c>
      <c r="F92" s="197" t="e">
        <f>(C92-B92)*E92*10000</f>
        <v>#VALUE!</v>
      </c>
      <c r="H92" s="127"/>
      <c r="M92" s="326" t="s">
        <v>313</v>
      </c>
      <c r="N92" s="327">
        <v>45818</v>
      </c>
      <c r="O92" s="327">
        <v>46914</v>
      </c>
      <c r="P92" s="328">
        <v>2.2499999999999999E-2</v>
      </c>
      <c r="Q92" s="329">
        <v>6</v>
      </c>
      <c r="R92" s="330">
        <f ca="1">C46</f>
        <v>9804.5</v>
      </c>
      <c r="S92" s="66">
        <f ca="1">R92*E41*2*10000</f>
        <v>-19609000000</v>
      </c>
      <c r="T92" s="67">
        <f ca="1">S92*$M$5/100/365*$N$88*365</f>
        <v>-44845417.681643829</v>
      </c>
      <c r="V92" s="90"/>
    </row>
    <row r="93" spans="1:25" x14ac:dyDescent="0.15">
      <c r="A93" s="231" t="s">
        <v>302</v>
      </c>
      <c r="B93" s="216">
        <f>B88</f>
        <v>129.56</v>
      </c>
      <c r="C93" s="318" t="str">
        <f>_xll.IMDP("FUT","170V3000","선물호가_현재가")</f>
        <v/>
      </c>
      <c r="D93" s="86" t="str">
        <f>_xll.IMDP("FUT","165V3000","국채수익률")</f>
        <v/>
      </c>
      <c r="E93" s="286">
        <v>-80</v>
      </c>
      <c r="F93" s="197" t="e">
        <f>(C93-B93)*E93*1000000</f>
        <v>#VALUE!</v>
      </c>
      <c r="M93" s="331" t="s">
        <v>314</v>
      </c>
      <c r="N93" s="327">
        <v>45726</v>
      </c>
      <c r="O93" s="327">
        <v>47552</v>
      </c>
      <c r="P93" s="332">
        <v>2.6249999999999999E-2</v>
      </c>
      <c r="Q93" s="329">
        <v>6</v>
      </c>
      <c r="R93" s="333">
        <f ca="1">C41</f>
        <v>9830.5</v>
      </c>
      <c r="S93" s="66">
        <f ca="1">R93*E46*10000</f>
        <v>-9830500000</v>
      </c>
      <c r="T93" s="67">
        <f ca="1">S93*$M$5/100/365*$N$88*365</f>
        <v>-22482170.356438357</v>
      </c>
    </row>
    <row r="94" spans="1:25" x14ac:dyDescent="0.15">
      <c r="A94" s="86" t="s">
        <v>101</v>
      </c>
      <c r="B94" s="86"/>
      <c r="C94" s="208">
        <f>$O$5</f>
        <v>847030.1369863014</v>
      </c>
      <c r="D94" s="86"/>
      <c r="E94" s="86">
        <f>E92/100</f>
        <v>1</v>
      </c>
      <c r="F94" s="208">
        <f>-C94*D85*E94</f>
        <v>-847030.1369863014</v>
      </c>
      <c r="M94" s="326" t="s">
        <v>315</v>
      </c>
      <c r="N94" s="327">
        <v>45636</v>
      </c>
      <c r="O94" s="327">
        <v>46731</v>
      </c>
      <c r="P94" s="328">
        <v>2.8750000000000001E-2</v>
      </c>
      <c r="Q94" s="329">
        <v>6</v>
      </c>
      <c r="R94" s="330">
        <f>C51</f>
        <v>9845</v>
      </c>
      <c r="S94" s="66">
        <f>R94*E51*2*10000</f>
        <v>-19690000000</v>
      </c>
      <c r="T94" s="67">
        <f ca="1">S94*$M$5/100/365*$N$88*365</f>
        <v>-45030663.172602743</v>
      </c>
    </row>
    <row r="95" spans="1:25" x14ac:dyDescent="0.25">
      <c r="A95" s="86" t="s">
        <v>192</v>
      </c>
      <c r="B95" s="86"/>
      <c r="C95" s="86"/>
      <c r="D95" s="86"/>
      <c r="E95" s="86"/>
      <c r="F95" s="289" t="e">
        <f>SUM(F92:F94)</f>
        <v>#VALUE!</v>
      </c>
    </row>
    <row r="96" spans="1:25" x14ac:dyDescent="0.25">
      <c r="M96" s="334"/>
      <c r="N96" s="334"/>
      <c r="O96" s="334"/>
      <c r="P96" s="334"/>
      <c r="Q96" s="334"/>
      <c r="R96" s="334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35">
        <v>46001</v>
      </c>
      <c r="N98" s="336">
        <f ca="1">(M98-$N$81)/365</f>
        <v>-0.69041095890410964</v>
      </c>
      <c r="O98" s="337">
        <f ca="1">(N98-N86)/(N87-N86)*(O87-O86)+O86</f>
        <v>2.5319197080291969E-2</v>
      </c>
      <c r="P98" s="338">
        <f>IF($N$82&gt;M98,10000*P92/(12/Q92),0)</f>
        <v>112.5</v>
      </c>
      <c r="Q98" s="338">
        <f ca="1">P98/(1+O98*N98)</f>
        <v>114.50156185722579</v>
      </c>
      <c r="R98" s="338">
        <f ca="1">(R92-Q98)*(1+$O$88*$N$88)</f>
        <v>9710.827209251298</v>
      </c>
      <c r="S98" s="66">
        <f ca="1">R98*E56*2*10000</f>
        <v>-19421654418.502598</v>
      </c>
      <c r="T98" s="339">
        <f ca="1">S98-S92</f>
        <v>187345581.49740219</v>
      </c>
      <c r="U98" s="66">
        <f>P98*E56*2*10000</f>
        <v>-225000000</v>
      </c>
      <c r="V98" s="66">
        <f>U98*$M$5/100/365*($N$82-M98)</f>
        <v>-5317231.6849315073</v>
      </c>
    </row>
    <row r="99" spans="3:22" x14ac:dyDescent="0.25">
      <c r="M99" s="335">
        <v>46091</v>
      </c>
      <c r="N99" s="336">
        <f ca="1">(M99-$N$81)/365</f>
        <v>-0.44383561643835617</v>
      </c>
      <c r="O99" s="337">
        <f ca="1">(N99-N85)/(N86-N85)*(O86-O85)+O85</f>
        <v>2.8344222222222222E-2</v>
      </c>
      <c r="P99" s="338">
        <f>IF($N$82&gt;M99,10000*P93/(12/Q93),0)</f>
        <v>131.25</v>
      </c>
      <c r="Q99" s="338">
        <f ca="1">P99/(1+O99*N99)</f>
        <v>132.92218438648555</v>
      </c>
      <c r="R99" s="338">
        <f ca="1">(R93-Q99)*(1+$O$88*$N$88)</f>
        <v>9718.4228786873555</v>
      </c>
      <c r="S99" s="66">
        <f ca="1">R99*E46*10000</f>
        <v>-9718422878.687355</v>
      </c>
      <c r="T99" s="339">
        <f ca="1">S99-S93</f>
        <v>112077121.31264496</v>
      </c>
      <c r="U99" s="66">
        <f>P99*E46*10000</f>
        <v>-131250000</v>
      </c>
      <c r="V99" s="66">
        <f>U99*$M$5/100/365*($N$82-M99)</f>
        <v>-2101164.1335616438</v>
      </c>
    </row>
    <row r="100" spans="3:22" x14ac:dyDescent="0.25">
      <c r="M100" s="335">
        <v>46001</v>
      </c>
      <c r="N100" s="336">
        <f ca="1">(M100-$N$81)/365</f>
        <v>-0.69041095890410964</v>
      </c>
      <c r="O100" s="337">
        <f ca="1">(N100-N86)/(N87-N86)*(O87-O86)+O86</f>
        <v>2.5319197080291969E-2</v>
      </c>
      <c r="P100" s="338">
        <f>IF($N$82&gt;M100,10000*P94/(12/Q94),0)</f>
        <v>143.75</v>
      </c>
      <c r="Q100" s="338">
        <f ca="1">P100/(1+O100*N100)</f>
        <v>146.30755126201075</v>
      </c>
      <c r="R100" s="338">
        <f ca="1">(R94-Q100)*(1+$O$88*$N$88)</f>
        <v>9719.5399077294733</v>
      </c>
      <c r="S100" s="66">
        <f ca="1">R100*E51*2*10000</f>
        <v>-19439079815.458946</v>
      </c>
      <c r="T100" s="339">
        <f ca="1">S100-S94</f>
        <v>250920184.54105377</v>
      </c>
      <c r="U100" s="66">
        <f>P100*E51*2*10000</f>
        <v>-287500000</v>
      </c>
      <c r="V100" s="66">
        <f>U100*$M$5/100/365*($N$82-M100)</f>
        <v>-6794240.486301369</v>
      </c>
    </row>
    <row r="101" spans="3:22" x14ac:dyDescent="0.25">
      <c r="R101" s="299"/>
    </row>
    <row r="102" spans="3:22" ht="16.5" x14ac:dyDescent="0.25">
      <c r="M102" s="135" t="s">
        <v>326</v>
      </c>
      <c r="N102" s="299"/>
      <c r="O102" s="299"/>
      <c r="P102" s="299"/>
      <c r="Q102" s="299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40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39">
        <f ca="1">T98+U98+V98-T92</f>
        <v>1873767.4941145107</v>
      </c>
      <c r="O104" s="339">
        <f ca="1">T99+U99+V99-T93</f>
        <v>1208127.5355216712</v>
      </c>
      <c r="P104" s="339">
        <f ca="1">T100+U100+V100-T94</f>
        <v>1656607.2273551449</v>
      </c>
      <c r="Q104" s="339">
        <f ca="1">SUM(N104:P104)</f>
        <v>4738502.2569913268</v>
      </c>
    </row>
    <row r="105" spans="3:22" x14ac:dyDescent="0.25">
      <c r="E105" s="41"/>
      <c r="M105" s="75" t="s">
        <v>329</v>
      </c>
      <c r="N105" s="66">
        <f ca="1">-E57*$G$41*2*10000</f>
        <v>6182689.2252894035</v>
      </c>
      <c r="O105" s="66">
        <f ca="1">-E47*$G$41*10000</f>
        <v>1478575.2448797862</v>
      </c>
      <c r="P105" s="66">
        <f ca="1">-E52*2*$G$41*10000</f>
        <v>6982974.1763134459</v>
      </c>
      <c r="Q105" s="165">
        <f ca="1">SUM(N105:P105)</f>
        <v>14644238.646482635</v>
      </c>
    </row>
    <row r="106" spans="3:22" ht="17.25" x14ac:dyDescent="0.25">
      <c r="M106" s="75" t="s">
        <v>330</v>
      </c>
      <c r="N106" s="339">
        <f ca="1">SUM(N104:N105)</f>
        <v>8056456.7194039142</v>
      </c>
      <c r="O106" s="339">
        <f ca="1">SUM(O104:O105)</f>
        <v>2686702.7804014571</v>
      </c>
      <c r="P106" s="339">
        <f ca="1">SUM(P104:P105)</f>
        <v>8639581.4036685899</v>
      </c>
      <c r="Q106" s="341">
        <f ca="1">SUM(Q104:Q105)</f>
        <v>19382740.903473962</v>
      </c>
    </row>
    <row r="107" spans="3:22" x14ac:dyDescent="0.25">
      <c r="R107" s="30">
        <f ca="1">Q106*5</f>
        <v>96913704.517369807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8" priority="2" operator="equal">
      <formula>"SENT"</formula>
    </cfRule>
    <cfRule type="cellIs" dxfId="7" priority="3" operator="equal">
      <formula>"WATCHING"</formula>
    </cfRule>
    <cfRule type="cellIs" dxfId="6" priority="4" operator="equal">
      <formula>"ERROR"</formula>
    </cfRule>
    <cfRule type="cellIs" dxfId="5" priority="1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84" t="s">
        <v>1</v>
      </c>
      <c r="E4" s="10" t="s">
        <v>2</v>
      </c>
      <c r="F4" s="402" t="s">
        <v>3</v>
      </c>
      <c r="G4" s="403"/>
      <c r="H4" s="402" t="s">
        <v>4</v>
      </c>
      <c r="I4" s="403"/>
      <c r="J4" s="402" t="s">
        <v>5</v>
      </c>
      <c r="K4" s="403"/>
      <c r="L4" s="402" t="s">
        <v>6</v>
      </c>
      <c r="M4" s="403"/>
      <c r="N4" s="402" t="s">
        <v>7</v>
      </c>
      <c r="O4" s="403"/>
      <c r="P4" s="402" t="s">
        <v>8</v>
      </c>
      <c r="Q4" s="403"/>
      <c r="R4" s="402" t="s">
        <v>9</v>
      </c>
      <c r="S4" s="403"/>
      <c r="T4" s="402" t="s">
        <v>10</v>
      </c>
      <c r="U4" s="403"/>
      <c r="V4" s="402" t="s">
        <v>3</v>
      </c>
      <c r="W4" s="403"/>
      <c r="X4" s="402" t="s">
        <v>11</v>
      </c>
      <c r="Y4" s="403"/>
    </row>
    <row r="5" spans="2:26" x14ac:dyDescent="0.25">
      <c r="B5" s="9" t="s">
        <v>12</v>
      </c>
      <c r="C5" s="11" t="s">
        <v>13</v>
      </c>
      <c r="D5" s="386"/>
      <c r="E5" s="12" t="s">
        <v>14</v>
      </c>
      <c r="F5" s="404" t="str">
        <f>_xll.IMDP("BND",F$4,"한글종목명")</f>
        <v>국고04250-3606(26-6)</v>
      </c>
      <c r="G5" s="405"/>
      <c r="H5" s="406" t="str">
        <f>_xll.IMDP("BND",H$4,"한글종목명")</f>
        <v>국고02750-2812(25-10)</v>
      </c>
      <c r="I5" s="407"/>
      <c r="J5" s="408" t="str">
        <f>_xll.IMDP("BND",J$4,"한글종목명")</f>
        <v>국고02875-2712(24-12)</v>
      </c>
      <c r="K5" s="409"/>
      <c r="L5" s="410" t="str">
        <f>_xll.IMDP("BND",L$4,"한글종목명")</f>
        <v>국고03250-3512(25-11)</v>
      </c>
      <c r="M5" s="411"/>
      <c r="N5" s="406" t="str">
        <f>_xll.IMDP("BND",N$4,"한글종목명")</f>
        <v>국고02625-3506(25-5)</v>
      </c>
      <c r="O5" s="407"/>
      <c r="P5" s="412" t="str">
        <f>_xll.IMDP("BND",P$4,"한글종목명")</f>
        <v>국고02250-2806(25-4)</v>
      </c>
      <c r="Q5" s="413"/>
      <c r="R5" s="410" t="str">
        <f>_xll.IMDP("BND",R$4,"한글종목명")</f>
        <v>국고03375-3103(26-3)</v>
      </c>
      <c r="S5" s="411"/>
      <c r="T5" s="408" t="str">
        <f>_xll.IMDP("BND",T$4,"한글종목명")</f>
        <v>국고03500-3406(24-5)</v>
      </c>
      <c r="U5" s="409"/>
      <c r="V5" s="408" t="str">
        <f>_xll.IMDP("BND",V$4,"한글종목명")</f>
        <v>국고04250-3606(26-6)</v>
      </c>
      <c r="W5" s="409"/>
      <c r="X5" s="406" t="str">
        <f>_xll.IMDP("BND",X$4,"한글종목명")</f>
        <v>국고02500-3009(25-8)</v>
      </c>
      <c r="Y5" s="407"/>
    </row>
    <row r="6" spans="2:26" x14ac:dyDescent="0.25">
      <c r="B6" s="11" t="s">
        <v>15</v>
      </c>
      <c r="C6" s="11" t="s">
        <v>16</v>
      </c>
      <c r="D6" s="384" t="s">
        <v>17</v>
      </c>
      <c r="E6" s="13" t="s">
        <v>18</v>
      </c>
      <c r="F6" s="387">
        <f>_xll.IMDP("BND",F$4,"발행일")</f>
        <v>20260610</v>
      </c>
      <c r="G6" s="388"/>
      <c r="H6" s="389">
        <f>_xll.IMDP("BND",H$4,"발행일")</f>
        <v>20251210</v>
      </c>
      <c r="I6" s="390"/>
      <c r="J6" s="389">
        <f>_xll.IMDP("BND",J$4,"발행일")</f>
        <v>20241210</v>
      </c>
      <c r="K6" s="390"/>
      <c r="L6" s="389">
        <f>_xll.IMDP("BND",L$4,"발행일")</f>
        <v>20251210</v>
      </c>
      <c r="M6" s="390"/>
      <c r="N6" s="389">
        <f>_xll.IMDP("BND",N$4,"발행일")</f>
        <v>20250610</v>
      </c>
      <c r="O6" s="390"/>
      <c r="P6" s="389">
        <f>_xll.IMDP("BND",P$4,"발행일")</f>
        <v>20250610</v>
      </c>
      <c r="Q6" s="390"/>
      <c r="R6" s="389">
        <f>_xll.IMDP("BND",R$4,"발행일")</f>
        <v>20260310</v>
      </c>
      <c r="S6" s="390"/>
      <c r="T6" s="389">
        <f>_xll.IMDP("BND",T$4,"발행일")</f>
        <v>20240610</v>
      </c>
      <c r="U6" s="390"/>
      <c r="V6" s="389">
        <f>_xll.IMDP("BND",V$4,"발행일")</f>
        <v>20260610</v>
      </c>
      <c r="W6" s="390"/>
      <c r="X6" s="389">
        <f>_xll.IMDP("BND",X$4,"발행일")</f>
        <v>20250910</v>
      </c>
      <c r="Y6" s="390"/>
    </row>
    <row r="7" spans="2:26" x14ac:dyDescent="0.25">
      <c r="B7" s="11" t="s">
        <v>19</v>
      </c>
      <c r="C7" s="11" t="s">
        <v>20</v>
      </c>
      <c r="D7" s="386"/>
      <c r="E7" s="13" t="s">
        <v>21</v>
      </c>
      <c r="F7" s="387">
        <f>_xll.IMDP("BND",F$4,"만기일")</f>
        <v>20360610</v>
      </c>
      <c r="G7" s="388"/>
      <c r="H7" s="389">
        <f>_xll.IMDP("BND",H$4,"만기일")</f>
        <v>20281210</v>
      </c>
      <c r="I7" s="390"/>
      <c r="J7" s="389">
        <f>_xll.IMDP("BND",J$4,"만기일")</f>
        <v>20271210</v>
      </c>
      <c r="K7" s="390"/>
      <c r="L7" s="389">
        <f>_xll.IMDP("BND",L$4,"만기일")</f>
        <v>20351210</v>
      </c>
      <c r="M7" s="390"/>
      <c r="N7" s="389">
        <f>_xll.IMDP("BND",N$4,"만기일")</f>
        <v>20350610</v>
      </c>
      <c r="O7" s="390"/>
      <c r="P7" s="389">
        <f>_xll.IMDP("BND",P$4,"만기일")</f>
        <v>20280610</v>
      </c>
      <c r="Q7" s="390"/>
      <c r="R7" s="389">
        <f>_xll.IMDP("BND",R$4,"만기일")</f>
        <v>20310310</v>
      </c>
      <c r="S7" s="390"/>
      <c r="T7" s="389">
        <f>_xll.IMDP("BND",T$4,"만기일")</f>
        <v>20340610</v>
      </c>
      <c r="U7" s="390"/>
      <c r="V7" s="389">
        <f>_xll.IMDP("BND",V$4,"만기일")</f>
        <v>20360610</v>
      </c>
      <c r="W7" s="390"/>
      <c r="X7" s="389">
        <f>_xll.IMDP("BND",X$4,"만기일")</f>
        <v>20300910</v>
      </c>
      <c r="Y7" s="390"/>
    </row>
    <row r="8" spans="2:26" x14ac:dyDescent="0.25">
      <c r="B8" s="11" t="s">
        <v>22</v>
      </c>
      <c r="C8" s="11" t="s">
        <v>23</v>
      </c>
      <c r="D8" s="386"/>
      <c r="E8" s="13" t="s">
        <v>24</v>
      </c>
      <c r="F8" s="400" t="str">
        <f>ROUNDDOWN((DATE(LEFT(F7,4),MID(F7,5,2),RIGHT(F7,2))-DATE(LEFT(F6,4),MID(F6,5,2),RIGHT(F6,2)))/365,0)&amp;"Y"</f>
        <v>10Y</v>
      </c>
      <c r="G8" s="401"/>
      <c r="H8" s="398" t="str">
        <f t="shared" ref="H8:T8" si="0">ROUNDDOWN((DATE(LEFT(H7,4),MID(H7,5,2),RIGHT(H7,2))-DATE(LEFT(H6,4),MID(H6,5,2),RIGHT(H6,2)))/365,0)&amp;"Y"</f>
        <v>3Y</v>
      </c>
      <c r="I8" s="399"/>
      <c r="J8" s="398" t="str">
        <f t="shared" si="0"/>
        <v>3Y</v>
      </c>
      <c r="K8" s="399"/>
      <c r="L8" s="398" t="str">
        <f t="shared" si="0"/>
        <v>10Y</v>
      </c>
      <c r="M8" s="399"/>
      <c r="N8" s="398" t="str">
        <f t="shared" si="0"/>
        <v>10Y</v>
      </c>
      <c r="O8" s="399"/>
      <c r="P8" s="398" t="str">
        <f t="shared" si="0"/>
        <v>3Y</v>
      </c>
      <c r="Q8" s="399"/>
      <c r="R8" s="398" t="str">
        <f t="shared" si="0"/>
        <v>5Y</v>
      </c>
      <c r="S8" s="399"/>
      <c r="T8" s="398" t="str">
        <f t="shared" si="0"/>
        <v>10Y</v>
      </c>
      <c r="U8" s="399"/>
      <c r="V8" s="398" t="str">
        <f>ROUNDDOWN((DATE(LEFT(V7,4),MID(V7,5,2),RIGHT(V7,2))-DATE(LEFT(V6,4),MID(V6,5,2),RIGHT(V6,2)))/365,0)&amp;"Y"</f>
        <v>10Y</v>
      </c>
      <c r="W8" s="399"/>
      <c r="X8" s="398" t="str">
        <f>ROUNDDOWN((DATE(LEFT(X7,4),MID(X7,5,2),RIGHT(X7,2))-DATE(LEFT(X6,4),MID(X6,5,2),RIGHT(X6,2)))/365,0)&amp;"Y"</f>
        <v>5Y</v>
      </c>
      <c r="Y8" s="399"/>
    </row>
    <row r="9" spans="2:26" x14ac:dyDescent="0.25">
      <c r="B9" s="11" t="s">
        <v>25</v>
      </c>
      <c r="C9" s="11" t="s">
        <v>26</v>
      </c>
      <c r="D9" s="386"/>
      <c r="E9" s="13" t="s">
        <v>27</v>
      </c>
      <c r="F9" s="400">
        <f ca="1">DATE(LEFT(F7,4),MID(F7,5,2),RIGHT(F7,2))-TODAY()</f>
        <v>3584</v>
      </c>
      <c r="G9" s="401"/>
      <c r="H9" s="398">
        <f ca="1">DATE(LEFT(H7,4),MID(H7,5,2),RIGHT(H7,2))-TODAY()</f>
        <v>845</v>
      </c>
      <c r="I9" s="399"/>
      <c r="J9" s="398">
        <f t="shared" ref="J9:T9" ca="1" si="1">DATE(LEFT(J7,4),MID(J7,5,2),RIGHT(J7,2))-TODAY()</f>
        <v>479</v>
      </c>
      <c r="K9" s="399"/>
      <c r="L9" s="398">
        <f t="shared" ca="1" si="1"/>
        <v>3401</v>
      </c>
      <c r="M9" s="399"/>
      <c r="N9" s="398">
        <f t="shared" ca="1" si="1"/>
        <v>3218</v>
      </c>
      <c r="O9" s="399"/>
      <c r="P9" s="398">
        <f t="shared" ca="1" si="1"/>
        <v>662</v>
      </c>
      <c r="Q9" s="399"/>
      <c r="R9" s="398">
        <f t="shared" ca="1" si="1"/>
        <v>1665</v>
      </c>
      <c r="S9" s="399"/>
      <c r="T9" s="398">
        <f t="shared" ca="1" si="1"/>
        <v>2853</v>
      </c>
      <c r="U9" s="399"/>
      <c r="V9" s="398">
        <f ca="1">DATE(LEFT(V7,4),MID(V7,5,2),RIGHT(V7,2))-TODAY()</f>
        <v>3584</v>
      </c>
      <c r="W9" s="399"/>
      <c r="X9" s="398">
        <f ca="1">DATE(LEFT(X7,4),MID(X7,5,2),RIGHT(X7,2))-TODAY()</f>
        <v>1484</v>
      </c>
      <c r="Y9" s="399"/>
    </row>
    <row r="10" spans="2:26" x14ac:dyDescent="0.25">
      <c r="B10" s="11" t="s">
        <v>28</v>
      </c>
      <c r="C10" s="11" t="s">
        <v>29</v>
      </c>
      <c r="D10" s="386"/>
      <c r="E10" s="13" t="s">
        <v>30</v>
      </c>
      <c r="F10" s="387" t="str">
        <f>_xll.IMDP("BND",F$4,"이자종류")</f>
        <v>이표채</v>
      </c>
      <c r="G10" s="388"/>
      <c r="H10" s="389" t="str">
        <f>_xll.IMDP("BND",H$4,"이자종류")</f>
        <v>이표채</v>
      </c>
      <c r="I10" s="390"/>
      <c r="J10" s="389" t="str">
        <f>_xll.IMDP("BND",J$4,"이자종류")</f>
        <v>이표채</v>
      </c>
      <c r="K10" s="390"/>
      <c r="L10" s="389" t="str">
        <f>_xll.IMDP("BND",L$4,"이자종류")</f>
        <v>이표채</v>
      </c>
      <c r="M10" s="390"/>
      <c r="N10" s="389" t="str">
        <f>_xll.IMDP("BND",N$4,"이자종류")</f>
        <v>이표채</v>
      </c>
      <c r="O10" s="390"/>
      <c r="P10" s="389" t="str">
        <f>_xll.IMDP("BND",P$4,"이자종류")</f>
        <v>이표채</v>
      </c>
      <c r="Q10" s="390"/>
      <c r="R10" s="389" t="str">
        <f>_xll.IMDP("BND",R$4,"이자종류")</f>
        <v>이표채</v>
      </c>
      <c r="S10" s="390"/>
      <c r="T10" s="389" t="str">
        <f>_xll.IMDP("BND",T$4,"이자종류")</f>
        <v>이표채</v>
      </c>
      <c r="U10" s="390"/>
      <c r="V10" s="389" t="str">
        <f>_xll.IMDP("BND",V$4,"이자종류")</f>
        <v>이표채</v>
      </c>
      <c r="W10" s="390"/>
      <c r="X10" s="389" t="str">
        <f>_xll.IMDP("BND",X$4,"이자종류")</f>
        <v>이표채</v>
      </c>
      <c r="Y10" s="390"/>
    </row>
    <row r="11" spans="2:26" x14ac:dyDescent="0.25">
      <c r="D11" s="386"/>
      <c r="E11" s="13" t="s">
        <v>31</v>
      </c>
      <c r="F11" s="387">
        <f>_xll.IMDP("BND",F$4,"표면이율")</f>
        <v>4.25</v>
      </c>
      <c r="G11" s="388"/>
      <c r="H11" s="387">
        <f>_xll.IMDP("BND",H$4,"표면이율")</f>
        <v>2.75</v>
      </c>
      <c r="I11" s="388"/>
      <c r="J11" s="387">
        <f>_xll.IMDP("BND",J$4,"표면이율")</f>
        <v>2.875</v>
      </c>
      <c r="K11" s="388"/>
      <c r="L11" s="387">
        <f>_xll.IMDP("BND",L$4,"표면이율")</f>
        <v>3.25</v>
      </c>
      <c r="M11" s="388"/>
      <c r="N11" s="387">
        <f>_xll.IMDP("BND",N$4,"표면이율")</f>
        <v>2.625</v>
      </c>
      <c r="O11" s="388"/>
      <c r="P11" s="387">
        <f>_xll.IMDP("BND",P$4,"표면이율")</f>
        <v>2.25</v>
      </c>
      <c r="Q11" s="388"/>
      <c r="R11" s="387">
        <f>_xll.IMDP("BND",R$4,"표면이율")</f>
        <v>3.375</v>
      </c>
      <c r="S11" s="388"/>
      <c r="T11" s="387">
        <f>_xll.IMDP("BND",T$4,"표면이율")</f>
        <v>3.5</v>
      </c>
      <c r="U11" s="388"/>
      <c r="V11" s="387">
        <f>_xll.IMDP("BND",V$4,"표면이율")</f>
        <v>4.25</v>
      </c>
      <c r="W11" s="388"/>
      <c r="X11" s="387">
        <f>_xll.IMDP("BND",X$4,"표면이율")</f>
        <v>2.5</v>
      </c>
      <c r="Y11" s="388"/>
    </row>
    <row r="12" spans="2:26" x14ac:dyDescent="0.25">
      <c r="D12" s="386"/>
      <c r="E12" s="13" t="s">
        <v>32</v>
      </c>
      <c r="F12" s="395">
        <f>F35</f>
        <v>46366</v>
      </c>
      <c r="G12" s="396"/>
      <c r="H12" s="395">
        <f>H35</f>
        <v>46366</v>
      </c>
      <c r="I12" s="396"/>
      <c r="J12" s="397">
        <f>J35</f>
        <v>46366</v>
      </c>
      <c r="K12" s="390"/>
      <c r="L12" s="397">
        <f>L35</f>
        <v>46366</v>
      </c>
      <c r="M12" s="390"/>
      <c r="N12" s="397">
        <f>N35</f>
        <v>46366</v>
      </c>
      <c r="O12" s="390"/>
      <c r="P12" s="397">
        <f>P35</f>
        <v>46366</v>
      </c>
      <c r="Q12" s="390"/>
      <c r="R12" s="397">
        <f>R35</f>
        <v>46275</v>
      </c>
      <c r="S12" s="390"/>
      <c r="T12" s="397">
        <f>T35</f>
        <v>46366</v>
      </c>
      <c r="U12" s="390"/>
      <c r="V12" s="397">
        <f>V35</f>
        <v>46366</v>
      </c>
      <c r="W12" s="390"/>
      <c r="X12" s="397">
        <f>X35</f>
        <v>46275</v>
      </c>
      <c r="Y12" s="390"/>
    </row>
    <row r="13" spans="2:26" x14ac:dyDescent="0.25">
      <c r="D13" s="386"/>
      <c r="E13" s="13" t="s">
        <v>33</v>
      </c>
      <c r="F13" s="387" t="str">
        <f>_xll.IMDP("BND",F$4,"이자지급기간")</f>
        <v>06M</v>
      </c>
      <c r="G13" s="388"/>
      <c r="H13" s="389" t="str">
        <f>_xll.IMDP("BND",H$4,"이자지급기간")</f>
        <v>06M</v>
      </c>
      <c r="I13" s="390"/>
      <c r="J13" s="389" t="str">
        <f>_xll.IMDP("BND",J$4,"이자지급기간")</f>
        <v>06M</v>
      </c>
      <c r="K13" s="390"/>
      <c r="L13" s="389" t="str">
        <f>_xll.IMDP("BND",L$4,"이자지급기간")</f>
        <v>06M</v>
      </c>
      <c r="M13" s="390"/>
      <c r="N13" s="389" t="str">
        <f>_xll.IMDP("BND",N$4,"이자지급기간")</f>
        <v>06M</v>
      </c>
      <c r="O13" s="390"/>
      <c r="P13" s="389" t="str">
        <f>_xll.IMDP("BND",P$4,"이자지급기간")</f>
        <v>06M</v>
      </c>
      <c r="Q13" s="390"/>
      <c r="R13" s="389" t="str">
        <f>_xll.IMDP("BND",R$4,"이자지급기간")</f>
        <v>06M</v>
      </c>
      <c r="S13" s="390"/>
      <c r="T13" s="389" t="str">
        <f>_xll.IMDP("BND",T$4,"이자지급기간")</f>
        <v>06M</v>
      </c>
      <c r="U13" s="390"/>
      <c r="V13" s="389" t="str">
        <f>_xll.IMDP("BND",V$4,"이자지급기간")</f>
        <v>06M</v>
      </c>
      <c r="W13" s="390"/>
      <c r="X13" s="389" t="str">
        <f>_xll.IMDP("BND",X$4,"이자지급기간")</f>
        <v>06M</v>
      </c>
      <c r="Y13" s="390"/>
    </row>
    <row r="14" spans="2:26" ht="17.25" customHeight="1" thickBot="1" x14ac:dyDescent="0.3">
      <c r="D14" s="386"/>
      <c r="E14" s="13" t="s">
        <v>34</v>
      </c>
      <c r="F14" s="391">
        <f>_xll.IMDP("BND",F$4,INDEX($B$5:$C$10,$B$4,2))</f>
        <v>4.3099999999999996</v>
      </c>
      <c r="G14" s="392"/>
      <c r="H14" s="393">
        <f>_xll.IMDP("BND",H$4,INDEX($B$5:$C$10,$B$4,2))</f>
        <v>3.718</v>
      </c>
      <c r="I14" s="394"/>
      <c r="J14" s="393">
        <f>_xll.IMDP("BND",J$4,INDEX($B$5:$C$10,$B$4,2))</f>
        <v>3.5030000000000001</v>
      </c>
      <c r="K14" s="394"/>
      <c r="L14" s="393">
        <f>_xll.IMDP("BND",L$4,INDEX($B$5:$C$10,$B$4,2))</f>
        <v>4.3</v>
      </c>
      <c r="M14" s="394"/>
      <c r="N14" s="393">
        <f>_xll.IMDP("BND",N$4,INDEX($B$5:$C$10,$B$4,2))</f>
        <v>4.274</v>
      </c>
      <c r="O14" s="394"/>
      <c r="P14" s="393">
        <f>_xll.IMDP("BND",P$4,INDEX($B$5:$C$10,$B$4,2))</f>
        <v>3.64</v>
      </c>
      <c r="Q14" s="394"/>
      <c r="R14" s="393">
        <f>_xll.IMDP("BND",R$4,INDEX($B$5:$C$10,$B$4,2))</f>
        <v>4.0430000000000001</v>
      </c>
      <c r="S14" s="394"/>
      <c r="T14" s="393">
        <f>_xll.IMDP("BND",T$4,INDEX($B$5:$C$10,$B$4,2))</f>
        <v>4.25</v>
      </c>
      <c r="U14" s="394"/>
      <c r="V14" s="393">
        <f>_xll.IMDP("BND",V$4,INDEX($B$5:$C$10,$B$4,2))</f>
        <v>4.3099999999999996</v>
      </c>
      <c r="W14" s="394"/>
      <c r="X14" s="393">
        <f>_xll.IMDP("BND",X$4,INDEX($B$5:$C$10,$B$4,2))</f>
        <v>3.9950000000000001</v>
      </c>
      <c r="Y14" s="394"/>
      <c r="Z14" s="14" t="s">
        <v>35</v>
      </c>
    </row>
    <row r="15" spans="2:26" ht="14.25" thickBot="1" x14ac:dyDescent="0.3">
      <c r="D15" s="384" t="s">
        <v>36</v>
      </c>
      <c r="E15" s="13" t="s">
        <v>37</v>
      </c>
      <c r="F15" s="381">
        <f ca="1">$Z$15</f>
        <v>46253</v>
      </c>
      <c r="G15" s="382"/>
      <c r="H15" s="381">
        <f ca="1">$Z$15</f>
        <v>46253</v>
      </c>
      <c r="I15" s="382"/>
      <c r="J15" s="381">
        <f ca="1">$Z$15</f>
        <v>46253</v>
      </c>
      <c r="K15" s="382"/>
      <c r="L15" s="381">
        <f ca="1">$Z$15</f>
        <v>46253</v>
      </c>
      <c r="M15" s="382"/>
      <c r="N15" s="381">
        <f ca="1">$Z$15</f>
        <v>46253</v>
      </c>
      <c r="O15" s="382"/>
      <c r="P15" s="381">
        <f ca="1">$Z$15</f>
        <v>46253</v>
      </c>
      <c r="Q15" s="382"/>
      <c r="R15" s="381">
        <f ca="1">$Z$15</f>
        <v>46253</v>
      </c>
      <c r="S15" s="382"/>
      <c r="T15" s="381">
        <f ca="1">$Z$15</f>
        <v>46253</v>
      </c>
      <c r="U15" s="382"/>
      <c r="V15" s="381">
        <f ca="1">$Z$15</f>
        <v>46253</v>
      </c>
      <c r="W15" s="383"/>
      <c r="X15" s="381">
        <f ca="1">$Z$15</f>
        <v>46253</v>
      </c>
      <c r="Y15" s="383"/>
      <c r="Z15" s="15">
        <f ca="1">WORKDAY(TODAY(),1)</f>
        <v>46253</v>
      </c>
    </row>
    <row r="16" spans="2:26" ht="18" customHeight="1" x14ac:dyDescent="0.25">
      <c r="C16" s="1" t="str">
        <f>INDEX($C$18:$C$26,$C$17,1)</f>
        <v>세전수익률</v>
      </c>
      <c r="D16" s="385"/>
      <c r="E16" s="13"/>
      <c r="F16" s="379">
        <f>트레이딩!P36</f>
        <v>0</v>
      </c>
      <c r="G16" s="380"/>
      <c r="H16" s="379">
        <f>트레이딩!D41</f>
        <v>3.7549999999999999</v>
      </c>
      <c r="I16" s="380"/>
      <c r="J16" s="379">
        <f>트레이딩!D51</f>
        <v>4.1100000000000003</v>
      </c>
      <c r="K16" s="380"/>
      <c r="L16" s="379">
        <f>트레이딩!D25</f>
        <v>4.3</v>
      </c>
      <c r="M16" s="380"/>
      <c r="N16" s="379">
        <f>트레이딩!D19</f>
        <v>4.2549999999999999</v>
      </c>
      <c r="O16" s="380"/>
      <c r="P16" s="379">
        <f>트레이딩!D46</f>
        <v>3.6150000000000002</v>
      </c>
      <c r="Q16" s="380"/>
      <c r="R16" s="379">
        <f>트레이딩!D51</f>
        <v>4.1100000000000003</v>
      </c>
      <c r="S16" s="380"/>
      <c r="T16" s="379">
        <f>트레이딩!D25</f>
        <v>4.3</v>
      </c>
      <c r="U16" s="380"/>
      <c r="V16" s="379">
        <f>트레이딩!D32</f>
        <v>4.383</v>
      </c>
      <c r="W16" s="380"/>
      <c r="X16" s="379">
        <f>트레이딩!D56</f>
        <v>3.927</v>
      </c>
      <c r="Y16" s="380"/>
    </row>
    <row r="17" spans="3:28" x14ac:dyDescent="0.25">
      <c r="C17" s="16">
        <v>1</v>
      </c>
      <c r="D17" s="368" t="s">
        <v>38</v>
      </c>
      <c r="E17" s="13" t="s">
        <v>39</v>
      </c>
      <c r="F17" s="371">
        <f ca="1">_xll.IMBC(F$4,$E17,F$15,F$16,$C$16)</f>
        <v>0</v>
      </c>
      <c r="G17" s="372"/>
      <c r="H17" s="371">
        <f ca="1">_xll.IMBC(H$4,$E17,H$15,H$16,$C$16)</f>
        <v>3.7549999999999999</v>
      </c>
      <c r="I17" s="372"/>
      <c r="J17" s="371">
        <f ca="1">_xll.IMBC(J$4,$E17,J$15,J$16,$C$16)</f>
        <v>4.1100000000000003</v>
      </c>
      <c r="K17" s="372"/>
      <c r="L17" s="371">
        <f ca="1">_xll.IMBC(L$4,$E17,L$15,L$16,$C$16)</f>
        <v>4.3</v>
      </c>
      <c r="M17" s="372"/>
      <c r="N17" s="371">
        <f ca="1">_xll.IMBC(N$4,$E17,N$15,N$16,$C$16)</f>
        <v>4.2549999999999999</v>
      </c>
      <c r="O17" s="372"/>
      <c r="P17" s="371">
        <f ca="1">_xll.IMBC(P$4,$E17,P$15,P$16,$C$16)</f>
        <v>3.6150000000000002</v>
      </c>
      <c r="Q17" s="372"/>
      <c r="R17" s="371">
        <f ca="1">_xll.IMBC(R$4,$E17,R$15,R$16,$C$16)</f>
        <v>4.1100000000000003</v>
      </c>
      <c r="S17" s="372"/>
      <c r="T17" s="371">
        <f ca="1">_xll.IMBC(T$4,$E17,T$15,T$16,$C$16)</f>
        <v>4.3</v>
      </c>
      <c r="U17" s="372"/>
      <c r="V17" s="371">
        <f ca="1">_xll.IMBC(V$4,$E17,V$15,V$16,$C$16)</f>
        <v>4.383</v>
      </c>
      <c r="W17" s="372"/>
      <c r="X17" s="371">
        <f ca="1">_xll.IMBC(X$4,$E17,X$15,X$16,$C$16)</f>
        <v>3.927</v>
      </c>
      <c r="Y17" s="372"/>
    </row>
    <row r="18" spans="3:28" x14ac:dyDescent="0.25">
      <c r="C18" s="1" t="s">
        <v>40</v>
      </c>
      <c r="D18" s="369"/>
      <c r="E18" s="13" t="s">
        <v>41</v>
      </c>
      <c r="F18" s="375">
        <f ca="1">_xll.IMBC(F$4,$E18,F$15,F$16,$C$16)</f>
        <v>14250</v>
      </c>
      <c r="G18" s="376"/>
      <c r="H18" s="375">
        <f ca="1">_xll.IMBC(H$4,$E18,H$15,H$16,$C$16)</f>
        <v>9831.61</v>
      </c>
      <c r="I18" s="376"/>
      <c r="J18" s="375">
        <f ca="1">_xll.IMBC(J$4,$E18,J$15,J$16,$C$16)</f>
        <v>9898.35</v>
      </c>
      <c r="K18" s="376"/>
      <c r="L18" s="377">
        <f ca="1">_xll.IMBC(L$4,$E18,L$15,L$16,$C$16)</f>
        <v>9262.7199999999993</v>
      </c>
      <c r="M18" s="378"/>
      <c r="N18" s="375">
        <f ca="1">_xll.IMBC(N$4,$E18,N$15,N$16,$C$16)</f>
        <v>8862.35</v>
      </c>
      <c r="O18" s="376"/>
      <c r="P18" s="375">
        <f ca="1">_xll.IMBC(P$4,$E18,P$15,P$16,$C$16)</f>
        <v>9805.49</v>
      </c>
      <c r="Q18" s="376"/>
      <c r="R18" s="373">
        <f ca="1">_xll.IMBC(R$4,$E18,R$15,R$16,$C$16)</f>
        <v>9845.3799999999992</v>
      </c>
      <c r="S18" s="374"/>
      <c r="T18" s="375">
        <f ca="1">_xll.IMBC(T$4,$E18,T$15,T$16,$C$16)</f>
        <v>9540.09</v>
      </c>
      <c r="U18" s="376"/>
      <c r="V18" s="375">
        <f ca="1">_xll.IMBC(V$4,$E18,V$15,V$16,$C$16)</f>
        <v>9975.07</v>
      </c>
      <c r="W18" s="376"/>
      <c r="X18" s="375">
        <f ca="1">_xll.IMBC(X$4,$E18,X$15,X$16,$C$16)</f>
        <v>9579.01</v>
      </c>
      <c r="Y18" s="376"/>
      <c r="AA18">
        <v>10510</v>
      </c>
      <c r="AB18">
        <v>10510</v>
      </c>
    </row>
    <row r="19" spans="3:28" x14ac:dyDescent="0.25">
      <c r="C19" s="1" t="s">
        <v>41</v>
      </c>
      <c r="D19" s="369"/>
      <c r="E19" s="13" t="s">
        <v>42</v>
      </c>
      <c r="F19" s="373">
        <f ca="1">_xll.IMBC(F$4,$E19,F$15,F$16,$C$16)</f>
        <v>14238.7</v>
      </c>
      <c r="G19" s="374"/>
      <c r="H19" s="373">
        <f ca="1">_xll.IMBC(H$4,$E19,H$15,H$16,$C$16)</f>
        <v>9824.2999999999993</v>
      </c>
      <c r="I19" s="374"/>
      <c r="J19" s="373">
        <f ca="1">_xll.IMBC(J$4,$E19,J$15,J$16,$C$16)</f>
        <v>9890.7000000000007</v>
      </c>
      <c r="K19" s="374"/>
      <c r="L19" s="373">
        <f ca="1">_xll.IMBC(L$4,$E19,L$15,L$16,$C$16)</f>
        <v>9254.1</v>
      </c>
      <c r="M19" s="374"/>
      <c r="N19" s="373">
        <f ca="1">_xll.IMBC(N$4,$E19,N$15,N$16,$C$16)</f>
        <v>8855.2999999999993</v>
      </c>
      <c r="O19" s="374"/>
      <c r="P19" s="373">
        <f ca="1">_xll.IMBC(P$4,$E19,P$15,P$16,$C$16)</f>
        <v>9799.4</v>
      </c>
      <c r="Q19" s="374"/>
      <c r="R19" s="373">
        <f ca="1">_xll.IMBC(R$4,$E19,R$15,R$16,$C$16)</f>
        <v>9824.6</v>
      </c>
      <c r="S19" s="374"/>
      <c r="T19" s="373">
        <f ca="1">_xll.IMBC(T$4,$E19,T$15,T$16,$C$16)</f>
        <v>9530.7000000000007</v>
      </c>
      <c r="U19" s="374"/>
      <c r="V19" s="373">
        <f ca="1">_xll.IMBC(V$4,$E19,V$15,V$16,$C$16)</f>
        <v>9963.7000000000007</v>
      </c>
      <c r="W19" s="374"/>
      <c r="X19" s="373">
        <f ca="1">_xll.IMBC(X$4,$E19,X$15,X$16,$C$16)</f>
        <v>9563.6</v>
      </c>
      <c r="Y19" s="374"/>
      <c r="AA19">
        <v>10510</v>
      </c>
      <c r="AB19">
        <v>10510</v>
      </c>
    </row>
    <row r="20" spans="3:28" x14ac:dyDescent="0.25">
      <c r="C20" s="1" t="s">
        <v>42</v>
      </c>
      <c r="D20" s="369"/>
      <c r="E20" s="13" t="s">
        <v>43</v>
      </c>
      <c r="F20" s="373">
        <f ca="1">_xll.IMBC(F$4,$E20,F$15,F$16,$C$16)</f>
        <v>81.284099999999995</v>
      </c>
      <c r="G20" s="374"/>
      <c r="H20" s="373">
        <f ca="1">_xll.IMBC(H$4,$E20,H$15,H$16,$C$16)</f>
        <v>52.595599999999997</v>
      </c>
      <c r="I20" s="374"/>
      <c r="J20" s="373">
        <f ca="1">_xll.IMBC(J$4,$E20,J$15,J$16,$C$16)</f>
        <v>54.9863</v>
      </c>
      <c r="K20" s="374"/>
      <c r="L20" s="373">
        <f ca="1">_xll.IMBC(L$4,$E20,L$15,L$16,$C$16)</f>
        <v>62.1584</v>
      </c>
      <c r="M20" s="374"/>
      <c r="N20" s="373">
        <f ca="1">_xll.IMBC(N$4,$E20,N$15,N$16,$C$16)</f>
        <v>50.204900000000002</v>
      </c>
      <c r="O20" s="374"/>
      <c r="P20" s="373">
        <f ca="1">_xll.IMBC(P$4,$E20,P$15,P$16,$C$16)</f>
        <v>43.032699999999998</v>
      </c>
      <c r="Q20" s="374"/>
      <c r="R20" s="373">
        <f ca="1">_xll.IMBC(R$4,$E20,R$15,R$16,$C$16)</f>
        <v>148.57329999999999</v>
      </c>
      <c r="S20" s="374"/>
      <c r="T20" s="373">
        <f ca="1">_xll.IMBC(T$4,$E20,T$15,T$16,$C$16)</f>
        <v>66.939800000000005</v>
      </c>
      <c r="U20" s="374"/>
      <c r="V20" s="373">
        <f ca="1">_xll.IMBC(V$4,$E20,V$15,V$16,$C$16)</f>
        <v>81.284099999999995</v>
      </c>
      <c r="W20" s="374"/>
      <c r="X20" s="373">
        <f ca="1">_xll.IMBC(X$4,$E20,X$15,X$16,$C$16)</f>
        <v>110.0543</v>
      </c>
      <c r="Y20" s="374"/>
      <c r="AA20">
        <v>505</v>
      </c>
      <c r="AB20">
        <v>10005</v>
      </c>
    </row>
    <row r="21" spans="3:28" x14ac:dyDescent="0.25">
      <c r="C21" s="1" t="s">
        <v>44</v>
      </c>
      <c r="D21" s="369"/>
      <c r="E21" s="13" t="s">
        <v>45</v>
      </c>
      <c r="F21" s="373">
        <f ca="1">_xll.IMBC(F$4,$E21,F$15,F$16,$C$16)</f>
        <v>11.3</v>
      </c>
      <c r="G21" s="374"/>
      <c r="H21" s="373">
        <f ca="1">_xll.IMBC(H$4,$E21,H$15,H$16,$C$16)</f>
        <v>7.3</v>
      </c>
      <c r="I21" s="374"/>
      <c r="J21" s="373">
        <f ca="1">_xll.IMBC(J$4,$E21,J$15,J$16,$C$16)</f>
        <v>7.6</v>
      </c>
      <c r="K21" s="374"/>
      <c r="L21" s="373">
        <f ca="1">_xll.IMBC(L$4,$E21,L$15,L$16,$C$16)</f>
        <v>8.6</v>
      </c>
      <c r="M21" s="374"/>
      <c r="N21" s="373">
        <f ca="1">_xll.IMBC(N$4,$E21,N$15,N$16,$C$16)</f>
        <v>7</v>
      </c>
      <c r="O21" s="374"/>
      <c r="P21" s="373">
        <f ca="1">_xll.IMBC(P$4,$E21,P$15,P$16,$C$16)</f>
        <v>6</v>
      </c>
      <c r="Q21" s="374"/>
      <c r="R21" s="373">
        <f ca="1">_xll.IMBC(R$4,$E21,R$15,R$16,$C$16)</f>
        <v>20.7</v>
      </c>
      <c r="S21" s="374"/>
      <c r="T21" s="373">
        <f ca="1">_xll.IMBC(T$4,$E21,T$15,T$16,$C$16)</f>
        <v>9.3000000000000007</v>
      </c>
      <c r="U21" s="374"/>
      <c r="V21" s="373">
        <f ca="1">_xll.IMBC(V$4,$E21,V$15,V$16,$C$16)</f>
        <v>11.3</v>
      </c>
      <c r="W21" s="374"/>
      <c r="X21" s="373">
        <f ca="1">_xll.IMBC(X$4,$E21,X$15,X$16,$C$16)</f>
        <v>15.4</v>
      </c>
      <c r="Y21" s="374"/>
    </row>
    <row r="22" spans="3:28" x14ac:dyDescent="0.25">
      <c r="C22" s="1" t="s">
        <v>46</v>
      </c>
      <c r="D22" s="369"/>
      <c r="E22" s="13" t="s">
        <v>47</v>
      </c>
      <c r="F22" s="366">
        <f ca="1">_xll.IMBC(F$4,$E22,F$15,F$16,$C$16)</f>
        <v>14168.7158</v>
      </c>
      <c r="G22" s="367"/>
      <c r="H22" s="366">
        <f ca="1">_xll.IMBC(H$4,$E22,H$15,H$16,$C$16)</f>
        <v>9779.0149000000001</v>
      </c>
      <c r="I22" s="367"/>
      <c r="J22" s="366">
        <f ca="1">_xll.IMBC(J$4,$E22,J$15,J$16,$C$16)</f>
        <v>9843.3652000000002</v>
      </c>
      <c r="K22" s="367"/>
      <c r="L22" s="366">
        <f ca="1">_xll.IMBC(L$4,$E22,L$15,L$16,$C$16)</f>
        <v>9200.5704999999998</v>
      </c>
      <c r="M22" s="367"/>
      <c r="N22" s="366">
        <f ca="1">_xll.IMBC(N$4,$E22,N$15,N$16,$C$16)</f>
        <v>8812.1507000000001</v>
      </c>
      <c r="O22" s="367"/>
      <c r="P22" s="366">
        <f ca="1">_xll.IMBC(P$4,$E22,P$15,P$16,$C$16)</f>
        <v>9762.4619999999995</v>
      </c>
      <c r="Q22" s="367"/>
      <c r="R22" s="366">
        <f ca="1">_xll.IMBC(R$4,$E22,R$15,R$16,$C$16)</f>
        <v>9696.8094999999994</v>
      </c>
      <c r="S22" s="367"/>
      <c r="T22" s="366">
        <f ca="1">_xll.IMBC(T$4,$E22,T$15,T$16,$C$16)</f>
        <v>9473.1566999999995</v>
      </c>
      <c r="U22" s="367"/>
      <c r="V22" s="366">
        <f ca="1">_xll.IMBC(V$4,$E22,V$15,V$16,$C$16)</f>
        <v>9893.7875000000004</v>
      </c>
      <c r="W22" s="367"/>
      <c r="X22" s="366">
        <f ca="1">_xll.IMBC(X$4,$E22,X$15,X$16,$C$16)</f>
        <v>9468.9609999999993</v>
      </c>
      <c r="Y22" s="367"/>
    </row>
    <row r="23" spans="3:28" x14ac:dyDescent="0.25">
      <c r="C23" s="1" t="s">
        <v>48</v>
      </c>
      <c r="D23" s="369"/>
      <c r="E23" s="13" t="s">
        <v>49</v>
      </c>
      <c r="F23" s="366">
        <f ca="1">_xll.IMBC(F$4,$E23,F$15,F$16,$C$16)</f>
        <v>119587.425</v>
      </c>
      <c r="G23" s="367"/>
      <c r="H23" s="366">
        <f ca="1">_xll.IMBC(H$4,$E23,H$15,H$16,$C$16)</f>
        <v>21625.609356000001</v>
      </c>
      <c r="I23" s="367"/>
      <c r="J23" s="366">
        <f ca="1">_xll.IMBC(J$4,$E23,J$15,J$16,$C$16)</f>
        <v>12486.768524999999</v>
      </c>
      <c r="K23" s="367"/>
      <c r="L23" s="366">
        <f ca="1">_xll.IMBC(L$4,$E23,L$15,L$16,$C$16)</f>
        <v>72460.406015999994</v>
      </c>
      <c r="M23" s="367"/>
      <c r="N23" s="366">
        <f ca="1">_xll.IMBC(N$4,$E23,N$15,N$16,$C$16)</f>
        <v>67734.941049999994</v>
      </c>
      <c r="O23" s="367"/>
      <c r="P23" s="366">
        <f ca="1">_xll.IMBC(P$4,$E23,P$15,P$16,$C$16)</f>
        <v>17096.852363999998</v>
      </c>
      <c r="Q23" s="367"/>
      <c r="R23" s="366">
        <f ca="1">_xll.IMBC(R$4,$E23,R$15,R$16,$C$16)</f>
        <v>40470.419027999997</v>
      </c>
      <c r="S23" s="367"/>
      <c r="T23" s="366">
        <f ca="1">_xll.IMBC(T$4,$E23,T$15,T$16,$C$16)</f>
        <v>63715.399082999997</v>
      </c>
      <c r="U23" s="367"/>
      <c r="V23" s="366">
        <f ca="1">_xll.IMBC(V$4,$E23,V$15,V$16,$C$16)</f>
        <v>78547.691208000004</v>
      </c>
      <c r="W23" s="367"/>
      <c r="X23" s="366">
        <f ca="1">_xll.IMBC(X$4,$E23,X$15,X$16,$C$16)</f>
        <v>36034.319818000004</v>
      </c>
      <c r="Y23" s="367"/>
    </row>
    <row r="24" spans="3:28" x14ac:dyDescent="0.25">
      <c r="C24" s="1" t="s">
        <v>50</v>
      </c>
      <c r="D24" s="369"/>
      <c r="E24" s="13" t="s">
        <v>51</v>
      </c>
      <c r="F24" s="366">
        <f ca="1">_xll.IMBC(F$4,$E24,F$15,F$16,$C$16)</f>
        <v>8.3920999999999992</v>
      </c>
      <c r="G24" s="367"/>
      <c r="H24" s="366">
        <f ca="1">_xll.IMBC(H$4,$E24,H$15,H$16,$C$16)</f>
        <v>2.2822</v>
      </c>
      <c r="I24" s="367"/>
      <c r="J24" s="366">
        <f ca="1">_xll.IMBC(J$4,$E24,J$15,J$16,$C$16)</f>
        <v>1.2874000000000001</v>
      </c>
      <c r="K24" s="367"/>
      <c r="L24" s="366">
        <f ca="1">_xll.IMBC(L$4,$E24,L$15,L$16,$C$16)</f>
        <v>8.1592000000000002</v>
      </c>
      <c r="M24" s="367"/>
      <c r="N24" s="366">
        <f ca="1">_xll.IMBC(N$4,$E24,N$15,N$16,$C$16)</f>
        <v>7.9682000000000004</v>
      </c>
      <c r="O24" s="367"/>
      <c r="P24" s="366">
        <f ca="1">_xll.IMBC(P$4,$E24,P$15,P$16,$C$16)</f>
        <v>1.7750999999999999</v>
      </c>
      <c r="Q24" s="367"/>
      <c r="R24" s="366">
        <f ca="1">_xll.IMBC(R$4,$E24,R$15,R$16,$C$16)</f>
        <v>4.2794999999999996</v>
      </c>
      <c r="S24" s="367"/>
      <c r="T24" s="366">
        <f ca="1">_xll.IMBC(T$4,$E24,T$15,T$16,$C$16)</f>
        <v>6.9659000000000004</v>
      </c>
      <c r="U24" s="367"/>
      <c r="V24" s="366">
        <f ca="1">_xll.IMBC(V$4,$E24,V$15,V$16,$C$16)</f>
        <v>8.2195999999999998</v>
      </c>
      <c r="W24" s="367"/>
      <c r="X24" s="366">
        <f ca="1">_xll.IMBC(X$4,$E24,X$15,X$16,$C$16)</f>
        <v>3.9095</v>
      </c>
      <c r="Y24" s="367"/>
    </row>
    <row r="25" spans="3:28" x14ac:dyDescent="0.25">
      <c r="C25" s="1" t="s">
        <v>52</v>
      </c>
      <c r="D25" s="369"/>
      <c r="E25" s="13" t="s">
        <v>53</v>
      </c>
      <c r="F25" s="366">
        <f ca="1">_xll.IMBC(F$4,$E25,F$15,F$16,$C$16)</f>
        <v>8.3920999999999992</v>
      </c>
      <c r="G25" s="367"/>
      <c r="H25" s="366">
        <f ca="1">_xll.IMBC(H$4,$E25,H$15,H$16,$C$16)</f>
        <v>2.1996000000000002</v>
      </c>
      <c r="I25" s="367"/>
      <c r="J25" s="366">
        <f ca="1">_xll.IMBC(J$4,$E25,J$15,J$16,$C$16)</f>
        <v>1.2615000000000001</v>
      </c>
      <c r="K25" s="367"/>
      <c r="L25" s="366">
        <f ca="1">_xll.IMBC(L$4,$E25,L$15,L$16,$C$16)</f>
        <v>7.8228</v>
      </c>
      <c r="M25" s="367"/>
      <c r="N25" s="366">
        <f ca="1">_xll.IMBC(N$4,$E25,N$15,N$16,$C$16)</f>
        <v>7.6429999999999998</v>
      </c>
      <c r="O25" s="367"/>
      <c r="P25" s="366">
        <f ca="1">_xll.IMBC(P$4,$E25,P$15,P$16,$C$16)</f>
        <v>1.7436</v>
      </c>
      <c r="Q25" s="367"/>
      <c r="R25" s="366">
        <f ca="1">_xll.IMBC(R$4,$E25,R$15,R$16,$C$16)</f>
        <v>4.1105999999999998</v>
      </c>
      <c r="S25" s="367"/>
      <c r="T25" s="366">
        <f ca="1">_xll.IMBC(T$4,$E25,T$15,T$16,$C$16)</f>
        <v>6.6787000000000001</v>
      </c>
      <c r="U25" s="367"/>
      <c r="V25" s="366">
        <f ca="1">_xll.IMBC(V$4,$E25,V$15,V$16,$C$16)</f>
        <v>7.8743999999999996</v>
      </c>
      <c r="W25" s="367"/>
      <c r="X25" s="366">
        <f ca="1">_xll.IMBC(X$4,$E25,X$15,X$16,$C$16)</f>
        <v>3.7618</v>
      </c>
      <c r="Y25" s="367"/>
    </row>
    <row r="26" spans="3:28" x14ac:dyDescent="0.25">
      <c r="C26" s="1" t="s">
        <v>54</v>
      </c>
      <c r="D26" s="369"/>
      <c r="E26" s="13" t="s">
        <v>55</v>
      </c>
      <c r="F26" s="366">
        <f ca="1">_xll.IMBC(F$4,$E26,F$15,F$16,$C$16)</f>
        <v>1165997.7</v>
      </c>
      <c r="G26" s="367"/>
      <c r="H26" s="366">
        <f ca="1">_xll.IMBC(H$4,$E26,H$15,H$16,$C$16)</f>
        <v>59106.656158999998</v>
      </c>
      <c r="I26" s="367"/>
      <c r="J26" s="366">
        <f ca="1">_xll.IMBC(J$4,$E26,J$15,J$16,$C$16)</f>
        <v>22033.7271</v>
      </c>
      <c r="K26" s="367"/>
      <c r="L26" s="366">
        <f ca="1">_xll.IMBC(L$4,$E26,L$15,L$16,$C$16)</f>
        <v>661321.15711999999</v>
      </c>
      <c r="M26" s="367"/>
      <c r="N26" s="366">
        <f ca="1">_xll.IMBC(N$4,$E26,N$15,N$16,$C$16)</f>
        <v>593503.60338500002</v>
      </c>
      <c r="O26" s="367"/>
      <c r="P26" s="366">
        <f ca="1">_xll.IMBC(P$4,$E26,P$15,P$16,$C$16)</f>
        <v>38568.914365999997</v>
      </c>
      <c r="Q26" s="367"/>
      <c r="R26" s="366">
        <f ca="1">_xll.IMBC(R$4,$E26,R$15,R$16,$C$16)</f>
        <v>196011.67042000001</v>
      </c>
      <c r="S26" s="367"/>
      <c r="T26" s="366">
        <f ca="1">_xll.IMBC(T$4,$E26,T$15,T$16,$C$16)</f>
        <v>495663.962031</v>
      </c>
      <c r="U26" s="367"/>
      <c r="V26" s="366">
        <f ca="1">_xll.IMBC(V$4,$E26,V$15,V$16,$C$16)</f>
        <v>740406.55329900002</v>
      </c>
      <c r="W26" s="367"/>
      <c r="X26" s="366">
        <f ca="1">_xll.IMBC(X$4,$E26,X$15,X$16,$C$16)</f>
        <v>158689.71126400001</v>
      </c>
      <c r="Y26" s="367"/>
    </row>
    <row r="27" spans="3:28" x14ac:dyDescent="0.25">
      <c r="D27" s="369"/>
      <c r="E27" s="13" t="s">
        <v>56</v>
      </c>
      <c r="F27" s="366">
        <f ca="1">_xll.IMBC(F$4,$E27,F$15,F$16,$C$16)</f>
        <v>81.824399999999997</v>
      </c>
      <c r="G27" s="367"/>
      <c r="H27" s="366">
        <f ca="1">_xll.IMBC(H$4,$E27,H$15,H$16,$C$16)</f>
        <v>6.0118999999999998</v>
      </c>
      <c r="I27" s="367"/>
      <c r="J27" s="366">
        <f ca="1">_xll.IMBC(J$4,$E27,J$15,J$16,$C$16)</f>
        <v>2.226</v>
      </c>
      <c r="K27" s="367"/>
      <c r="L27" s="366">
        <f ca="1">_xll.IMBC(L$4,$E27,L$15,L$16,$C$16)</f>
        <v>71.396000000000001</v>
      </c>
      <c r="M27" s="367"/>
      <c r="N27" s="366">
        <f ca="1">_xll.IMBC(N$4,$E27,N$15,N$16,$C$16)</f>
        <v>66.969099999999997</v>
      </c>
      <c r="O27" s="367"/>
      <c r="P27" s="366">
        <f ca="1">_xll.IMBC(P$4,$E27,P$15,P$16,$C$16)</f>
        <v>3.9333999999999998</v>
      </c>
      <c r="Q27" s="367"/>
      <c r="R27" s="366">
        <f ca="1">_xll.IMBC(R$4,$E27,R$15,R$16,$C$16)</f>
        <v>19.908999999999999</v>
      </c>
      <c r="S27" s="367"/>
      <c r="T27" s="366">
        <f ca="1">_xll.IMBC(T$4,$E27,T$15,T$16,$C$16)</f>
        <v>51.9559</v>
      </c>
      <c r="U27" s="367"/>
      <c r="V27" s="366">
        <f ca="1">_xll.IMBC(V$4,$E27,V$15,V$16,$C$16)</f>
        <v>74.225700000000003</v>
      </c>
      <c r="W27" s="367"/>
      <c r="X27" s="366">
        <f ca="1">_xll.IMBC(X$4,$E27,X$15,X$16,$C$16)</f>
        <v>16.566400000000002</v>
      </c>
      <c r="Y27" s="367"/>
    </row>
    <row r="28" spans="3:28" x14ac:dyDescent="0.25">
      <c r="D28" s="369"/>
      <c r="E28" s="13" t="s">
        <v>57</v>
      </c>
      <c r="F28" s="364">
        <f ca="1">_xll.IMBC(F$4,$E28,F$15,F$16,$C$16)</f>
        <v>3583</v>
      </c>
      <c r="G28" s="365"/>
      <c r="H28" s="364">
        <f ca="1">_xll.IMBC(H$4,$E28,H$15,H$16,$C$16)</f>
        <v>844</v>
      </c>
      <c r="I28" s="365"/>
      <c r="J28" s="364">
        <f ca="1">_xll.IMBC(J$4,$E28,J$15,J$16,$C$16)</f>
        <v>478</v>
      </c>
      <c r="K28" s="365"/>
      <c r="L28" s="364">
        <f ca="1">_xll.IMBC(L$4,$E28,L$15,L$16,$C$16)</f>
        <v>3400</v>
      </c>
      <c r="M28" s="365"/>
      <c r="N28" s="364">
        <f ca="1">_xll.IMBC(N$4,$E28,N$15,N$16,$C$16)</f>
        <v>3217</v>
      </c>
      <c r="O28" s="365"/>
      <c r="P28" s="364">
        <f ca="1">_xll.IMBC(P$4,$E28,P$15,P$16,$C$16)</f>
        <v>661</v>
      </c>
      <c r="Q28" s="365"/>
      <c r="R28" s="364">
        <f ca="1">_xll.IMBC(R$4,$E28,R$15,R$16,$C$16)</f>
        <v>1664</v>
      </c>
      <c r="S28" s="365"/>
      <c r="T28" s="364">
        <f ca="1">_xll.IMBC(T$4,$E28,T$15,T$16,$C$16)</f>
        <v>2852</v>
      </c>
      <c r="U28" s="365"/>
      <c r="V28" s="364">
        <f ca="1">_xll.IMBC(V$4,$E28,V$15,V$16,$C$16)</f>
        <v>3583</v>
      </c>
      <c r="W28" s="365"/>
      <c r="X28" s="364">
        <f ca="1">_xll.IMBC(X$4,$E28,X$15,X$16,$C$16)</f>
        <v>1483</v>
      </c>
      <c r="Y28" s="365"/>
    </row>
    <row r="29" spans="3:28" x14ac:dyDescent="0.25">
      <c r="D29" s="370"/>
      <c r="E29" s="13" t="s">
        <v>58</v>
      </c>
      <c r="F29" s="366">
        <f ca="1">_xll.IMBC(F$4,$E29,F$15,F$16,$C$16)</f>
        <v>11.9587</v>
      </c>
      <c r="G29" s="367"/>
      <c r="H29" s="366">
        <f ca="1">_xll.IMBC(H$4,$E29,H$15,H$16,$C$16)</f>
        <v>2.1625000000000001</v>
      </c>
      <c r="I29" s="367"/>
      <c r="J29" s="366">
        <f ca="1">_xll.IMBC(J$4,$E29,J$15,J$16,$C$16)</f>
        <v>1.2485999999999999</v>
      </c>
      <c r="K29" s="367"/>
      <c r="L29" s="366">
        <f ca="1">_xll.IMBC(L$4,$E29,L$15,L$16,$C$16)</f>
        <v>7.2461000000000002</v>
      </c>
      <c r="M29" s="367"/>
      <c r="N29" s="366">
        <f ca="1">_xll.IMBC(N$4,$E29,N$15,N$16,$C$16)</f>
        <v>6.7735000000000003</v>
      </c>
      <c r="O29" s="367"/>
      <c r="P29" s="366">
        <f ca="1">_xll.IMBC(P$4,$E29,P$15,P$16,$C$16)</f>
        <v>1.7097</v>
      </c>
      <c r="Q29" s="367"/>
      <c r="R29" s="366">
        <f ca="1">_xll.IMBC(R$4,$E29,R$15,R$16,$C$16)</f>
        <v>4.0469999999999997</v>
      </c>
      <c r="S29" s="367"/>
      <c r="T29" s="366">
        <f ca="1">_xll.IMBC(T$4,$E29,T$15,T$16,$C$16)</f>
        <v>6.3715000000000002</v>
      </c>
      <c r="U29" s="367"/>
      <c r="V29" s="366">
        <f ca="1">_xll.IMBC(V$4,$E29,V$15,V$16,$C$16)</f>
        <v>7.8548</v>
      </c>
      <c r="W29" s="367"/>
      <c r="X29" s="366">
        <f ca="1">_xll.IMBC(X$4,$E29,X$15,X$16,$C$16)</f>
        <v>3.6034000000000002</v>
      </c>
      <c r="Y29" s="367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360" t="s">
        <v>60</v>
      </c>
      <c r="E33" s="361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362"/>
      <c r="E34" s="363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4:D5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2026-08-18T08:39:09Z</dcterms:modified>
</cp:coreProperties>
</file>