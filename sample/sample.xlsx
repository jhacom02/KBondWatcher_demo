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mycode\KBondHandler\sample\"/>
    </mc:Choice>
  </mc:AlternateContent>
  <bookViews>
    <workbookView xWindow="360" yWindow="90" windowWidth="28035" windowHeight="12345"/>
  </bookViews>
  <sheets>
    <sheet name="트레이딩" sheetId="2" r:id="rId1"/>
    <sheet name="채권단가계산표" sheetId="1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E104" i="2" l="1"/>
  <c r="C104" i="2"/>
  <c r="P103" i="2"/>
  <c r="O103" i="2"/>
  <c r="N103" i="2"/>
  <c r="C103" i="2"/>
  <c r="E94" i="2"/>
  <c r="D93" i="2"/>
  <c r="C93" i="2"/>
  <c r="B93" i="2" l="1"/>
  <c r="F93" i="2" s="1"/>
  <c r="C92" i="2"/>
  <c r="D92" i="2"/>
  <c r="F92" i="2" l="1"/>
  <c r="E89" i="2"/>
  <c r="D88" i="2"/>
  <c r="C88" i="2"/>
  <c r="F88" i="2" l="1"/>
  <c r="N86" i="2"/>
  <c r="N85" i="2"/>
  <c r="N82" i="2"/>
  <c r="E82" i="2"/>
  <c r="N81" i="2"/>
  <c r="G87" i="2"/>
  <c r="D81" i="2"/>
  <c r="P99" i="2" l="1"/>
  <c r="P98" i="2"/>
  <c r="P100" i="2"/>
  <c r="N88" i="2"/>
  <c r="O88" i="2" s="1"/>
  <c r="S88" i="2" s="1"/>
  <c r="N99" i="2"/>
  <c r="O99" i="2" s="1"/>
  <c r="N98" i="2"/>
  <c r="O98" i="2" s="1"/>
  <c r="N100" i="2"/>
  <c r="O100" i="2" s="1"/>
  <c r="B80" i="2"/>
  <c r="F80" i="2" s="1"/>
  <c r="Y78" i="2"/>
  <c r="Y79" i="2" s="1"/>
  <c r="Y80" i="2" s="1"/>
  <c r="Y81" i="2" s="1"/>
  <c r="Y82" i="2" s="1"/>
  <c r="Y83" i="2" s="1"/>
  <c r="Y84" i="2" s="1"/>
  <c r="Y85" i="2" s="1"/>
  <c r="Y86" i="2" s="1"/>
  <c r="Y87" i="2" s="1"/>
  <c r="N77" i="2"/>
  <c r="P77" i="2" s="1"/>
  <c r="T76" i="2"/>
  <c r="N76" i="2"/>
  <c r="O76" i="2" s="1"/>
  <c r="P76" i="2" s="1"/>
  <c r="F76" i="2"/>
  <c r="B76" i="2"/>
  <c r="I75" i="2"/>
  <c r="J72" i="2"/>
  <c r="E72" i="2"/>
  <c r="J71" i="2"/>
  <c r="B71" i="2"/>
  <c r="B81" i="2" s="1"/>
  <c r="F81" i="2" s="1"/>
  <c r="J70" i="2"/>
  <c r="J73" i="2" s="1"/>
  <c r="B70" i="2"/>
  <c r="F70" i="2" s="1"/>
  <c r="R68" i="2"/>
  <c r="V67" i="2"/>
  <c r="U67" i="2"/>
  <c r="T67" i="2"/>
  <c r="U68" i="2" s="1"/>
  <c r="S67" i="2"/>
  <c r="N66" i="2"/>
  <c r="P66" i="2" s="1"/>
  <c r="N65" i="2"/>
  <c r="O65" i="2" s="1"/>
  <c r="P65" i="2" s="1"/>
  <c r="B65" i="2"/>
  <c r="C65" i="2" s="1"/>
  <c r="H60" i="2"/>
  <c r="I59" i="2"/>
  <c r="I60" i="2" s="1"/>
  <c r="I61" i="2" s="1"/>
  <c r="I62" i="2" s="1"/>
  <c r="I63" i="2" s="1"/>
  <c r="I64" i="2" s="1"/>
  <c r="I65" i="2" s="1"/>
  <c r="I66" i="2" s="1"/>
  <c r="I58" i="2"/>
  <c r="H58" i="2"/>
  <c r="E58" i="2"/>
  <c r="T57" i="2"/>
  <c r="U57" i="2" s="1"/>
  <c r="J57" i="2"/>
  <c r="J58" i="2" s="1"/>
  <c r="J59" i="2" s="1"/>
  <c r="J60" i="2" s="1"/>
  <c r="J61" i="2" s="1"/>
  <c r="J62" i="2" s="1"/>
  <c r="J63" i="2" s="1"/>
  <c r="J64" i="2" s="1"/>
  <c r="J65" i="2" s="1"/>
  <c r="J66" i="2" s="1"/>
  <c r="B57" i="2"/>
  <c r="T54" i="2"/>
  <c r="R54" i="2"/>
  <c r="O54" i="2"/>
  <c r="T53" i="2"/>
  <c r="Q53" i="2"/>
  <c r="E53" i="2"/>
  <c r="Q52" i="2"/>
  <c r="B52" i="2"/>
  <c r="S51" i="2"/>
  <c r="Q51" i="2"/>
  <c r="C51" i="2"/>
  <c r="D51" i="2"/>
  <c r="F71" i="2" l="1"/>
  <c r="R94" i="2"/>
  <c r="F51" i="2"/>
  <c r="F62" i="2"/>
  <c r="D63" i="2"/>
  <c r="F63" i="2"/>
  <c r="D64" i="2"/>
  <c r="F64" i="2"/>
  <c r="D62" i="2"/>
  <c r="E63" i="2"/>
  <c r="Q65" i="2"/>
  <c r="O62" i="2" s="1"/>
  <c r="Q76" i="2"/>
  <c r="O70" i="2" s="1"/>
  <c r="Q70" i="2" s="1"/>
  <c r="Q99" i="2"/>
  <c r="U99" i="2"/>
  <c r="V99" i="2" s="1"/>
  <c r="E64" i="2"/>
  <c r="Q100" i="2"/>
  <c r="U100" i="2"/>
  <c r="V100" i="2" s="1"/>
  <c r="U98" i="2"/>
  <c r="V98" i="2" s="1"/>
  <c r="Q98" i="2"/>
  <c r="E62" i="2"/>
  <c r="Q50" i="2"/>
  <c r="Q54" i="2" s="1"/>
  <c r="H50" i="2"/>
  <c r="F65" i="2" l="1"/>
  <c r="F66" i="2" s="1"/>
  <c r="O71" i="2"/>
  <c r="Q71" i="2" s="1"/>
  <c r="O72" i="2"/>
  <c r="Q72" i="2" s="1"/>
  <c r="O73" i="2"/>
  <c r="Q73" i="2" s="1"/>
  <c r="O61" i="2"/>
  <c r="Q61" i="2" s="1"/>
  <c r="O60" i="2"/>
  <c r="N51" i="2" s="1"/>
  <c r="O59" i="2"/>
  <c r="Q59" i="2" s="1"/>
  <c r="E65" i="2"/>
  <c r="E66" i="2" s="1"/>
  <c r="R100" i="2"/>
  <c r="S100" i="2" s="1"/>
  <c r="S94" i="2"/>
  <c r="T94" i="2" s="1"/>
  <c r="N53" i="2"/>
  <c r="P53" i="2" s="1"/>
  <c r="Q62" i="2"/>
  <c r="D65" i="2"/>
  <c r="D50" i="2"/>
  <c r="E48" i="2"/>
  <c r="U47" i="2"/>
  <c r="O47" i="2"/>
  <c r="H47" i="2"/>
  <c r="U46" i="2"/>
  <c r="M46" i="2"/>
  <c r="I46" i="2"/>
  <c r="I47" i="2" s="1"/>
  <c r="I48" i="2" s="1"/>
  <c r="I49" i="2" s="1"/>
  <c r="I50" i="2" s="1"/>
  <c r="I51" i="2" s="1"/>
  <c r="I52" i="2" s="1"/>
  <c r="I53" i="2" s="1"/>
  <c r="I54" i="2" s="1"/>
  <c r="H46" i="2"/>
  <c r="H48" i="2" s="1"/>
  <c r="N45" i="2"/>
  <c r="P45" i="2" s="1"/>
  <c r="M45" i="2"/>
  <c r="J45" i="2"/>
  <c r="J46" i="2" s="1"/>
  <c r="D45" i="2"/>
  <c r="S43" i="2"/>
  <c r="M43" i="2"/>
  <c r="J43" i="2"/>
  <c r="T100" i="2" l="1"/>
  <c r="P104" i="2" s="1"/>
  <c r="N43" i="2"/>
  <c r="P43" i="2" s="1"/>
  <c r="R73" i="2"/>
  <c r="N46" i="2"/>
  <c r="P46" i="2" s="1"/>
  <c r="N44" i="2"/>
  <c r="P44" i="2" s="1"/>
  <c r="R62" i="2"/>
  <c r="S50" i="2"/>
  <c r="N52" i="2"/>
  <c r="E57" i="2" s="1"/>
  <c r="Q60" i="2"/>
  <c r="N50" i="2"/>
  <c r="P50" i="2" s="1"/>
  <c r="J47" i="2"/>
  <c r="J48" i="2" s="1"/>
  <c r="J49" i="2" s="1"/>
  <c r="J50" i="2" s="1"/>
  <c r="J51" i="2" s="1"/>
  <c r="J52" i="2" s="1"/>
  <c r="J53" i="2" s="1"/>
  <c r="J54" i="2" s="1"/>
  <c r="P51" i="2"/>
  <c r="E52" i="2"/>
  <c r="G62" i="2"/>
  <c r="D66" i="2"/>
  <c r="E47" i="2"/>
  <c r="H43" i="2"/>
  <c r="E43" i="2"/>
  <c r="C42" i="2"/>
  <c r="D42" i="2"/>
  <c r="N47" i="2" l="1"/>
  <c r="P47" i="2"/>
  <c r="P52" i="2"/>
  <c r="P54" i="2" s="1"/>
  <c r="P56" i="2" s="1"/>
  <c r="E42" i="2"/>
  <c r="C47" i="2"/>
  <c r="D47" i="2"/>
  <c r="D52" i="2" s="1"/>
  <c r="D57" i="2" s="1"/>
  <c r="H65" i="2"/>
  <c r="G63" i="2"/>
  <c r="B42" i="2"/>
  <c r="J41" i="2"/>
  <c r="F42" i="2" l="1"/>
  <c r="H55" i="2"/>
  <c r="I43" i="2"/>
  <c r="C57" i="2"/>
  <c r="F57" i="2" s="1"/>
  <c r="C52" i="2"/>
  <c r="F52" i="2" s="1"/>
  <c r="F47" i="2"/>
  <c r="I41" i="2"/>
  <c r="H41" i="2"/>
  <c r="G41" i="2"/>
  <c r="N105" i="2" l="1"/>
  <c r="P105" i="2"/>
  <c r="P106" i="2" s="1"/>
  <c r="O105" i="2"/>
  <c r="AF39" i="2"/>
  <c r="P39" i="2"/>
  <c r="J39" i="2"/>
  <c r="I39" i="2"/>
  <c r="H39" i="2"/>
  <c r="G39" i="2"/>
  <c r="D39" i="2"/>
  <c r="F82" i="2" s="1"/>
  <c r="F83" i="2" s="1"/>
  <c r="W38" i="2"/>
  <c r="AE38" i="2" s="1"/>
  <c r="AE37" i="2"/>
  <c r="O37" i="2"/>
  <c r="T37" i="2" s="1"/>
  <c r="U36" i="2" s="1"/>
  <c r="N37" i="2"/>
  <c r="W36" i="2"/>
  <c r="AE36" i="2" s="1"/>
  <c r="AE41" i="2" s="1"/>
  <c r="T36" i="2"/>
  <c r="T43" i="2" s="1"/>
  <c r="R36" i="2"/>
  <c r="E34" i="2"/>
  <c r="C34" i="2"/>
  <c r="F34" i="2" s="1"/>
  <c r="T33" i="2"/>
  <c r="U33" i="2" s="1"/>
  <c r="M33" i="2"/>
  <c r="J33" i="2"/>
  <c r="C33" i="2"/>
  <c r="R37" i="2" l="1"/>
  <c r="R39" i="2"/>
  <c r="Q105" i="2"/>
  <c r="F33" i="2"/>
  <c r="B33" i="2"/>
  <c r="U32" i="2"/>
  <c r="D32" i="2"/>
  <c r="C32" i="2"/>
  <c r="F32" i="2" l="1"/>
  <c r="F35" i="2" s="1"/>
  <c r="G32" i="2" s="1"/>
  <c r="D36" i="2"/>
  <c r="R31" i="2"/>
  <c r="Q31" i="2"/>
  <c r="P31" i="2"/>
  <c r="AB30" i="2"/>
  <c r="R30" i="2"/>
  <c r="Q30" i="2"/>
  <c r="P30" i="2"/>
  <c r="D30" i="2"/>
  <c r="X29" i="2"/>
  <c r="W30" i="2" s="1"/>
  <c r="Q28" i="2"/>
  <c r="E27" i="2"/>
  <c r="C27" i="2"/>
  <c r="F27" i="2" s="1"/>
  <c r="Q26" i="2"/>
  <c r="P26" i="2"/>
  <c r="O26" i="2"/>
  <c r="Y25" i="2" s="1"/>
  <c r="Q25" i="2"/>
  <c r="O25" i="2"/>
  <c r="R25" i="2" s="1"/>
  <c r="N25" i="2"/>
  <c r="Y24" i="2"/>
  <c r="N24" i="2"/>
  <c r="R24" i="2" s="1"/>
  <c r="M23" i="2"/>
  <c r="E21" i="2"/>
  <c r="C21" i="2"/>
  <c r="F21" i="2" s="1"/>
  <c r="Q20" i="2"/>
  <c r="O20" i="2"/>
  <c r="C20" i="2"/>
  <c r="R27" i="2" l="1"/>
  <c r="S24" i="2" s="1"/>
  <c r="R20" i="2"/>
  <c r="Y26" i="2"/>
  <c r="R26" i="2"/>
  <c r="C26" i="2"/>
  <c r="F26" i="2" s="1"/>
  <c r="F20" i="2"/>
  <c r="Q32" i="2"/>
  <c r="AA36" i="2"/>
  <c r="AA37" i="2"/>
  <c r="P32" i="2"/>
  <c r="R32" i="2"/>
  <c r="R33" i="2" s="1"/>
  <c r="B20" i="2"/>
  <c r="Q19" i="2"/>
  <c r="N19" i="2"/>
  <c r="J19" i="2"/>
  <c r="J20" i="2" s="1"/>
  <c r="J21" i="2" s="1"/>
  <c r="J22" i="2" s="1"/>
  <c r="J23" i="2" s="1"/>
  <c r="J24" i="2" s="1"/>
  <c r="J25" i="2" s="1"/>
  <c r="J26" i="2" s="1"/>
  <c r="J27" i="2" s="1"/>
  <c r="J28" i="2" s="1"/>
  <c r="H19" i="2"/>
  <c r="R19" i="2" l="1"/>
  <c r="AA39" i="2"/>
  <c r="AD39" i="2" s="1"/>
  <c r="N33" i="2"/>
  <c r="P33" i="2"/>
  <c r="S30" i="2"/>
  <c r="S31" i="2" s="1"/>
  <c r="AE42" i="2"/>
  <c r="AE45" i="2" s="1"/>
  <c r="AE39" i="2"/>
  <c r="N18" i="2"/>
  <c r="R18" i="2" s="1"/>
  <c r="R21" i="2" s="1"/>
  <c r="S18" i="2" s="1"/>
  <c r="M17" i="2"/>
  <c r="F17" i="2"/>
  <c r="F16" i="2"/>
  <c r="AA15" i="2"/>
  <c r="AB15" i="2" s="1"/>
  <c r="AC15" i="2" s="1"/>
  <c r="I15" i="2"/>
  <c r="H13" i="2"/>
  <c r="I13" i="2" s="1"/>
  <c r="G13" i="2"/>
  <c r="F13" i="2"/>
  <c r="S12" i="2"/>
  <c r="R12" i="2"/>
  <c r="C11" i="2"/>
  <c r="Q14" i="2"/>
  <c r="E11" i="2"/>
  <c r="P14" i="2" l="1"/>
  <c r="I34" i="2" s="1"/>
  <c r="O14" i="2"/>
  <c r="AB16" i="2"/>
  <c r="AC16" i="2" s="1"/>
  <c r="N10" i="2"/>
  <c r="F10" i="2"/>
  <c r="F12" i="2" s="1"/>
  <c r="B10" i="2"/>
  <c r="B12" i="2" s="1"/>
  <c r="O9" i="2"/>
  <c r="O10" i="2" s="1"/>
  <c r="P10" i="2" s="1"/>
  <c r="Z7" i="2"/>
  <c r="X7" i="2"/>
  <c r="W7" i="2"/>
  <c r="S7" i="2"/>
  <c r="S9" i="2" s="1"/>
  <c r="F7" i="2"/>
  <c r="B7" i="2"/>
  <c r="V6" i="2"/>
  <c r="AA6" i="2" s="1"/>
  <c r="AB6" i="2" s="1"/>
  <c r="J6" i="2"/>
  <c r="J7" i="2" s="1"/>
  <c r="I6" i="2"/>
  <c r="E6" i="2"/>
  <c r="C6" i="2"/>
  <c r="D20" i="2" l="1"/>
  <c r="C10" i="2"/>
  <c r="E10" i="2"/>
  <c r="V5" i="2"/>
  <c r="AA5" i="2" s="1"/>
  <c r="AB5" i="2" s="1"/>
  <c r="AB7" i="2" s="1"/>
  <c r="AC7" i="2" s="1"/>
  <c r="P5" i="2"/>
  <c r="Q5" i="2" s="1"/>
  <c r="O5" i="2"/>
  <c r="E5" i="2"/>
  <c r="C5" i="2"/>
  <c r="C7" i="2" l="1"/>
  <c r="D21" i="2"/>
  <c r="D26" i="2"/>
  <c r="C13" i="2"/>
  <c r="D13" i="2" s="1"/>
  <c r="H10" i="2"/>
  <c r="H12" i="2" s="1"/>
  <c r="I12" i="2" s="1"/>
  <c r="J12" i="2" s="1"/>
  <c r="C12" i="2"/>
  <c r="C94" i="2"/>
  <c r="F94" i="2" s="1"/>
  <c r="F95" i="2" s="1"/>
  <c r="C89" i="2"/>
  <c r="F89" i="2" s="1"/>
  <c r="C58" i="2"/>
  <c r="F58" i="2" s="1"/>
  <c r="C53" i="2"/>
  <c r="F53" i="2" s="1"/>
  <c r="F54" i="2" s="1"/>
  <c r="C48" i="2"/>
  <c r="C43" i="2"/>
  <c r="F43" i="2" s="1"/>
  <c r="F77" i="2" s="1"/>
  <c r="R2" i="2"/>
  <c r="N2" i="2"/>
  <c r="P2" i="2" s="1"/>
  <c r="S2" i="2" s="1"/>
  <c r="Y34" i="1"/>
  <c r="W34" i="1"/>
  <c r="U34" i="1"/>
  <c r="S34" i="1"/>
  <c r="Q34" i="1"/>
  <c r="O34" i="1"/>
  <c r="M34" i="1"/>
  <c r="K34" i="1"/>
  <c r="I34" i="1"/>
  <c r="G34" i="1"/>
  <c r="X16" i="1"/>
  <c r="T16" i="1"/>
  <c r="P16" i="1"/>
  <c r="N16" i="1"/>
  <c r="L16" i="1"/>
  <c r="H16" i="1"/>
  <c r="F16" i="1"/>
  <c r="C16" i="1"/>
  <c r="Z15" i="1"/>
  <c r="J15" i="1" s="1"/>
  <c r="T13" i="1"/>
  <c r="H13" i="1"/>
  <c r="N14" i="1"/>
  <c r="L14" i="1"/>
  <c r="F13" i="1"/>
  <c r="F14" i="1"/>
  <c r="P13" i="1"/>
  <c r="T14" i="1"/>
  <c r="R14" i="1"/>
  <c r="H14" i="1"/>
  <c r="X13" i="1"/>
  <c r="J13" i="1"/>
  <c r="X14" i="1"/>
  <c r="L13" i="1"/>
  <c r="J14" i="1"/>
  <c r="P14" i="1"/>
  <c r="N13" i="1"/>
  <c r="R13" i="1"/>
  <c r="V14" i="1"/>
  <c r="V13" i="1"/>
  <c r="D33" i="2" l="1"/>
  <c r="D34" i="2" s="1"/>
  <c r="D27" i="2"/>
  <c r="D12" i="2"/>
  <c r="G12" i="2"/>
  <c r="G7" i="2"/>
  <c r="H7" i="2" s="1"/>
  <c r="D7" i="2"/>
  <c r="C72" i="2"/>
  <c r="F72" i="2" s="1"/>
  <c r="F73" i="2" s="1"/>
  <c r="F48" i="2"/>
  <c r="H15" i="1"/>
  <c r="F15" i="1"/>
  <c r="X15" i="1"/>
  <c r="L15" i="1"/>
  <c r="V15" i="1"/>
  <c r="T15" i="1"/>
  <c r="R15" i="1"/>
  <c r="P15" i="1"/>
  <c r="N15" i="1"/>
  <c r="X12" i="1"/>
  <c r="V12" i="1"/>
  <c r="T12" i="1"/>
  <c r="R12" i="1"/>
  <c r="P12" i="1"/>
  <c r="N12" i="1"/>
  <c r="L12" i="1"/>
  <c r="J12" i="1"/>
  <c r="H12" i="1"/>
  <c r="F12" i="1"/>
  <c r="V16" i="1" l="1"/>
  <c r="P10" i="1"/>
  <c r="X6" i="1"/>
  <c r="L5" i="1"/>
  <c r="N10" i="1"/>
  <c r="V6" i="1"/>
  <c r="J5" i="1"/>
  <c r="T10" i="1"/>
  <c r="H7" i="1"/>
  <c r="P5" i="1"/>
  <c r="V5" i="1"/>
  <c r="V11" i="1"/>
  <c r="N11" i="1"/>
  <c r="T11" i="1"/>
  <c r="P6" i="1"/>
  <c r="R11" i="1"/>
  <c r="F10" i="1"/>
  <c r="N6" i="1"/>
  <c r="X11" i="1"/>
  <c r="L10" i="1"/>
  <c r="T6" i="1"/>
  <c r="H5" i="1"/>
  <c r="J10" i="1"/>
  <c r="V7" i="1"/>
  <c r="L11" i="1"/>
  <c r="T7" i="1"/>
  <c r="J11" i="1"/>
  <c r="R7" i="1"/>
  <c r="P11" i="1"/>
  <c r="L6" i="1"/>
  <c r="F7" i="1"/>
  <c r="J6" i="1"/>
  <c r="L7" i="1"/>
  <c r="V10" i="1"/>
  <c r="R5" i="1"/>
  <c r="P7" i="1"/>
  <c r="N7" i="1"/>
  <c r="F5" i="1"/>
  <c r="H10" i="1"/>
  <c r="R10" i="1"/>
  <c r="H6" i="1"/>
  <c r="F6" i="1"/>
  <c r="X7" i="1"/>
  <c r="F11" i="1"/>
  <c r="R6" i="1"/>
  <c r="X10" i="1"/>
  <c r="T5" i="1"/>
  <c r="J7" i="1"/>
  <c r="H11" i="1"/>
  <c r="X5" i="1"/>
  <c r="N5" i="1"/>
  <c r="P17" i="1"/>
  <c r="T20" i="1"/>
  <c r="L23" i="1"/>
  <c r="X26" i="1"/>
  <c r="F29" i="1"/>
  <c r="N19" i="1"/>
  <c r="P22" i="1"/>
  <c r="T25" i="1"/>
  <c r="L28" i="1"/>
  <c r="F18" i="1"/>
  <c r="H21" i="1"/>
  <c r="N24" i="1"/>
  <c r="P27" i="1"/>
  <c r="L17" i="1"/>
  <c r="X20" i="1"/>
  <c r="F23" i="1"/>
  <c r="H26" i="1"/>
  <c r="N25" i="1"/>
  <c r="P28" i="1"/>
  <c r="L18" i="1"/>
  <c r="X21" i="1"/>
  <c r="F24" i="1"/>
  <c r="V20" i="1"/>
  <c r="V26" i="1"/>
  <c r="V25" i="1"/>
  <c r="P21" i="1"/>
  <c r="T24" i="1"/>
  <c r="L27" i="1"/>
  <c r="H20" i="1"/>
  <c r="N23" i="1"/>
  <c r="T29" i="1"/>
  <c r="X19" i="1"/>
  <c r="F22" i="1"/>
  <c r="N28" i="1"/>
  <c r="T18" i="1"/>
  <c r="X24" i="1"/>
  <c r="N29" i="1"/>
  <c r="L22" i="1"/>
  <c r="F28" i="1"/>
  <c r="V27" i="1"/>
  <c r="V21" i="1"/>
  <c r="X23" i="1"/>
  <c r="P19" i="1"/>
  <c r="X28" i="1"/>
  <c r="P20" i="1"/>
  <c r="X29" i="1"/>
  <c r="V28" i="1"/>
  <c r="V17" i="1"/>
  <c r="P29" i="1"/>
  <c r="X22" i="1"/>
  <c r="H28" i="1"/>
  <c r="L24" i="1"/>
  <c r="P23" i="1"/>
  <c r="F19" i="1"/>
  <c r="P24" i="1"/>
  <c r="F20" i="1"/>
  <c r="V24" i="1"/>
  <c r="N18" i="1"/>
  <c r="F17" i="1"/>
  <c r="P26" i="1"/>
  <c r="H25" i="1"/>
  <c r="L21" i="1"/>
  <c r="F27" i="1"/>
  <c r="T19" i="1"/>
  <c r="X25" i="1"/>
  <c r="V22" i="1"/>
  <c r="T17" i="1"/>
  <c r="T22" i="1"/>
  <c r="H18" i="1"/>
  <c r="N17" i="1"/>
  <c r="L26" i="1"/>
  <c r="V23" i="1"/>
  <c r="N26" i="1"/>
  <c r="F25" i="1"/>
  <c r="P18" i="1"/>
  <c r="X27" i="1"/>
  <c r="N20" i="1"/>
  <c r="L29" i="1"/>
  <c r="N21" i="1"/>
  <c r="X17" i="1"/>
  <c r="H27" i="1"/>
  <c r="V29" i="1"/>
  <c r="N22" i="1"/>
  <c r="P25" i="1"/>
  <c r="T28" i="1"/>
  <c r="X18" i="1"/>
  <c r="F21" i="1"/>
  <c r="H24" i="1"/>
  <c r="N27" i="1"/>
  <c r="L20" i="1"/>
  <c r="F26" i="1"/>
  <c r="H29" i="1"/>
  <c r="L25" i="1"/>
  <c r="T23" i="1"/>
  <c r="H19" i="1"/>
  <c r="V18" i="1"/>
  <c r="L19" i="1"/>
  <c r="T21" i="1"/>
  <c r="H17" i="1"/>
  <c r="T26" i="1"/>
  <c r="H22" i="1"/>
  <c r="T27" i="1"/>
  <c r="H23" i="1"/>
  <c r="V19" i="1"/>
  <c r="V8" i="1" l="1"/>
  <c r="V9" i="1"/>
  <c r="F8" i="1"/>
  <c r="F9" i="1"/>
  <c r="N8" i="1"/>
  <c r="N9" i="1"/>
  <c r="H9" i="1"/>
  <c r="H8" i="1"/>
  <c r="P8" i="1"/>
  <c r="P9" i="1"/>
  <c r="X8" i="1"/>
  <c r="X9" i="1"/>
  <c r="J8" i="1"/>
  <c r="J9" i="1"/>
  <c r="R8" i="1"/>
  <c r="R9" i="1"/>
  <c r="L9" i="1"/>
  <c r="L8" i="1"/>
  <c r="T8" i="1"/>
  <c r="T9" i="1"/>
  <c r="J16" i="1"/>
  <c r="R16" i="1"/>
  <c r="P33" i="1"/>
  <c r="R29" i="1"/>
  <c r="J27" i="1"/>
  <c r="R24" i="1"/>
  <c r="J22" i="1"/>
  <c r="R23" i="1"/>
  <c r="J21" i="1"/>
  <c r="R26" i="1"/>
  <c r="J24" i="1"/>
  <c r="N33" i="1"/>
  <c r="R25" i="1"/>
  <c r="R20" i="1"/>
  <c r="J18" i="1"/>
  <c r="R19" i="1"/>
  <c r="J17" i="1"/>
  <c r="R22" i="1"/>
  <c r="T33" i="1"/>
  <c r="R28" i="1"/>
  <c r="J25" i="1"/>
  <c r="J28" i="1"/>
  <c r="J23" i="1"/>
  <c r="J20" i="1"/>
  <c r="V33" i="1"/>
  <c r="R27" i="1"/>
  <c r="F33" i="1"/>
  <c r="X33" i="1"/>
  <c r="R21" i="1"/>
  <c r="J19" i="1"/>
  <c r="J33" i="1"/>
  <c r="H33" i="1"/>
  <c r="J29" i="1"/>
  <c r="L33" i="1"/>
  <c r="R18" i="1"/>
  <c r="R17" i="1"/>
  <c r="J26" i="1"/>
  <c r="R33" i="1"/>
  <c r="C56" i="2" l="1"/>
  <c r="F56" i="2" s="1"/>
  <c r="F59" i="2" s="1"/>
  <c r="C75" i="2" l="1"/>
  <c r="F75" i="2" s="1"/>
  <c r="F78" i="2" s="1"/>
  <c r="C25" i="2"/>
  <c r="F25" i="2" s="1"/>
  <c r="F28" i="2" s="1"/>
  <c r="G25" i="2" s="1"/>
  <c r="C46" i="2"/>
  <c r="Y30" i="2"/>
  <c r="Z29" i="2" s="1"/>
  <c r="R92" i="2" l="1"/>
  <c r="F46" i="2"/>
  <c r="F49" i="2" s="1"/>
  <c r="R98" i="2" l="1"/>
  <c r="S98" i="2" s="1"/>
  <c r="S92" i="2"/>
  <c r="T92" i="2" s="1"/>
  <c r="T98" i="2" l="1"/>
  <c r="N104" i="2" s="1"/>
  <c r="N106" i="2" s="1"/>
  <c r="C87" i="2" l="1"/>
  <c r="F87" i="2" s="1"/>
  <c r="F90" i="2" s="1"/>
  <c r="C19" i="2"/>
  <c r="F19" i="2" s="1"/>
  <c r="F22" i="2" s="1"/>
  <c r="G19" i="2" s="1"/>
  <c r="C41" i="2" l="1"/>
  <c r="R93" i="2" l="1"/>
  <c r="F41" i="2"/>
  <c r="F44" i="2" s="1"/>
  <c r="S93" i="2" l="1"/>
  <c r="T93" i="2" s="1"/>
  <c r="R99" i="2"/>
  <c r="S99" i="2" s="1"/>
  <c r="T99" i="2" l="1"/>
  <c r="O104" i="2" s="1"/>
  <c r="Q104" i="2" s="1"/>
  <c r="Q106" i="2" s="1"/>
  <c r="R107" i="2" s="1"/>
  <c r="O106" i="2" l="1"/>
</calcChain>
</file>

<file path=xl/comments1.xml><?xml version="1.0" encoding="utf-8"?>
<comments xmlns="http://schemas.openxmlformats.org/spreadsheetml/2006/main">
  <authors>
    <author>infomax</author>
  </authors>
  <commentList>
    <comment ref="B18" authorId="0" shapeId="0">
      <text>
        <r>
          <rPr>
            <b/>
            <sz val="9"/>
            <color indexed="81"/>
            <rFont val="돋움"/>
            <family val="3"/>
            <charset val="129"/>
          </rPr>
          <t>월요일에는</t>
        </r>
        <r>
          <rPr>
            <b/>
            <sz val="9"/>
            <color indexed="81"/>
            <rFont val="Tahoma"/>
            <family val="2"/>
          </rPr>
          <t xml:space="preserve"> 4541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토요일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넣어야함</t>
        </r>
      </text>
    </comment>
    <comment ref="B24" authorId="0" shapeId="0">
      <text>
        <r>
          <rPr>
            <b/>
            <sz val="9"/>
            <color indexed="81"/>
            <rFont val="돋움"/>
            <family val="3"/>
            <charset val="129"/>
          </rPr>
          <t>월요일에는</t>
        </r>
        <r>
          <rPr>
            <b/>
            <sz val="9"/>
            <color indexed="81"/>
            <rFont val="Tahoma"/>
            <family val="2"/>
          </rPr>
          <t xml:space="preserve"> 4541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토요일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넣어야함</t>
        </r>
      </text>
    </comment>
    <comment ref="Y29" authorId="0" shape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계산기상의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가격</t>
        </r>
      </text>
    </comment>
    <comment ref="B31" authorId="0" shapeId="0">
      <text>
        <r>
          <rPr>
            <b/>
            <sz val="9"/>
            <color indexed="81"/>
            <rFont val="돋움"/>
            <family val="3"/>
            <charset val="129"/>
          </rPr>
          <t>월요일에는</t>
        </r>
        <r>
          <rPr>
            <b/>
            <sz val="9"/>
            <color indexed="81"/>
            <rFont val="Tahoma"/>
            <family val="2"/>
          </rPr>
          <t xml:space="preserve"> 4541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토요일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넣어야함</t>
        </r>
      </text>
    </comment>
    <comment ref="N35" authorId="0" shapeId="0">
      <text>
        <r>
          <rPr>
            <b/>
            <sz val="9"/>
            <color indexed="81"/>
            <rFont val="돋움"/>
            <family val="3"/>
            <charset val="129"/>
          </rPr>
          <t>월요일에는</t>
        </r>
        <r>
          <rPr>
            <b/>
            <sz val="9"/>
            <color indexed="81"/>
            <rFont val="Tahoma"/>
            <family val="2"/>
          </rPr>
          <t xml:space="preserve"> 4541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토요일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넣어야함</t>
        </r>
      </text>
    </comment>
    <comment ref="B40" authorId="0" shapeId="0">
      <text>
        <r>
          <rPr>
            <b/>
            <sz val="9"/>
            <color indexed="81"/>
            <rFont val="돋움"/>
            <family val="3"/>
            <charset val="129"/>
          </rPr>
          <t>월요일에는</t>
        </r>
        <r>
          <rPr>
            <b/>
            <sz val="9"/>
            <color indexed="81"/>
            <rFont val="Tahoma"/>
            <family val="2"/>
          </rPr>
          <t xml:space="preserve"> 4541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토요일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넣어야함</t>
        </r>
      </text>
    </comment>
    <comment ref="B86" authorId="0" shapeId="0">
      <text>
        <r>
          <rPr>
            <b/>
            <sz val="9"/>
            <color indexed="81"/>
            <rFont val="돋움"/>
            <family val="3"/>
            <charset val="129"/>
          </rPr>
          <t>월요일에는</t>
        </r>
        <r>
          <rPr>
            <b/>
            <sz val="9"/>
            <color indexed="81"/>
            <rFont val="Tahoma"/>
            <family val="2"/>
          </rPr>
          <t xml:space="preserve"> 4541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토요일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넣어야함</t>
        </r>
      </text>
    </comment>
  </commentList>
</comments>
</file>

<file path=xl/comments2.xml><?xml version="1.0" encoding="utf-8"?>
<comments xmlns="http://schemas.openxmlformats.org/spreadsheetml/2006/main">
  <authors>
    <author>infomax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인포맥스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종목검색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종목코드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Default : T+1
-&gt;</t>
        </r>
        <r>
          <rPr>
            <sz val="9"/>
            <color indexed="81"/>
            <rFont val="돋움"/>
            <family val="3"/>
            <charset val="129"/>
          </rPr>
          <t>결제일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변경가능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 xml:space="preserve">infomax: 
</t>
        </r>
        <r>
          <rPr>
            <b/>
            <sz val="9"/>
            <color indexed="81"/>
            <rFont val="돋움"/>
            <family val="3"/>
            <charset val="129"/>
          </rPr>
          <t>결제일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<sst xmlns="http://schemas.openxmlformats.org/spreadsheetml/2006/main" count="477" uniqueCount="337">
  <si>
    <t>채권 단가계산</t>
    <phoneticPr fontId="5" type="noConversion"/>
  </si>
  <si>
    <t>종목
입력</t>
  </si>
  <si>
    <t>표준코드</t>
  </si>
  <si>
    <t>KR103503GG60</t>
    <phoneticPr fontId="5" type="noConversion"/>
  </si>
  <si>
    <t>KR103501GFC3</t>
    <phoneticPr fontId="5" type="noConversion"/>
  </si>
  <si>
    <t>KR103501GEC6</t>
    <phoneticPr fontId="5" type="noConversion"/>
  </si>
  <si>
    <t>KR103502GFC1</t>
    <phoneticPr fontId="5" type="noConversion"/>
  </si>
  <si>
    <t>KR103502GF62</t>
    <phoneticPr fontId="5" type="noConversion"/>
  </si>
  <si>
    <t>KR103501GF63</t>
    <phoneticPr fontId="5" type="noConversion"/>
  </si>
  <si>
    <t>KR103503GG37</t>
    <phoneticPr fontId="5" type="noConversion"/>
  </si>
  <si>
    <t>KR103502GE63</t>
    <phoneticPr fontId="5" type="noConversion"/>
  </si>
  <si>
    <t>KR103503GF95</t>
    <phoneticPr fontId="5" type="noConversion"/>
  </si>
  <si>
    <t>3사평균</t>
    <phoneticPr fontId="5" type="noConversion"/>
  </si>
  <si>
    <t>민평3사 수익률(산출일)</t>
  </si>
  <si>
    <t>종목명</t>
  </si>
  <si>
    <t>4사평균</t>
    <phoneticPr fontId="5" type="noConversion"/>
  </si>
  <si>
    <t>민평4사 수익률(산출일)</t>
    <phoneticPr fontId="5" type="noConversion"/>
  </si>
  <si>
    <t>발행
정보</t>
  </si>
  <si>
    <t>발행일</t>
  </si>
  <si>
    <t>KAP</t>
    <phoneticPr fontId="5" type="noConversion"/>
  </si>
  <si>
    <t>KBP 수익률(산출일)</t>
    <phoneticPr fontId="5" type="noConversion"/>
  </si>
  <si>
    <t>만기일</t>
  </si>
  <si>
    <t>KIS</t>
    <phoneticPr fontId="5" type="noConversion"/>
  </si>
  <si>
    <t>KIS 수익률(산출일)</t>
    <phoneticPr fontId="5" type="noConversion"/>
  </si>
  <si>
    <t>발행만기</t>
    <phoneticPr fontId="5" type="noConversion"/>
  </si>
  <si>
    <t>NICE</t>
    <phoneticPr fontId="5" type="noConversion"/>
  </si>
  <si>
    <t>NIC 수익률(산출일)</t>
    <phoneticPr fontId="5" type="noConversion"/>
  </si>
  <si>
    <t>잔존일</t>
    <phoneticPr fontId="5" type="noConversion"/>
  </si>
  <si>
    <t>FN</t>
    <phoneticPr fontId="5" type="noConversion"/>
  </si>
  <si>
    <t>FNP 수익률(산출일)</t>
    <phoneticPr fontId="5" type="noConversion"/>
  </si>
  <si>
    <t>이자종류</t>
  </si>
  <si>
    <t>표면이율(%)</t>
    <phoneticPr fontId="5" type="noConversion"/>
  </si>
  <si>
    <t>차기이자지급일</t>
    <phoneticPr fontId="5" type="noConversion"/>
  </si>
  <si>
    <t>이자지급기간</t>
  </si>
  <si>
    <t>시가평가</t>
    <phoneticPr fontId="5" type="noConversion"/>
  </si>
  <si>
    <t>결제일세팅</t>
    <phoneticPr fontId="5" type="noConversion"/>
  </si>
  <si>
    <t>결제
정보</t>
  </si>
  <si>
    <t>결제일</t>
  </si>
  <si>
    <t>계산값</t>
  </si>
  <si>
    <t>세전수익률</t>
    <phoneticPr fontId="5" type="noConversion"/>
  </si>
  <si>
    <t>세전수익률</t>
  </si>
  <si>
    <t>세전단가</t>
  </si>
  <si>
    <t>세후단가</t>
  </si>
  <si>
    <t>경과이자</t>
  </si>
  <si>
    <t>3사평균</t>
  </si>
  <si>
    <t>경과세금</t>
  </si>
  <si>
    <t>4사평균</t>
  </si>
  <si>
    <t>Cleanprice</t>
  </si>
  <si>
    <t>BP-3사</t>
  </si>
  <si>
    <t>금액Duration</t>
  </si>
  <si>
    <t>BP-4사</t>
  </si>
  <si>
    <t>MacDuration</t>
  </si>
  <si>
    <t>원-3사</t>
  </si>
  <si>
    <t>ModDuration</t>
    <phoneticPr fontId="5" type="noConversion"/>
  </si>
  <si>
    <t>원-4사</t>
  </si>
  <si>
    <t>금액Convexity</t>
  </si>
  <si>
    <t>Convexity</t>
  </si>
  <si>
    <t>잔존일수</t>
    <phoneticPr fontId="5" type="noConversion"/>
  </si>
  <si>
    <t>bpv</t>
  </si>
  <si>
    <t>종목 현금흐름</t>
    <phoneticPr fontId="5" type="noConversion"/>
  </si>
  <si>
    <t>현금흐름</t>
    <phoneticPr fontId="5" type="noConversion"/>
  </si>
  <si>
    <t>이자</t>
  </si>
  <si>
    <t>일자</t>
    <phoneticPr fontId="5" type="noConversion"/>
  </si>
  <si>
    <t>원금</t>
  </si>
  <si>
    <t>현금흐름</t>
  </si>
  <si>
    <t>YTM</t>
  </si>
  <si>
    <t>만기수익률할인계수</t>
  </si>
  <si>
    <t>만기수익률현재가치</t>
  </si>
  <si>
    <t>SPOT수익률</t>
  </si>
  <si>
    <t>SPOT할인계수</t>
  </si>
  <si>
    <t>이론현재가치</t>
  </si>
  <si>
    <t>매수일</t>
    <phoneticPr fontId="33" type="noConversion"/>
  </si>
  <si>
    <t>바이백</t>
    <phoneticPr fontId="33" type="noConversion"/>
  </si>
  <si>
    <t>잔여일</t>
    <phoneticPr fontId="33" type="noConversion"/>
  </si>
  <si>
    <t>이자</t>
    <phoneticPr fontId="33" type="noConversion"/>
  </si>
  <si>
    <t>비용</t>
    <phoneticPr fontId="33" type="noConversion"/>
  </si>
  <si>
    <t>보유일</t>
    <phoneticPr fontId="33" type="noConversion"/>
  </si>
  <si>
    <t>3-10 스플체크(내재수익률기준)</t>
    <phoneticPr fontId="5" type="noConversion"/>
  </si>
  <si>
    <t>통안손익(2177,누적)</t>
    <phoneticPr fontId="5" type="noConversion"/>
  </si>
  <si>
    <t>구분</t>
    <phoneticPr fontId="5" type="noConversion"/>
  </si>
  <si>
    <t>전일수익률</t>
    <phoneticPr fontId="5" type="noConversion"/>
  </si>
  <si>
    <t>금일수익률</t>
    <phoneticPr fontId="5" type="noConversion"/>
  </si>
  <si>
    <t>전일비</t>
    <phoneticPr fontId="5" type="noConversion"/>
  </si>
  <si>
    <t>선물매가</t>
    <phoneticPr fontId="5" type="noConversion"/>
  </si>
  <si>
    <t>시가체크</t>
    <phoneticPr fontId="5" type="noConversion"/>
  </si>
  <si>
    <t>시가비</t>
    <phoneticPr fontId="5" type="noConversion"/>
  </si>
  <si>
    <t>시가상태</t>
    <phoneticPr fontId="5" type="noConversion"/>
  </si>
  <si>
    <t>3선종가</t>
    <phoneticPr fontId="5" type="noConversion"/>
  </si>
  <si>
    <t>10선종가</t>
    <phoneticPr fontId="5" type="noConversion"/>
  </si>
  <si>
    <t>회사조달금리(18311)</t>
    <phoneticPr fontId="5" type="noConversion"/>
  </si>
  <si>
    <t>조달금액</t>
    <phoneticPr fontId="5" type="noConversion"/>
  </si>
  <si>
    <t>1일 조달비용</t>
    <phoneticPr fontId="5" type="noConversion"/>
  </si>
  <si>
    <t>만기까지 일 캐리</t>
    <phoneticPr fontId="33" type="noConversion"/>
  </si>
  <si>
    <t>세트거래</t>
    <phoneticPr fontId="33" type="noConversion"/>
  </si>
  <si>
    <t>25.4.2(매수일)</t>
    <phoneticPr fontId="33" type="noConversion"/>
  </si>
  <si>
    <t>매수결제일</t>
    <phoneticPr fontId="33" type="noConversion"/>
  </si>
  <si>
    <t>수량</t>
    <phoneticPr fontId="33" type="noConversion"/>
  </si>
  <si>
    <t>매수단가</t>
    <phoneticPr fontId="33" type="noConversion"/>
  </si>
  <si>
    <t>매도결제일</t>
    <phoneticPr fontId="33" type="noConversion"/>
  </si>
  <si>
    <t>매도단가</t>
    <phoneticPr fontId="5" type="noConversion"/>
  </si>
  <si>
    <t>보유일수</t>
    <phoneticPr fontId="5" type="noConversion"/>
  </si>
  <si>
    <t>조달</t>
    <phoneticPr fontId="5" type="noConversion"/>
  </si>
  <si>
    <t>손익</t>
    <phoneticPr fontId="5" type="noConversion"/>
  </si>
  <si>
    <t>3선</t>
    <phoneticPr fontId="5" type="noConversion"/>
  </si>
  <si>
    <t>10선</t>
    <phoneticPr fontId="5" type="noConversion"/>
  </si>
  <si>
    <t>sp</t>
    <phoneticPr fontId="5" type="noConversion"/>
  </si>
  <si>
    <t>평균</t>
    <phoneticPr fontId="33" type="noConversion"/>
  </si>
  <si>
    <t>10-30 스플체크(10선내재수익률, 30년지표)</t>
    <phoneticPr fontId="5" type="noConversion"/>
  </si>
  <si>
    <t>선물(15:30분)</t>
    <phoneticPr fontId="5" type="noConversion"/>
  </si>
  <si>
    <t>선물종가</t>
    <phoneticPr fontId="5" type="noConversion"/>
  </si>
  <si>
    <t>10년(15:30)</t>
    <phoneticPr fontId="5" type="noConversion"/>
  </si>
  <si>
    <t>10년종가</t>
    <phoneticPr fontId="5" type="noConversion"/>
  </si>
  <si>
    <t>매매가</t>
    <phoneticPr fontId="5" type="noConversion"/>
  </si>
  <si>
    <t>종가</t>
    <phoneticPr fontId="33" type="noConversion"/>
  </si>
  <si>
    <t>진입가</t>
    <phoneticPr fontId="33" type="noConversion"/>
  </si>
  <si>
    <t>손익</t>
    <phoneticPr fontId="33" type="noConversion"/>
  </si>
  <si>
    <t>단가</t>
    <phoneticPr fontId="33" type="noConversion"/>
  </si>
  <si>
    <t>10선</t>
    <phoneticPr fontId="33" type="noConversion"/>
  </si>
  <si>
    <t>변화</t>
    <phoneticPr fontId="5" type="noConversion"/>
  </si>
  <si>
    <t>26-2</t>
    <phoneticPr fontId="33" type="noConversion"/>
  </si>
  <si>
    <t>손익sp</t>
    <phoneticPr fontId="33" type="noConversion"/>
  </si>
  <si>
    <t>sp</t>
    <phoneticPr fontId="33" type="noConversion"/>
  </si>
  <si>
    <t>sp 계산기</t>
    <phoneticPr fontId="5" type="noConversion"/>
  </si>
  <si>
    <t>25-5</t>
    <phoneticPr fontId="33" type="noConversion"/>
  </si>
  <si>
    <t>25-11</t>
    <phoneticPr fontId="33" type="noConversion"/>
  </si>
  <si>
    <t>26-06</t>
    <phoneticPr fontId="33" type="noConversion"/>
  </si>
  <si>
    <t>통안손익(2996,누적)</t>
    <phoneticPr fontId="5" type="noConversion"/>
  </si>
  <si>
    <t>sp감안수익률</t>
    <phoneticPr fontId="33" type="noConversion"/>
  </si>
  <si>
    <t>통안채(매수일)</t>
    <phoneticPr fontId="33" type="noConversion"/>
  </si>
  <si>
    <t>바이백까지</t>
    <phoneticPr fontId="33" type="noConversion"/>
  </si>
  <si>
    <t>10년 차익거래(매일아침 종가세팅)</t>
    <phoneticPr fontId="5" type="noConversion"/>
  </si>
  <si>
    <t>손익 계산용(장외거래 나오면 입력)</t>
    <phoneticPr fontId="5" type="noConversion"/>
  </si>
  <si>
    <t>조달일수</t>
    <phoneticPr fontId="5" type="noConversion"/>
  </si>
  <si>
    <t>전일종가(통합)</t>
    <phoneticPr fontId="5" type="noConversion"/>
  </si>
  <si>
    <t>현재가격</t>
    <phoneticPr fontId="5" type="noConversion"/>
  </si>
  <si>
    <t>수익률</t>
    <phoneticPr fontId="5" type="noConversion"/>
  </si>
  <si>
    <t>수량</t>
    <phoneticPr fontId="5" type="noConversion"/>
  </si>
  <si>
    <t>전일비 틱환산</t>
    <phoneticPr fontId="5" type="noConversion"/>
  </si>
  <si>
    <t>대차</t>
    <phoneticPr fontId="33" type="noConversion"/>
  </si>
  <si>
    <t>고/저평</t>
    <phoneticPr fontId="5" type="noConversion"/>
  </si>
  <si>
    <t>10년현물</t>
    <phoneticPr fontId="5" type="noConversion"/>
  </si>
  <si>
    <t>국고 25-5</t>
    <phoneticPr fontId="5" type="noConversion"/>
  </si>
  <si>
    <t>10Y선물</t>
    <phoneticPr fontId="5" type="noConversion"/>
  </si>
  <si>
    <t>합계</t>
    <phoneticPr fontId="5" type="noConversion"/>
  </si>
  <si>
    <t>스팁이거나, 저평이거나, 매수차익 수익나면 매도차익들간다</t>
    <phoneticPr fontId="5" type="noConversion"/>
  </si>
  <si>
    <t>금요일 매도차익하면 역비용 3일치 안준다…</t>
    <phoneticPr fontId="5" type="noConversion"/>
  </si>
  <si>
    <t>통안손익(2996,당일)</t>
    <phoneticPr fontId="5" type="noConversion"/>
  </si>
  <si>
    <t>조달</t>
    <phoneticPr fontId="33" type="noConversion"/>
  </si>
  <si>
    <t>전일종가</t>
    <phoneticPr fontId="5" type="noConversion"/>
  </si>
  <si>
    <t>통안</t>
    <phoneticPr fontId="5" type="noConversion"/>
  </si>
  <si>
    <t>국고 25-11</t>
    <phoneticPr fontId="5" type="noConversion"/>
  </si>
  <si>
    <t>통안레벨첵</t>
    <phoneticPr fontId="5" type="noConversion"/>
  </si>
  <si>
    <t>구분</t>
    <phoneticPr fontId="33" type="noConversion"/>
  </si>
  <si>
    <t>통당</t>
    <phoneticPr fontId="33" type="noConversion"/>
  </si>
  <si>
    <t>통안</t>
    <phoneticPr fontId="33" type="noConversion"/>
  </si>
  <si>
    <t>전일스플/평균</t>
    <phoneticPr fontId="33" type="noConversion"/>
  </si>
  <si>
    <t>가격(해당물)</t>
    <phoneticPr fontId="33" type="noConversion"/>
  </si>
  <si>
    <t>적정가</t>
    <phoneticPr fontId="33" type="noConversion"/>
  </si>
  <si>
    <t>둘중에 지표 아닌게 망가져서 고/저평이 발생해도, 전일 민평 수준에서 체크해서 지표가 살아있으면 종가에 평가로 되돌릴 가능성이 높음 / 반대로 지표가 망가지면 지표먼저 사고, 종가 언저리에 남은거 사도 되겠네</t>
    <phoneticPr fontId="33" type="noConversion"/>
  </si>
  <si>
    <t>종목</t>
    <phoneticPr fontId="33" type="noConversion"/>
  </si>
  <si>
    <t>명목금액</t>
    <phoneticPr fontId="33" type="noConversion"/>
  </si>
  <si>
    <t>대차수수료</t>
    <phoneticPr fontId="33" type="noConversion"/>
  </si>
  <si>
    <t>대차비용(분기)</t>
    <phoneticPr fontId="33" type="noConversion"/>
  </si>
  <si>
    <t>CD조달비용</t>
    <phoneticPr fontId="33" type="noConversion"/>
  </si>
  <si>
    <t>역비용</t>
    <phoneticPr fontId="33" type="noConversion"/>
  </si>
  <si>
    <t>총비용/BEP틱</t>
    <phoneticPr fontId="33" type="noConversion"/>
  </si>
  <si>
    <t>전일</t>
    <phoneticPr fontId="5" type="noConversion"/>
  </si>
  <si>
    <t>금일</t>
    <phoneticPr fontId="5" type="noConversion"/>
  </si>
  <si>
    <t>IRS(10Y)</t>
    <phoneticPr fontId="33" type="noConversion"/>
  </si>
  <si>
    <t>24-13</t>
    <phoneticPr fontId="33" type="noConversion"/>
  </si>
  <si>
    <t>국고 26-6</t>
    <phoneticPr fontId="5" type="noConversion"/>
  </si>
  <si>
    <t>본드스왑</t>
    <phoneticPr fontId="33" type="noConversion"/>
  </si>
  <si>
    <t>틱환산(bep)</t>
    <phoneticPr fontId="33" type="noConversion"/>
  </si>
  <si>
    <t xml:space="preserve">커브 SP </t>
    <phoneticPr fontId="5" type="noConversion"/>
  </si>
  <si>
    <t>비율헤지 손익 계산용</t>
    <phoneticPr fontId="5" type="noConversion"/>
  </si>
  <si>
    <t>듀레이션</t>
    <phoneticPr fontId="5" type="noConversion"/>
  </si>
  <si>
    <t>델타</t>
    <phoneticPr fontId="5" type="noConversion"/>
  </si>
  <si>
    <t>헤지수량</t>
    <phoneticPr fontId="5" type="noConversion"/>
  </si>
  <si>
    <t>전일종가</t>
    <phoneticPr fontId="33" type="noConversion"/>
  </si>
  <si>
    <t>금일종가</t>
    <phoneticPr fontId="33" type="noConversion"/>
  </si>
  <si>
    <t>수익률</t>
    <phoneticPr fontId="33" type="noConversion"/>
  </si>
  <si>
    <t>캐리</t>
    <phoneticPr fontId="33" type="noConversion"/>
  </si>
  <si>
    <t>대차비용</t>
    <phoneticPr fontId="33" type="noConversion"/>
  </si>
  <si>
    <t>총비용</t>
    <phoneticPr fontId="33" type="noConversion"/>
  </si>
  <si>
    <t>듀레이션</t>
    <phoneticPr fontId="33" type="noConversion"/>
  </si>
  <si>
    <t>26-6</t>
    <phoneticPr fontId="5" type="noConversion"/>
  </si>
  <si>
    <t>26.09.03</t>
    <phoneticPr fontId="33" type="noConversion"/>
  </si>
  <si>
    <t>270402</t>
    <phoneticPr fontId="33" type="noConversion"/>
  </si>
  <si>
    <t>270702</t>
    <phoneticPr fontId="33" type="noConversion"/>
  </si>
  <si>
    <t>국당</t>
    <phoneticPr fontId="33" type="noConversion"/>
  </si>
  <si>
    <t>3선</t>
    <phoneticPr fontId="33" type="noConversion"/>
  </si>
  <si>
    <t>매수차익거래</t>
    <phoneticPr fontId="5" type="noConversion"/>
  </si>
  <si>
    <t>소계</t>
    <phoneticPr fontId="5" type="noConversion"/>
  </si>
  <si>
    <t>최초 매수 SP</t>
    <phoneticPr fontId="33" type="noConversion"/>
  </si>
  <si>
    <t>합계</t>
    <phoneticPr fontId="33" type="noConversion"/>
  </si>
  <si>
    <t>25-10(3-5)</t>
    <phoneticPr fontId="5" type="noConversion"/>
  </si>
  <si>
    <t>25-10</t>
    <phoneticPr fontId="33" type="noConversion"/>
  </si>
  <si>
    <t>26-05</t>
    <phoneticPr fontId="33" type="noConversion"/>
  </si>
  <si>
    <t>교체단가</t>
    <phoneticPr fontId="33" type="noConversion"/>
  </si>
  <si>
    <t>종가SP/전일민평SP</t>
    <phoneticPr fontId="33" type="noConversion"/>
  </si>
  <si>
    <t>국고25-10</t>
    <phoneticPr fontId="5" type="noConversion"/>
  </si>
  <si>
    <t>원월물 선물수량</t>
    <phoneticPr fontId="33" type="noConversion"/>
  </si>
  <si>
    <t>26-6</t>
    <phoneticPr fontId="33" type="noConversion"/>
  </si>
  <si>
    <t xml:space="preserve">커브추가 시 </t>
    <phoneticPr fontId="33" type="noConversion"/>
  </si>
  <si>
    <t>채권손익</t>
    <phoneticPr fontId="33" type="noConversion"/>
  </si>
  <si>
    <t>3Y선물</t>
    <phoneticPr fontId="5" type="noConversion"/>
  </si>
  <si>
    <t>25-8</t>
    <phoneticPr fontId="5" type="noConversion"/>
  </si>
  <si>
    <t>25-4</t>
    <phoneticPr fontId="33" type="noConversion"/>
  </si>
  <si>
    <t>26-03</t>
    <phoneticPr fontId="33" type="noConversion"/>
  </si>
  <si>
    <t>선물수량CHECK</t>
    <phoneticPr fontId="33" type="noConversion"/>
  </si>
  <si>
    <t>개선</t>
    <phoneticPr fontId="33" type="noConversion"/>
  </si>
  <si>
    <t>집행금액</t>
    <phoneticPr fontId="33" type="noConversion"/>
  </si>
  <si>
    <t>선물개수</t>
    <phoneticPr fontId="33" type="noConversion"/>
  </si>
  <si>
    <t>비용손익</t>
    <phoneticPr fontId="33" type="noConversion"/>
  </si>
  <si>
    <t>차이</t>
    <phoneticPr fontId="33" type="noConversion"/>
  </si>
  <si>
    <t>헤지선물</t>
    <phoneticPr fontId="33" type="noConversion"/>
  </si>
  <si>
    <t>국고25-04</t>
    <phoneticPr fontId="5" type="noConversion"/>
  </si>
  <si>
    <t>커브 등 손익</t>
    <phoneticPr fontId="33" type="noConversion"/>
  </si>
  <si>
    <t>전체손익</t>
    <phoneticPr fontId="33" type="noConversion"/>
  </si>
  <si>
    <t>근</t>
    <phoneticPr fontId="33" type="noConversion"/>
  </si>
  <si>
    <t>3Y선물</t>
    <phoneticPr fontId="5" type="noConversion"/>
  </si>
  <si>
    <t>합계</t>
    <phoneticPr fontId="33" type="noConversion"/>
  </si>
  <si>
    <t>원</t>
    <phoneticPr fontId="33" type="noConversion"/>
  </si>
  <si>
    <t>조달</t>
    <phoneticPr fontId="5" type="noConversion"/>
  </si>
  <si>
    <t>근월물 선물수량</t>
    <phoneticPr fontId="5" type="noConversion"/>
  </si>
  <si>
    <t>소계</t>
    <phoneticPr fontId="5" type="noConversion"/>
  </si>
  <si>
    <t>선물수량CHECK</t>
    <phoneticPr fontId="33" type="noConversion"/>
  </si>
  <si>
    <t>개선</t>
    <phoneticPr fontId="33" type="noConversion"/>
  </si>
  <si>
    <t>집행금액</t>
    <phoneticPr fontId="33" type="noConversion"/>
  </si>
  <si>
    <t>선물개수</t>
    <phoneticPr fontId="33" type="noConversion"/>
  </si>
  <si>
    <t>대차차입(現)</t>
    <phoneticPr fontId="33" type="noConversion"/>
  </si>
  <si>
    <t>총 대차</t>
    <phoneticPr fontId="33" type="noConversion"/>
  </si>
  <si>
    <t>교체 시 교환비율(롤)</t>
    <phoneticPr fontId="5" type="noConversion"/>
  </si>
  <si>
    <t>국고25-10</t>
    <phoneticPr fontId="5" type="noConversion"/>
  </si>
  <si>
    <t>국고26-03</t>
    <phoneticPr fontId="5" type="noConversion"/>
  </si>
  <si>
    <t>26-03</t>
    <phoneticPr fontId="33" type="noConversion"/>
  </si>
  <si>
    <t>IRS(3Y)</t>
    <phoneticPr fontId="5" type="noConversion"/>
  </si>
  <si>
    <t>25-08</t>
    <phoneticPr fontId="33" type="noConversion"/>
  </si>
  <si>
    <t>국고25-04</t>
    <phoneticPr fontId="5" type="noConversion"/>
  </si>
  <si>
    <t>본드스왑</t>
    <phoneticPr fontId="5" type="noConversion"/>
  </si>
  <si>
    <t>지표가 강함을 유지하는 상황에서, 5년현물이 좀 쎄져야 언와인딩 기회가 온다.</t>
    <phoneticPr fontId="33" type="noConversion"/>
  </si>
  <si>
    <t xml:space="preserve">근월물기준으로 1세트 선물수량(약 400개)을 </t>
  </si>
  <si>
    <t>국고25-08</t>
    <phoneticPr fontId="5" type="noConversion"/>
  </si>
  <si>
    <t>유지할 수 있는 원월물 현물 수량(130~140개)</t>
  </si>
  <si>
    <t>헤지수량계산(근월물)</t>
    <phoneticPr fontId="5" type="noConversion"/>
  </si>
  <si>
    <t>을 맞춰서 매수하고, 나중에 롤을함</t>
  </si>
  <si>
    <t>종목명</t>
    <phoneticPr fontId="5" type="noConversion"/>
  </si>
  <si>
    <t>인포맥스</t>
    <phoneticPr fontId="5" type="noConversion"/>
  </si>
  <si>
    <t>개선</t>
    <phoneticPr fontId="5" type="noConversion"/>
  </si>
  <si>
    <t>집행금액(백억)</t>
    <phoneticPr fontId="5" type="noConversion"/>
  </si>
  <si>
    <t>실제개수</t>
    <phoneticPr fontId="5" type="noConversion"/>
  </si>
  <si>
    <t>명목금액</t>
    <phoneticPr fontId="33" type="noConversion"/>
  </si>
  <si>
    <t>대차비용</t>
    <phoneticPr fontId="33" type="noConversion"/>
  </si>
  <si>
    <t>분기비용</t>
    <phoneticPr fontId="33" type="noConversion"/>
  </si>
  <si>
    <t>CD조달비용</t>
    <phoneticPr fontId="33" type="noConversion"/>
  </si>
  <si>
    <t>조달비용(역비용)</t>
    <phoneticPr fontId="33" type="noConversion"/>
  </si>
  <si>
    <t>총비용/BEP틱</t>
    <phoneticPr fontId="33" type="noConversion"/>
  </si>
  <si>
    <t>25-4</t>
    <phoneticPr fontId="33" type="noConversion"/>
  </si>
  <si>
    <t>25-10</t>
    <phoneticPr fontId="33" type="noConversion"/>
  </si>
  <si>
    <t>일비용</t>
    <phoneticPr fontId="33" type="noConversion"/>
  </si>
  <si>
    <t>구분</t>
    <phoneticPr fontId="5" type="noConversion"/>
  </si>
  <si>
    <t>거래일</t>
    <phoneticPr fontId="5" type="noConversion"/>
  </si>
  <si>
    <t>만기일</t>
    <phoneticPr fontId="5" type="noConversion"/>
  </si>
  <si>
    <t>일수</t>
    <phoneticPr fontId="5" type="noConversion"/>
  </si>
  <si>
    <t>현물</t>
    <phoneticPr fontId="33" type="noConversion"/>
  </si>
  <si>
    <t>선물</t>
    <phoneticPr fontId="33" type="noConversion"/>
  </si>
  <si>
    <t>실제거래</t>
    <phoneticPr fontId="5" type="noConversion"/>
  </si>
  <si>
    <t>선물만기</t>
    <phoneticPr fontId="5" type="noConversion"/>
  </si>
  <si>
    <t>캐리비용</t>
    <phoneticPr fontId="33" type="noConversion"/>
  </si>
  <si>
    <t>CD비용</t>
    <phoneticPr fontId="33" type="noConversion"/>
  </si>
  <si>
    <t>헤지수량계산(원월물)</t>
    <phoneticPr fontId="5" type="noConversion"/>
  </si>
  <si>
    <t>장내레벨첵</t>
    <phoneticPr fontId="33" type="noConversion"/>
  </si>
  <si>
    <t>종목명</t>
    <phoneticPr fontId="5" type="noConversion"/>
  </si>
  <si>
    <t>인포맥스</t>
    <phoneticPr fontId="5" type="noConversion"/>
  </si>
  <si>
    <t>개선</t>
    <phoneticPr fontId="5" type="noConversion"/>
  </si>
  <si>
    <t>집행금액(백억)</t>
    <phoneticPr fontId="5" type="noConversion"/>
  </si>
  <si>
    <t>실제개수</t>
    <phoneticPr fontId="5" type="noConversion"/>
  </si>
  <si>
    <t>국고24-7</t>
    <phoneticPr fontId="5" type="noConversion"/>
  </si>
  <si>
    <t>국고25-8</t>
    <phoneticPr fontId="5" type="noConversion"/>
  </si>
  <si>
    <t>국고25-10</t>
    <phoneticPr fontId="33" type="noConversion"/>
  </si>
  <si>
    <t>국고23-10(26.12.10)</t>
  </si>
  <si>
    <t>거래일</t>
    <phoneticPr fontId="5" type="noConversion"/>
  </si>
  <si>
    <t>만기일</t>
    <phoneticPr fontId="5" type="noConversion"/>
  </si>
  <si>
    <t>일수</t>
    <phoneticPr fontId="5" type="noConversion"/>
  </si>
  <si>
    <t>3Y선물</t>
  </si>
  <si>
    <t>실제거래</t>
    <phoneticPr fontId="5" type="noConversion"/>
  </si>
  <si>
    <t>5세트일때 일 60만원이였는데, 그러면 1세트면 일 15만원정도인가..?</t>
    <phoneticPr fontId="33" type="noConversion"/>
  </si>
  <si>
    <t>1개월에1틱정도… 3개월이면 3틱이 비용…??</t>
    <phoneticPr fontId="33" type="noConversion"/>
  </si>
  <si>
    <t>국고24-04(27.06.10)</t>
  </si>
  <si>
    <t>손익계산</t>
    <phoneticPr fontId="5" type="noConversion"/>
  </si>
  <si>
    <t xml:space="preserve">평가일(T+1) : </t>
    <phoneticPr fontId="5" type="noConversion"/>
  </si>
  <si>
    <t>조달</t>
  </si>
  <si>
    <t xml:space="preserve">선물만기일 : </t>
    <phoneticPr fontId="5" type="noConversion"/>
  </si>
  <si>
    <t>소계</t>
  </si>
  <si>
    <t>단기금리</t>
    <phoneticPr fontId="5" type="noConversion"/>
  </si>
  <si>
    <t>만기</t>
    <phoneticPr fontId="5" type="noConversion"/>
  </si>
  <si>
    <t>금리</t>
    <phoneticPr fontId="5" type="noConversion"/>
  </si>
  <si>
    <t>30년 차익거래</t>
    <phoneticPr fontId="5" type="noConversion"/>
  </si>
  <si>
    <t>O/N (Call)</t>
    <phoneticPr fontId="5" type="noConversion"/>
  </si>
  <si>
    <t>3M (CD91)</t>
    <phoneticPr fontId="5" type="noConversion"/>
  </si>
  <si>
    <t>국고23-02(53.03.10)</t>
    <phoneticPr fontId="5" type="noConversion"/>
  </si>
  <si>
    <t>1Y (통안1Y)</t>
    <phoneticPr fontId="5" type="noConversion"/>
  </si>
  <si>
    <t>30Y선물</t>
    <phoneticPr fontId="5" type="noConversion"/>
  </si>
  <si>
    <t>선물만기금리</t>
    <phoneticPr fontId="5" type="noConversion"/>
  </si>
  <si>
    <t>콜금리(4412, 2714) /  CD91, 통안1Y(4511)</t>
    <phoneticPr fontId="5" type="noConversion"/>
  </si>
  <si>
    <t>Basket 종목</t>
    <phoneticPr fontId="5" type="noConversion"/>
  </si>
  <si>
    <t>발행일</t>
    <phoneticPr fontId="5" type="noConversion"/>
  </si>
  <si>
    <t>표면금리</t>
    <phoneticPr fontId="5" type="noConversion"/>
  </si>
  <si>
    <t>이자지급주기</t>
    <phoneticPr fontId="5" type="noConversion"/>
  </si>
  <si>
    <t>채권가격</t>
    <phoneticPr fontId="5" type="noConversion"/>
  </si>
  <si>
    <t>매수금액</t>
    <phoneticPr fontId="5" type="noConversion"/>
  </si>
  <si>
    <t>조달비용</t>
    <phoneticPr fontId="5" type="noConversion"/>
  </si>
  <si>
    <t>국고23-7(53.09.10)</t>
    <phoneticPr fontId="5" type="noConversion"/>
  </si>
  <si>
    <t>25-04</t>
    <phoneticPr fontId="5" type="noConversion"/>
  </si>
  <si>
    <t>25-3</t>
    <phoneticPr fontId="33" type="noConversion"/>
  </si>
  <si>
    <t>24-12</t>
    <phoneticPr fontId="33" type="noConversion"/>
  </si>
  <si>
    <t>차기이표일</t>
    <phoneticPr fontId="5" type="noConversion"/>
  </si>
  <si>
    <t>차기이표일까지
잔존년</t>
    <phoneticPr fontId="5" type="noConversion"/>
  </si>
  <si>
    <t>해당만기의금리</t>
    <phoneticPr fontId="5" type="noConversion"/>
  </si>
  <si>
    <t>이자비용</t>
    <phoneticPr fontId="5" type="noConversion"/>
  </si>
  <si>
    <t>PV[이자비용]</t>
    <phoneticPr fontId="5" type="noConversion"/>
  </si>
  <si>
    <t>선도가격</t>
    <phoneticPr fontId="5" type="noConversion"/>
  </si>
  <si>
    <t>매도금액</t>
    <phoneticPr fontId="5" type="noConversion"/>
  </si>
  <si>
    <t>채권손익</t>
    <phoneticPr fontId="5" type="noConversion"/>
  </si>
  <si>
    <t>쿠폰</t>
    <phoneticPr fontId="5" type="noConversion"/>
  </si>
  <si>
    <t>쿠폰재투자</t>
    <phoneticPr fontId="5" type="noConversion"/>
  </si>
  <si>
    <t>최종손익Simaulation</t>
    <phoneticPr fontId="5" type="noConversion"/>
  </si>
  <si>
    <t>합계</t>
    <phoneticPr fontId="5" type="noConversion"/>
  </si>
  <si>
    <t>채권손익</t>
    <phoneticPr fontId="5" type="noConversion"/>
  </si>
  <si>
    <t>선물손익</t>
    <phoneticPr fontId="5" type="noConversion"/>
  </si>
  <si>
    <t>총합</t>
    <phoneticPr fontId="5" type="noConversion"/>
  </si>
  <si>
    <t>Last Quote</t>
    <phoneticPr fontId="5" type="noConversion"/>
  </si>
  <si>
    <t>Last PnL</t>
    <phoneticPr fontId="5" type="noConversion"/>
  </si>
  <si>
    <t>Last Action</t>
    <phoneticPr fontId="5" type="noConversion"/>
  </si>
  <si>
    <t>STOPPED</t>
    <phoneticPr fontId="5" type="noConversion"/>
  </si>
  <si>
    <t>stop flag detected</t>
    <phoneticPr fontId="5" type="noConversion"/>
  </si>
  <si>
    <t>KBondWatcher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</si>
</sst>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00"/>
    <numFmt numFmtId="177" formatCode="#,##0.000"/>
    <numFmt numFmtId="178" formatCode="#,##0.0000"/>
    <numFmt numFmtId="179" formatCode="_-* #,##0.0_-;\-* #,##0.0_-;_-* &quot;-&quot;_-;_-@_-"/>
    <numFmt numFmtId="180" formatCode="0.00_ "/>
    <numFmt numFmtId="181" formatCode="[$-F400]h:mm:ss\ AM/PM"/>
    <numFmt numFmtId="182" formatCode="0_ "/>
    <numFmt numFmtId="183" formatCode="mm&quot;월&quot;\ dd&quot;일&quot;"/>
    <numFmt numFmtId="184" formatCode="0.000_ "/>
    <numFmt numFmtId="185" formatCode="_-* #,##0_-;\-* #,##0_-;_-* &quot;-&quot;??_-;_-@_-"/>
    <numFmt numFmtId="186" formatCode="0.0000%"/>
    <numFmt numFmtId="187" formatCode="0_);[Red]\(0\)"/>
    <numFmt numFmtId="188" formatCode="_-* #,##0.0_-;\-* #,##0.0_-;_-* &quot;-&quot;??_-;_-@_-"/>
    <numFmt numFmtId="189" formatCode="#,##0_ "/>
    <numFmt numFmtId="190" formatCode="0.0_ "/>
    <numFmt numFmtId="191" formatCode="_-* #,##0.0000000_-;\-* #,##0.0000000_-;_-* &quot;-&quot;??_-;_-@_-"/>
    <numFmt numFmtId="192" formatCode="0.0_ &quot;bp&quot;"/>
    <numFmt numFmtId="193" formatCode="_-* #,##0.000_-;\-* #,##0.000_-;_-* &quot;-&quot;??_-;_-@_-"/>
    <numFmt numFmtId="194" formatCode="_-* #,##0.000_-;\-* #,##0.000_-;_-* &quot;-&quot;_-;_-@_-"/>
    <numFmt numFmtId="195" formatCode="0.00_);[Red]\(0.00\)"/>
    <numFmt numFmtId="196" formatCode="_-* #,##0.00_-;\-* #,##0.00_-;_-* &quot;-&quot;_-;_-@_-"/>
    <numFmt numFmtId="197" formatCode="0;_泿"/>
    <numFmt numFmtId="198" formatCode="\+#,##0;\-#,##0"/>
    <numFmt numFmtId="199" formatCode="_-* #,##0.000000_-;\-* #,##0.000000_-;_-* &quot;-&quot;_-;_-@_-"/>
    <numFmt numFmtId="200" formatCode="0.000_);[Red]\(0.000\)"/>
    <numFmt numFmtId="201" formatCode="0.0000_ "/>
    <numFmt numFmtId="202" formatCode="_-* #,##0.00000_-;\-* #,##0.00000_-;_-* &quot;-&quot;??_-;_-@_-"/>
    <numFmt numFmtId="203" formatCode="#,##0.00_ "/>
    <numFmt numFmtId="204" formatCode="#,##0.000_ "/>
    <numFmt numFmtId="205" formatCode="#,##0.0_ "/>
    <numFmt numFmtId="206" formatCode="_-* #,##0.0000_-;\-* #,##0.0000_-;_-* &quot;-&quot;??_-;_-@_-"/>
    <numFmt numFmtId="207" formatCode="0.00000_ "/>
    <numFmt numFmtId="208" formatCode="0.000%"/>
    <numFmt numFmtId="209" formatCode="0.0_);[Red]\(0.0\)"/>
  </numFmts>
  <fonts count="51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i/>
      <sz val="10"/>
      <color theme="3" tint="-0.499984740745262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i/>
      <sz val="10"/>
      <color theme="1" tint="0.34998626667073579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i/>
      <sz val="10"/>
      <color rgb="FFC0000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돋움"/>
      <family val="3"/>
      <charset val="129"/>
    </font>
    <font>
      <sz val="8"/>
      <name val="돋움"/>
      <family val="3"/>
      <charset val="129"/>
    </font>
    <font>
      <sz val="10"/>
      <color rgb="FFC8C8C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0" tint="-0.34998626667073579"/>
      <name val="맑은 고딕"/>
      <family val="2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0"/>
      <color indexed="10"/>
      <name val="굴림"/>
      <family val="3"/>
      <charset val="129"/>
    </font>
    <font>
      <sz val="1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FF000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</borders>
  <cellStyleXfs count="38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181" fontId="9" fillId="0" borderId="0">
      <alignment vertical="center"/>
    </xf>
    <xf numFmtId="0" fontId="1" fillId="0" borderId="0">
      <alignment vertical="center"/>
    </xf>
    <xf numFmtId="181" fontId="1" fillId="0" borderId="0">
      <alignment vertical="center"/>
    </xf>
    <xf numFmtId="181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1" fontId="1" fillId="0" borderId="0">
      <alignment vertical="center"/>
    </xf>
    <xf numFmtId="181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1" fontId="1" fillId="0" borderId="0">
      <alignment vertical="center"/>
    </xf>
    <xf numFmtId="181" fontId="1" fillId="0" borderId="0">
      <alignment vertical="center"/>
    </xf>
    <xf numFmtId="0" fontId="31" fillId="0" borderId="0"/>
    <xf numFmtId="181" fontId="32" fillId="0" borderId="0" applyNumberFormat="0" applyFill="0" applyBorder="0" applyAlignment="0" applyProtection="0">
      <alignment vertical="top"/>
      <protection locked="0"/>
    </xf>
  </cellStyleXfs>
  <cellXfs count="428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2" applyNumberFormat="1" applyFont="1">
      <alignment vertical="center"/>
    </xf>
    <xf numFmtId="0" fontId="0" fillId="0" borderId="0" xfId="0" applyNumberFormat="1">
      <alignment vertical="center"/>
    </xf>
    <xf numFmtId="0" fontId="6" fillId="3" borderId="0" xfId="0" applyFont="1" applyFill="1">
      <alignment vertical="center"/>
    </xf>
    <xf numFmtId="0" fontId="0" fillId="3" borderId="0" xfId="0" applyFill="1">
      <alignment vertical="center"/>
    </xf>
    <xf numFmtId="0" fontId="0" fillId="3" borderId="0" xfId="2" applyNumberFormat="1" applyFont="1" applyFill="1">
      <alignment vertical="center"/>
    </xf>
    <xf numFmtId="0" fontId="0" fillId="3" borderId="0" xfId="0" applyNumberFormat="1" applyFill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9" fillId="3" borderId="2" xfId="5" applyFont="1" applyFill="1" applyBorder="1" applyAlignment="1">
      <alignment vertical="center"/>
    </xf>
    <xf numFmtId="0" fontId="11" fillId="0" borderId="0" xfId="0" applyFont="1">
      <alignment vertical="center"/>
    </xf>
    <xf numFmtId="0" fontId="12" fillId="3" borderId="2" xfId="5" applyFont="1" applyFill="1" applyBorder="1" applyAlignment="1">
      <alignment vertical="center"/>
    </xf>
    <xf numFmtId="0" fontId="12" fillId="3" borderId="2" xfId="5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14" fontId="10" fillId="5" borderId="6" xfId="5" applyNumberFormat="1" applyFont="1" applyFill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7" borderId="2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center" vertical="center"/>
    </xf>
    <xf numFmtId="0" fontId="23" fillId="7" borderId="2" xfId="0" applyFont="1" applyFill="1" applyBorder="1">
      <alignment vertical="center"/>
    </xf>
    <xf numFmtId="0" fontId="23" fillId="7" borderId="2" xfId="2" applyNumberFormat="1" applyFont="1" applyFill="1" applyBorder="1">
      <alignment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2" xfId="2" applyNumberFormat="1" applyFont="1" applyFill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2" applyNumberFormat="1" applyFont="1" applyAlignment="1">
      <alignment horizontal="right" vertical="center"/>
    </xf>
    <xf numFmtId="14" fontId="0" fillId="0" borderId="0" xfId="0" applyNumberFormat="1">
      <alignment vertical="center"/>
    </xf>
    <xf numFmtId="179" fontId="23" fillId="6" borderId="14" xfId="1" applyNumberFormat="1" applyFont="1" applyFill="1" applyBorder="1" applyAlignment="1">
      <alignment horizontal="right" vertical="center"/>
    </xf>
    <xf numFmtId="41" fontId="0" fillId="0" borderId="0" xfId="1" applyFont="1">
      <alignment vertical="center"/>
    </xf>
    <xf numFmtId="0" fontId="18" fillId="0" borderId="0" xfId="0" applyFont="1">
      <alignment vertical="center"/>
    </xf>
    <xf numFmtId="49" fontId="0" fillId="0" borderId="0" xfId="0" applyNumberFormat="1">
      <alignment vertical="center"/>
    </xf>
    <xf numFmtId="180" fontId="23" fillId="0" borderId="14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8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quotePrefix="1" applyFill="1">
      <alignment vertical="center"/>
    </xf>
    <xf numFmtId="182" fontId="0" fillId="0" borderId="0" xfId="0" applyNumberFormat="1">
      <alignment vertical="center"/>
    </xf>
    <xf numFmtId="0" fontId="15" fillId="0" borderId="0" xfId="0" applyFont="1">
      <alignment vertical="center"/>
    </xf>
    <xf numFmtId="0" fontId="15" fillId="0" borderId="0" xfId="0" applyFont="1" applyFill="1" applyBorder="1">
      <alignment vertical="center"/>
    </xf>
    <xf numFmtId="0" fontId="0" fillId="8" borderId="0" xfId="0" applyFill="1" applyBorder="1">
      <alignment vertical="center"/>
    </xf>
    <xf numFmtId="0" fontId="0" fillId="0" borderId="0" xfId="0" applyFill="1" applyBorder="1">
      <alignment vertical="center"/>
    </xf>
    <xf numFmtId="41" fontId="34" fillId="0" borderId="0" xfId="1" applyFont="1" applyFill="1" applyBorder="1" applyAlignment="1">
      <alignment horizontal="right" vertical="center"/>
    </xf>
    <xf numFmtId="0" fontId="34" fillId="0" borderId="0" xfId="0" applyFont="1" applyFill="1" applyBorder="1" applyAlignment="1">
      <alignment horizontal="right" vertical="center"/>
    </xf>
    <xf numFmtId="179" fontId="34" fillId="0" borderId="0" xfId="1" applyNumberFormat="1" applyFont="1" applyFill="1" applyBorder="1" applyAlignment="1">
      <alignment horizontal="right" vertical="center"/>
    </xf>
    <xf numFmtId="43" fontId="0" fillId="0" borderId="0" xfId="0" applyNumberFormat="1" applyFill="1" applyBorder="1">
      <alignment vertical="center"/>
    </xf>
    <xf numFmtId="183" fontId="15" fillId="0" borderId="0" xfId="0" applyNumberFormat="1" applyFo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8" borderId="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41" fontId="15" fillId="0" borderId="0" xfId="1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9" borderId="14" xfId="0" applyFill="1" applyBorder="1" applyAlignment="1">
      <alignment horizontal="center" vertical="center"/>
    </xf>
    <xf numFmtId="184" fontId="9" fillId="0" borderId="14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horizontal="right" vertical="center"/>
    </xf>
    <xf numFmtId="0" fontId="9" fillId="0" borderId="14" xfId="0" applyFont="1" applyBorder="1" applyAlignment="1">
      <alignment horizontal="center" vertical="center"/>
    </xf>
    <xf numFmtId="0" fontId="0" fillId="9" borderId="14" xfId="0" applyFill="1" applyBorder="1">
      <alignment vertical="center"/>
    </xf>
    <xf numFmtId="0" fontId="0" fillId="10" borderId="14" xfId="0" applyFill="1" applyBorder="1">
      <alignment vertical="center"/>
    </xf>
    <xf numFmtId="182" fontId="35" fillId="6" borderId="14" xfId="0" applyNumberFormat="1" applyFont="1" applyFill="1" applyBorder="1" applyAlignment="1">
      <alignment horizontal="center" vertical="center"/>
    </xf>
    <xf numFmtId="0" fontId="35" fillId="6" borderId="14" xfId="0" applyFont="1" applyFill="1" applyBorder="1" applyAlignment="1">
      <alignment horizontal="center" vertical="center"/>
    </xf>
    <xf numFmtId="41" fontId="0" fillId="0" borderId="14" xfId="1" applyFont="1" applyBorder="1">
      <alignment vertical="center"/>
    </xf>
    <xf numFmtId="185" fontId="0" fillId="0" borderId="14" xfId="0" applyNumberFormat="1" applyBorder="1">
      <alignment vertical="center"/>
    </xf>
    <xf numFmtId="186" fontId="0" fillId="0" borderId="0" xfId="0" applyNumberFormat="1">
      <alignment vertical="center"/>
    </xf>
    <xf numFmtId="41" fontId="0" fillId="0" borderId="0" xfId="1" applyFont="1" applyFill="1" applyBorder="1">
      <alignment vertical="center"/>
    </xf>
    <xf numFmtId="180" fontId="0" fillId="9" borderId="0" xfId="3" applyNumberFormat="1" applyFont="1" applyFill="1">
      <alignment vertical="center"/>
    </xf>
    <xf numFmtId="183" fontId="0" fillId="0" borderId="14" xfId="0" applyNumberFormat="1" applyBorder="1">
      <alignment vertical="center"/>
    </xf>
    <xf numFmtId="187" fontId="0" fillId="0" borderId="14" xfId="0" applyNumberFormat="1" applyFill="1" applyBorder="1">
      <alignment vertical="center"/>
    </xf>
    <xf numFmtId="43" fontId="0" fillId="0" borderId="14" xfId="0" applyNumberFormat="1" applyBorder="1">
      <alignment vertical="center"/>
    </xf>
    <xf numFmtId="0" fontId="0" fillId="0" borderId="17" xfId="0" applyBorder="1">
      <alignment vertical="center"/>
    </xf>
    <xf numFmtId="0" fontId="0" fillId="0" borderId="14" xfId="0" applyFill="1" applyBorder="1">
      <alignment vertical="center"/>
    </xf>
    <xf numFmtId="0" fontId="0" fillId="0" borderId="14" xfId="0" applyFont="1" applyBorder="1" applyAlignment="1">
      <alignment horizontal="center" vertical="center"/>
    </xf>
    <xf numFmtId="180" fontId="0" fillId="0" borderId="14" xfId="0" applyNumberFormat="1" applyFont="1" applyBorder="1" applyAlignment="1">
      <alignment horizontal="center" vertical="center"/>
    </xf>
    <xf numFmtId="180" fontId="23" fillId="0" borderId="14" xfId="0" applyNumberFormat="1" applyFont="1" applyBorder="1" applyAlignment="1">
      <alignment horizontal="center" vertical="center"/>
    </xf>
    <xf numFmtId="188" fontId="0" fillId="0" borderId="0" xfId="0" applyNumberFormat="1" applyBorder="1">
      <alignment vertical="center"/>
    </xf>
    <xf numFmtId="184" fontId="0" fillId="0" borderId="0" xfId="0" applyNumberFormat="1">
      <alignment vertical="center"/>
    </xf>
    <xf numFmtId="189" fontId="0" fillId="0" borderId="0" xfId="0" applyNumberFormat="1">
      <alignment vertical="center"/>
    </xf>
    <xf numFmtId="190" fontId="0" fillId="9" borderId="0" xfId="0" applyNumberFormat="1" applyFill="1">
      <alignment vertical="center"/>
    </xf>
    <xf numFmtId="182" fontId="0" fillId="0" borderId="0" xfId="0" applyNumberFormat="1" applyFill="1" applyBorder="1">
      <alignment vertical="center"/>
    </xf>
    <xf numFmtId="190" fontId="0" fillId="0" borderId="14" xfId="0" applyNumberFormat="1" applyBorder="1">
      <alignment vertical="center"/>
    </xf>
    <xf numFmtId="190" fontId="36" fillId="0" borderId="14" xfId="0" applyNumberFormat="1" applyFon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80" fontId="15" fillId="0" borderId="14" xfId="0" applyNumberFormat="1" applyFont="1" applyFill="1" applyBorder="1">
      <alignment vertical="center"/>
    </xf>
    <xf numFmtId="43" fontId="15" fillId="0" borderId="0" xfId="0" applyNumberFormat="1" applyFont="1">
      <alignment vertical="center"/>
    </xf>
    <xf numFmtId="43" fontId="0" fillId="0" borderId="0" xfId="0" applyNumberFormat="1">
      <alignment vertical="center"/>
    </xf>
    <xf numFmtId="180" fontId="0" fillId="0" borderId="14" xfId="0" applyNumberFormat="1" applyBorder="1">
      <alignment vertical="center"/>
    </xf>
    <xf numFmtId="185" fontId="37" fillId="0" borderId="19" xfId="0" applyNumberFormat="1" applyFont="1" applyBorder="1">
      <alignment vertical="center"/>
    </xf>
    <xf numFmtId="0" fontId="0" fillId="0" borderId="0" xfId="0" applyBorder="1">
      <alignment vertical="center"/>
    </xf>
    <xf numFmtId="190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180" fontId="15" fillId="0" borderId="0" xfId="0" applyNumberFormat="1" applyFont="1" applyFill="1" applyBorder="1">
      <alignment vertical="center"/>
    </xf>
    <xf numFmtId="180" fontId="0" fillId="9" borderId="0" xfId="0" applyNumberFormat="1" applyFill="1">
      <alignment vertical="center"/>
    </xf>
    <xf numFmtId="180" fontId="0" fillId="0" borderId="0" xfId="0" applyNumberFormat="1" applyBorder="1">
      <alignment vertical="center"/>
    </xf>
    <xf numFmtId="43" fontId="0" fillId="0" borderId="0" xfId="0" applyNumberFormat="1" applyBorder="1">
      <alignment vertical="center"/>
    </xf>
    <xf numFmtId="185" fontId="37" fillId="0" borderId="0" xfId="0" applyNumberFormat="1" applyFont="1" applyBorder="1">
      <alignment vertical="center"/>
    </xf>
    <xf numFmtId="184" fontId="0" fillId="0" borderId="14" xfId="0" applyNumberFormat="1" applyBorder="1">
      <alignment vertical="center"/>
    </xf>
    <xf numFmtId="184" fontId="0" fillId="9" borderId="14" xfId="0" applyNumberFormat="1" applyFill="1" applyBorder="1">
      <alignment vertical="center"/>
    </xf>
    <xf numFmtId="191" fontId="0" fillId="0" borderId="0" xfId="0" applyNumberFormat="1">
      <alignment vertical="center"/>
    </xf>
    <xf numFmtId="0" fontId="0" fillId="10" borderId="0" xfId="0" applyFill="1">
      <alignment vertical="center"/>
    </xf>
    <xf numFmtId="0" fontId="0" fillId="6" borderId="14" xfId="0" applyFill="1" applyBorder="1">
      <alignment vertical="center"/>
    </xf>
    <xf numFmtId="180" fontId="0" fillId="0" borderId="14" xfId="0" quotePrefix="1" applyNumberFormat="1" applyBorder="1">
      <alignment vertical="center"/>
    </xf>
    <xf numFmtId="0" fontId="0" fillId="10" borderId="14" xfId="0" quotePrefix="1" applyFill="1" applyBorder="1" applyAlignment="1">
      <alignment horizontal="center" vertical="center"/>
    </xf>
    <xf numFmtId="192" fontId="0" fillId="0" borderId="14" xfId="0" applyNumberFormat="1" applyBorder="1">
      <alignment vertical="center"/>
    </xf>
    <xf numFmtId="190" fontId="0" fillId="0" borderId="0" xfId="0" applyNumberFormat="1" applyFill="1" applyBorder="1">
      <alignment vertical="center"/>
    </xf>
    <xf numFmtId="183" fontId="0" fillId="0" borderId="14" xfId="0" quotePrefix="1" applyNumberFormat="1" applyFill="1" applyBorder="1">
      <alignment vertical="center"/>
    </xf>
    <xf numFmtId="0" fontId="23" fillId="9" borderId="14" xfId="0" applyFont="1" applyFill="1" applyBorder="1" applyAlignment="1">
      <alignment horizontal="right" vertical="center"/>
    </xf>
    <xf numFmtId="190" fontId="34" fillId="0" borderId="14" xfId="0" applyNumberFormat="1" applyFont="1" applyBorder="1" applyAlignment="1">
      <alignment horizontal="right" vertical="center"/>
    </xf>
    <xf numFmtId="0" fontId="0" fillId="10" borderId="14" xfId="0" applyFill="1" applyBorder="1" applyAlignment="1">
      <alignment horizontal="center" vertical="center"/>
    </xf>
    <xf numFmtId="193" fontId="0" fillId="0" borderId="0" xfId="0" applyNumberFormat="1" applyFill="1" applyBorder="1">
      <alignment vertical="center"/>
    </xf>
    <xf numFmtId="0" fontId="2" fillId="2" borderId="1" xfId="4">
      <alignment vertical="center"/>
    </xf>
    <xf numFmtId="189" fontId="0" fillId="0" borderId="14" xfId="1" applyNumberFormat="1" applyFont="1" applyBorder="1" applyAlignment="1">
      <alignment horizontal="center" vertical="center"/>
    </xf>
    <xf numFmtId="14" fontId="0" fillId="0" borderId="0" xfId="1" applyNumberFormat="1" applyFont="1" applyFill="1" applyBorder="1">
      <alignment vertical="center"/>
    </xf>
    <xf numFmtId="190" fontId="36" fillId="0" borderId="0" xfId="0" applyNumberFormat="1" applyFont="1" applyBorder="1">
      <alignment vertical="center"/>
    </xf>
    <xf numFmtId="183" fontId="15" fillId="3" borderId="14" xfId="0" applyNumberFormat="1" applyFont="1" applyFill="1" applyBorder="1" applyAlignment="1">
      <alignment horizontal="center" vertical="center"/>
    </xf>
    <xf numFmtId="0" fontId="15" fillId="3" borderId="14" xfId="0" quotePrefix="1" applyNumberFormat="1" applyFont="1" applyFill="1" applyBorder="1" applyAlignment="1">
      <alignment horizontal="center" vertical="center"/>
    </xf>
    <xf numFmtId="185" fontId="0" fillId="0" borderId="0" xfId="0" applyNumberFormat="1">
      <alignment vertical="center"/>
    </xf>
    <xf numFmtId="190" fontId="36" fillId="8" borderId="0" xfId="0" applyNumberFormat="1" applyFont="1" applyFill="1" applyBorder="1">
      <alignment vertical="center"/>
    </xf>
    <xf numFmtId="0" fontId="0" fillId="8" borderId="0" xfId="0" applyFill="1" applyBorder="1" applyAlignment="1">
      <alignment horizontal="center" vertical="center"/>
    </xf>
    <xf numFmtId="184" fontId="23" fillId="9" borderId="14" xfId="1" quotePrefix="1" applyNumberFormat="1" applyFont="1" applyFill="1" applyBorder="1" applyAlignment="1">
      <alignment horizontal="center" vertical="center"/>
    </xf>
    <xf numFmtId="194" fontId="12" fillId="9" borderId="14" xfId="1" quotePrefix="1" applyNumberFormat="1" applyFont="1" applyFill="1" applyBorder="1" applyAlignment="1">
      <alignment horizontal="right" vertical="center"/>
    </xf>
    <xf numFmtId="0" fontId="15" fillId="0" borderId="14" xfId="0" quotePrefix="1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34" fillId="0" borderId="0" xfId="0" applyFont="1" applyAlignment="1">
      <alignment horizontal="right" vertical="center"/>
    </xf>
    <xf numFmtId="10" fontId="0" fillId="0" borderId="0" xfId="0" applyNumberFormat="1">
      <alignment vertical="center"/>
    </xf>
    <xf numFmtId="182" fontId="38" fillId="0" borderId="0" xfId="0" applyNumberFormat="1" applyFont="1">
      <alignment vertical="center"/>
    </xf>
    <xf numFmtId="183" fontId="0" fillId="9" borderId="14" xfId="0" applyNumberFormat="1" applyFill="1" applyBorder="1">
      <alignment vertical="center"/>
    </xf>
    <xf numFmtId="195" fontId="0" fillId="9" borderId="14" xfId="0" applyNumberFormat="1" applyFill="1" applyBorder="1">
      <alignment vertical="center"/>
    </xf>
    <xf numFmtId="41" fontId="0" fillId="0" borderId="17" xfId="1" applyFont="1" applyBorder="1">
      <alignment vertical="center"/>
    </xf>
    <xf numFmtId="41" fontId="0" fillId="0" borderId="0" xfId="0" applyNumberFormat="1">
      <alignment vertical="center"/>
    </xf>
    <xf numFmtId="190" fontId="0" fillId="0" borderId="0" xfId="0" applyNumberFormat="1">
      <alignment vertical="center"/>
    </xf>
    <xf numFmtId="0" fontId="39" fillId="0" borderId="0" xfId="0" applyFont="1">
      <alignment vertical="center"/>
    </xf>
    <xf numFmtId="0" fontId="0" fillId="9" borderId="0" xfId="0" applyFill="1">
      <alignment vertical="center"/>
    </xf>
    <xf numFmtId="182" fontId="0" fillId="9" borderId="0" xfId="0" applyNumberFormat="1" applyFill="1">
      <alignment vertical="center"/>
    </xf>
    <xf numFmtId="4" fontId="0" fillId="6" borderId="14" xfId="0" applyNumberFormat="1" applyFont="1" applyFill="1" applyBorder="1" applyAlignment="1">
      <alignment horizontal="center" vertical="center"/>
    </xf>
    <xf numFmtId="196" fontId="23" fillId="9" borderId="14" xfId="1" applyNumberFormat="1" applyFont="1" applyFill="1" applyBorder="1" applyAlignment="1">
      <alignment horizontal="center" vertical="center"/>
    </xf>
    <xf numFmtId="184" fontId="23" fillId="9" borderId="14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41" fontId="0" fillId="0" borderId="14" xfId="1" applyFont="1" applyBorder="1" applyAlignment="1">
      <alignment horizontal="right" vertical="center"/>
    </xf>
    <xf numFmtId="180" fontId="0" fillId="9" borderId="14" xfId="0" applyNumberFormat="1" applyFill="1" applyBorder="1">
      <alignment vertical="center"/>
    </xf>
    <xf numFmtId="4" fontId="0" fillId="9" borderId="14" xfId="0" applyNumberFormat="1" applyFont="1" applyFill="1" applyBorder="1" applyAlignment="1">
      <alignment horizontal="center" vertical="center"/>
    </xf>
    <xf numFmtId="179" fontId="23" fillId="0" borderId="14" xfId="1" applyNumberFormat="1" applyFont="1" applyBorder="1" applyAlignment="1">
      <alignment horizontal="center" vertical="center"/>
    </xf>
    <xf numFmtId="184" fontId="37" fillId="9" borderId="14" xfId="0" applyNumberFormat="1" applyFont="1" applyFill="1" applyBorder="1" applyAlignment="1">
      <alignment horizontal="center" vertical="center"/>
    </xf>
    <xf numFmtId="0" fontId="0" fillId="6" borderId="14" xfId="0" applyFont="1" applyFill="1" applyBorder="1" applyAlignment="1">
      <alignment horizontal="right" vertical="center"/>
    </xf>
    <xf numFmtId="41" fontId="0" fillId="6" borderId="14" xfId="1" applyFont="1" applyFill="1" applyBorder="1" applyAlignment="1">
      <alignment horizontal="right" vertical="center"/>
    </xf>
    <xf numFmtId="190" fontId="40" fillId="0" borderId="14" xfId="0" applyNumberFormat="1" applyFont="1" applyBorder="1" applyAlignment="1">
      <alignment horizontal="center" vertical="center"/>
    </xf>
    <xf numFmtId="0" fontId="34" fillId="8" borderId="0" xfId="0" applyFont="1" applyFill="1" applyAlignment="1">
      <alignment horizontal="right" vertical="center"/>
    </xf>
    <xf numFmtId="0" fontId="34" fillId="0" borderId="0" xfId="0" applyFont="1" applyFill="1" applyAlignment="1">
      <alignment horizontal="right" vertical="center"/>
    </xf>
    <xf numFmtId="180" fontId="0" fillId="6" borderId="14" xfId="0" applyNumberFormat="1" applyFont="1" applyFill="1" applyBorder="1" applyAlignment="1">
      <alignment horizontal="center" vertical="center"/>
    </xf>
    <xf numFmtId="0" fontId="37" fillId="9" borderId="14" xfId="0" applyFont="1" applyFill="1" applyBorder="1" applyAlignment="1">
      <alignment horizontal="right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right" vertical="center"/>
    </xf>
    <xf numFmtId="180" fontId="37" fillId="0" borderId="14" xfId="0" applyNumberFormat="1" applyFont="1" applyBorder="1" applyAlignment="1">
      <alignment horizontal="right" vertical="center"/>
    </xf>
    <xf numFmtId="0" fontId="23" fillId="6" borderId="14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right" vertical="center"/>
    </xf>
    <xf numFmtId="0" fontId="0" fillId="0" borderId="14" xfId="0" applyFont="1" applyBorder="1">
      <alignment vertical="center"/>
    </xf>
    <xf numFmtId="41" fontId="0" fillId="6" borderId="14" xfId="1" applyFont="1" applyFill="1" applyBorder="1">
      <alignment vertical="center"/>
    </xf>
    <xf numFmtId="0" fontId="0" fillId="6" borderId="14" xfId="0" applyFont="1" applyFill="1" applyBorder="1">
      <alignment vertical="center"/>
    </xf>
    <xf numFmtId="183" fontId="0" fillId="0" borderId="0" xfId="0" applyNumberFormat="1">
      <alignment vertical="center"/>
    </xf>
    <xf numFmtId="0" fontId="0" fillId="0" borderId="20" xfId="0" applyFill="1" applyBorder="1">
      <alignment vertical="center"/>
    </xf>
    <xf numFmtId="190" fontId="36" fillId="6" borderId="14" xfId="0" applyNumberFormat="1" applyFont="1" applyFill="1" applyBorder="1">
      <alignment vertical="center"/>
    </xf>
    <xf numFmtId="0" fontId="15" fillId="6" borderId="0" xfId="0" applyFont="1" applyFill="1" applyBorder="1" applyAlignment="1">
      <alignment horizontal="left" vertical="center"/>
    </xf>
    <xf numFmtId="0" fontId="0" fillId="6" borderId="0" xfId="0" applyFill="1">
      <alignment vertical="center"/>
    </xf>
    <xf numFmtId="0" fontId="0" fillId="0" borderId="0" xfId="0" applyFont="1" applyBorder="1">
      <alignment vertical="center"/>
    </xf>
    <xf numFmtId="41" fontId="0" fillId="0" borderId="0" xfId="1" applyFont="1" applyBorder="1">
      <alignment vertical="center"/>
    </xf>
    <xf numFmtId="180" fontId="0" fillId="0" borderId="0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right" vertical="center"/>
    </xf>
    <xf numFmtId="41" fontId="0" fillId="0" borderId="14" xfId="0" applyNumberFormat="1" applyBorder="1">
      <alignment vertical="center"/>
    </xf>
    <xf numFmtId="0" fontId="37" fillId="6" borderId="14" xfId="0" applyFont="1" applyFill="1" applyBorder="1" applyAlignment="1">
      <alignment horizontal="right" vertical="center"/>
    </xf>
    <xf numFmtId="197" fontId="23" fillId="0" borderId="14" xfId="0" applyNumberFormat="1" applyFont="1" applyBorder="1" applyAlignment="1">
      <alignment horizontal="right" vertical="center"/>
    </xf>
    <xf numFmtId="180" fontId="0" fillId="9" borderId="14" xfId="0" applyNumberFormat="1" applyFont="1" applyFill="1" applyBorder="1" applyAlignment="1">
      <alignment horizontal="center" vertical="center"/>
    </xf>
    <xf numFmtId="41" fontId="15" fillId="0" borderId="14" xfId="0" applyNumberFormat="1" applyFont="1" applyBorder="1">
      <alignment vertical="center"/>
    </xf>
    <xf numFmtId="0" fontId="23" fillId="0" borderId="0" xfId="0" applyFont="1" applyAlignment="1">
      <alignment horizontal="right" vertical="center"/>
    </xf>
    <xf numFmtId="187" fontId="41" fillId="0" borderId="14" xfId="34" applyNumberFormat="1" applyFont="1" applyBorder="1" applyAlignment="1">
      <alignment horizontal="right" vertical="center"/>
    </xf>
    <xf numFmtId="198" fontId="42" fillId="0" borderId="14" xfId="0" applyNumberFormat="1" applyFont="1" applyBorder="1">
      <alignment vertical="center"/>
    </xf>
    <xf numFmtId="184" fontId="15" fillId="0" borderId="0" xfId="0" applyNumberFormat="1" applyFont="1">
      <alignment vertical="center"/>
    </xf>
    <xf numFmtId="183" fontId="0" fillId="0" borderId="0" xfId="0" quotePrefix="1" applyNumberFormat="1">
      <alignment vertical="center"/>
    </xf>
    <xf numFmtId="10" fontId="0" fillId="9" borderId="0" xfId="0" applyNumberFormat="1" applyFill="1">
      <alignment vertical="center"/>
    </xf>
    <xf numFmtId="199" fontId="0" fillId="0" borderId="0" xfId="1" applyNumberFormat="1" applyFont="1">
      <alignment vertical="center"/>
    </xf>
    <xf numFmtId="200" fontId="37" fillId="9" borderId="14" xfId="0" applyNumberFormat="1" applyFont="1" applyFill="1" applyBorder="1">
      <alignment vertical="center"/>
    </xf>
    <xf numFmtId="200" fontId="0" fillId="0" borderId="14" xfId="0" applyNumberFormat="1" applyBorder="1">
      <alignment vertical="center"/>
    </xf>
    <xf numFmtId="4" fontId="0" fillId="9" borderId="14" xfId="0" applyNumberFormat="1" applyFill="1" applyBorder="1">
      <alignment vertical="center"/>
    </xf>
    <xf numFmtId="4" fontId="0" fillId="0" borderId="14" xfId="0" applyNumberFormat="1" applyFill="1" applyBorder="1">
      <alignment vertical="center"/>
    </xf>
    <xf numFmtId="9" fontId="0" fillId="0" borderId="0" xfId="0" quotePrefix="1" applyNumberFormat="1">
      <alignment vertical="center"/>
    </xf>
    <xf numFmtId="190" fontId="37" fillId="0" borderId="0" xfId="0" applyNumberFormat="1" applyFont="1">
      <alignment vertical="center"/>
    </xf>
    <xf numFmtId="0" fontId="0" fillId="0" borderId="14" xfId="0" applyFont="1" applyFill="1" applyBorder="1" applyAlignment="1">
      <alignment horizontal="right" vertical="center"/>
    </xf>
    <xf numFmtId="41" fontId="0" fillId="0" borderId="14" xfId="1" applyFont="1" applyFill="1" applyBorder="1" applyAlignment="1">
      <alignment horizontal="right" vertical="center"/>
    </xf>
    <xf numFmtId="201" fontId="0" fillId="0" borderId="0" xfId="0" applyNumberFormat="1" applyFill="1">
      <alignment vertical="center"/>
    </xf>
    <xf numFmtId="180" fontId="23" fillId="0" borderId="0" xfId="0" applyNumberFormat="1" applyFont="1" applyAlignment="1">
      <alignment horizontal="right" vertical="center"/>
    </xf>
    <xf numFmtId="0" fontId="34" fillId="0" borderId="0" xfId="0" applyFont="1">
      <alignment vertical="center"/>
    </xf>
    <xf numFmtId="0" fontId="23" fillId="0" borderId="14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right" vertical="center"/>
    </xf>
    <xf numFmtId="202" fontId="0" fillId="0" borderId="0" xfId="0" applyNumberFormat="1">
      <alignment vertical="center"/>
    </xf>
    <xf numFmtId="180" fontId="15" fillId="0" borderId="0" xfId="0" applyNumberFormat="1" applyFont="1" applyAlignment="1">
      <alignment horizontal="right" vertical="center"/>
    </xf>
    <xf numFmtId="0" fontId="0" fillId="0" borderId="14" xfId="0" applyFont="1" applyFill="1" applyBorder="1">
      <alignment vertical="center"/>
    </xf>
    <xf numFmtId="41" fontId="0" fillId="0" borderId="14" xfId="1" applyFont="1" applyFill="1" applyBorder="1">
      <alignment vertical="center"/>
    </xf>
    <xf numFmtId="190" fontId="36" fillId="0" borderId="14" xfId="0" applyNumberFormat="1" applyFont="1" applyFill="1" applyBorder="1">
      <alignment vertical="center"/>
    </xf>
    <xf numFmtId="203" fontId="0" fillId="0" borderId="14" xfId="0" applyNumberFormat="1" applyBorder="1">
      <alignment vertical="center"/>
    </xf>
    <xf numFmtId="0" fontId="43" fillId="0" borderId="0" xfId="0" applyFont="1">
      <alignment vertical="center"/>
    </xf>
    <xf numFmtId="41" fontId="15" fillId="0" borderId="14" xfId="1" applyFont="1" applyFill="1" applyBorder="1">
      <alignment vertical="center"/>
    </xf>
    <xf numFmtId="0" fontId="15" fillId="3" borderId="21" xfId="0" applyFont="1" applyFill="1" applyBorder="1" applyAlignment="1">
      <alignment horizontal="center" vertical="center"/>
    </xf>
    <xf numFmtId="190" fontId="15" fillId="0" borderId="0" xfId="0" applyNumberFormat="1" applyFont="1">
      <alignment vertical="center"/>
    </xf>
    <xf numFmtId="0" fontId="0" fillId="0" borderId="14" xfId="0" quotePrefix="1" applyFill="1" applyBorder="1" applyAlignment="1">
      <alignment horizontal="center" vertical="center"/>
    </xf>
    <xf numFmtId="4" fontId="0" fillId="6" borderId="14" xfId="0" applyNumberFormat="1" applyFill="1" applyBorder="1" applyAlignment="1">
      <alignment horizontal="center" vertical="center"/>
    </xf>
    <xf numFmtId="4" fontId="9" fillId="9" borderId="14" xfId="0" applyNumberFormat="1" applyFont="1" applyFill="1" applyBorder="1" applyAlignment="1">
      <alignment horizontal="center" vertical="center"/>
    </xf>
    <xf numFmtId="184" fontId="0" fillId="0" borderId="14" xfId="0" applyNumberFormat="1" applyFont="1" applyFill="1" applyBorder="1" applyAlignment="1">
      <alignment horizontal="center" vertical="center"/>
    </xf>
    <xf numFmtId="41" fontId="0" fillId="0" borderId="22" xfId="1" applyFont="1" applyBorder="1" applyAlignment="1">
      <alignment horizontal="center" vertical="center"/>
    </xf>
    <xf numFmtId="41" fontId="0" fillId="0" borderId="14" xfId="1" applyFont="1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4" fontId="0" fillId="9" borderId="0" xfId="0" applyNumberFormat="1" applyFill="1">
      <alignment vertical="center"/>
    </xf>
    <xf numFmtId="0" fontId="0" fillId="11" borderId="0" xfId="0" applyFill="1">
      <alignment vertical="center"/>
    </xf>
    <xf numFmtId="183" fontId="0" fillId="0" borderId="14" xfId="0" quotePrefix="1" applyNumberFormat="1" applyFill="1" applyBorder="1" applyAlignment="1">
      <alignment horizontal="center" vertical="center"/>
    </xf>
    <xf numFmtId="179" fontId="23" fillId="6" borderId="14" xfId="1" applyNumberFormat="1" applyFont="1" applyFill="1" applyBorder="1" applyAlignment="1">
      <alignment horizontal="center" vertical="center"/>
    </xf>
    <xf numFmtId="184" fontId="0" fillId="0" borderId="14" xfId="0" applyNumberFormat="1" applyFont="1" applyBorder="1" applyAlignment="1">
      <alignment horizontal="center" vertical="center"/>
    </xf>
    <xf numFmtId="182" fontId="0" fillId="9" borderId="14" xfId="0" applyNumberFormat="1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183" fontId="15" fillId="3" borderId="14" xfId="0" quotePrefix="1" applyNumberFormat="1" applyFont="1" applyFill="1" applyBorder="1" applyAlignment="1">
      <alignment horizontal="center" vertical="center"/>
    </xf>
    <xf numFmtId="185" fontId="0" fillId="0" borderId="14" xfId="0" applyNumberFormat="1" applyBorder="1" applyAlignment="1">
      <alignment horizontal="center" vertical="center"/>
    </xf>
    <xf numFmtId="190" fontId="0" fillId="0" borderId="14" xfId="0" applyNumberFormat="1" applyBorder="1" applyAlignment="1">
      <alignment horizontal="center" vertical="center"/>
    </xf>
    <xf numFmtId="43" fontId="0" fillId="0" borderId="22" xfId="0" applyNumberFormat="1" applyBorder="1" applyAlignment="1">
      <alignment horizontal="center" vertical="center"/>
    </xf>
    <xf numFmtId="180" fontId="0" fillId="6" borderId="0" xfId="0" applyNumberFormat="1" applyFill="1">
      <alignment vertical="center"/>
    </xf>
    <xf numFmtId="0" fontId="12" fillId="9" borderId="14" xfId="0" applyFont="1" applyFill="1" applyBorder="1" applyAlignment="1">
      <alignment horizontal="center" vertical="center"/>
    </xf>
    <xf numFmtId="184" fontId="42" fillId="0" borderId="14" xfId="0" applyNumberFormat="1" applyFont="1" applyBorder="1" applyAlignment="1">
      <alignment horizontal="center" vertical="center"/>
    </xf>
    <xf numFmtId="41" fontId="36" fillId="0" borderId="22" xfId="0" applyNumberFormat="1" applyFont="1" applyBorder="1" applyAlignment="1">
      <alignment horizontal="center" vertical="center"/>
    </xf>
    <xf numFmtId="0" fontId="15" fillId="3" borderId="14" xfId="0" quotePrefix="1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4" fontId="9" fillId="6" borderId="14" xfId="0" applyNumberFormat="1" applyFont="1" applyFill="1" applyBorder="1" applyAlignment="1">
      <alignment horizontal="center" vertical="center"/>
    </xf>
    <xf numFmtId="0" fontId="37" fillId="9" borderId="14" xfId="0" quotePrefix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41" fontId="0" fillId="6" borderId="14" xfId="1" applyFont="1" applyFill="1" applyBorder="1" applyAlignment="1">
      <alignment horizontal="center" vertical="center"/>
    </xf>
    <xf numFmtId="184" fontId="0" fillId="9" borderId="14" xfId="0" applyNumberFormat="1" applyFill="1" applyBorder="1" applyAlignment="1">
      <alignment horizontal="center" vertical="center"/>
    </xf>
    <xf numFmtId="183" fontId="0" fillId="0" borderId="14" xfId="0" quotePrefix="1" applyNumberFormat="1" applyBorder="1" applyAlignment="1">
      <alignment horizontal="center" vertical="center"/>
    </xf>
    <xf numFmtId="180" fontId="23" fillId="6" borderId="14" xfId="0" applyNumberFormat="1" applyFont="1" applyFill="1" applyBorder="1" applyAlignment="1">
      <alignment horizontal="center" vertical="center"/>
    </xf>
    <xf numFmtId="182" fontId="23" fillId="6" borderId="14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84" fontId="15" fillId="3" borderId="14" xfId="0" applyNumberFormat="1" applyFont="1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0" xfId="0" quotePrefix="1">
      <alignment vertical="center"/>
    </xf>
    <xf numFmtId="185" fontId="0" fillId="6" borderId="14" xfId="0" applyNumberFormat="1" applyFill="1" applyBorder="1" applyAlignment="1">
      <alignment horizontal="center" vertical="center"/>
    </xf>
    <xf numFmtId="180" fontId="9" fillId="0" borderId="0" xfId="0" applyNumberFormat="1" applyFont="1" applyFill="1" applyBorder="1" applyAlignment="1">
      <alignment horizontal="center" vertical="center"/>
    </xf>
    <xf numFmtId="0" fontId="35" fillId="9" borderId="14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82" fontId="0" fillId="0" borderId="14" xfId="0" applyNumberFormat="1" applyBorder="1">
      <alignment vertical="center"/>
    </xf>
    <xf numFmtId="189" fontId="0" fillId="6" borderId="0" xfId="0" applyNumberFormat="1" applyFill="1">
      <alignment vertical="center"/>
    </xf>
    <xf numFmtId="184" fontId="0" fillId="6" borderId="0" xfId="0" applyNumberFormat="1" applyFill="1">
      <alignment vertical="center"/>
    </xf>
    <xf numFmtId="41" fontId="23" fillId="9" borderId="0" xfId="1" applyFont="1" applyFill="1">
      <alignment vertical="center"/>
    </xf>
    <xf numFmtId="41" fontId="36" fillId="6" borderId="14" xfId="1" applyFont="1" applyFill="1" applyBorder="1" applyAlignment="1">
      <alignment horizontal="center" vertical="center"/>
    </xf>
    <xf numFmtId="182" fontId="0" fillId="0" borderId="0" xfId="0" applyNumberFormat="1" applyFill="1">
      <alignment vertical="center"/>
    </xf>
    <xf numFmtId="190" fontId="0" fillId="6" borderId="14" xfId="0" applyNumberFormat="1" applyFill="1" applyBorder="1">
      <alignment vertical="center"/>
    </xf>
    <xf numFmtId="41" fontId="0" fillId="9" borderId="0" xfId="0" applyNumberFormat="1" applyFill="1">
      <alignment vertical="center"/>
    </xf>
    <xf numFmtId="0" fontId="15" fillId="0" borderId="0" xfId="0" quotePrefix="1" applyFont="1" applyFill="1" applyBorder="1" applyAlignment="1">
      <alignment horizontal="center" vertical="center"/>
    </xf>
    <xf numFmtId="0" fontId="0" fillId="9" borderId="0" xfId="0" applyFill="1" applyBorder="1">
      <alignment vertical="center"/>
    </xf>
    <xf numFmtId="190" fontId="36" fillId="0" borderId="0" xfId="0" applyNumberFormat="1" applyFont="1">
      <alignment vertical="center"/>
    </xf>
    <xf numFmtId="182" fontId="0" fillId="0" borderId="14" xfId="0" applyNumberFormat="1" applyFont="1" applyBorder="1" applyAlignment="1">
      <alignment horizontal="center" vertical="center"/>
    </xf>
    <xf numFmtId="204" fontId="0" fillId="0" borderId="0" xfId="0" applyNumberFormat="1" applyFill="1" applyBorder="1">
      <alignment vertical="center"/>
    </xf>
    <xf numFmtId="184" fontId="23" fillId="0" borderId="0" xfId="0" applyNumberFormat="1" applyFont="1" applyFill="1" applyBorder="1" applyAlignment="1">
      <alignment horizontal="right" vertical="center"/>
    </xf>
    <xf numFmtId="182" fontId="15" fillId="0" borderId="14" xfId="0" applyNumberFormat="1" applyFont="1" applyBorder="1">
      <alignment vertical="center"/>
    </xf>
    <xf numFmtId="203" fontId="0" fillId="0" borderId="0" xfId="0" applyNumberFormat="1" applyFill="1" applyBorder="1" applyAlignment="1">
      <alignment vertical="center"/>
    </xf>
    <xf numFmtId="41" fontId="36" fillId="0" borderId="22" xfId="1" applyFont="1" applyBorder="1" applyAlignment="1">
      <alignment horizontal="center" vertical="center"/>
    </xf>
    <xf numFmtId="41" fontId="0" fillId="0" borderId="0" xfId="1" applyNumberFormat="1" applyFont="1" applyFill="1" applyBorder="1" applyAlignment="1">
      <alignment vertical="center"/>
    </xf>
    <xf numFmtId="0" fontId="15" fillId="3" borderId="17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1" fontId="0" fillId="0" borderId="14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Fill="1" applyBorder="1">
      <alignment vertical="center"/>
    </xf>
    <xf numFmtId="180" fontId="37" fillId="0" borderId="14" xfId="0" applyNumberFormat="1" applyFont="1" applyFill="1" applyBorder="1" applyAlignment="1">
      <alignment horizontal="right" vertical="center"/>
    </xf>
    <xf numFmtId="182" fontId="0" fillId="0" borderId="14" xfId="0" applyNumberFormat="1" applyFont="1" applyFill="1" applyBorder="1" applyAlignment="1">
      <alignment horizontal="center" vertical="center"/>
    </xf>
    <xf numFmtId="185" fontId="0" fillId="0" borderId="14" xfId="0" applyNumberFormat="1" applyFill="1" applyBorder="1" applyAlignment="1">
      <alignment horizontal="center" vertical="center"/>
    </xf>
    <xf numFmtId="184" fontId="23" fillId="9" borderId="14" xfId="0" applyNumberFormat="1" applyFont="1" applyFill="1" applyBorder="1" applyAlignment="1">
      <alignment horizontal="right" vertical="center"/>
    </xf>
    <xf numFmtId="41" fontId="36" fillId="0" borderId="22" xfId="1" applyFont="1" applyFill="1" applyBorder="1" applyAlignment="1">
      <alignment horizontal="center" vertical="center"/>
    </xf>
    <xf numFmtId="0" fontId="44" fillId="0" borderId="20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5" fillId="0" borderId="0" xfId="0" applyFont="1">
      <alignment vertical="center"/>
    </xf>
    <xf numFmtId="182" fontId="45" fillId="0" borderId="0" xfId="0" applyNumberFormat="1" applyFont="1">
      <alignment vertical="center"/>
    </xf>
    <xf numFmtId="41" fontId="45" fillId="0" borderId="0" xfId="0" applyNumberFormat="1" applyFont="1">
      <alignment vertical="center"/>
    </xf>
    <xf numFmtId="205" fontId="9" fillId="6" borderId="14" xfId="0" applyNumberFormat="1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180" fontId="31" fillId="0" borderId="0" xfId="36" applyNumberFormat="1"/>
    <xf numFmtId="0" fontId="9" fillId="3" borderId="14" xfId="0" applyFont="1" applyFill="1" applyBorder="1" applyAlignment="1">
      <alignment horizontal="center" vertical="center"/>
    </xf>
    <xf numFmtId="41" fontId="15" fillId="6" borderId="21" xfId="1" applyFont="1" applyFill="1" applyBorder="1" applyAlignment="1">
      <alignment horizontal="center" vertical="center"/>
    </xf>
    <xf numFmtId="182" fontId="36" fillId="0" borderId="14" xfId="0" applyNumberFormat="1" applyFont="1" applyBorder="1" applyAlignment="1">
      <alignment horizontal="center" vertical="center"/>
    </xf>
    <xf numFmtId="201" fontId="0" fillId="0" borderId="0" xfId="0" applyNumberFormat="1">
      <alignment vertical="center"/>
    </xf>
    <xf numFmtId="0" fontId="0" fillId="9" borderId="0" xfId="0" applyFill="1" applyAlignment="1">
      <alignment horizontal="center" vertical="center"/>
    </xf>
    <xf numFmtId="183" fontId="0" fillId="0" borderId="0" xfId="0" quotePrefix="1" applyNumberFormat="1" applyFill="1" applyBorder="1" applyAlignment="1">
      <alignment horizontal="center" vertical="center"/>
    </xf>
    <xf numFmtId="196" fontId="0" fillId="0" borderId="0" xfId="1" applyNumberFormat="1" applyFont="1">
      <alignment vertical="center"/>
    </xf>
    <xf numFmtId="203" fontId="0" fillId="0" borderId="0" xfId="0" applyNumberFormat="1">
      <alignment vertical="center"/>
    </xf>
    <xf numFmtId="0" fontId="0" fillId="9" borderId="0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196" fontId="0" fillId="0" borderId="0" xfId="0" applyNumberFormat="1">
      <alignment vertical="center"/>
    </xf>
    <xf numFmtId="14" fontId="15" fillId="3" borderId="14" xfId="0" applyNumberFormat="1" applyFont="1" applyFill="1" applyBorder="1" applyAlignment="1">
      <alignment horizontal="center" vertical="center"/>
    </xf>
    <xf numFmtId="10" fontId="0" fillId="0" borderId="0" xfId="3" applyNumberFormat="1" applyFont="1">
      <alignment vertical="center"/>
    </xf>
    <xf numFmtId="14" fontId="0" fillId="0" borderId="14" xfId="0" applyNumberFormat="1" applyBorder="1" applyAlignment="1">
      <alignment horizontal="center" vertical="center"/>
    </xf>
    <xf numFmtId="206" fontId="0" fillId="0" borderId="0" xfId="0" applyNumberFormat="1">
      <alignment vertical="center"/>
    </xf>
    <xf numFmtId="14" fontId="0" fillId="9" borderId="14" xfId="0" applyNumberFormat="1" applyFill="1" applyBorder="1" applyAlignment="1">
      <alignment horizontal="center" vertical="center"/>
    </xf>
    <xf numFmtId="182" fontId="0" fillId="8" borderId="0" xfId="0" applyNumberFormat="1" applyFill="1">
      <alignment vertical="center"/>
    </xf>
    <xf numFmtId="0" fontId="15" fillId="8" borderId="0" xfId="0" quotePrefix="1" applyFont="1" applyFill="1" applyBorder="1" applyAlignment="1">
      <alignment horizontal="center" vertical="center"/>
    </xf>
    <xf numFmtId="190" fontId="0" fillId="0" borderId="0" xfId="0" applyNumberFormat="1" applyFill="1" applyBorder="1" applyAlignment="1">
      <alignment horizontal="center" vertical="center"/>
    </xf>
    <xf numFmtId="179" fontId="3" fillId="0" borderId="14" xfId="1" applyNumberFormat="1" applyFont="1" applyFill="1" applyBorder="1" applyAlignment="1">
      <alignment horizontal="right" vertical="center"/>
    </xf>
    <xf numFmtId="0" fontId="37" fillId="0" borderId="14" xfId="0" applyFont="1" applyBorder="1" applyAlignment="1">
      <alignment horizontal="center" vertical="center"/>
    </xf>
    <xf numFmtId="10" fontId="0" fillId="0" borderId="0" xfId="3" applyNumberFormat="1" applyFont="1" applyFill="1" applyBorder="1">
      <alignment vertical="center"/>
    </xf>
    <xf numFmtId="196" fontId="37" fillId="9" borderId="14" xfId="1" applyNumberFormat="1" applyFont="1" applyFill="1" applyBorder="1" applyAlignment="1">
      <alignment horizontal="center" vertical="center"/>
    </xf>
    <xf numFmtId="182" fontId="0" fillId="0" borderId="14" xfId="0" applyNumberFormat="1" applyBorder="1" applyAlignment="1">
      <alignment horizontal="center" vertical="center"/>
    </xf>
    <xf numFmtId="41" fontId="0" fillId="0" borderId="14" xfId="1" applyNumberFormat="1" applyFont="1" applyBorder="1" applyAlignment="1">
      <alignment horizontal="center" vertical="center"/>
    </xf>
    <xf numFmtId="41" fontId="0" fillId="0" borderId="14" xfId="0" applyNumberFormat="1" applyBorder="1" applyAlignment="1">
      <alignment horizontal="center" vertical="center"/>
    </xf>
    <xf numFmtId="41" fontId="36" fillId="0" borderId="14" xfId="0" applyNumberFormat="1" applyFont="1" applyBorder="1" applyAlignment="1">
      <alignment horizontal="center" vertical="center"/>
    </xf>
    <xf numFmtId="207" fontId="0" fillId="0" borderId="0" xfId="0" applyNumberFormat="1">
      <alignment vertical="center"/>
    </xf>
    <xf numFmtId="0" fontId="12" fillId="9" borderId="0" xfId="0" applyFont="1" applyFill="1" applyAlignment="1">
      <alignment horizontal="center" vertical="center"/>
    </xf>
    <xf numFmtId="196" fontId="3" fillId="0" borderId="14" xfId="1" applyNumberFormat="1" applyFont="1" applyFill="1" applyBorder="1" applyAlignment="1">
      <alignment horizontal="center" vertical="center"/>
    </xf>
    <xf numFmtId="184" fontId="37" fillId="0" borderId="14" xfId="0" applyNumberFormat="1" applyFont="1" applyFill="1" applyBorder="1" applyAlignment="1">
      <alignment horizontal="center" vertical="center"/>
    </xf>
    <xf numFmtId="196" fontId="37" fillId="9" borderId="14" xfId="1" applyNumberFormat="1" applyFont="1" applyFill="1" applyBorder="1" applyAlignment="1">
      <alignment horizontal="right" vertical="center"/>
    </xf>
    <xf numFmtId="196" fontId="3" fillId="9" borderId="14" xfId="1" applyNumberFormat="1" applyFont="1" applyFill="1" applyBorder="1" applyAlignment="1">
      <alignment horizontal="right" vertical="center"/>
    </xf>
    <xf numFmtId="184" fontId="37" fillId="6" borderId="14" xfId="0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left" vertical="center"/>
    </xf>
    <xf numFmtId="14" fontId="41" fillId="0" borderId="14" xfId="0" applyNumberFormat="1" applyFont="1" applyFill="1" applyBorder="1" applyAlignment="1">
      <alignment horizontal="center" vertical="center"/>
    </xf>
    <xf numFmtId="187" fontId="41" fillId="0" borderId="23" xfId="0" applyNumberFormat="1" applyFont="1" applyFill="1" applyBorder="1">
      <alignment vertical="center"/>
    </xf>
    <xf numFmtId="187" fontId="41" fillId="0" borderId="0" xfId="34" applyNumberFormat="1" applyFont="1">
      <alignment vertical="center"/>
    </xf>
    <xf numFmtId="185" fontId="0" fillId="0" borderId="22" xfId="0" applyNumberFormat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187" fontId="41" fillId="0" borderId="24" xfId="0" applyNumberFormat="1" applyFont="1" applyBorder="1" applyAlignment="1">
      <alignment horizontal="right"/>
    </xf>
    <xf numFmtId="187" fontId="46" fillId="0" borderId="24" xfId="0" applyNumberFormat="1" applyFont="1" applyBorder="1" applyAlignment="1">
      <alignment horizontal="center" vertical="center"/>
    </xf>
    <xf numFmtId="187" fontId="41" fillId="0" borderId="25" xfId="0" applyNumberFormat="1" applyFont="1" applyBorder="1">
      <alignment vertical="center"/>
    </xf>
    <xf numFmtId="187" fontId="47" fillId="0" borderId="14" xfId="0" applyNumberFormat="1" applyFont="1" applyBorder="1" applyAlignment="1">
      <alignment horizontal="center"/>
    </xf>
    <xf numFmtId="200" fontId="47" fillId="0" borderId="14" xfId="0" applyNumberFormat="1" applyFont="1" applyBorder="1" applyAlignment="1">
      <alignment horizontal="center"/>
    </xf>
    <xf numFmtId="208" fontId="48" fillId="9" borderId="14" xfId="29" applyNumberFormat="1" applyFont="1" applyFill="1" applyBorder="1" applyAlignment="1">
      <alignment horizontal="right" vertical="center"/>
    </xf>
    <xf numFmtId="187" fontId="47" fillId="0" borderId="0" xfId="34" applyNumberFormat="1" applyFont="1">
      <alignment vertical="center"/>
    </xf>
    <xf numFmtId="0" fontId="15" fillId="3" borderId="22" xfId="0" applyFont="1" applyFill="1" applyBorder="1" applyAlignment="1">
      <alignment horizontal="center" vertical="center"/>
    </xf>
    <xf numFmtId="195" fontId="47" fillId="0" borderId="14" xfId="0" applyNumberFormat="1" applyFont="1" applyBorder="1" applyAlignment="1">
      <alignment horizontal="center"/>
    </xf>
    <xf numFmtId="208" fontId="46" fillId="9" borderId="14" xfId="0" applyNumberFormat="1" applyFont="1" applyFill="1" applyBorder="1" applyAlignment="1">
      <alignment horizontal="right" vertical="center"/>
    </xf>
    <xf numFmtId="180" fontId="41" fillId="0" borderId="0" xfId="8" applyNumberFormat="1" applyFont="1">
      <alignment vertical="center"/>
    </xf>
    <xf numFmtId="196" fontId="3" fillId="0" borderId="14" xfId="1" applyNumberFormat="1" applyFont="1" applyBorder="1" applyAlignment="1">
      <alignment horizontal="right" vertical="center"/>
    </xf>
    <xf numFmtId="0" fontId="40" fillId="0" borderId="14" xfId="0" applyFont="1" applyBorder="1" applyAlignment="1">
      <alignment horizontal="right" vertical="center"/>
    </xf>
    <xf numFmtId="187" fontId="47" fillId="0" borderId="14" xfId="0" applyNumberFormat="1" applyFont="1" applyBorder="1" applyAlignment="1">
      <alignment horizontal="center" vertical="center"/>
    </xf>
    <xf numFmtId="195" fontId="47" fillId="0" borderId="14" xfId="0" applyNumberFormat="1" applyFont="1" applyFill="1" applyBorder="1" applyAlignment="1">
      <alignment horizontal="center" vertical="center"/>
    </xf>
    <xf numFmtId="208" fontId="46" fillId="9" borderId="14" xfId="8" applyNumberFormat="1" applyFont="1" applyFill="1" applyBorder="1" applyAlignment="1">
      <alignment horizontal="right" vertical="center"/>
    </xf>
    <xf numFmtId="196" fontId="37" fillId="0" borderId="14" xfId="1" applyNumberFormat="1" applyFont="1" applyBorder="1" applyAlignment="1">
      <alignment horizontal="right" vertical="center"/>
    </xf>
    <xf numFmtId="187" fontId="47" fillId="12" borderId="14" xfId="0" applyNumberFormat="1" applyFont="1" applyFill="1" applyBorder="1" applyAlignment="1">
      <alignment horizontal="center"/>
    </xf>
    <xf numFmtId="195" fontId="47" fillId="12" borderId="14" xfId="0" applyNumberFormat="1" applyFont="1" applyFill="1" applyBorder="1" applyAlignment="1">
      <alignment horizontal="center"/>
    </xf>
    <xf numFmtId="208" fontId="41" fillId="12" borderId="14" xfId="0" applyNumberFormat="1" applyFont="1" applyFill="1" applyBorder="1">
      <alignment vertical="center"/>
    </xf>
    <xf numFmtId="187" fontId="41" fillId="0" borderId="0" xfId="34" applyNumberFormat="1" applyFont="1" applyAlignment="1"/>
    <xf numFmtId="187" fontId="41" fillId="0" borderId="0" xfId="34" applyNumberFormat="1" applyFont="1" applyAlignment="1">
      <alignment vertical="center"/>
    </xf>
    <xf numFmtId="0" fontId="15" fillId="0" borderId="21" xfId="0" applyFont="1" applyFill="1" applyBorder="1" applyAlignment="1">
      <alignment horizontal="center" vertical="center"/>
    </xf>
    <xf numFmtId="184" fontId="49" fillId="9" borderId="14" xfId="0" applyNumberFormat="1" applyFont="1" applyFill="1" applyBorder="1" applyAlignment="1">
      <alignment horizontal="center" vertical="center"/>
    </xf>
    <xf numFmtId="187" fontId="47" fillId="0" borderId="14" xfId="34" quotePrefix="1" applyNumberFormat="1" applyFont="1" applyBorder="1" applyAlignment="1">
      <alignment horizontal="center"/>
    </xf>
    <xf numFmtId="14" fontId="47" fillId="0" borderId="14" xfId="34" applyNumberFormat="1" applyFont="1" applyBorder="1" applyAlignment="1">
      <alignment horizontal="center"/>
    </xf>
    <xf numFmtId="208" fontId="47" fillId="0" borderId="14" xfId="8" applyNumberFormat="1" applyFont="1" applyBorder="1" applyAlignment="1">
      <alignment horizontal="center"/>
    </xf>
    <xf numFmtId="187" fontId="47" fillId="0" borderId="14" xfId="34" applyNumberFormat="1" applyFont="1" applyBorder="1" applyAlignment="1">
      <alignment horizontal="center"/>
    </xf>
    <xf numFmtId="209" fontId="47" fillId="0" borderId="14" xfId="34" applyNumberFormat="1" applyFont="1" applyBorder="1" applyAlignment="1">
      <alignment horizontal="center" vertical="center"/>
    </xf>
    <xf numFmtId="187" fontId="41" fillId="0" borderId="14" xfId="34" quotePrefix="1" applyNumberFormat="1" applyFont="1" applyBorder="1" applyAlignment="1">
      <alignment horizontal="center"/>
    </xf>
    <xf numFmtId="208" fontId="47" fillId="0" borderId="14" xfId="34" applyNumberFormat="1" applyFont="1" applyBorder="1" applyAlignment="1">
      <alignment horizontal="center"/>
    </xf>
    <xf numFmtId="209" fontId="47" fillId="0" borderId="14" xfId="34" applyNumberFormat="1" applyFont="1" applyBorder="1" applyAlignment="1">
      <alignment horizontal="center"/>
    </xf>
    <xf numFmtId="187" fontId="41" fillId="0" borderId="0" xfId="34" applyNumberFormat="1" applyFont="1" applyAlignment="1">
      <alignment horizontal="center" vertical="center"/>
    </xf>
    <xf numFmtId="14" fontId="41" fillId="9" borderId="14" xfId="34" applyNumberFormat="1" applyFont="1" applyFill="1" applyBorder="1" applyAlignment="1">
      <alignment horizontal="center" vertical="center"/>
    </xf>
    <xf numFmtId="200" fontId="47" fillId="0" borderId="14" xfId="34" applyNumberFormat="1" applyFont="1" applyBorder="1" applyAlignment="1">
      <alignment horizontal="center" vertical="center"/>
    </xf>
    <xf numFmtId="208" fontId="47" fillId="0" borderId="14" xfId="34" applyNumberFormat="1" applyFont="1" applyBorder="1" applyAlignment="1">
      <alignment horizontal="center" vertical="center"/>
    </xf>
    <xf numFmtId="195" fontId="47" fillId="0" borderId="14" xfId="34" applyNumberFormat="1" applyFont="1" applyBorder="1" applyAlignment="1">
      <alignment horizontal="center" vertical="center"/>
    </xf>
    <xf numFmtId="189" fontId="0" fillId="0" borderId="14" xfId="0" applyNumberFormat="1" applyBorder="1">
      <alignment vertical="center"/>
    </xf>
    <xf numFmtId="187" fontId="15" fillId="3" borderId="14" xfId="0" applyNumberFormat="1" applyFont="1" applyFill="1" applyBorder="1" applyAlignment="1">
      <alignment horizontal="center" vertical="center"/>
    </xf>
    <xf numFmtId="189" fontId="50" fillId="0" borderId="14" xfId="0" applyNumberFormat="1" applyFont="1" applyBorder="1">
      <alignment vertical="center"/>
    </xf>
    <xf numFmtId="180" fontId="0" fillId="0" borderId="15" xfId="0" applyNumberFormat="1" applyFont="1" applyBorder="1" applyAlignment="1">
      <alignment horizontal="center" vertical="center"/>
    </xf>
    <xf numFmtId="180" fontId="0" fillId="0" borderId="20" xfId="0" applyNumberFormat="1" applyFont="1" applyBorder="1" applyAlignment="1">
      <alignment horizontal="center" vertical="center"/>
    </xf>
    <xf numFmtId="180" fontId="0" fillId="0" borderId="18" xfId="0" applyNumberFormat="1" applyFont="1" applyBorder="1" applyAlignment="1">
      <alignment horizontal="center" vertical="center"/>
    </xf>
    <xf numFmtId="180" fontId="0" fillId="6" borderId="14" xfId="0" applyNumberFormat="1" applyFont="1" applyFill="1" applyBorder="1" applyAlignment="1">
      <alignment horizontal="center" vertical="center"/>
    </xf>
    <xf numFmtId="180" fontId="0" fillId="0" borderId="15" xfId="0" applyNumberFormat="1" applyFont="1" applyFill="1" applyBorder="1" applyAlignment="1">
      <alignment horizontal="center" vertical="center"/>
    </xf>
    <xf numFmtId="180" fontId="0" fillId="0" borderId="20" xfId="0" applyNumberFormat="1" applyFont="1" applyFill="1" applyBorder="1" applyAlignment="1">
      <alignment horizontal="center" vertical="center"/>
    </xf>
    <xf numFmtId="180" fontId="0" fillId="0" borderId="18" xfId="0" applyNumberFormat="1" applyFont="1" applyFill="1" applyBorder="1" applyAlignment="1">
      <alignment horizontal="center" vertical="center"/>
    </xf>
    <xf numFmtId="0" fontId="8" fillId="4" borderId="2" xfId="5" applyFont="1" applyFill="1" applyBorder="1" applyAlignment="1">
      <alignment horizontal="center" vertical="center" wrapText="1"/>
    </xf>
    <xf numFmtId="0" fontId="1" fillId="4" borderId="2" xfId="5" applyFill="1" applyBorder="1">
      <alignment vertical="center"/>
    </xf>
    <xf numFmtId="0" fontId="10" fillId="5" borderId="3" xfId="5" applyFont="1" applyFill="1" applyBorder="1" applyAlignment="1">
      <alignment horizontal="center" vertical="center"/>
    </xf>
    <xf numFmtId="0" fontId="10" fillId="5" borderId="4" xfId="5" applyFont="1" applyFill="1" applyBorder="1" applyAlignment="1">
      <alignment horizontal="center" vertical="center"/>
    </xf>
    <xf numFmtId="0" fontId="13" fillId="6" borderId="3" xfId="5" applyFont="1" applyFill="1" applyBorder="1" applyAlignment="1">
      <alignment horizontal="center" vertical="center"/>
    </xf>
    <xf numFmtId="0" fontId="13" fillId="6" borderId="4" xfId="5" applyFont="1" applyFill="1" applyBorder="1" applyAlignment="1">
      <alignment horizontal="center" vertical="center"/>
    </xf>
    <xf numFmtId="0" fontId="14" fillId="6" borderId="3" xfId="5" applyFont="1" applyFill="1" applyBorder="1" applyAlignment="1">
      <alignment horizontal="center" vertical="center"/>
    </xf>
    <xf numFmtId="0" fontId="14" fillId="6" borderId="4" xfId="5" applyFont="1" applyFill="1" applyBorder="1" applyAlignment="1">
      <alignment horizontal="center" vertical="center"/>
    </xf>
    <xf numFmtId="0" fontId="12" fillId="6" borderId="3" xfId="5" applyFont="1" applyFill="1" applyBorder="1" applyAlignment="1">
      <alignment horizontal="center" vertical="center"/>
    </xf>
    <xf numFmtId="0" fontId="12" fillId="6" borderId="4" xfId="5" applyFont="1" applyFill="1" applyBorder="1" applyAlignment="1">
      <alignment horizontal="center" vertical="center"/>
    </xf>
    <xf numFmtId="0" fontId="9" fillId="6" borderId="3" xfId="5" applyFont="1" applyFill="1" applyBorder="1" applyAlignment="1">
      <alignment horizontal="center" vertical="center"/>
    </xf>
    <xf numFmtId="0" fontId="9" fillId="6" borderId="4" xfId="5" applyFont="1" applyFill="1" applyBorder="1" applyAlignment="1">
      <alignment horizontal="center" vertical="center"/>
    </xf>
    <xf numFmtId="0" fontId="9" fillId="6" borderId="3" xfId="5" applyFont="1" applyFill="1" applyBorder="1" applyAlignment="1">
      <alignment horizontal="right" vertical="center"/>
    </xf>
    <xf numFmtId="0" fontId="9" fillId="6" borderId="4" xfId="5" applyFont="1" applyFill="1" applyBorder="1" applyAlignment="1">
      <alignment horizontal="right" vertical="center"/>
    </xf>
    <xf numFmtId="0" fontId="14" fillId="6" borderId="3" xfId="5" applyFont="1" applyFill="1" applyBorder="1" applyAlignment="1">
      <alignment horizontal="right" vertical="center"/>
    </xf>
    <xf numFmtId="0" fontId="14" fillId="6" borderId="4" xfId="5" applyFont="1" applyFill="1" applyBorder="1" applyAlignment="1">
      <alignment horizontal="right" vertical="center"/>
    </xf>
    <xf numFmtId="0" fontId="13" fillId="6" borderId="3" xfId="5" applyNumberFormat="1" applyFont="1" applyFill="1" applyBorder="1" applyAlignment="1">
      <alignment horizontal="right" vertical="center"/>
    </xf>
    <xf numFmtId="0" fontId="13" fillId="6" borderId="4" xfId="5" applyNumberFormat="1" applyFont="1" applyFill="1" applyBorder="1" applyAlignment="1">
      <alignment horizontal="right" vertical="center"/>
    </xf>
    <xf numFmtId="0" fontId="9" fillId="6" borderId="3" xfId="5" applyNumberFormat="1" applyFont="1" applyFill="1" applyBorder="1" applyAlignment="1">
      <alignment horizontal="right" vertical="center"/>
    </xf>
    <xf numFmtId="0" fontId="9" fillId="6" borderId="4" xfId="5" applyNumberFormat="1" applyFont="1" applyFill="1" applyBorder="1" applyAlignment="1">
      <alignment horizontal="right" vertical="center"/>
    </xf>
    <xf numFmtId="0" fontId="13" fillId="6" borderId="3" xfId="5" applyFont="1" applyFill="1" applyBorder="1" applyAlignment="1">
      <alignment horizontal="right" vertical="center"/>
    </xf>
    <xf numFmtId="0" fontId="13" fillId="6" borderId="4" xfId="5" applyFont="1" applyFill="1" applyBorder="1" applyAlignment="1">
      <alignment horizontal="right" vertical="center"/>
    </xf>
    <xf numFmtId="14" fontId="13" fillId="6" borderId="3" xfId="5" applyNumberFormat="1" applyFont="1" applyFill="1" applyBorder="1" applyAlignment="1">
      <alignment horizontal="right" vertical="center"/>
    </xf>
    <xf numFmtId="14" fontId="13" fillId="6" borderId="4" xfId="5" applyNumberFormat="1" applyFont="1" applyFill="1" applyBorder="1" applyAlignment="1">
      <alignment horizontal="right" vertical="center"/>
    </xf>
    <xf numFmtId="14" fontId="9" fillId="6" borderId="3" xfId="5" applyNumberFormat="1" applyFont="1" applyFill="1" applyBorder="1" applyAlignment="1">
      <alignment horizontal="right" vertical="center"/>
    </xf>
    <xf numFmtId="176" fontId="13" fillId="0" borderId="3" xfId="3" applyNumberFormat="1" applyFont="1" applyFill="1" applyBorder="1" applyAlignment="1">
      <alignment horizontal="right" vertical="center"/>
    </xf>
    <xf numFmtId="176" fontId="13" fillId="0" borderId="4" xfId="3" applyNumberFormat="1" applyFont="1" applyFill="1" applyBorder="1" applyAlignment="1">
      <alignment horizontal="right" vertical="center"/>
    </xf>
    <xf numFmtId="176" fontId="9" fillId="0" borderId="3" xfId="3" applyNumberFormat="1" applyFont="1" applyFill="1" applyBorder="1" applyAlignment="1">
      <alignment horizontal="right" vertical="center"/>
    </xf>
    <xf numFmtId="176" fontId="9" fillId="0" borderId="4" xfId="3" applyNumberFormat="1" applyFont="1" applyFill="1" applyBorder="1" applyAlignment="1">
      <alignment horizontal="right" vertical="center"/>
    </xf>
    <xf numFmtId="0" fontId="8" fillId="4" borderId="2" xfId="5" applyFont="1" applyFill="1" applyBorder="1" applyAlignment="1">
      <alignment horizontal="center" vertical="center"/>
    </xf>
    <xf numFmtId="14" fontId="16" fillId="5" borderId="3" xfId="5" applyNumberFormat="1" applyFont="1" applyFill="1" applyBorder="1" applyAlignment="1">
      <alignment horizontal="center" vertical="center"/>
    </xf>
    <xf numFmtId="14" fontId="16" fillId="5" borderId="4" xfId="5" applyNumberFormat="1" applyFont="1" applyFill="1" applyBorder="1" applyAlignment="1">
      <alignment horizontal="center" vertical="center"/>
    </xf>
    <xf numFmtId="14" fontId="16" fillId="5" borderId="5" xfId="5" applyNumberFormat="1" applyFont="1" applyFill="1" applyBorder="1" applyAlignment="1">
      <alignment horizontal="center" vertical="center"/>
    </xf>
    <xf numFmtId="176" fontId="17" fillId="5" borderId="3" xfId="3" applyNumberFormat="1" applyFont="1" applyFill="1" applyBorder="1" applyAlignment="1">
      <alignment horizontal="right" vertical="center"/>
    </xf>
    <xf numFmtId="176" fontId="17" fillId="5" borderId="4" xfId="3" applyNumberFormat="1" applyFont="1" applyFill="1" applyBorder="1" applyAlignment="1">
      <alignment horizontal="right" vertical="center"/>
    </xf>
    <xf numFmtId="177" fontId="13" fillId="6" borderId="3" xfId="5" applyNumberFormat="1" applyFont="1" applyFill="1" applyBorder="1" applyAlignment="1">
      <alignment horizontal="right" vertical="center"/>
    </xf>
    <xf numFmtId="177" fontId="13" fillId="6" borderId="4" xfId="5" applyNumberFormat="1" applyFont="1" applyFill="1" applyBorder="1" applyAlignment="1">
      <alignment horizontal="right" vertical="center"/>
    </xf>
    <xf numFmtId="4" fontId="13" fillId="6" borderId="3" xfId="5" applyNumberFormat="1" applyFont="1" applyFill="1" applyBorder="1" applyAlignment="1">
      <alignment horizontal="right" vertical="center"/>
    </xf>
    <xf numFmtId="4" fontId="13" fillId="6" borderId="4" xfId="5" applyNumberFormat="1" applyFont="1" applyFill="1" applyBorder="1" applyAlignment="1">
      <alignment horizontal="right" vertical="center"/>
    </xf>
    <xf numFmtId="4" fontId="19" fillId="6" borderId="3" xfId="5" applyNumberFormat="1" applyFont="1" applyFill="1" applyBorder="1" applyAlignment="1">
      <alignment horizontal="right" vertical="center"/>
    </xf>
    <xf numFmtId="4" fontId="19" fillId="6" borderId="4" xfId="5" applyNumberFormat="1" applyFont="1" applyFill="1" applyBorder="1" applyAlignment="1">
      <alignment horizontal="right" vertical="center"/>
    </xf>
    <xf numFmtId="4" fontId="20" fillId="6" borderId="3" xfId="5" applyNumberFormat="1" applyFont="1" applyFill="1" applyBorder="1" applyAlignment="1">
      <alignment horizontal="right" vertical="center"/>
    </xf>
    <xf numFmtId="4" fontId="20" fillId="6" borderId="4" xfId="5" applyNumberFormat="1" applyFont="1" applyFill="1" applyBorder="1" applyAlignment="1">
      <alignment horizontal="right" vertical="center"/>
    </xf>
    <xf numFmtId="178" fontId="13" fillId="6" borderId="3" xfId="5" applyNumberFormat="1" applyFont="1" applyFill="1" applyBorder="1" applyAlignment="1">
      <alignment horizontal="right" vertical="center"/>
    </xf>
    <xf numFmtId="178" fontId="13" fillId="6" borderId="4" xfId="5" applyNumberFormat="1" applyFont="1" applyFill="1" applyBorder="1" applyAlignment="1">
      <alignment horizontal="right" vertical="center"/>
    </xf>
    <xf numFmtId="3" fontId="13" fillId="6" borderId="3" xfId="5" applyNumberFormat="1" applyFont="1" applyFill="1" applyBorder="1" applyAlignment="1">
      <alignment horizontal="right" vertical="center"/>
    </xf>
    <xf numFmtId="3" fontId="13" fillId="6" borderId="4" xfId="5" applyNumberFormat="1" applyFont="1" applyFill="1" applyBorder="1" applyAlignment="1">
      <alignment horizontal="right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7" xfId="5" applyFont="1" applyFill="1" applyBorder="1" applyAlignment="1">
      <alignment horizontal="center" vertical="center"/>
    </xf>
    <xf numFmtId="0" fontId="8" fillId="4" borderId="8" xfId="5" applyFont="1" applyFill="1" applyBorder="1" applyAlignment="1">
      <alignment horizontal="center" vertical="center"/>
    </xf>
    <xf numFmtId="0" fontId="8" fillId="4" borderId="9" xfId="5" applyFont="1" applyFill="1" applyBorder="1" applyAlignment="1">
      <alignment horizontal="center" vertical="center"/>
    </xf>
    <xf numFmtId="0" fontId="15" fillId="13" borderId="14" xfId="0" applyFont="1" applyFill="1" applyBorder="1" applyAlignment="1">
      <alignment horizontal="center" vertical="center"/>
    </xf>
  </cellXfs>
  <cellStyles count="38">
    <cellStyle name="계산" xfId="4" builtinId="22"/>
    <cellStyle name="백분율" xfId="3" builtinId="5"/>
    <cellStyle name="백분율 2" xfId="6"/>
    <cellStyle name="백분율 2 2" xfId="7"/>
    <cellStyle name="백분율 3" xfId="8"/>
    <cellStyle name="백분율 3 2" xfId="9"/>
    <cellStyle name="쉼표 [0]" xfId="1" builtinId="6"/>
    <cellStyle name="쉼표 [0] 2" xfId="10"/>
    <cellStyle name="쉼표 [0] 2 2" xfId="11"/>
    <cellStyle name="쉼표 [0] 2 3" xfId="12"/>
    <cellStyle name="쉼표 [0] 2 3 2" xfId="13"/>
    <cellStyle name="쉼표 [0] 2 4" xfId="14"/>
    <cellStyle name="쉼표 [0] 3" xfId="15"/>
    <cellStyle name="쉼표 [0] 3 2" xfId="16"/>
    <cellStyle name="쉼표 [0] 4" xfId="17"/>
    <cellStyle name="쉼표 [0] 4 2" xfId="18"/>
    <cellStyle name="통화 [0]" xfId="2" builtinId="7"/>
    <cellStyle name="표준" xfId="0" builtinId="0"/>
    <cellStyle name="표준 2" xfId="19"/>
    <cellStyle name="표준 2 2" xfId="20"/>
    <cellStyle name="표준 2 2 2" xfId="21"/>
    <cellStyle name="표준 2 3" xfId="5"/>
    <cellStyle name="표준 2 3 2" xfId="22"/>
    <cellStyle name="표준 2 4" xfId="23"/>
    <cellStyle name="표준 2 4 2" xfId="24"/>
    <cellStyle name="표준 2 5" xfId="25"/>
    <cellStyle name="표준 3" xfId="26"/>
    <cellStyle name="표준 3 2" xfId="27"/>
    <cellStyle name="표준 4" xfId="28"/>
    <cellStyle name="표준 4 2" xfId="29"/>
    <cellStyle name="표준 4 2 2" xfId="30"/>
    <cellStyle name="표준 4 3" xfId="31"/>
    <cellStyle name="표준 5" xfId="32"/>
    <cellStyle name="표준 5 2" xfId="33"/>
    <cellStyle name="표준 6" xfId="34"/>
    <cellStyle name="표준 6 2" xfId="35"/>
    <cellStyle name="표준 7" xfId="36"/>
    <cellStyle name="하이퍼링크 2" xfId="37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/>
        <stp/>
        <stp>P</stp>
        <stp>0</stp>
        <stp>FUT</stp>
        <stp>170V3000</stp>
        <stp>저평가</stp>
        <stp/>
        <stp/>
        <tr r="G87" s="2"/>
      </tp>
      <tp t="s">
        <v>국고04250-3606(26-6)</v>
        <stp/>
        <stp>P</stp>
        <stp>0</stp>
        <stp>BND</stp>
        <stp>KR103503GG60</stp>
        <stp>한글종목명</stp>
        <stp/>
        <stp/>
        <tr r="F5" s="1"/>
        <tr r="V5" s="1"/>
      </tp>
      <tp t="s">
        <v>국고03375-3103(26-3)</v>
        <stp/>
        <stp>P</stp>
        <stp>0</stp>
        <stp>BND</stp>
        <stp>KR103503GG37</stp>
        <stp>한글종목명</stp>
        <stp/>
        <stp/>
        <tr r="R5" s="1"/>
      </tp>
      <tp t="s">
        <v>국고03250-3512(25-11)</v>
        <stp/>
        <stp>P</stp>
        <stp>0</stp>
        <stp>BND</stp>
        <stp>KR103502GFC1</stp>
        <stp>한글종목명</stp>
        <stp/>
        <stp/>
        <tr r="L5" s="1"/>
      </tp>
      <tp t="s">
        <v>국고02750-2812(25-10)</v>
        <stp/>
        <stp>P</stp>
        <stp>0</stp>
        <stp>BND</stp>
        <stp>KR103501GFC3</stp>
        <stp>한글종목명</stp>
        <stp/>
        <stp/>
        <tr r="H5" s="1"/>
      </tp>
      <tp t="s">
        <v>국고02500-3009(25-8)</v>
        <stp/>
        <stp>P</stp>
        <stp>0</stp>
        <stp>BND</stp>
        <stp>KR103503GF95</stp>
        <stp>한글종목명</stp>
        <stp/>
        <stp/>
        <tr r="X5" s="1"/>
      </tp>
      <tp t="s">
        <v>국고02625-3506(25-5)</v>
        <stp/>
        <stp>P</stp>
        <stp>0</stp>
        <stp>BND</stp>
        <stp>KR103502GF62</stp>
        <stp>한글종목명</stp>
        <stp/>
        <stp/>
        <tr r="N5" s="1"/>
      </tp>
      <tp t="s">
        <v>국고02250-2806(25-4)</v>
        <stp/>
        <stp>P</stp>
        <stp>0</stp>
        <stp>BND</stp>
        <stp>KR103501GF63</stp>
        <stp>한글종목명</stp>
        <stp/>
        <stp/>
        <tr r="P5" s="1"/>
      </tp>
      <tp t="s">
        <v>국고02875-2712(24-12)</v>
        <stp/>
        <stp>P</stp>
        <stp>0</stp>
        <stp>BND</stp>
        <stp>KR103501GEC6</stp>
        <stp>한글종목명</stp>
        <stp/>
        <stp/>
        <tr r="J5" s="1"/>
      </tp>
      <tp t="s">
        <v>국고03500-3406(24-5)</v>
        <stp/>
        <stp>P</stp>
        <stp>0</stp>
        <stp>BND</stp>
        <stp>KR103502GE63</stp>
        <stp>한글종목명</stp>
        <stp/>
        <stp/>
        <tr r="T5" s="1"/>
      </tp>
      <tp t="s">
        <v>06M</v>
        <stp/>
        <stp>P</stp>
        <stp>0</stp>
        <stp>BND</stp>
        <stp>KR103501GEC6</stp>
        <stp>이자지급기간</stp>
        <stp/>
        <stp/>
        <tr r="J13" s="1"/>
      </tp>
      <tp t="s">
        <v>06M</v>
        <stp/>
        <stp>P</stp>
        <stp>0</stp>
        <stp>BND</stp>
        <stp>KR103501GFC3</stp>
        <stp>이자지급기간</stp>
        <stp/>
        <stp/>
        <tr r="H13" s="1"/>
      </tp>
      <tp>
        <v>6.3</v>
        <stp/>
        <stp>C</stp>
        <stp>0</stp>
        <stp>KR103502GF62</stp>
        <stp>경과세금</stp>
        <stp>46246</stp>
        <stp>4.185</stp>
        <stp>세전수익률</stp>
        <tr r="N21" s="1"/>
      </tp>
      <tp t="s">
        <v>06M</v>
        <stp/>
        <stp>P</stp>
        <stp>0</stp>
        <stp>BND</stp>
        <stp>KR103502GFC1</stp>
        <stp>이자지급기간</stp>
        <stp/>
        <stp/>
        <tr r="L13" s="1"/>
      </tp>
      <tp>
        <v>10.199999999999999</v>
        <stp/>
        <stp>C</stp>
        <stp>0</stp>
        <stp>KR103503GG60</stp>
        <stp>경과세금</stp>
        <stp>46246</stp>
        <stp>4.224</stp>
        <stp>세전수익률</stp>
        <tr r="V21" s="1"/>
      </tp>
      <tp>
        <v>8.4</v>
        <stp/>
        <stp>C</stp>
        <stp>0</stp>
        <stp>KR103502GE63</stp>
        <stp>경과세금</stp>
        <stp>46246</stp>
        <stp>4.207</stp>
        <stp>세전수익률</stp>
        <tr r="T21" s="1"/>
      </tp>
      <tp>
        <v>7.8</v>
        <stp/>
        <stp>C</stp>
        <stp>0</stp>
        <stp>KR103502GFC1</stp>
        <stp>경과세금</stp>
        <stp>46246</stp>
        <stp>4.207</stp>
        <stp>세전수익률</stp>
        <tr r="L21" s="1"/>
      </tp>
      <tp>
        <v>6.9</v>
        <stp/>
        <stp>C</stp>
        <stp>0</stp>
        <stp>KR103501GEC6</stp>
        <stp>경과세금</stp>
        <stp>46246</stp>
        <stp>3.991</stp>
        <stp>세전수익률</stp>
        <tr r="J21" s="1"/>
      </tp>
      <tp>
        <v>19.8</v>
        <stp/>
        <stp>C</stp>
        <stp>0</stp>
        <stp>KR103503GG37</stp>
        <stp>경과세금</stp>
        <stp>46246</stp>
        <stp>3.991</stp>
        <stp>세전수익률</stp>
        <tr r="R21" s="1"/>
      </tp>
      <tp>
        <v>14.7</v>
        <stp/>
        <stp>C</stp>
        <stp>0</stp>
        <stp>KR103503GF95</stp>
        <stp>경과세금</stp>
        <stp>46246</stp>
        <stp>3.927</stp>
        <stp>세전수익률</stp>
        <tr r="X21" s="1"/>
      </tp>
      <tp>
        <v>6.6</v>
        <stp/>
        <stp>C</stp>
        <stp>0</stp>
        <stp>KR103501GFC3</stp>
        <stp>경과세금</stp>
        <stp>46246</stp>
        <stp>3.68</stp>
        <stp>세전수익률</stp>
        <tr r="H21" s="1"/>
      </tp>
      <tp>
        <v>17274.932250000002</v>
        <stp/>
        <stp>C</stp>
        <stp>0</stp>
        <stp>KR103501GF63</stp>
        <stp>금액Duration</stp>
        <stp>46246</stp>
        <stp>3.6</stp>
        <stp>세전수익률</stp>
        <tr r="P23" s="1"/>
      </tp>
      <tp>
        <v>0</v>
        <stp/>
        <stp>T</stp>
        <stp>x10.SCQO1</stp>
        <stp>30</stp>
        <stp>1773474</stp>
        <tr r="R33" s="1"/>
      </tp>
      <tp>
        <v>39293.73242</v>
        <stp/>
        <stp>C</stp>
        <stp>0</stp>
        <stp>KR103501GF63</stp>
        <stp>금액Convexity</stp>
        <stp>46246</stp>
        <stp>3.6</stp>
        <stp>세전수익률</stp>
        <tr r="P26" s="1"/>
      </tp>
      <tp>
        <v>20250910</v>
        <stp/>
        <stp>P</stp>
        <stp>0</stp>
        <stp>BND</stp>
        <stp>KR103503GF95</stp>
        <stp>발행일</stp>
        <stp/>
        <stp/>
        <tr r="X6" s="1"/>
      </tp>
      <tp>
        <v>20300910</v>
        <stp/>
        <stp>P</stp>
        <stp>0</stp>
        <stp>BND</stp>
        <stp>KR103503GF95</stp>
        <stp>만기일</stp>
        <stp/>
        <stp/>
        <tr r="X7" s="1"/>
      </tp>
      <tp>
        <v>20241210</v>
        <stp/>
        <stp>P</stp>
        <stp>0</stp>
        <stp>BND</stp>
        <stp>KR103501GEC6</stp>
        <stp>발행일</stp>
        <stp/>
        <stp/>
        <tr r="J6" s="1"/>
      </tp>
      <tp>
        <v>20271210</v>
        <stp/>
        <stp>P</stp>
        <stp>0</stp>
        <stp>BND</stp>
        <stp>KR103501GEC6</stp>
        <stp>만기일</stp>
        <stp/>
        <stp/>
        <tr r="J7" s="1"/>
      </tp>
      <tp>
        <v>20260310</v>
        <stp/>
        <stp>P</stp>
        <stp>0</stp>
        <stp>BND</stp>
        <stp>KR103503GG37</stp>
        <stp>발행일</stp>
        <stp/>
        <stp/>
        <tr r="R6" s="1"/>
      </tp>
      <tp>
        <v>20310310</v>
        <stp/>
        <stp>P</stp>
        <stp>0</stp>
        <stp>BND</stp>
        <stp>KR103503GG37</stp>
        <stp>만기일</stp>
        <stp/>
        <stp/>
        <tr r="R7" s="1"/>
      </tp>
      <tp>
        <v>20251210</v>
        <stp/>
        <stp>P</stp>
        <stp>0</stp>
        <stp>BND</stp>
        <stp>KR103501GFC3</stp>
        <stp>발행일</stp>
        <stp/>
        <stp/>
        <tr r="H6" s="1"/>
      </tp>
      <tp>
        <v>20250610</v>
        <stp/>
        <stp>P</stp>
        <stp>0</stp>
        <stp>BND</stp>
        <stp>KR103501GF63</stp>
        <stp>발행일</stp>
        <stp/>
        <stp/>
        <tr r="P6" s="1"/>
      </tp>
      <tp>
        <v>20281210</v>
        <stp/>
        <stp>P</stp>
        <stp>0</stp>
        <stp>BND</stp>
        <stp>KR103501GFC3</stp>
        <stp>만기일</stp>
        <stp/>
        <stp/>
        <tr r="H7" s="1"/>
      </tp>
      <tp>
        <v>20280610</v>
        <stp/>
        <stp>P</stp>
        <stp>0</stp>
        <stp>BND</stp>
        <stp>KR103501GF63</stp>
        <stp>만기일</stp>
        <stp/>
        <stp/>
        <tr r="P7" s="1"/>
      </tp>
      <tp>
        <v>20260610</v>
        <stp/>
        <stp>P</stp>
        <stp>0</stp>
        <stp>BND</stp>
        <stp>KR103503GG60</stp>
        <stp>발행일</stp>
        <stp/>
        <stp/>
        <tr r="F6" s="1"/>
        <tr r="V6" s="1"/>
      </tp>
      <tp>
        <v>20251210</v>
        <stp/>
        <stp>P</stp>
        <stp>0</stp>
        <stp>BND</stp>
        <stp>KR103502GFC1</stp>
        <stp>발행일</stp>
        <stp/>
        <stp/>
        <tr r="L6" s="1"/>
      </tp>
      <tp>
        <v>20351210</v>
        <stp/>
        <stp>P</stp>
        <stp>0</stp>
        <stp>BND</stp>
        <stp>KR103502GFC1</stp>
        <stp>만기일</stp>
        <stp/>
        <stp/>
        <tr r="L7" s="1"/>
      </tp>
      <tp>
        <v>20360610</v>
        <stp/>
        <stp>P</stp>
        <stp>0</stp>
        <stp>BND</stp>
        <stp>KR103503GG60</stp>
        <stp>만기일</stp>
        <stp/>
        <stp/>
        <tr r="F7" s="1"/>
        <tr r="V7" s="1"/>
      </tp>
      <tp>
        <v>20250610</v>
        <stp/>
        <stp>P</stp>
        <stp>0</stp>
        <stp>BND</stp>
        <stp>KR103502GF62</stp>
        <stp>발행일</stp>
        <stp/>
        <stp/>
        <tr r="N6" s="1"/>
      </tp>
      <tp>
        <v>20350610</v>
        <stp/>
        <stp>P</stp>
        <stp>0</stp>
        <stp>BND</stp>
        <stp>KR103502GF62</stp>
        <stp>만기일</stp>
        <stp/>
        <stp/>
        <tr r="N7" s="1"/>
      </tp>
      <tp>
        <v>20240610</v>
        <stp/>
        <stp>P</stp>
        <stp>0</stp>
        <stp>BND</stp>
        <stp>KR103502GE63</stp>
        <stp>발행일</stp>
        <stp/>
        <stp/>
        <tr r="T6" s="1"/>
      </tp>
      <tp>
        <v>20340610</v>
        <stp/>
        <stp>P</stp>
        <stp>0</stp>
        <stp>BND</stp>
        <stp>KR103502GE63</stp>
        <stp>만기일</stp>
        <stp/>
        <stp/>
        <tr r="T7" s="1"/>
      </tp>
      <tp>
        <v>10038</v>
        <stp/>
        <stp>P</stp>
        <stp>0</stp>
        <stp>BND</stp>
        <stp>KR103503GG60</stp>
        <stp>장내국채-현재가격</stp>
        <stp/>
        <stp/>
        <tr r="C32" s="2"/>
      </tp>
      <tp>
        <v>9865</v>
        <stp/>
        <stp>P</stp>
        <stp>0</stp>
        <stp>BND</stp>
        <stp>KR103503GG37</stp>
        <stp>장내국채-현재가격</stp>
        <stp/>
        <stp/>
        <tr r="C51" s="2"/>
      </tp>
      <tp>
        <v>8337</v>
        <stp/>
        <stp>P</stp>
        <stp>0</stp>
        <stp>BND</stp>
        <stp>KR103501GG39</stp>
        <stp>장내국채-현재가격</stp>
        <stp/>
        <stp/>
        <tr r="E11" s="2"/>
      </tp>
      <tp t="s">
        <v/>
        <stp/>
        <stp>P</stp>
        <stp>0</stp>
        <stp>BND</stp>
        <stp>KR103503GF38</stp>
        <stp>장내국채-현재가격</stp>
        <stp/>
        <stp/>
        <tr r="H50" s="2"/>
      </tp>
      <tp t="s">
        <v/>
        <stp/>
        <stp>P</stp>
        <stp>0</stp>
        <stp>BND</stp>
        <stp>KR103502GD98</stp>
        <stp>장내국채-현재가격</stp>
        <stp/>
        <stp/>
        <tr r="C92" s="2"/>
      </tp>
      <tp>
        <v>47.335999999999999</v>
        <stp/>
        <stp>C</stp>
        <stp>0</stp>
        <stp>KR103501GFC3</stp>
        <stp>경과이자</stp>
        <stp>46246</stp>
        <stp>3.68</stp>
        <stp>세전수익률</stp>
        <tr r="H20" s="1"/>
      </tp>
      <tp>
        <v>851</v>
        <stp/>
        <stp>C</stp>
        <stp>0</stp>
        <stp>KR103501GFC3</stp>
        <stp>잔존일수</stp>
        <stp>46246</stp>
        <stp>3.68</stp>
        <stp>세전수익률</stp>
        <tr r="H28" s="1"/>
      </tp>
      <tp>
        <v>10.199999999999999</v>
        <stp/>
        <stp>C</stp>
        <stp>0</stp>
        <stp>KR103503GG60</stp>
        <stp>경과세금</stp>
        <stp>46246</stp>
        <stp>0</stp>
        <stp>세전수익률</stp>
        <tr r="F21" s="1"/>
      </tp>
      <tp>
        <v>9801.3799999999992</v>
        <stp/>
        <stp>C</stp>
        <stp>0</stp>
        <stp>KR103501GF63</stp>
        <stp>세전단가</stp>
        <stp>46246</stp>
        <stp>3.6</stp>
        <stp>세전수익률</stp>
        <tr r="P18" s="1"/>
      </tp>
      <tp>
        <v>668</v>
        <stp/>
        <stp>C</stp>
        <stp>0</stp>
        <stp>KR103501GF63</stp>
        <stp>잔존일수</stp>
        <stp>46246</stp>
        <stp>3.6</stp>
        <stp>세전수익률</stp>
        <tr r="P28" s="1"/>
      </tp>
      <tp>
        <v>21839.169392</v>
        <stp/>
        <stp>C</stp>
        <stp>0</stp>
        <stp>KR103501GFC3</stp>
        <stp>금액Duration</stp>
        <stp>46246</stp>
        <stp>3.68</stp>
        <stp>세전수익률</stp>
        <tr r="H23" s="1"/>
      </tp>
      <tp>
        <v>3.927</v>
        <stp/>
        <stp>C</stp>
        <stp>0</stp>
        <stp>KR103503GF95</stp>
        <stp>세전수익률</stp>
        <stp>46246</stp>
        <stp>3.927</stp>
        <stp>세전수익률</stp>
        <tr r="X17" s="1"/>
      </tp>
      <tp>
        <v>3590</v>
        <stp/>
        <stp>C</stp>
        <stp>0</stp>
        <stp>KR103503GG60</stp>
        <stp>잔존일수</stp>
        <stp>46246</stp>
        <stp>0</stp>
        <stp>세전수익률</stp>
        <tr r="F28" s="1"/>
      </tp>
      <tp>
        <v>4.1849999999999996</v>
        <stp/>
        <stp>C</stp>
        <stp>0</stp>
        <stp>KR103502GF62</stp>
        <stp>세전수익률</stp>
        <stp>46246</stp>
        <stp>4.185</stp>
        <stp>세전수익률</stp>
        <tr r="N17" s="1"/>
      </tp>
      <tp>
        <v>4.2240000000000002</v>
        <stp/>
        <stp>C</stp>
        <stp>0</stp>
        <stp>KR103503GG60</stp>
        <stp>세전수익률</stp>
        <stp>46246</stp>
        <stp>4.224</stp>
        <stp>세전수익률</stp>
        <tr r="V17" s="1"/>
      </tp>
      <tp>
        <v>3.9910000000000001</v>
        <stp/>
        <stp>C</stp>
        <stp>0</stp>
        <stp>KR103501GEC6</stp>
        <stp>세전수익률</stp>
        <stp>46246</stp>
        <stp>3.991</stp>
        <stp>세전수익률</stp>
        <tr r="J17" s="1"/>
      </tp>
      <tp>
        <v>4.2069999999999999</v>
        <stp/>
        <stp>C</stp>
        <stp>0</stp>
        <stp>KR103502GE63</stp>
        <stp>세전수익률</stp>
        <stp>46246</stp>
        <stp>4.207</stp>
        <stp>세전수익률</stp>
        <tr r="T17" s="1"/>
      </tp>
      <tp>
        <v>3.9910000000000001</v>
        <stp/>
        <stp>C</stp>
        <stp>0</stp>
        <stp>KR103503GG37</stp>
        <stp>세전수익률</stp>
        <stp>46246</stp>
        <stp>3.991</stp>
        <stp>세전수익률</stp>
        <tr r="R17" s="1"/>
      </tp>
      <tp>
        <v>4.2069999999999999</v>
        <stp/>
        <stp>C</stp>
        <stp>0</stp>
        <stp>KR103502GFC1</stp>
        <stp>세전수익률</stp>
        <stp>46246</stp>
        <stp>4.207</stp>
        <stp>세전수익률</stp>
        <tr r="L17" s="1"/>
      </tp>
      <tp>
        <v>14239.8</v>
        <stp/>
        <stp>C</stp>
        <stp>0</stp>
        <stp>KR103503GG60</stp>
        <stp>세후단가</stp>
        <stp>46246</stp>
        <stp>0</stp>
        <stp>세전수익률</stp>
        <tr r="F19" s="1"/>
      </tp>
      <tp>
        <v>14250</v>
        <stp/>
        <stp>C</stp>
        <stp>0</stp>
        <stp>KR103503GG60</stp>
        <stp>세전단가</stp>
        <stp>46246</stp>
        <stp>0</stp>
        <stp>세전수익률</stp>
        <tr r="F18" s="1"/>
      </tp>
      <tp>
        <v>0</v>
        <stp/>
        <stp>T</stp>
        <stp>x8.SCQO1</stp>
        <stp>28</stp>
        <stp>1773474</stp>
        <tr r="H33" s="1"/>
      </tp>
      <tp>
        <v>0</v>
        <stp/>
        <stp>T</stp>
        <stp>x9.SCQO1</stp>
        <stp>29</stp>
        <stp>1773474</stp>
        <tr r="L33" s="1"/>
      </tp>
      <tp>
        <v>0</v>
        <stp/>
        <stp>T</stp>
        <stp>x6.SCQO1</stp>
        <stp>26</stp>
        <stp>1773474</stp>
        <tr r="X33" s="1"/>
      </tp>
      <tp>
        <v>0</v>
        <stp/>
        <stp>T</stp>
        <stp>x7.SCQO1</stp>
        <stp>27</stp>
        <stp>1773474</stp>
        <tr r="J33" s="1"/>
      </tp>
      <tp>
        <v>0</v>
        <stp/>
        <stp>T</stp>
        <stp>x4.SCQO1</stp>
        <stp>24</stp>
        <stp>1773474</stp>
        <tr r="V33" s="1"/>
      </tp>
      <tp>
        <v>0</v>
        <stp/>
        <stp>T</stp>
        <stp>x5.SCQO1</stp>
        <stp>25</stp>
        <stp>1773474</stp>
        <tr r="F33" s="1"/>
      </tp>
      <tp>
        <v>0</v>
        <stp/>
        <stp>T</stp>
        <stp>x2.SCQO1</stp>
        <stp>22</stp>
        <stp>1773474</stp>
        <tr r="N33" s="1"/>
      </tp>
      <tp>
        <v>0</v>
        <stp/>
        <stp>T</stp>
        <stp>x3.SCQO1</stp>
        <stp>23</stp>
        <stp>1773474</stp>
        <tr r="T33" s="1"/>
      </tp>
      <tp>
        <v>0</v>
        <stp/>
        <stp>T</stp>
        <stp>x1.SCQO1</stp>
        <stp>21</stp>
        <stp>1773474</stp>
        <tr r="P33" s="1"/>
      </tp>
      <tp>
        <v>1.4E-2</v>
        <stp/>
        <stp>P</stp>
        <stp>0</stp>
        <stp>FUT</stp>
        <stp>A6769000</stp>
        <stp>저평가</stp>
        <stp/>
        <stp/>
        <tr r="H19" s="2"/>
      </tp>
      <tp>
        <v>-2.1999999999999999E-2</v>
        <stp/>
        <stp>P</stp>
        <stp>0</stp>
        <stp>FUT</stp>
        <stp>A6569000</stp>
        <stp>저평가</stp>
        <stp/>
        <stp/>
        <tr r="G41" s="2"/>
      </tp>
      <tp>
        <v>3.6</v>
        <stp/>
        <stp>C</stp>
        <stp>0</stp>
        <stp>KR103501GF63</stp>
        <stp>세전수익률</stp>
        <stp>46246</stp>
        <stp>3.6</stp>
        <stp>세전수익률</stp>
        <tr r="P17" s="1"/>
      </tp>
      <tp>
        <v>9557.1</v>
        <stp/>
        <stp>C</stp>
        <stp>0</stp>
        <stp>KR103503GF95</stp>
        <stp>세후단가</stp>
        <stp>46246</stp>
        <stp>3.927</stp>
        <stp>세전수익률</stp>
        <tr r="X19" s="1"/>
      </tp>
      <tp>
        <v>9571.8799999999992</v>
        <stp/>
        <stp>C</stp>
        <stp>0</stp>
        <stp>KR103503GF95</stp>
        <stp>세전단가</stp>
        <stp>46246</stp>
        <stp>3.927</stp>
        <stp>세전수익률</stp>
        <tr r="X18" s="1"/>
      </tp>
      <tp>
        <v>10082.6</v>
        <stp/>
        <stp>C</stp>
        <stp>0</stp>
        <stp>KR103503GG60</stp>
        <stp>세후단가</stp>
        <stp>46246</stp>
        <stp>4.224</stp>
        <stp>세전수익률</stp>
        <tr r="V19" s="1"/>
      </tp>
      <tp>
        <v>10092.89</v>
        <stp/>
        <stp>C</stp>
        <stp>0</stp>
        <stp>KR103503GG60</stp>
        <stp>세전단가</stp>
        <stp>46246</stp>
        <stp>4.224</stp>
        <stp>세전수익률</stp>
        <tr r="V18" s="1"/>
      </tp>
      <tp>
        <v>8896.5</v>
        <stp/>
        <stp>C</stp>
        <stp>0</stp>
        <stp>KR103502GF62</stp>
        <stp>세후단가</stp>
        <stp>46246</stp>
        <stp>4.185</stp>
        <stp>세전수익률</stp>
        <tr r="N19" s="1"/>
      </tp>
      <tp>
        <v>8902.89</v>
        <stp/>
        <stp>C</stp>
        <stp>0</stp>
        <stp>KR103502GF62</stp>
        <stp>세전단가</stp>
        <stp>46246</stp>
        <stp>4.185</stp>
        <stp>세전수익률</stp>
        <tr r="N18" s="1"/>
      </tp>
      <tp>
        <v>9866.4</v>
        <stp/>
        <stp>C</stp>
        <stp>0</stp>
        <stp>KR103503GG37</stp>
        <stp>세후단가</stp>
        <stp>46246</stp>
        <stp>3.991</stp>
        <stp>세전수익률</stp>
        <tr r="R19" s="1"/>
      </tp>
      <tp>
        <v>9898.7999999999993</v>
        <stp/>
        <stp>C</stp>
        <stp>0</stp>
        <stp>KR103501GEC6</stp>
        <stp>세후단가</stp>
        <stp>46246</stp>
        <stp>3.991</stp>
        <stp>세전수익률</stp>
        <tr r="J19" s="1"/>
      </tp>
      <tp>
        <v>9905.7800000000007</v>
        <stp/>
        <stp>C</stp>
        <stp>0</stp>
        <stp>KR103501GEC6</stp>
        <stp>세전단가</stp>
        <stp>46246</stp>
        <stp>3.991</stp>
        <stp>세전수익률</stp>
        <tr r="J18" s="1"/>
      </tp>
      <tp>
        <v>9886.2000000000007</v>
        <stp/>
        <stp>C</stp>
        <stp>0</stp>
        <stp>KR103503GG37</stp>
        <stp>세전단가</stp>
        <stp>46246</stp>
        <stp>3.991</stp>
        <stp>세전수익률</stp>
        <tr r="R18" s="1"/>
      </tp>
      <tp>
        <v>9315.2000000000007</v>
        <stp/>
        <stp>C</stp>
        <stp>0</stp>
        <stp>KR103502GFC1</stp>
        <stp>세후단가</stp>
        <stp>46246</stp>
        <stp>4.207</stp>
        <stp>세전수익률</stp>
        <tr r="L19" s="1"/>
      </tp>
      <tp>
        <v>9583.5</v>
        <stp/>
        <stp>C</stp>
        <stp>0</stp>
        <stp>KR103502GE63</stp>
        <stp>세후단가</stp>
        <stp>46246</stp>
        <stp>4.207</stp>
        <stp>세전수익률</stp>
        <tr r="T19" s="1"/>
      </tp>
      <tp>
        <v>9591.9599999999991</v>
        <stp/>
        <stp>C</stp>
        <stp>0</stp>
        <stp>KR103502GE63</stp>
        <stp>세전단가</stp>
        <stp>46246</stp>
        <stp>4.207</stp>
        <stp>세전수익률</stp>
        <tr r="T18" s="1"/>
      </tp>
      <tp>
        <v>9323.02</v>
        <stp/>
        <stp>C</stp>
        <stp>0</stp>
        <stp>KR103502GFC1</stp>
        <stp>세전단가</stp>
        <stp>46246</stp>
        <stp>4.207</stp>
        <stp>세전수익률</stp>
        <tr r="L18" s="1"/>
      </tp>
      <tp>
        <v>485</v>
        <stp/>
        <stp>C</stp>
        <stp>0</stp>
        <stp>KR103501GEC6</stp>
        <stp>잔존일수</stp>
        <stp>46246</stp>
        <stp>3.991</stp>
        <stp>세전수익률</stp>
        <tr r="J28" s="1"/>
      </tp>
      <tp>
        <v>1671</v>
        <stp/>
        <stp>C</stp>
        <stp>0</stp>
        <stp>KR103503GG37</stp>
        <stp>잔존일수</stp>
        <stp>46246</stp>
        <stp>3.991</stp>
        <stp>세전수익률</stp>
        <tr r="R28" s="1"/>
      </tp>
      <tp>
        <v>2859</v>
        <stp/>
        <stp>C</stp>
        <stp>0</stp>
        <stp>KR103502GE63</stp>
        <stp>잔존일수</stp>
        <stp>46246</stp>
        <stp>4.207</stp>
        <stp>세전수익률</stp>
        <tr r="T28" s="1"/>
      </tp>
      <tp>
        <v>3407</v>
        <stp/>
        <stp>C</stp>
        <stp>0</stp>
        <stp>KR103502GFC1</stp>
        <stp>잔존일수</stp>
        <stp>46246</stp>
        <stp>4.207</stp>
        <stp>세전수익률</stp>
        <tr r="L28" s="1"/>
      </tp>
      <tp t="s">
        <v>06M</v>
        <stp/>
        <stp>P</stp>
        <stp>0</stp>
        <stp>BND</stp>
        <stp>KR103503GF95</stp>
        <stp>이자지급기간</stp>
        <stp/>
        <stp/>
        <tr r="X13" s="1"/>
      </tp>
      <tp>
        <v>3590</v>
        <stp/>
        <stp>C</stp>
        <stp>0</stp>
        <stp>KR103503GG60</stp>
        <stp>잔존일수</stp>
        <stp>46246</stp>
        <stp>4.224</stp>
        <stp>세전수익률</stp>
        <tr r="V28" s="1"/>
      </tp>
      <tp>
        <v>3224</v>
        <stp/>
        <stp>C</stp>
        <stp>0</stp>
        <stp>KR103502GF62</stp>
        <stp>잔존일수</stp>
        <stp>46246</stp>
        <stp>4.185</stp>
        <stp>세전수익률</stp>
        <tr r="N28" s="1"/>
      </tp>
      <tp>
        <v>0</v>
        <stp/>
        <stp>C</stp>
        <stp>0</stp>
        <stp>KR103503GG60</stp>
        <stp>세전수익률</stp>
        <stp>46246</stp>
        <stp>0</stp>
        <stp>세전수익률</stp>
        <tr r="F17" s="1"/>
      </tp>
      <tp>
        <v>1490</v>
        <stp/>
        <stp>C</stp>
        <stp>0</stp>
        <stp>KR103503GF95</stp>
        <stp>잔존일수</stp>
        <stp>46246</stp>
        <stp>3.927</stp>
        <stp>세전수익률</stp>
        <tr r="X28" s="1"/>
      </tp>
      <tp t="s">
        <v>06M</v>
        <stp/>
        <stp>P</stp>
        <stp>0</stp>
        <stp>BND</stp>
        <stp>KR103503GG37</stp>
        <stp>이자지급기간</stp>
        <stp/>
        <stp/>
        <tr r="R13" s="1"/>
      </tp>
      <tp>
        <v>3.5</v>
        <stp/>
        <stp>P</stp>
        <stp>0</stp>
        <stp>BND</stp>
        <stp>KR103501GEC6</stp>
        <stp>민평3사 수익률(산출일)</stp>
        <stp/>
        <stp/>
        <tr r="J14" s="1"/>
      </tp>
      <tp>
        <v>4.1829999999999998</v>
        <stp/>
        <stp>P</stp>
        <stp>0</stp>
        <stp>BND</stp>
        <stp>KR103502GE63</stp>
        <stp>민평3사 수익률(산출일)</stp>
        <stp/>
        <stp/>
        <tr r="T14" s="1"/>
      </tp>
      <tp>
        <v>3.69</v>
        <stp/>
        <stp>P</stp>
        <stp>0</stp>
        <stp>BND</stp>
        <stp>KR103501GFC3</stp>
        <stp>민평3사 수익률(산출일)</stp>
        <stp/>
        <stp/>
        <tr r="H14" s="1"/>
      </tp>
      <tp>
        <v>4.226</v>
        <stp/>
        <stp>P</stp>
        <stp>0</stp>
        <stp>BND</stp>
        <stp>KR103502GFC1</stp>
        <stp>민평3사 수익률(산출일)</stp>
        <stp/>
        <stp/>
        <tr r="L14" s="1"/>
      </tp>
      <tp>
        <v>3.95</v>
        <stp/>
        <stp>P</stp>
        <stp>0</stp>
        <stp>BND</stp>
        <stp>KR103503GF95</stp>
        <stp>민평3사 수익률(산출일)</stp>
        <stp/>
        <stp/>
        <tr r="X14" s="1"/>
      </tp>
      <tp>
        <v>3.6059999999999999</v>
        <stp/>
        <stp>P</stp>
        <stp>0</stp>
        <stp>BND</stp>
        <stp>KR103501GF63</stp>
        <stp>민평3사 수익률(산출일)</stp>
        <stp/>
        <stp/>
        <tr r="P14" s="1"/>
      </tp>
      <tp>
        <v>4.2039999999999997</v>
        <stp/>
        <stp>P</stp>
        <stp>0</stp>
        <stp>BND</stp>
        <stp>KR103502GF62</stp>
        <stp>민평3사 수익률(산출일)</stp>
        <stp/>
        <stp/>
        <tr r="N14" s="1"/>
      </tp>
      <tp>
        <v>4.2350000000000003</v>
        <stp/>
        <stp>P</stp>
        <stp>0</stp>
        <stp>BND</stp>
        <stp>KR103503GG60</stp>
        <stp>민평3사 수익률(산출일)</stp>
        <stp/>
        <stp/>
        <tr r="V14" s="1"/>
        <tr r="F14" s="1"/>
      </tp>
      <tp>
        <v>3.9870000000000001</v>
        <stp/>
        <stp>P</stp>
        <stp>0</stp>
        <stp>BND</stp>
        <stp>KR103503GG37</stp>
        <stp>민평3사 수익률(산출일)</stp>
        <stp/>
        <stp/>
        <tr r="R14" s="1"/>
      </tp>
      <tp t="s">
        <v>06M</v>
        <stp/>
        <stp>P</stp>
        <stp>0</stp>
        <stp>BND</stp>
        <stp>KR103502GF62</stp>
        <stp>이자지급기간</stp>
        <stp/>
        <stp/>
        <tr r="N13" s="1"/>
      </tp>
      <tp t="s">
        <v>06M</v>
        <stp/>
        <stp>P</stp>
        <stp>0</stp>
        <stp>BND</stp>
        <stp>KR103502GE63</stp>
        <stp>이자지급기간</stp>
        <stp/>
        <stp/>
        <tr r="T13" s="1"/>
      </tp>
      <tp t="s">
        <v>06M</v>
        <stp/>
        <stp>P</stp>
        <stp>0</stp>
        <stp>BND</stp>
        <stp>KR103501GF63</stp>
        <stp>이자지급기간</stp>
        <stp/>
        <stp/>
        <tr r="P13" s="1"/>
      </tp>
      <tp t="s">
        <v>06M</v>
        <stp/>
        <stp>P</stp>
        <stp>0</stp>
        <stp>BND</stp>
        <stp>KR103503GG60</stp>
        <stp>이자지급기간</stp>
        <stp/>
        <stp/>
        <tr r="V13" s="1"/>
        <tr r="F13" s="1"/>
      </tp>
      <tp>
        <v>1.7942</v>
        <stp/>
        <stp>C</stp>
        <stp>0</stp>
        <stp>KR103501GF63</stp>
        <stp>MacDuration</stp>
        <stp>46246</stp>
        <stp>3.6</stp>
        <stp>세전수익률</stp>
        <tr r="P24" s="1"/>
      </tp>
      <tp>
        <v>1.7625</v>
        <stp/>
        <stp>C</stp>
        <stp>0</stp>
        <stp>KR103501GF63</stp>
        <stp>ModDuration</stp>
        <stp>46246</stp>
        <stp>3.6</stp>
        <stp>세전수익률</stp>
        <tr r="P25" s="1"/>
      </tp>
      <tp>
        <v>9267.0774999999994</v>
        <stp/>
        <stp>C</stp>
        <stp>0</stp>
        <stp>KR103502GFC1</stp>
        <stp>Cleanprice</stp>
        <stp>46246</stp>
        <stp>4.207</stp>
        <stp>세전수익률</stp>
        <tr r="L22" s="1"/>
      </tp>
      <tp>
        <v>9856.2963999999993</v>
        <stp/>
        <stp>C</stp>
        <stp>0</stp>
        <stp>KR103501GEC6</stp>
        <stp>Cleanprice</stp>
        <stp>46246</stp>
        <stp>3.991</stp>
        <stp>세전수익률</stp>
        <tr r="J22" s="1"/>
      </tp>
      <tp>
        <v>71.832800000000006</v>
        <stp/>
        <stp>C</stp>
        <stp>0</stp>
        <stp>KR103502GFC1</stp>
        <stp>Convexity</stp>
        <stp>46246</stp>
        <stp>4.207</stp>
        <stp>세전수익률</stp>
        <tr r="L27" s="1"/>
      </tp>
      <tp>
        <v>20.1021</v>
        <stp/>
        <stp>C</stp>
        <stp>0</stp>
        <stp>KR103503GG37</stp>
        <stp>Convexity</stp>
        <stp>46246</stp>
        <stp>3.991</stp>
        <stp>세전수익률</stp>
        <tr r="R27" s="1"/>
      </tp>
      <tp>
        <v>52.300600000000003</v>
        <stp/>
        <stp>C</stp>
        <stp>0</stp>
        <stp>KR103502GE63</stp>
        <stp>Convexity</stp>
        <stp>46246</stp>
        <stp>4.207</stp>
        <stp>세전수익률</stp>
        <tr r="T27" s="1"/>
      </tp>
      <tp>
        <v>2.2854999999999999</v>
        <stp/>
        <stp>C</stp>
        <stp>0</stp>
        <stp>KR103501GEC6</stp>
        <stp>Convexity</stp>
        <stp>46246</stp>
        <stp>3.991</stp>
        <stp>세전수익률</stp>
        <tr r="J27" s="1"/>
      </tp>
      <tp>
        <v>67.348399999999998</v>
        <stp/>
        <stp>C</stp>
        <stp>0</stp>
        <stp>KR103502GF62</stp>
        <stp>Convexity</stp>
        <stp>46246</stp>
        <stp>4.185</stp>
        <stp>세전수익률</stp>
        <tr r="N27" s="1"/>
      </tp>
      <tp>
        <v>74.8078</v>
        <stp/>
        <stp>C</stp>
        <stp>0</stp>
        <stp>KR103503GG60</stp>
        <stp>Convexity</stp>
        <stp>46246</stp>
        <stp>4.224</stp>
        <stp>세전수익률</stp>
        <tr r="V27" s="1"/>
      </tp>
      <tp>
        <v>3.8570000000000002</v>
        <stp/>
        <stp>P</stp>
        <stp>0</stp>
        <stp>FUT</stp>
        <stp>A6569000</stp>
        <stp>국채수익률</stp>
        <stp/>
        <stp/>
        <tr r="C5" s="2"/>
        <tr r="D42" s="2"/>
      </tp>
      <tp t="s">
        <v/>
        <stp/>
        <stp>P</stp>
        <stp>0</stp>
        <stp>FUT</stp>
        <stp>165TC000</stp>
        <stp>국채수익률</stp>
        <stp/>
        <stp/>
        <tr r="D81" s="2"/>
      </tp>
      <tp t="s">
        <v/>
        <stp/>
        <stp>P</stp>
        <stp>0</stp>
        <stp>FUT</stp>
        <stp>165V3000</stp>
        <stp>국채수익률</stp>
        <stp/>
        <stp/>
        <tr r="D88" s="2"/>
        <tr r="D93" s="2"/>
      </tp>
      <tp>
        <v>4.2889999999999997</v>
        <stp/>
        <stp>P</stp>
        <stp>0</stp>
        <stp>FUT</stp>
        <stp>A6769000</stp>
        <stp>국채수익률</stp>
        <stp/>
        <stp/>
        <tr r="C6" s="2"/>
      </tp>
      <tp>
        <v>16.7163</v>
        <stp/>
        <stp>C</stp>
        <stp>0</stp>
        <stp>KR103503GF95</stp>
        <stp>Convexity</stp>
        <stp>46246</stp>
        <stp>3.927</stp>
        <stp>세전수익률</stp>
        <tr r="X27" s="1"/>
      </tp>
      <tp t="s">
        <v>이표채</v>
        <stp/>
        <stp>P</stp>
        <stp>0</stp>
        <stp>BND</stp>
        <stp>KR103503GG60</stp>
        <stp>이자종류</stp>
        <stp/>
        <stp/>
        <tr r="V10" s="1"/>
        <tr r="F10" s="1"/>
      </tp>
      <tp t="s">
        <v>이표채</v>
        <stp/>
        <stp>P</stp>
        <stp>0</stp>
        <stp>BND</stp>
        <stp>KR103503GG37</stp>
        <stp>이자종류</stp>
        <stp/>
        <stp/>
        <tr r="R10" s="1"/>
      </tp>
      <tp t="s">
        <v>이표채</v>
        <stp/>
        <stp>P</stp>
        <stp>0</stp>
        <stp>BND</stp>
        <stp>KR103501GFC3</stp>
        <stp>이자종류</stp>
        <stp/>
        <stp/>
        <tr r="H10" s="1"/>
      </tp>
      <tp t="s">
        <v>이표채</v>
        <stp/>
        <stp>P</stp>
        <stp>0</stp>
        <stp>BND</stp>
        <stp>KR103502GFC1</stp>
        <stp>이자종류</stp>
        <stp/>
        <stp/>
        <tr r="L10" s="1"/>
      </tp>
      <tp t="s">
        <v>이표채</v>
        <stp/>
        <stp>P</stp>
        <stp>0</stp>
        <stp>BND</stp>
        <stp>KR103503GF95</stp>
        <stp>이자종류</stp>
        <stp/>
        <stp/>
        <tr r="X10" s="1"/>
      </tp>
      <tp t="s">
        <v>이표채</v>
        <stp/>
        <stp>P</stp>
        <stp>0</stp>
        <stp>BND</stp>
        <stp>KR103501GF63</stp>
        <stp>이자종류</stp>
        <stp/>
        <stp/>
        <tr r="P10" s="1"/>
      </tp>
      <tp t="s">
        <v>이표채</v>
        <stp/>
        <stp>P</stp>
        <stp>0</stp>
        <stp>BND</stp>
        <stp>KR103502GF62</stp>
        <stp>이자종류</stp>
        <stp/>
        <stp/>
        <tr r="N10" s="1"/>
      </tp>
      <tp t="s">
        <v>이표채</v>
        <stp/>
        <stp>P</stp>
        <stp>0</stp>
        <stp>BND</stp>
        <stp>KR103501GEC6</stp>
        <stp>이자종류</stp>
        <stp/>
        <stp/>
        <tr r="J10" s="1"/>
      </tp>
      <tp t="s">
        <v>이표채</v>
        <stp/>
        <stp>P</stp>
        <stp>0</stp>
        <stp>BND</stp>
        <stp>KR103502GE63</stp>
        <stp>이자종류</stp>
        <stp/>
        <stp/>
        <tr r="T10" s="1"/>
      </tp>
      <tp>
        <v>45.184399999999997</v>
        <stp/>
        <stp>C</stp>
        <stp>0</stp>
        <stp>KR103502GF62</stp>
        <stp>경과이자</stp>
        <stp>46246</stp>
        <stp>4.185</stp>
        <stp>세전수익률</stp>
        <tr r="N20" s="1"/>
      </tp>
      <tp>
        <v>12689.304179999999</v>
        <stp/>
        <stp>C</stp>
        <stp>0</stp>
        <stp>KR103501GEC6</stp>
        <stp>금액Duration</stp>
        <stp>46246</stp>
        <stp>3.991</stp>
        <stp>세전수익률</stp>
        <tr r="J23" s="1"/>
      </tp>
      <tp>
        <v>73.155699999999996</v>
        <stp/>
        <stp>C</stp>
        <stp>0</stp>
        <stp>KR103503GG60</stp>
        <stp>경과이자</stp>
        <stp>46246</stp>
        <stp>4.224</stp>
        <stp>세전수익률</stp>
        <tr r="V20" s="1"/>
      </tp>
      <tp>
        <v>73195.030020000006</v>
        <stp/>
        <stp>C</stp>
        <stp>0</stp>
        <stp>KR103502GFC1</stp>
        <stp>금액Duration</stp>
        <stp>46246</stp>
        <stp>4.207</stp>
        <stp>세전수익률</stp>
        <tr r="L23" s="1"/>
      </tp>
      <tp>
        <v>60.245899999999999</v>
        <stp/>
        <stp>C</stp>
        <stp>0</stp>
        <stp>KR103502GE63</stp>
        <stp>경과이자</stp>
        <stp>46246</stp>
        <stp>4.207</stp>
        <stp>세전수익률</stp>
        <tr r="T20" s="1"/>
      </tp>
      <tp>
        <v>55.942599999999999</v>
        <stp/>
        <stp>C</stp>
        <stp>0</stp>
        <stp>KR103502GFC1</stp>
        <stp>경과이자</stp>
        <stp>46246</stp>
        <stp>4.207</stp>
        <stp>세전수익률</stp>
        <tr r="L20" s="1"/>
      </tp>
      <tp>
        <v>49.487699999999997</v>
        <stp/>
        <stp>C</stp>
        <stp>0</stp>
        <stp>KR103501GEC6</stp>
        <stp>경과이자</stp>
        <stp>46246</stp>
        <stp>3.991</stp>
        <stp>세전수익률</stp>
        <tr r="J20" s="1"/>
      </tp>
      <tp>
        <v>142.15350000000001</v>
        <stp/>
        <stp>C</stp>
        <stp>0</stp>
        <stp>KR103503GG37</stp>
        <stp>경과이자</stp>
        <stp>46246</stp>
        <stp>3.991</stp>
        <stp>세전수익률</stp>
        <tr r="R20" s="1"/>
      </tp>
      <tp>
        <v>105.2989</v>
        <stp/>
        <stp>C</stp>
        <stp>0</stp>
        <stp>KR103503GF95</stp>
        <stp>경과이자</stp>
        <stp>46246</stp>
        <stp>3.927</stp>
        <stp>세전수익률</stp>
        <tr r="X20" s="1"/>
      </tp>
      <tp t="s">
        <v/>
        <stp/>
        <stp>P</stp>
        <stp>0</stp>
        <stp>BND</stp>
        <stp>KR103502GD98</stp>
        <stp>장내국채-현재수익률</stp>
        <stp/>
        <stp/>
        <tr r="D92" s="2"/>
      </tp>
      <tp>
        <v>3.68</v>
        <stp/>
        <stp>C</stp>
        <stp>0</stp>
        <stp>KR103501GFC3</stp>
        <stp>세전수익률</stp>
        <stp>46246</stp>
        <stp>3.68</stp>
        <stp>세전수익률</stp>
        <tr r="H17" s="1"/>
      </tp>
      <tp>
        <v>6.1087999999999996</v>
        <stp/>
        <stp>C</stp>
        <stp>0</stp>
        <stp>KR103501GFC3</stp>
        <stp>Convexity</stp>
        <stp>46246</stp>
        <stp>3.68</stp>
        <stp>세전수익률</stp>
        <tr r="H27" s="1"/>
      </tp>
      <tp>
        <v>3.823</v>
        <stp/>
        <stp>P</stp>
        <stp>0</stp>
        <stp>BND</stp>
        <stp>KR103501GG62</stp>
        <stp>장내국채-현재수익률</stp>
        <stp/>
        <stp/>
        <tr r="J41" s="2"/>
      </tp>
      <tp>
        <v>4.2919999999999998</v>
        <stp/>
        <stp>P</stp>
        <stp>0</stp>
        <stp>BND</stp>
        <stp>KR103503GG60</stp>
        <stp>장내국채-현재수익률</stp>
        <stp/>
        <stp/>
        <tr r="Q14" s="2"/>
        <tr r="D32" s="2"/>
      </tp>
      <tp>
        <v>105.73</v>
        <stp/>
        <stp>P</stp>
        <stp>0</stp>
        <stp>FUT</stp>
        <stp>A6769000</stp>
        <stp>선물호가_현재가</stp>
        <stp/>
        <stp/>
        <tr r="E6" s="2"/>
        <tr r="C20" s="2"/>
        <tr r="C33" s="2"/>
      </tp>
      <tp>
        <v>103.21</v>
        <stp/>
        <stp>P</stp>
        <stp>0</stp>
        <stp>FUT</stp>
        <stp>A6569000</stp>
        <stp>선물호가_현재가</stp>
        <stp/>
        <stp/>
        <tr r="E5" s="2"/>
        <tr r="C42" s="2"/>
      </tp>
      <tp>
        <v>4.6289999999999996</v>
        <stp/>
        <stp>P</stp>
        <stp>0</stp>
        <stp>BND</stp>
        <stp>KR103501GG39</stp>
        <stp>장내국채-현재수익률</stp>
        <stp/>
        <stp/>
        <tr r="C11" s="2"/>
      </tp>
      <tp>
        <v>4.0419999999999998</v>
        <stp/>
        <stp>P</stp>
        <stp>0</stp>
        <stp>BND</stp>
        <stp>KR103503GG37</stp>
        <stp>장내국채-현재수익률</stp>
        <stp/>
        <stp/>
        <tr r="J43" s="2"/>
        <tr r="D51" s="2"/>
      </tp>
      <tp>
        <v>73.155699999999996</v>
        <stp/>
        <stp>C</stp>
        <stp>0</stp>
        <stp>KR103503GG60</stp>
        <stp>경과이자</stp>
        <stp>46246</stp>
        <stp>0</stp>
        <stp>세전수익률</stp>
        <tr r="F20" s="1"/>
      </tp>
      <tp>
        <v>9793.6774000000005</v>
        <stp/>
        <stp>C</stp>
        <stp>0</stp>
        <stp>KR103501GFC3</stp>
        <stp>Cleanprice</stp>
        <stp>46246</stp>
        <stp>3.68</stp>
        <stp>세전수익률</stp>
        <tr r="H22" s="1"/>
      </tp>
      <tp>
        <v>60116.761888000001</v>
        <stp/>
        <stp>C</stp>
        <stp>0</stp>
        <stp>KR103501GFC3</stp>
        <stp>금액Convexity</stp>
        <stp>46246</stp>
        <stp>3.68</stp>
        <stp>세전수익률</stp>
        <tr r="H26" s="1"/>
      </tp>
      <tp>
        <v>9762.6589999999997</v>
        <stp/>
        <stp>C</stp>
        <stp>0</stp>
        <stp>KR103501GF63</stp>
        <stp>Cleanprice</stp>
        <stp>46246</stp>
        <stp>3.6</stp>
        <stp>세전수익률</stp>
        <tr r="P22" s="1"/>
      </tp>
      <tp>
        <v>1.7275</v>
        <stp/>
        <stp>C</stp>
        <stp>0</stp>
        <stp>KR103501GF63</stp>
        <stp>bpv</stp>
        <stp>46246</stp>
        <stp>3.6</stp>
        <stp>세전수익률</stp>
        <tr r="P29" s="1"/>
      </tp>
      <tp>
        <v>5.4</v>
        <stp/>
        <stp>C</stp>
        <stp>0</stp>
        <stp>KR103501GF63</stp>
        <stp>경과세금</stp>
        <stp>46246</stp>
        <stp>3.6</stp>
        <stp>세전수익률</stp>
        <tr r="P21" s="1"/>
      </tp>
      <tp>
        <v>2.1840000000000002</v>
        <stp/>
        <stp>C</stp>
        <stp>0</stp>
        <stp>KR103501GFC3</stp>
        <stp>bpv</stp>
        <stp>46246</stp>
        <stp>3.68</stp>
        <stp>세전수익률</stp>
        <tr r="H29" s="1"/>
      </tp>
      <tp>
        <v>38.729500000000002</v>
        <stp/>
        <stp>C</stp>
        <stp>0</stp>
        <stp>KR103501GF63</stp>
        <stp>경과이자</stp>
        <stp>46246</stp>
        <stp>3.6</stp>
        <stp>세전수익률</stp>
        <tr r="P20" s="1"/>
      </tp>
      <tp>
        <v>2.2191999999999998</v>
        <stp/>
        <stp>C</stp>
        <stp>0</stp>
        <stp>KR103501GFC3</stp>
        <stp>ModDuration</stp>
        <stp>46246</stp>
        <stp>3.68</stp>
        <stp>세전수익률</stp>
        <tr r="H25" s="1"/>
      </tp>
      <tp>
        <v>2.3008999999999999</v>
        <stp/>
        <stp>C</stp>
        <stp>0</stp>
        <stp>KR103501GFC3</stp>
        <stp>MacDuration</stp>
        <stp>46246</stp>
        <stp>3.68</stp>
        <stp>세전수익률</stp>
        <tr r="H24" s="1"/>
      </tp>
      <tp>
        <v>82.155299999999997</v>
        <stp/>
        <stp>C</stp>
        <stp>0</stp>
        <stp>KR103503GG60</stp>
        <stp>Convexity</stp>
        <stp>46246</stp>
        <stp>0</stp>
        <stp>세전수익률</stp>
        <tr r="F27" s="1"/>
      </tp>
      <tp>
        <v>4.0090000000000003</v>
        <stp/>
        <stp>C</stp>
        <stp>0</stp>
        <stp>KR103501GF63</stp>
        <stp>Convexity</stp>
        <stp>46246</stp>
        <stp>3.6</stp>
        <stp>세전수익률</stp>
        <tr r="P27" s="1"/>
      </tp>
      <tp>
        <v>14176.8442</v>
        <stp/>
        <stp>C</stp>
        <stp>0</stp>
        <stp>KR103503GG60</stp>
        <stp>Cleanprice</stp>
        <stp>46246</stp>
        <stp>0</stp>
        <stp>세전수익률</stp>
        <tr r="F22" s="1"/>
      </tp>
      <tp>
        <v>9841.01</v>
        <stp/>
        <stp>C</stp>
        <stp>0</stp>
        <stp>KR103501GFC3</stp>
        <stp>세전단가</stp>
        <stp>46246</stp>
        <stp>3.68</stp>
        <stp>세전수익률</stp>
        <tr r="H18" s="1"/>
      </tp>
      <tp>
        <v>9834.4</v>
        <stp/>
        <stp>C</stp>
        <stp>0</stp>
        <stp>KR103501GFC3</stp>
        <stp>세후단가</stp>
        <stp>46246</stp>
        <stp>3.68</stp>
        <stp>세전수익률</stp>
        <tr r="H19" s="1"/>
      </tp>
      <tp>
        <v>3.6185999999999998</v>
        <stp/>
        <stp>C</stp>
        <stp>0</stp>
        <stp>KR103503GF95</stp>
        <stp>bpv</stp>
        <stp>46246</stp>
        <stp>3.927</stp>
        <stp>세전수익률</stp>
        <tr r="X29" s="1"/>
      </tp>
      <tp>
        <v>6.4306999999999999</v>
        <stp/>
        <stp>C</stp>
        <stp>0</stp>
        <stp>KR103502GE63</stp>
        <stp>bpv</stp>
        <stp>46246</stp>
        <stp>4.207</stp>
        <stp>세전수익률</stp>
        <tr r="T29" s="1"/>
      </tp>
      <tp>
        <v>7.9861000000000004</v>
        <stp/>
        <stp>C</stp>
        <stp>0</stp>
        <stp>KR103503GG60</stp>
        <stp>bpv</stp>
        <stp>46246</stp>
        <stp>4.224</stp>
        <stp>세전수익률</stp>
        <tr r="V29" s="1"/>
      </tp>
      <tp>
        <v>7.3194999999999997</v>
        <stp/>
        <stp>C</stp>
        <stp>0</stp>
        <stp>KR103502GFC1</stp>
        <stp>bpv</stp>
        <stp>46246</stp>
        <stp>4.207</stp>
        <stp>세전수익률</stp>
        <tr r="L29" s="1"/>
      </tp>
      <tp>
        <v>6.8265000000000002</v>
        <stp/>
        <stp>C</stp>
        <stp>0</stp>
        <stp>KR103502GF62</stp>
        <stp>bpv</stp>
        <stp>46246</stp>
        <stp>4.185</stp>
        <stp>세전수익률</stp>
        <tr r="N29" s="1"/>
      </tp>
      <tp>
        <v>4.0857999999999999</v>
        <stp/>
        <stp>C</stp>
        <stp>0</stp>
        <stp>KR103503GG37</stp>
        <stp>bpv</stp>
        <stp>46246</stp>
        <stp>3.991</stp>
        <stp>세전수익률</stp>
        <tr r="R29" s="1"/>
      </tp>
      <tp>
        <v>1.2688999999999999</v>
        <stp/>
        <stp>C</stp>
        <stp>0</stp>
        <stp>KR103501GEC6</stp>
        <stp>bpv</stp>
        <stp>46246</stp>
        <stp>3.991</stp>
        <stp>세전수익률</stp>
        <tr r="J29" s="1"/>
      </tp>
      <tp>
        <v>8.1813000000000002</v>
        <stp/>
        <stp>C</stp>
        <stp>0</stp>
        <stp>KR103502GFC1</stp>
        <stp>MacDuration</stp>
        <stp>46246</stp>
        <stp>4.207</stp>
        <stp>세전수익률</stp>
        <tr r="L24" s="1"/>
      </tp>
      <tp>
        <v>1170713.0249999999</v>
        <stp/>
        <stp>C</stp>
        <stp>0</stp>
        <stp>KR103503GG60</stp>
        <stp>금액Convexity</stp>
        <stp>46246</stp>
        <stp>0</stp>
        <stp>세전수익률</stp>
        <tr r="F26" s="1"/>
      </tp>
      <tp>
        <v>4.1327999999999996</v>
        <stp/>
        <stp>C</stp>
        <stp>0</stp>
        <stp>KR103503GG37</stp>
        <stp>ModDuration</stp>
        <stp>46246</stp>
        <stp>3.991</stp>
        <stp>세전수익률</stp>
        <tr r="R25" s="1"/>
      </tp>
      <tp>
        <v>7.9885999999999999</v>
        <stp/>
        <stp>C</stp>
        <stp>0</stp>
        <stp>KR103502GF62</stp>
        <stp>MacDuration</stp>
        <stp>46246</stp>
        <stp>4.185</stp>
        <stp>세전수익률</stp>
        <tr r="N24" s="1"/>
      </tp>
      <tp>
        <v>1.2809999999999999</v>
        <stp/>
        <stp>C</stp>
        <stp>0</stp>
        <stp>KR103501GEC6</stp>
        <stp>ModDuration</stp>
        <stp>46246</stp>
        <stp>3.991</stp>
        <stp>세전수익률</stp>
        <tr r="J25" s="1"/>
      </tp>
      <tp>
        <v>3.9289000000000001</v>
        <stp/>
        <stp>C</stp>
        <stp>0</stp>
        <stp>KR103503GF95</stp>
        <stp>MacDuration</stp>
        <stp>46246</stp>
        <stp>3.927</stp>
        <stp>세전수익률</stp>
        <tr r="X24" s="1"/>
      </tp>
      <tp>
        <v>6.9863</v>
        <stp/>
        <stp>C</stp>
        <stp>0</stp>
        <stp>KR103502GE63</stp>
        <stp>MacDuration</stp>
        <stp>46246</stp>
        <stp>4.207</stp>
        <stp>세전수익률</stp>
        <tr r="T24" s="1"/>
      </tp>
      <tp>
        <v>8.2468000000000004</v>
        <stp/>
        <stp>C</stp>
        <stp>0</stp>
        <stp>KR103503GG60</stp>
        <stp>MacDuration</stp>
        <stp>46246</stp>
        <stp>4.224</stp>
        <stp>세전수익률</stp>
        <tr r="V24" s="1"/>
      </tp>
      <tp>
        <v>7.9126000000000003</v>
        <stp/>
        <stp>C</stp>
        <stp>0</stp>
        <stp>KR103503GG60</stp>
        <stp>ModDuration</stp>
        <stp>46246</stp>
        <stp>4.224</stp>
        <stp>세전수익률</stp>
        <tr r="V25" s="1"/>
      </tp>
      <tp>
        <v>1.3065</v>
        <stp/>
        <stp>C</stp>
        <stp>0</stp>
        <stp>KR103501GEC6</stp>
        <stp>MacDuration</stp>
        <stp>46246</stp>
        <stp>3.991</stp>
        <stp>세전수익률</stp>
        <tr r="J24" s="1"/>
      </tp>
      <tp>
        <v>3.7805</v>
        <stp/>
        <stp>C</stp>
        <stp>0</stp>
        <stp>KR103503GF95</stp>
        <stp>ModDuration</stp>
        <stp>46246</stp>
        <stp>3.927</stp>
        <stp>세전수익률</stp>
        <tr r="X25" s="1"/>
      </tp>
      <tp>
        <v>6.7042999999999999</v>
        <stp/>
        <stp>C</stp>
        <stp>0</stp>
        <stp>KR103502GE63</stp>
        <stp>ModDuration</stp>
        <stp>46246</stp>
        <stp>4.207</stp>
        <stp>세전수익률</stp>
        <tr r="T25" s="1"/>
      </tp>
      <tp>
        <v>4.2976999999999999</v>
        <stp/>
        <stp>C</stp>
        <stp>0</stp>
        <stp>KR103503GG37</stp>
        <stp>MacDuration</stp>
        <stp>46246</stp>
        <stp>3.991</stp>
        <stp>세전수익률</stp>
        <tr r="R24" s="1"/>
      </tp>
      <tp>
        <v>7.6677</v>
        <stp/>
        <stp>C</stp>
        <stp>0</stp>
        <stp>KR103502GF62</stp>
        <stp>ModDuration</stp>
        <stp>46246</stp>
        <stp>4.185</stp>
        <stp>세전수익률</stp>
        <tr r="N25" s="1"/>
      </tp>
      <tp>
        <v>119859.6</v>
        <stp/>
        <stp>C</stp>
        <stp>0</stp>
        <stp>KR103503GG60</stp>
        <stp>금액Duration</stp>
        <stp>46246</stp>
        <stp>0</stp>
        <stp>세전수익률</stp>
        <tr r="F23" s="1"/>
      </tp>
      <tp>
        <v>7.851</v>
        <stp/>
        <stp>C</stp>
        <stp>0</stp>
        <stp>KR103502GFC1</stp>
        <stp>ModDuration</stp>
        <stp>46246</stp>
        <stp>4.207</stp>
        <stp>세전수익률</stp>
        <tr r="L25" s="1"/>
      </tp>
      <tp t="s">
        <v/>
        <stp/>
        <stp>P</stp>
        <stp>0</stp>
        <stp>FUT</stp>
        <stp>170V6000</stp>
        <stp>선물호가_현재가</stp>
        <stp/>
        <stp/>
        <tr r="C88" s="2"/>
      </tp>
      <tp>
        <v>40857.687360000004</v>
        <stp/>
        <stp>C</stp>
        <stp>0</stp>
        <stp>KR103503GG37</stp>
        <stp>금액Duration</stp>
        <stp>46246</stp>
        <stp>3.991</stp>
        <stp>세전수익률</stp>
        <tr r="R23" s="1"/>
      </tp>
      <tp>
        <v>755026.896542</v>
        <stp/>
        <stp>C</stp>
        <stp>0</stp>
        <stp>KR103503GG60</stp>
        <stp>금액Convexity</stp>
        <stp>46246</stp>
        <stp>4.224</stp>
        <stp>세전수익률</stp>
        <tr r="V26" s="1"/>
      </tp>
      <tp>
        <v>501665.26317599998</v>
        <stp/>
        <stp>C</stp>
        <stp>0</stp>
        <stp>KR103502GE63</stp>
        <stp>금액Convexity</stp>
        <stp>46246</stp>
        <stp>4.207</stp>
        <stp>세전수익률</stp>
        <tr r="T26" s="1"/>
      </tp>
      <tp>
        <v>160006.417644</v>
        <stp/>
        <stp>C</stp>
        <stp>0</stp>
        <stp>KR103503GF95</stp>
        <stp>금액Convexity</stp>
        <stp>46246</stp>
        <stp>3.927</stp>
        <stp>세전수익률</stp>
        <tr r="X26" s="1"/>
      </tp>
      <tp>
        <v>599595.39687599998</v>
        <stp/>
        <stp>C</stp>
        <stp>0</stp>
        <stp>KR103502GF62</stp>
        <stp>금액Convexity</stp>
        <stp>46246</stp>
        <stp>4.185</stp>
        <stp>세전수익률</stp>
        <tr r="N26" s="1"/>
      </tp>
      <tp>
        <v>8.4111999999999991</v>
        <stp/>
        <stp>C</stp>
        <stp>0</stp>
        <stp>KR103503GG60</stp>
        <stp>MacDuration</stp>
        <stp>46246</stp>
        <stp>0</stp>
        <stp>세전수익률</stp>
        <tr r="F24" s="1"/>
      </tp>
      <tp>
        <v>669698.63105600001</v>
        <stp/>
        <stp>C</stp>
        <stp>0</stp>
        <stp>KR103502GFC1</stp>
        <stp>금액Convexity</stp>
        <stp>46246</stp>
        <stp>4.207</stp>
        <stp>세전수익률</stp>
        <tr r="L26" s="1"/>
      </tp>
      <tp>
        <v>8.4111999999999991</v>
        <stp/>
        <stp>C</stp>
        <stp>0</stp>
        <stp>KR103503GG60</stp>
        <stp>ModDuration</stp>
        <stp>46246</stp>
        <stp>0</stp>
        <stp>세전수익률</stp>
        <tr r="F25" s="1"/>
      </tp>
      <tp>
        <v>64307.377428</v>
        <stp/>
        <stp>C</stp>
        <stp>0</stp>
        <stp>KR103502GE63</stp>
        <stp>금액Duration</stp>
        <stp>46246</stp>
        <stp>4.207</stp>
        <stp>세전수익률</stp>
        <tr r="T23" s="1"/>
      </tp>
      <tp t="s">
        <v/>
        <stp/>
        <stp>P</stp>
        <stp>0</stp>
        <stp>FUT</stp>
        <stp>170V3000</stp>
        <stp>선물호가_현재가</stp>
        <stp/>
        <stp/>
        <tr r="C93" s="2"/>
      </tp>
      <tp>
        <v>198733.38102</v>
        <stp/>
        <stp>C</stp>
        <stp>0</stp>
        <stp>KR103503GG37</stp>
        <stp>금액Convexity</stp>
        <stp>46246</stp>
        <stp>3.991</stp>
        <stp>세전수익률</stp>
        <tr r="R26" s="1"/>
      </tp>
      <tp>
        <v>68264.689652999994</v>
        <stp/>
        <stp>C</stp>
        <stp>0</stp>
        <stp>KR103502GF62</stp>
        <stp>금액Duration</stp>
        <stp>46246</stp>
        <stp>4.185</stp>
        <stp>세전수익률</stp>
        <tr r="N23" s="1"/>
      </tp>
      <tp>
        <v>22639.660189999999</v>
        <stp/>
        <stp>C</stp>
        <stp>0</stp>
        <stp>KR103501GEC6</stp>
        <stp>금액Convexity</stp>
        <stp>46246</stp>
        <stp>3.991</stp>
        <stp>세전수익률</stp>
        <tr r="J26" s="1"/>
      </tp>
      <tp>
        <v>79861.001413999998</v>
        <stp/>
        <stp>C</stp>
        <stp>0</stp>
        <stp>KR103503GG60</stp>
        <stp>금액Duration</stp>
        <stp>46246</stp>
        <stp>4.224</stp>
        <stp>세전수익률</stp>
        <tr r="V23" s="1"/>
      </tp>
      <tp>
        <v>36186.492339999997</v>
        <stp/>
        <stp>C</stp>
        <stp>0</stp>
        <stp>KR103503GF95</stp>
        <stp>금액Duration</stp>
        <stp>46246</stp>
        <stp>3.927</stp>
        <stp>세전수익률</stp>
        <tr r="X23" s="1"/>
      </tp>
      <tp>
        <v>2.625</v>
        <stp/>
        <stp>P</stp>
        <stp>0</stp>
        <stp>BND</stp>
        <stp>KR103502GF62</stp>
        <stp>표면이율</stp>
        <stp/>
        <stp/>
        <tr r="N11" s="1"/>
      </tp>
      <tp>
        <v>2.25</v>
        <stp/>
        <stp>P</stp>
        <stp>0</stp>
        <stp>BND</stp>
        <stp>KR103501GF63</stp>
        <stp>표면이율</stp>
        <stp/>
        <stp/>
        <tr r="P11" s="1"/>
      </tp>
      <tp>
        <v>2.5</v>
        <stp/>
        <stp>P</stp>
        <stp>0</stp>
        <stp>BND</stp>
        <stp>KR103503GF95</stp>
        <stp>표면이율</stp>
        <stp/>
        <stp/>
        <tr r="X11" s="1"/>
      </tp>
      <tp>
        <v>3.25</v>
        <stp/>
        <stp>P</stp>
        <stp>0</stp>
        <stp>BND</stp>
        <stp>KR103502GFC1</stp>
        <stp>표면이율</stp>
        <stp/>
        <stp/>
        <tr r="L11" s="1"/>
      </tp>
      <tp>
        <v>2.75</v>
        <stp/>
        <stp>P</stp>
        <stp>0</stp>
        <stp>BND</stp>
        <stp>KR103501GFC3</stp>
        <stp>표면이율</stp>
        <stp/>
        <stp/>
        <tr r="H11" s="1"/>
      </tp>
      <tp>
        <v>4.25</v>
        <stp/>
        <stp>P</stp>
        <stp>0</stp>
        <stp>BND</stp>
        <stp>KR103503GG60</stp>
        <stp>표면이율</stp>
        <stp/>
        <stp/>
        <tr r="F11" s="1"/>
        <tr r="V11" s="1"/>
      </tp>
      <tp>
        <v>3.375</v>
        <stp/>
        <stp>P</stp>
        <stp>0</stp>
        <stp>BND</stp>
        <stp>KR103503GG37</stp>
        <stp>표면이율</stp>
        <stp/>
        <stp/>
        <tr r="R11" s="1"/>
      </tp>
      <tp>
        <v>3.5</v>
        <stp/>
        <stp>P</stp>
        <stp>0</stp>
        <stp>BND</stp>
        <stp>KR103502GE63</stp>
        <stp>표면이율</stp>
        <stp/>
        <stp/>
        <tr r="T11" s="1"/>
      </tp>
      <tp>
        <v>2.875</v>
        <stp/>
        <stp>P</stp>
        <stp>0</stp>
        <stp>BND</stp>
        <stp>KR103501GEC6</stp>
        <stp>표면이율</stp>
        <stp/>
        <stp/>
        <tr r="J11" s="1"/>
      </tp>
      <tp>
        <v>10019.7389</v>
        <stp/>
        <stp>C</stp>
        <stp>0</stp>
        <stp>KR103503GG60</stp>
        <stp>Cleanprice</stp>
        <stp>46246</stp>
        <stp>4.224</stp>
        <stp>세전수익률</stp>
        <tr r="V22" s="1"/>
      </tp>
      <tp>
        <v>8857.7111000000004</v>
        <stp/>
        <stp>C</stp>
        <stp>0</stp>
        <stp>KR103502GF62</stp>
        <stp>Cleanprice</stp>
        <stp>46246</stp>
        <stp>4.185</stp>
        <stp>세전수익률</stp>
        <tr r="N22" s="1"/>
      </tp>
      <tp>
        <v>9531.7237000000005</v>
        <stp/>
        <stp>C</stp>
        <stp>0</stp>
        <stp>KR103502GE63</stp>
        <stp>Cleanprice</stp>
        <stp>46246</stp>
        <stp>4.207</stp>
        <stp>세전수익률</stp>
        <tr r="T22" s="1"/>
      </tp>
      <tp>
        <v>9744.0526000000009</v>
        <stp/>
        <stp>C</stp>
        <stp>0</stp>
        <stp>KR103503GG37</stp>
        <stp>Cleanprice</stp>
        <stp>46246</stp>
        <stp>3.991</stp>
        <stp>세전수익률</stp>
        <tr r="R22" s="1"/>
      </tp>
      <tp>
        <v>9795.9</v>
        <stp/>
        <stp>C</stp>
        <stp>0</stp>
        <stp>KR103501GF63</stp>
        <stp>세후단가</stp>
        <stp>46246</stp>
        <stp>3.6</stp>
        <stp>세전수익률</stp>
        <tr r="P19" s="1"/>
      </tp>
      <tp>
        <v>11.986000000000001</v>
        <stp/>
        <stp>C</stp>
        <stp>0</stp>
        <stp>KR103503GG60</stp>
        <stp>bpv</stp>
        <stp>46246</stp>
        <stp>0</stp>
        <stp>세전수익률</stp>
        <tr r="F29" s="1"/>
      </tp>
      <tp>
        <v>9466.5831999999991</v>
        <stp/>
        <stp>C</stp>
        <stp>0</stp>
        <stp>KR103503GF95</stp>
        <stp>Cleanprice</stp>
        <stp>46246</stp>
        <stp>3.927</stp>
        <stp>세전수익률</stp>
        <tr r="X2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5" fmlaLink="$B$4" fmlaRange="$B$5:$B$10" sel="1" val="0"/>
</file>

<file path=xl/ctrlProps/ctrlProp2.xml><?xml version="1.0" encoding="utf-8"?>
<formControlPr xmlns="http://schemas.microsoft.com/office/spreadsheetml/2009/9/main" objectType="Drop" dropLines="10" dropStyle="combo" dx="15" fmlaLink="$C$34" fmlaRange="$B$34:$B$42" sel="3" val="0"/>
</file>

<file path=xl/ctrlProps/ctrlProp3.xml><?xml version="1.0" encoding="utf-8"?>
<formControlPr xmlns="http://schemas.microsoft.com/office/spreadsheetml/2009/9/main" objectType="Drop" dropLines="10" dropStyle="combo" dx="15" fmlaLink="$C$35" fmlaRange="$B$34:$B$42" sel="3" val="0"/>
</file>

<file path=xl/ctrlProps/ctrlProp4.xml><?xml version="1.0" encoding="utf-8"?>
<formControlPr xmlns="http://schemas.microsoft.com/office/spreadsheetml/2009/9/main" objectType="Drop" dropLines="10" dropStyle="combo" dx="15" fmlaLink="$C$36" fmlaRange="$B$34:$B$42" sel="3" val="0"/>
</file>

<file path=xl/ctrlProps/ctrlProp5.xml><?xml version="1.0" encoding="utf-8"?>
<formControlPr xmlns="http://schemas.microsoft.com/office/spreadsheetml/2009/9/main" objectType="Drop" dropLines="10" dropStyle="combo" dx="15" fmlaLink="$C$37" fmlaRange="$B$34:$B$42" sel="3" val="0"/>
</file>

<file path=xl/ctrlProps/ctrlProp6.xml><?xml version="1.0" encoding="utf-8"?>
<formControlPr xmlns="http://schemas.microsoft.com/office/spreadsheetml/2009/9/main" objectType="Drop" dropLines="10" dropStyle="combo" dx="15" fmlaLink="$C$38" fmlaRange="$B$34:$B$42" sel="3" val="0"/>
</file>

<file path=xl/ctrlProps/ctrlProp7.xml><?xml version="1.0" encoding="utf-8"?>
<formControlPr xmlns="http://schemas.microsoft.com/office/spreadsheetml/2009/9/main" objectType="Drop" dropLines="10" dropStyle="combo" dx="15" fmlaLink="$C$39" fmlaRange="$B$34:$B$42" sel="3" val="0"/>
</file>

<file path=xl/ctrlProps/ctrlProp8.xml><?xml version="1.0" encoding="utf-8"?>
<formControlPr xmlns="http://schemas.microsoft.com/office/spreadsheetml/2009/9/main" objectType="Drop" dropLines="10" dropStyle="combo" dx="15" fmlaLink="$C$40" fmlaRange="$B$34:$B$42" sel="3" val="0"/>
</file>

<file path=xl/ctrlProps/ctrlProp9.xml><?xml version="1.0" encoding="utf-8"?>
<formControlPr xmlns="http://schemas.microsoft.com/office/spreadsheetml/2009/9/main" objectType="Drop" dropLines="10" dropStyle="combo" dx="15" fmlaLink="$C$41" fmlaRange="$B$34:$B$42" sel="3" val="0"/>
</file>

<file path=xl/ctrlProps/ctrlProp10.xml><?xml version="1.0" encoding="utf-8"?>
<formControlPr xmlns="http://schemas.microsoft.com/office/spreadsheetml/2009/9/main" objectType="Drop" dropLines="10" dropStyle="combo" dx="15" fmlaLink="$C$17" fmlaRange="$C$18:$C$26" sel="1" val="0"/>
</file>

<file path=xl/ctrlProps/ctrlProp11.xml><?xml version="1.0" encoding="utf-8"?>
<formControlPr xmlns="http://schemas.microsoft.com/office/spreadsheetml/2009/9/main" objectType="Drop" dropLines="10" dropStyle="combo" dx="15" fmlaLink="$C$41" fmlaRange="$B$34:$B$42" sel="3" val="0"/>
</file>

<file path=xl/ctrlProps/ctrlProp12.xml><?xml version="1.0" encoding="utf-8"?>
<formControlPr xmlns="http://schemas.microsoft.com/office/spreadsheetml/2009/9/main" objectType="Drop" dropLines="10" dropStyle="combo" dx="15" fmlaLink="$C$41" fmlaRange="$B$34:$B$42" sel="3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44824</xdr:colOff>
      <xdr:row>19</xdr:row>
      <xdr:rowOff>0</xdr:rowOff>
    </xdr:from>
    <xdr:to>
      <xdr:col>8</xdr:col>
      <xdr:colOff>437030</xdr:colOff>
      <xdr:row>26</xdr:row>
      <xdr:rowOff>44824</xdr:rowOff>
    </xdr:to>
    <xdr:cxnSp macro="">
      <xdr:nvCxnSpPr>
        <xdr:cNvPr id="2" name="직선 화살표 연결선 1"/>
        <xdr:cNvCxnSpPr/>
      </xdr:nvCxnSpPr>
      <xdr:spPr>
        <a:xfrm flipV="1">
          <a:off x="7140949" y="3429000"/>
          <a:ext cx="1182781" cy="1244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784413</xdr:colOff>
      <xdr:row>0</xdr:row>
      <xdr:rowOff>56031</xdr:rowOff>
    </xdr:from>
    <xdr:to>
      <xdr:col>3</xdr:col>
      <xdr:colOff>638737</xdr:colOff>
      <xdr:row>1</xdr:row>
      <xdr:rowOff>212913</xdr:rowOff>
    </xdr:to>
    <xdr:sp macro="[0]!삭제" textlink="">
      <xdr:nvSpPr>
        <xdr:cNvPr id="3" name="빗면 2"/>
        <xdr:cNvSpPr/>
      </xdr:nvSpPr>
      <xdr:spPr>
        <a:xfrm>
          <a:off x="2980766" y="56031"/>
          <a:ext cx="705971" cy="32497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 b="1"/>
            <a:t>삭제</a:t>
          </a:r>
        </a:p>
      </xdr:txBody>
    </xdr:sp>
    <xdr:clientData/>
  </xdr:twoCellAnchor>
  <xdr:twoCellAnchor>
    <xdr:from>
      <xdr:col>6</xdr:col>
      <xdr:colOff>22411</xdr:colOff>
      <xdr:row>52</xdr:row>
      <xdr:rowOff>33618</xdr:rowOff>
    </xdr:from>
    <xdr:to>
      <xdr:col>8</xdr:col>
      <xdr:colOff>235323</xdr:colOff>
      <xdr:row>56</xdr:row>
      <xdr:rowOff>100853</xdr:rowOff>
    </xdr:to>
    <xdr:cxnSp macro="">
      <xdr:nvCxnSpPr>
        <xdr:cNvPr id="4" name="직선 화살표 연결선 3"/>
        <xdr:cNvCxnSpPr/>
      </xdr:nvCxnSpPr>
      <xdr:spPr>
        <a:xfrm>
          <a:off x="6146986" y="9291918"/>
          <a:ext cx="1975037" cy="75303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806824</xdr:colOff>
      <xdr:row>0</xdr:row>
      <xdr:rowOff>67235</xdr:rowOff>
    </xdr:from>
    <xdr:to>
      <xdr:col>4</xdr:col>
      <xdr:colOff>703059</xdr:colOff>
      <xdr:row>1</xdr:row>
      <xdr:rowOff>214592</xdr:rowOff>
    </xdr:to>
    <xdr:sp macro="[0]!StartForestBondWatcher" textlink="">
      <xdr:nvSpPr>
        <xdr:cNvPr id="5" name="빗면 4"/>
        <xdr:cNvSpPr/>
      </xdr:nvSpPr>
      <xdr:spPr>
        <a:xfrm>
          <a:off x="3854824" y="67235"/>
          <a:ext cx="972000" cy="315445"/>
        </a:xfrm>
        <a:prstGeom prst="bevel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 b="1"/>
            <a:t>KBond Start</a:t>
          </a:r>
          <a:endParaRPr lang="ko-KR" altLang="en-US" sz="1100" b="1"/>
        </a:p>
      </xdr:txBody>
    </xdr:sp>
    <xdr:clientData/>
  </xdr:twoCellAnchor>
  <xdr:twoCellAnchor>
    <xdr:from>
      <xdr:col>5</xdr:col>
      <xdr:colOff>152399</xdr:colOff>
      <xdr:row>0</xdr:row>
      <xdr:rowOff>62753</xdr:rowOff>
    </xdr:from>
    <xdr:to>
      <xdr:col>5</xdr:col>
      <xdr:colOff>1124399</xdr:colOff>
      <xdr:row>1</xdr:row>
      <xdr:rowOff>210110</xdr:rowOff>
    </xdr:to>
    <xdr:sp macro="[0]!StopForestBondWatcher" textlink="">
      <xdr:nvSpPr>
        <xdr:cNvPr id="6" name="빗면 5"/>
        <xdr:cNvSpPr/>
      </xdr:nvSpPr>
      <xdr:spPr>
        <a:xfrm>
          <a:off x="4993340" y="62753"/>
          <a:ext cx="972000" cy="315445"/>
        </a:xfrm>
        <a:prstGeom prst="bevel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100" b="1"/>
            <a:t>KBond Stop</a:t>
          </a:r>
          <a:endParaRPr lang="ko-KR" alt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9525</xdr:rowOff>
        </xdr:from>
        <xdr:to>
          <xdr:col>4</xdr:col>
          <xdr:colOff>904875</xdr:colOff>
          <xdr:row>13</xdr:row>
          <xdr:rowOff>209550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32</xdr:row>
          <xdr:rowOff>9525</xdr:rowOff>
        </xdr:from>
        <xdr:to>
          <xdr:col>6</xdr:col>
          <xdr:colOff>457200</xdr:colOff>
          <xdr:row>33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32</xdr:row>
          <xdr:rowOff>9525</xdr:rowOff>
        </xdr:from>
        <xdr:to>
          <xdr:col>8</xdr:col>
          <xdr:colOff>476250</xdr:colOff>
          <xdr:row>32</xdr:row>
          <xdr:rowOff>228600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485775</xdr:colOff>
          <xdr:row>32</xdr:row>
          <xdr:rowOff>9525</xdr:rowOff>
        </xdr:from>
        <xdr:to>
          <xdr:col>11</xdr:col>
          <xdr:colOff>9525</xdr:colOff>
          <xdr:row>32</xdr:row>
          <xdr:rowOff>219075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32</xdr:row>
          <xdr:rowOff>9525</xdr:rowOff>
        </xdr:from>
        <xdr:to>
          <xdr:col>12</xdr:col>
          <xdr:colOff>438150</xdr:colOff>
          <xdr:row>32</xdr:row>
          <xdr:rowOff>219075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9525</xdr:rowOff>
        </xdr:from>
        <xdr:to>
          <xdr:col>14</xdr:col>
          <xdr:colOff>428625</xdr:colOff>
          <xdr:row>32</xdr:row>
          <xdr:rowOff>228600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32</xdr:row>
          <xdr:rowOff>9525</xdr:rowOff>
        </xdr:from>
        <xdr:to>
          <xdr:col>16</xdr:col>
          <xdr:colOff>438150</xdr:colOff>
          <xdr:row>32</xdr:row>
          <xdr:rowOff>228600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32</xdr:row>
          <xdr:rowOff>9525</xdr:rowOff>
        </xdr:from>
        <xdr:to>
          <xdr:col>18</xdr:col>
          <xdr:colOff>438150</xdr:colOff>
          <xdr:row>32</xdr:row>
          <xdr:rowOff>219075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32</xdr:row>
          <xdr:rowOff>9525</xdr:rowOff>
        </xdr:from>
        <xdr:to>
          <xdr:col>21</xdr:col>
          <xdr:colOff>0</xdr:colOff>
          <xdr:row>32</xdr:row>
          <xdr:rowOff>219075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15</xdr:row>
          <xdr:rowOff>9525</xdr:rowOff>
        </xdr:from>
        <xdr:to>
          <xdr:col>4</xdr:col>
          <xdr:colOff>914400</xdr:colOff>
          <xdr:row>15</xdr:row>
          <xdr:rowOff>219075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9525</xdr:colOff>
          <xdr:row>32</xdr:row>
          <xdr:rowOff>9525</xdr:rowOff>
        </xdr:from>
        <xdr:to>
          <xdr:col>23</xdr:col>
          <xdr:colOff>0</xdr:colOff>
          <xdr:row>32</xdr:row>
          <xdr:rowOff>219075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9525</xdr:colOff>
          <xdr:row>32</xdr:row>
          <xdr:rowOff>9525</xdr:rowOff>
        </xdr:from>
        <xdr:to>
          <xdr:col>25</xdr:col>
          <xdr:colOff>0</xdr:colOff>
          <xdr:row>32</xdr:row>
          <xdr:rowOff>219075</xdr:rowOff>
        </xdr:to>
        <xdr:sp macro="" textlink="">
          <xdr:nvSpPr>
            <xdr:cNvPr id="1036" name="Drop Down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0629;&#47924;(&#52292;&#44428;&#48512;)/&#45936;&#51068;&#47532;&#49884;&#54889;/daily%20Check%20v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정리"/>
      <sheetName val="트레이딩"/>
      <sheetName val="대차현황"/>
      <sheetName val="입찰 및 붙은커브"/>
      <sheetName val="채권단가계산표"/>
      <sheetName val="10-3선 55분 data_커브전략수립"/>
      <sheetName val="기타일정"/>
      <sheetName val="손익계산"/>
      <sheetName val="Inputs"/>
      <sheetName val="Calc"/>
      <sheetName val="Summary"/>
      <sheetName val="잡다"/>
      <sheetName val="Sheet2"/>
      <sheetName val="Sheet3"/>
      <sheetName val="시황"/>
      <sheetName val="수급"/>
      <sheetName val="25년계획"/>
      <sheetName val="Sheet4"/>
    </sheetNames>
    <sheetDataSet>
      <sheetData sheetId="0"/>
      <sheetData sheetId="1">
        <row r="19">
          <cell r="D19">
            <v>4.1849999999999996</v>
          </cell>
        </row>
        <row r="25">
          <cell r="D25">
            <v>4.2069999999999999</v>
          </cell>
        </row>
        <row r="32">
          <cell r="D32">
            <v>4.2240000000000002</v>
          </cell>
        </row>
        <row r="41">
          <cell r="D41">
            <v>3.68</v>
          </cell>
        </row>
        <row r="46">
          <cell r="D46">
            <v>3.6</v>
          </cell>
        </row>
        <row r="51">
          <cell r="D51">
            <v>3.9910000000000001</v>
          </cell>
        </row>
        <row r="56">
          <cell r="D56">
            <v>3.927</v>
          </cell>
        </row>
      </sheetData>
      <sheetData sheetId="2"/>
      <sheetData sheetId="3"/>
      <sheetData sheetId="4">
        <row r="18">
          <cell r="H18">
            <v>9840.0300000000007</v>
          </cell>
          <cell r="L18">
            <v>9321.9599999999991</v>
          </cell>
          <cell r="N18">
            <v>8901.89</v>
          </cell>
          <cell r="P18">
            <v>9800.43</v>
          </cell>
          <cell r="R18" t="str">
            <v>...</v>
          </cell>
          <cell r="X18">
            <v>9570.86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6" Type="http://schemas.openxmlformats.org/officeDocument/2006/relationships/comments" Target="../comments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F107"/>
  <sheetViews>
    <sheetView tabSelected="1" zoomScale="85" zoomScaleNormal="85" workbookViewId="0">
      <selection activeCell="G1" sqref="G1"/>
    </sheetView>
  </sheetViews>
  <sheetFormatPr defaultRowHeight="13.5" x14ac:dyDescent="0.25"/>
  <cols>
    <col min="1" max="1" width="18.140625" customWidth="1"/>
    <col min="2" max="2" width="14.85546875" bestFit="1" customWidth="1"/>
    <col min="3" max="3" width="12.7109375" bestFit="1" customWidth="1"/>
    <col min="4" max="4" width="16.140625" bestFit="1" customWidth="1"/>
    <col min="5" max="5" width="10.7109375" bestFit="1" customWidth="1"/>
    <col min="6" max="6" width="19.28515625" bestFit="1" customWidth="1"/>
    <col min="7" max="10" width="14.85546875" customWidth="1"/>
    <col min="11" max="11" width="1.7109375" style="37" customWidth="1"/>
    <col min="12" max="12" width="2" style="38" customWidth="1"/>
    <col min="13" max="13" width="19.140625" customWidth="1"/>
    <col min="14" max="14" width="22.42578125" bestFit="1" customWidth="1"/>
    <col min="15" max="15" width="15.42578125" bestFit="1" customWidth="1"/>
    <col min="16" max="16" width="17.7109375" customWidth="1"/>
    <col min="17" max="17" width="20" bestFit="1" customWidth="1"/>
    <col min="18" max="18" width="18.42578125" customWidth="1"/>
    <col min="19" max="19" width="19.42578125" bestFit="1" customWidth="1"/>
    <col min="20" max="20" width="15.42578125" bestFit="1" customWidth="1"/>
    <col min="21" max="21" width="14.28515625" bestFit="1" customWidth="1"/>
    <col min="22" max="23" width="15.42578125" bestFit="1" customWidth="1"/>
    <col min="24" max="24" width="13.7109375" bestFit="1" customWidth="1"/>
    <col min="25" max="25" width="19.42578125" bestFit="1" customWidth="1"/>
    <col min="26" max="26" width="13.28515625" bestFit="1" customWidth="1"/>
    <col min="27" max="27" width="11.42578125" customWidth="1"/>
    <col min="28" max="28" width="16.42578125" bestFit="1" customWidth="1"/>
    <col min="29" max="29" width="17.85546875" customWidth="1"/>
    <col min="30" max="30" width="14.28515625" bestFit="1" customWidth="1"/>
    <col min="31" max="31" width="16.42578125" bestFit="1" customWidth="1"/>
  </cols>
  <sheetData>
    <row r="1" spans="1:30" x14ac:dyDescent="0.25">
      <c r="B1" s="35"/>
      <c r="E1" s="36"/>
      <c r="G1" s="427" t="s">
        <v>336</v>
      </c>
      <c r="H1" s="427" t="s">
        <v>331</v>
      </c>
      <c r="I1" s="427" t="s">
        <v>332</v>
      </c>
      <c r="J1" s="427" t="s">
        <v>333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</row>
    <row r="2" spans="1:30" ht="17.25" customHeight="1" x14ac:dyDescent="0.25">
      <c r="A2" s="38"/>
      <c r="B2" s="39"/>
      <c r="C2" s="40"/>
      <c r="E2" s="38"/>
      <c r="F2" s="38"/>
      <c r="G2" s="248" t="s">
        <v>334</v>
      </c>
      <c r="H2" s="248"/>
      <c r="I2" s="248"/>
      <c r="J2" s="248" t="s">
        <v>335</v>
      </c>
      <c r="M2" s="38"/>
      <c r="N2" s="28">
        <f ca="1">TODAY()</f>
        <v>46245</v>
      </c>
      <c r="O2" s="28">
        <v>45953</v>
      </c>
      <c r="P2">
        <f ca="1">O2-N2</f>
        <v>-292</v>
      </c>
      <c r="Q2" s="30">
        <v>640000</v>
      </c>
      <c r="R2" s="41">
        <f>Q2-O5</f>
        <v>-207030.1369863014</v>
      </c>
      <c r="S2" s="30">
        <f ca="1">R2*P2</f>
        <v>60452800.000000007</v>
      </c>
    </row>
    <row r="3" spans="1:30" x14ac:dyDescent="0.25">
      <c r="A3" s="42" t="s">
        <v>77</v>
      </c>
      <c r="J3" s="43"/>
      <c r="K3" s="44"/>
      <c r="L3" s="45"/>
      <c r="M3" s="45"/>
      <c r="N3" s="46"/>
      <c r="O3" s="47"/>
      <c r="P3" s="48"/>
      <c r="Q3" s="49"/>
      <c r="U3" s="50" t="s">
        <v>78</v>
      </c>
      <c r="AD3" s="51"/>
    </row>
    <row r="4" spans="1:30" x14ac:dyDescent="0.25">
      <c r="A4" s="52" t="s">
        <v>79</v>
      </c>
      <c r="B4" s="52" t="s">
        <v>80</v>
      </c>
      <c r="C4" s="52" t="s">
        <v>81</v>
      </c>
      <c r="D4" s="52" t="s">
        <v>82</v>
      </c>
      <c r="E4" s="52" t="s">
        <v>83</v>
      </c>
      <c r="F4" s="52" t="s">
        <v>84</v>
      </c>
      <c r="G4" s="52" t="s">
        <v>85</v>
      </c>
      <c r="H4" s="52" t="s">
        <v>86</v>
      </c>
      <c r="I4" s="52" t="s">
        <v>87</v>
      </c>
      <c r="J4" s="52" t="s">
        <v>88</v>
      </c>
      <c r="K4" s="53"/>
      <c r="L4" s="51"/>
      <c r="M4" s="52" t="s">
        <v>89</v>
      </c>
      <c r="N4" s="52" t="s">
        <v>90</v>
      </c>
      <c r="O4" s="52" t="s">
        <v>91</v>
      </c>
      <c r="P4" s="54" t="s">
        <v>92</v>
      </c>
      <c r="R4" s="55"/>
      <c r="S4" s="54" t="s">
        <v>93</v>
      </c>
      <c r="U4" s="52" t="s">
        <v>94</v>
      </c>
      <c r="V4" s="56" t="s">
        <v>95</v>
      </c>
      <c r="W4" s="56" t="s">
        <v>96</v>
      </c>
      <c r="X4" s="56" t="s">
        <v>97</v>
      </c>
      <c r="Y4" s="56" t="s">
        <v>98</v>
      </c>
      <c r="Z4" s="57" t="s">
        <v>99</v>
      </c>
      <c r="AA4" s="57" t="s">
        <v>100</v>
      </c>
      <c r="AB4" s="57" t="s">
        <v>101</v>
      </c>
      <c r="AC4" s="56" t="s">
        <v>102</v>
      </c>
      <c r="AD4" s="45"/>
    </row>
    <row r="5" spans="1:30" x14ac:dyDescent="0.25">
      <c r="A5" s="58" t="s">
        <v>103</v>
      </c>
      <c r="B5" s="59">
        <v>3.794</v>
      </c>
      <c r="C5" s="60">
        <f>_xll.IMDP("FUT","A6569000","국채수익률")</f>
        <v>3.8570000000000002</v>
      </c>
      <c r="D5" s="61"/>
      <c r="E5" s="62">
        <f>_xll.IMDP("FUT","A6569000","선물호가_현재가")</f>
        <v>103.21</v>
      </c>
      <c r="F5" s="63"/>
      <c r="G5" s="64"/>
      <c r="H5" s="64"/>
      <c r="I5" s="65"/>
      <c r="J5" s="66"/>
      <c r="K5" s="44"/>
      <c r="L5" s="45"/>
      <c r="M5" s="63">
        <v>3.0916600000000001</v>
      </c>
      <c r="N5" s="67">
        <v>10000000000</v>
      </c>
      <c r="O5" s="68">
        <f>M5/100/365*N5</f>
        <v>847030.1369863014</v>
      </c>
      <c r="P5" s="69">
        <f ca="1">(M5/100-O88)/365*P66</f>
        <v>1.7064584474885881E-4</v>
      </c>
      <c r="Q5" s="30">
        <f ca="1">P5*50000000000</f>
        <v>8532292.2374429405</v>
      </c>
      <c r="R5" s="70">
        <v>1</v>
      </c>
      <c r="S5" s="71">
        <v>9285</v>
      </c>
      <c r="U5" s="72">
        <v>45400</v>
      </c>
      <c r="V5" s="72">
        <f>U5+1</f>
        <v>45401</v>
      </c>
      <c r="W5" s="58">
        <v>500</v>
      </c>
      <c r="X5" s="58">
        <v>10004.75</v>
      </c>
      <c r="Y5" s="72">
        <v>45429</v>
      </c>
      <c r="Z5" s="73">
        <v>10033.91</v>
      </c>
      <c r="AA5" s="58">
        <f>Y5-V5</f>
        <v>28</v>
      </c>
      <c r="AB5" s="74">
        <f>O26*AA5*W5</f>
        <v>118584219.1780822</v>
      </c>
      <c r="AC5" s="75"/>
      <c r="AD5" s="51"/>
    </row>
    <row r="6" spans="1:30" x14ac:dyDescent="0.25">
      <c r="A6" s="76" t="s">
        <v>104</v>
      </c>
      <c r="B6" s="59">
        <v>4.2160000000000002</v>
      </c>
      <c r="C6" s="77">
        <f>_xll.IMDP("FUT","A6769000","국채수익률")</f>
        <v>4.2889999999999997</v>
      </c>
      <c r="D6" s="61"/>
      <c r="E6" s="62">
        <f>_xll.IMDP("FUT","A6769000","선물호가_현재가")</f>
        <v>105.73</v>
      </c>
      <c r="F6" s="63"/>
      <c r="G6" s="64"/>
      <c r="H6" s="64"/>
      <c r="I6" s="78">
        <f>-I5/3</f>
        <v>0</v>
      </c>
      <c r="J6" s="79">
        <f>-J5/9</f>
        <v>0</v>
      </c>
      <c r="K6" s="44"/>
      <c r="L6" s="45"/>
      <c r="O6" s="80"/>
      <c r="Q6" s="81"/>
      <c r="R6" s="82">
        <v>2</v>
      </c>
      <c r="S6" s="83">
        <v>9277</v>
      </c>
      <c r="U6" s="72">
        <v>45401</v>
      </c>
      <c r="V6" s="72">
        <f>U6+3</f>
        <v>45404</v>
      </c>
      <c r="W6" s="58">
        <v>300</v>
      </c>
      <c r="X6" s="58">
        <v>10005.75</v>
      </c>
      <c r="Y6" s="72">
        <v>45429</v>
      </c>
      <c r="Z6" s="73">
        <v>10033.92</v>
      </c>
      <c r="AA6" s="58">
        <f>Y6-V6</f>
        <v>25</v>
      </c>
      <c r="AB6" s="74">
        <f>O26*AA6*W6</f>
        <v>63527260.273972616</v>
      </c>
      <c r="AC6" s="75"/>
      <c r="AD6" s="84"/>
    </row>
    <row r="7" spans="1:30" x14ac:dyDescent="0.25">
      <c r="A7" s="76" t="s">
        <v>105</v>
      </c>
      <c r="B7" s="85">
        <f>(B6-B5)*100</f>
        <v>42.200000000000017</v>
      </c>
      <c r="C7" s="58">
        <f>(C6-C5)*100</f>
        <v>43.199999999999946</v>
      </c>
      <c r="D7" s="86">
        <f>C7-B7</f>
        <v>0.99999999999992895</v>
      </c>
      <c r="E7" s="87"/>
      <c r="F7" s="58">
        <f>(F6-F5)*100</f>
        <v>0</v>
      </c>
      <c r="G7" s="85">
        <f>C7-F7</f>
        <v>43.199999999999946</v>
      </c>
      <c r="H7" s="87" t="str">
        <f>IF(G7&gt;0,"스팁","플랫")</f>
        <v>스팁</v>
      </c>
      <c r="I7" s="88"/>
      <c r="J7" s="89">
        <f>J6-I6</f>
        <v>0</v>
      </c>
      <c r="K7" s="44"/>
      <c r="L7" s="45"/>
      <c r="R7" s="90" t="s">
        <v>106</v>
      </c>
      <c r="S7" s="91">
        <f>AVERAGE(S5:S6)</f>
        <v>9281</v>
      </c>
      <c r="U7" s="58"/>
      <c r="V7" s="58"/>
      <c r="W7" s="58">
        <f>SUM(W5:W6)</f>
        <v>800</v>
      </c>
      <c r="X7" s="58">
        <f>SUMPRODUCT(W5:W6,X5:X6)/W7</f>
        <v>10005.125</v>
      </c>
      <c r="Y7" s="58"/>
      <c r="Z7" s="92">
        <f>SUMPRODUCT(W5:W6,Z5:Z6)/W7</f>
        <v>10033.91375</v>
      </c>
      <c r="AA7" s="58"/>
      <c r="AB7" s="74">
        <f>SUM(AB5:AB6)</f>
        <v>182111479.4520548</v>
      </c>
      <c r="AC7" s="93">
        <f>(Z7-X7)*W7*10000-AB7</f>
        <v>48198520.547942877</v>
      </c>
    </row>
    <row r="8" spans="1:30" x14ac:dyDescent="0.25">
      <c r="A8" s="42" t="s">
        <v>107</v>
      </c>
      <c r="B8" s="58"/>
      <c r="C8" s="58"/>
      <c r="D8" s="86"/>
      <c r="E8" s="87"/>
      <c r="F8" s="94"/>
      <c r="G8" s="95"/>
      <c r="H8" s="96"/>
      <c r="I8" s="96"/>
      <c r="J8" s="97"/>
      <c r="K8" s="44"/>
      <c r="L8" s="45"/>
      <c r="M8" s="52" t="s">
        <v>108</v>
      </c>
      <c r="N8" s="52" t="s">
        <v>109</v>
      </c>
      <c r="O8" s="52" t="s">
        <v>110</v>
      </c>
      <c r="P8" s="52" t="s">
        <v>111</v>
      </c>
      <c r="R8">
        <v>3</v>
      </c>
      <c r="S8" s="98">
        <v>9285</v>
      </c>
      <c r="U8" s="94"/>
      <c r="V8" s="94"/>
      <c r="W8" s="94"/>
      <c r="X8" s="94"/>
      <c r="Y8" s="94"/>
      <c r="Z8" s="99"/>
      <c r="AA8" s="94"/>
      <c r="AB8" s="100"/>
      <c r="AC8" s="101"/>
    </row>
    <row r="9" spans="1:30" x14ac:dyDescent="0.25">
      <c r="A9" s="52" t="s">
        <v>79</v>
      </c>
      <c r="B9" s="52" t="s">
        <v>80</v>
      </c>
      <c r="C9" s="52" t="s">
        <v>81</v>
      </c>
      <c r="D9" s="52" t="s">
        <v>82</v>
      </c>
      <c r="E9" s="52" t="s">
        <v>112</v>
      </c>
      <c r="F9" s="52" t="s">
        <v>84</v>
      </c>
      <c r="G9" s="52" t="s">
        <v>85</v>
      </c>
      <c r="H9" s="52" t="s">
        <v>113</v>
      </c>
      <c r="I9" s="52" t="s">
        <v>114</v>
      </c>
      <c r="J9" s="52" t="s">
        <v>115</v>
      </c>
      <c r="K9" s="44"/>
      <c r="L9" s="45"/>
      <c r="M9" s="63"/>
      <c r="N9" s="63"/>
      <c r="O9" s="102">
        <f>D25</f>
        <v>4.2069999999999999</v>
      </c>
      <c r="P9" s="103"/>
      <c r="R9" s="91" t="s">
        <v>116</v>
      </c>
      <c r="S9" s="91">
        <f>AVERAGE(S7:S8)</f>
        <v>9283</v>
      </c>
      <c r="T9" s="104"/>
      <c r="U9" s="94">
        <v>9495</v>
      </c>
      <c r="V9" s="94"/>
      <c r="W9" s="94"/>
      <c r="X9" s="94"/>
      <c r="Y9" s="94"/>
      <c r="Z9" s="99"/>
      <c r="AA9" s="94"/>
      <c r="AB9" s="100"/>
      <c r="AC9" s="101"/>
    </row>
    <row r="10" spans="1:30" x14ac:dyDescent="0.25">
      <c r="A10" s="76" t="s">
        <v>117</v>
      </c>
      <c r="B10" s="58">
        <f>B6</f>
        <v>4.2160000000000002</v>
      </c>
      <c r="C10" s="87">
        <f>C6</f>
        <v>4.2889999999999997</v>
      </c>
      <c r="D10" s="86"/>
      <c r="E10" s="87">
        <f>E6</f>
        <v>105.73</v>
      </c>
      <c r="F10" s="76">
        <f>F6</f>
        <v>0</v>
      </c>
      <c r="G10" s="105"/>
      <c r="H10" s="106">
        <f>C10</f>
        <v>4.2889999999999997</v>
      </c>
      <c r="I10" s="107">
        <v>-10.3</v>
      </c>
      <c r="J10" s="108"/>
      <c r="K10" s="44"/>
      <c r="L10" s="45"/>
      <c r="M10" s="58" t="s">
        <v>118</v>
      </c>
      <c r="N10" s="58">
        <f>N9-M9</f>
        <v>0</v>
      </c>
      <c r="O10" s="102">
        <f>O9-N10/0.09/100</f>
        <v>4.2069999999999999</v>
      </c>
      <c r="P10" s="109">
        <f>(P9-O10)*100</f>
        <v>-420.7</v>
      </c>
      <c r="R10" s="110"/>
      <c r="U10" s="94"/>
      <c r="V10" s="94"/>
      <c r="W10" s="94"/>
      <c r="X10" s="94"/>
      <c r="Y10" s="94"/>
      <c r="Z10" s="99"/>
      <c r="AA10" s="94"/>
      <c r="AB10" s="100"/>
      <c r="AC10" s="101"/>
    </row>
    <row r="11" spans="1:30" x14ac:dyDescent="0.25">
      <c r="A11" s="111" t="s">
        <v>119</v>
      </c>
      <c r="B11" s="112">
        <v>4.5220000000000002</v>
      </c>
      <c r="C11" s="87">
        <f>_xll.IMDP("BND","KR103501GG39","장내국채-현재수익률")</f>
        <v>4.6289999999999996</v>
      </c>
      <c r="D11" s="113"/>
      <c r="E11" s="87">
        <f>_xll.IMDP("BND","KR103501GG39","장내국채-현재가격")</f>
        <v>8337</v>
      </c>
      <c r="F11" s="63"/>
      <c r="G11" s="105"/>
      <c r="H11" s="63">
        <v>2.8820000000000001</v>
      </c>
      <c r="I11" s="52" t="s">
        <v>120</v>
      </c>
      <c r="J11" s="114"/>
      <c r="K11" s="44"/>
      <c r="L11" s="45"/>
      <c r="Q11" s="115"/>
      <c r="R11" s="28">
        <v>46570</v>
      </c>
      <c r="S11" s="28">
        <v>46178</v>
      </c>
      <c r="U11" s="94"/>
      <c r="V11" s="94"/>
      <c r="W11" s="94"/>
      <c r="X11" s="94"/>
      <c r="Y11" s="94"/>
      <c r="Z11" s="99"/>
      <c r="AA11" s="94"/>
      <c r="AB11" s="100"/>
      <c r="AC11" s="101"/>
    </row>
    <row r="12" spans="1:30" ht="16.5" x14ac:dyDescent="0.25">
      <c r="A12" s="76" t="s">
        <v>121</v>
      </c>
      <c r="B12" s="116">
        <f>(B11-B10)*100</f>
        <v>30.600000000000005</v>
      </c>
      <c r="C12" s="85">
        <f>(C11-C10)*100</f>
        <v>33.999999999999986</v>
      </c>
      <c r="D12" s="86">
        <f>C12-B12</f>
        <v>3.3999999999999808</v>
      </c>
      <c r="E12" s="87"/>
      <c r="F12" s="58">
        <f>(F11-F10)*100</f>
        <v>0</v>
      </c>
      <c r="G12" s="85">
        <f>C12-F12</f>
        <v>33.999999999999986</v>
      </c>
      <c r="H12" s="58">
        <f>(H11-H10)*100</f>
        <v>-140.69999999999996</v>
      </c>
      <c r="I12" s="85">
        <f>H12-B12</f>
        <v>-171.29999999999995</v>
      </c>
      <c r="J12" s="117">
        <f>I12*21*9</f>
        <v>-32375.699999999993</v>
      </c>
      <c r="K12" s="44"/>
      <c r="L12" s="45"/>
      <c r="Q12" s="115"/>
      <c r="R12" s="118">
        <f ca="1">TODAY()</f>
        <v>46245</v>
      </c>
      <c r="S12" s="30">
        <f>R11-S11</f>
        <v>392</v>
      </c>
      <c r="U12" s="94"/>
      <c r="V12" s="94"/>
      <c r="W12" s="94"/>
      <c r="X12" s="94"/>
      <c r="Y12" s="94"/>
      <c r="Z12" s="99"/>
      <c r="AA12" s="94"/>
      <c r="AB12" s="100"/>
      <c r="AC12" s="101"/>
    </row>
    <row r="13" spans="1:30" x14ac:dyDescent="0.25">
      <c r="A13" s="45"/>
      <c r="B13" s="94">
        <v>3.49</v>
      </c>
      <c r="C13" s="94">
        <f>(B13-C10)*100</f>
        <v>-79.899999999999949</v>
      </c>
      <c r="D13" s="119">
        <f>-(B12-C13)</f>
        <v>-110.49999999999996</v>
      </c>
      <c r="E13" s="96"/>
      <c r="F13" s="94">
        <f>180*1.3</f>
        <v>234</v>
      </c>
      <c r="G13" s="95">
        <f>8476-8456.73</f>
        <v>19.270000000000437</v>
      </c>
      <c r="H13" s="96">
        <f>G13*10</f>
        <v>192.70000000000437</v>
      </c>
      <c r="I13" s="96">
        <f>H13-1520</f>
        <v>-1327.2999999999956</v>
      </c>
      <c r="J13" s="97"/>
      <c r="K13" s="44"/>
      <c r="L13" s="45"/>
      <c r="M13" s="52" t="s">
        <v>122</v>
      </c>
      <c r="N13" s="120"/>
      <c r="O13" s="121" t="s">
        <v>123</v>
      </c>
      <c r="P13" s="121" t="s">
        <v>124</v>
      </c>
      <c r="Q13" s="121" t="s">
        <v>125</v>
      </c>
      <c r="R13" s="122"/>
      <c r="S13" s="30"/>
      <c r="U13" s="50" t="s">
        <v>126</v>
      </c>
    </row>
    <row r="14" spans="1:30" x14ac:dyDescent="0.25">
      <c r="A14" s="44"/>
      <c r="B14" s="44"/>
      <c r="C14" s="44"/>
      <c r="D14" s="123"/>
      <c r="E14" s="44"/>
      <c r="F14" s="44"/>
      <c r="G14" s="44"/>
      <c r="H14" s="124"/>
      <c r="I14" s="37"/>
      <c r="J14" s="37"/>
      <c r="M14" s="58" t="s">
        <v>127</v>
      </c>
      <c r="N14" s="103"/>
      <c r="O14" s="125">
        <f>Q14-0.031</f>
        <v>4.2610000000000001</v>
      </c>
      <c r="P14" s="126">
        <f>Q14-0.009</f>
        <v>4.2829999999999995</v>
      </c>
      <c r="Q14" s="127">
        <f>_xll.IMDP("BND","KR103503GG60","장내국채-현재수익률")</f>
        <v>4.2919999999999998</v>
      </c>
      <c r="U14" s="52" t="s">
        <v>128</v>
      </c>
      <c r="V14" s="52" t="s">
        <v>95</v>
      </c>
      <c r="W14" s="52" t="s">
        <v>96</v>
      </c>
      <c r="X14" s="52" t="s">
        <v>97</v>
      </c>
      <c r="Y14" s="52" t="s">
        <v>98</v>
      </c>
      <c r="Z14" s="52" t="s">
        <v>99</v>
      </c>
      <c r="AA14" s="52" t="s">
        <v>100</v>
      </c>
      <c r="AB14" s="52" t="s">
        <v>101</v>
      </c>
      <c r="AC14" s="56" t="s">
        <v>102</v>
      </c>
      <c r="AD14" s="128" t="s">
        <v>129</v>
      </c>
    </row>
    <row r="15" spans="1:30" x14ac:dyDescent="0.25">
      <c r="B15" s="129"/>
      <c r="C15" s="81"/>
      <c r="G15">
        <v>200</v>
      </c>
      <c r="H15" s="130">
        <v>4.0000000000000001E-3</v>
      </c>
      <c r="I15">
        <f>G15*H15/4</f>
        <v>0.2</v>
      </c>
      <c r="O15" s="91"/>
      <c r="P15" s="122"/>
      <c r="Q15" s="30"/>
      <c r="R15" s="131"/>
      <c r="S15" s="30"/>
      <c r="T15" s="130"/>
      <c r="U15" s="72">
        <v>46037</v>
      </c>
      <c r="V15" s="72">
        <v>46038</v>
      </c>
      <c r="W15" s="58">
        <v>100</v>
      </c>
      <c r="X15" s="58">
        <v>10057.5</v>
      </c>
      <c r="Y15" s="132"/>
      <c r="Z15" s="133"/>
      <c r="AA15" s="58">
        <f t="shared" ref="AA15" si="0">Y15-V15</f>
        <v>-46038</v>
      </c>
      <c r="AB15" s="68">
        <f>O26*AA15*$W$15</f>
        <v>-38995573446.575348</v>
      </c>
      <c r="AC15" s="134">
        <f>($Z$15-$X$15)*W15*10000-AB15</f>
        <v>28938073446.575348</v>
      </c>
      <c r="AD15" s="135"/>
    </row>
    <row r="16" spans="1:30" ht="16.5" x14ac:dyDescent="0.25">
      <c r="A16" s="50" t="s">
        <v>130</v>
      </c>
      <c r="B16" s="129"/>
      <c r="F16">
        <f>E20*1.5</f>
        <v>123</v>
      </c>
      <c r="J16" s="136"/>
      <c r="M16" s="137" t="s">
        <v>131</v>
      </c>
      <c r="T16" s="91"/>
      <c r="U16" s="72"/>
      <c r="V16" s="72"/>
      <c r="W16" s="58"/>
      <c r="X16" s="58"/>
      <c r="Y16" s="72"/>
      <c r="Z16" s="92"/>
      <c r="AA16" s="58"/>
      <c r="AB16" s="68">
        <f>$O$26*$AA$15*W16</f>
        <v>0</v>
      </c>
      <c r="AC16" s="134">
        <f>($Z$15-$X$15)*W16*10000-AB16</f>
        <v>0</v>
      </c>
    </row>
    <row r="17" spans="1:30" x14ac:dyDescent="0.25">
      <c r="C17" t="s">
        <v>132</v>
      </c>
      <c r="D17" s="138">
        <v>3</v>
      </c>
      <c r="F17">
        <f>E20*1.5+53</f>
        <v>176</v>
      </c>
      <c r="M17" s="52" t="str">
        <f>A25</f>
        <v>국고 25-11</v>
      </c>
      <c r="N17" s="52" t="s">
        <v>133</v>
      </c>
      <c r="O17" s="52" t="s">
        <v>134</v>
      </c>
      <c r="P17" s="52" t="s">
        <v>135</v>
      </c>
      <c r="Q17" s="52" t="s">
        <v>136</v>
      </c>
      <c r="R17" s="52" t="s">
        <v>102</v>
      </c>
      <c r="S17" s="52" t="s">
        <v>137</v>
      </c>
      <c r="T17" s="128" t="s">
        <v>138</v>
      </c>
      <c r="U17" s="72"/>
      <c r="V17" s="72"/>
      <c r="W17" s="58"/>
      <c r="X17" s="58"/>
      <c r="Y17" s="72"/>
      <c r="Z17" s="92"/>
      <c r="AA17" s="58"/>
      <c r="AB17" s="68"/>
      <c r="AC17" s="134"/>
      <c r="AD17" s="135"/>
    </row>
    <row r="18" spans="1:30" x14ac:dyDescent="0.25">
      <c r="A18" s="52" t="s">
        <v>79</v>
      </c>
      <c r="B18" s="52" t="s">
        <v>133</v>
      </c>
      <c r="C18" s="52" t="s">
        <v>134</v>
      </c>
      <c r="D18" s="52" t="s">
        <v>135</v>
      </c>
      <c r="E18" s="52" t="s">
        <v>136</v>
      </c>
      <c r="F18" s="52" t="s">
        <v>102</v>
      </c>
      <c r="G18" s="52" t="s">
        <v>137</v>
      </c>
      <c r="H18" s="52" t="s">
        <v>139</v>
      </c>
      <c r="I18" s="82">
        <v>100</v>
      </c>
      <c r="J18" s="139">
        <v>88</v>
      </c>
      <c r="M18" s="58" t="s">
        <v>140</v>
      </c>
      <c r="N18" s="140">
        <f>B25</f>
        <v>9318.7900000000009</v>
      </c>
      <c r="O18" s="141">
        <v>9320.9</v>
      </c>
      <c r="P18" s="142"/>
      <c r="Q18" s="143">
        <v>-150</v>
      </c>
      <c r="R18" s="144">
        <f>(O18-N18)*Q18*10000</f>
        <v>-3164999.9999981448</v>
      </c>
      <c r="S18" s="366">
        <f>R21/10000/Q19</f>
        <v>0.48987546700016016</v>
      </c>
      <c r="T18">
        <v>2</v>
      </c>
      <c r="U18" s="72"/>
      <c r="V18" s="72"/>
      <c r="W18" s="58"/>
      <c r="X18" s="58"/>
      <c r="Y18" s="132"/>
      <c r="Z18" s="145"/>
      <c r="AA18" s="58"/>
      <c r="AB18" s="68"/>
      <c r="AC18" s="134"/>
    </row>
    <row r="19" spans="1:30" ht="17.25" x14ac:dyDescent="0.25">
      <c r="A19" s="106" t="s">
        <v>141</v>
      </c>
      <c r="B19" s="146">
        <v>8898.8799999999992</v>
      </c>
      <c r="C19" s="147">
        <f>ROUNDDOWN([1]채권단가계산표!N18,0)-0.5</f>
        <v>8900.5</v>
      </c>
      <c r="D19" s="148">
        <v>4.1849999999999996</v>
      </c>
      <c r="E19" s="149">
        <v>-100</v>
      </c>
      <c r="F19" s="150">
        <f>(C19-B19)*E19*10000</f>
        <v>-1620000.0000008005</v>
      </c>
      <c r="G19" s="369">
        <f>F22/10000/E20</f>
        <v>-59.876719011026637</v>
      </c>
      <c r="H19" s="151">
        <f>_xll.IMDP("FUT","A6769000","저평가")*100</f>
        <v>1.4000000000000001</v>
      </c>
      <c r="I19">
        <v>90</v>
      </c>
      <c r="J19" s="41">
        <f>J18*I19/I18</f>
        <v>79.2</v>
      </c>
      <c r="K19" s="152"/>
      <c r="L19" s="153"/>
      <c r="M19" s="58" t="s">
        <v>142</v>
      </c>
      <c r="N19" s="154">
        <f>B26</f>
        <v>106.34</v>
      </c>
      <c r="O19" s="155">
        <v>106.34</v>
      </c>
      <c r="P19" s="156"/>
      <c r="Q19" s="157">
        <f>-Q18*0.88</f>
        <v>132</v>
      </c>
      <c r="R19" s="144">
        <f>(O19-N19)*Q19*1000000</f>
        <v>0</v>
      </c>
      <c r="S19" s="367"/>
      <c r="U19" s="72"/>
      <c r="V19" s="72"/>
      <c r="W19" s="58"/>
      <c r="X19" s="58"/>
      <c r="Y19" s="72"/>
      <c r="Z19" s="92"/>
      <c r="AA19" s="58"/>
      <c r="AB19" s="68"/>
      <c r="AC19" s="134"/>
    </row>
    <row r="20" spans="1:30" x14ac:dyDescent="0.25">
      <c r="A20" s="106" t="s">
        <v>117</v>
      </c>
      <c r="B20" s="154">
        <f>B26</f>
        <v>106.34</v>
      </c>
      <c r="C20" s="158">
        <f>_xll.IMDP("FUT","A6769000","선물호가_현재가")</f>
        <v>105.73</v>
      </c>
      <c r="D20" s="159">
        <f>C6</f>
        <v>4.2889999999999997</v>
      </c>
      <c r="E20" s="160">
        <v>82</v>
      </c>
      <c r="F20" s="150">
        <f>(C20-B20)*E20*1000000</f>
        <v>-50019999.999999955</v>
      </c>
      <c r="G20" s="369"/>
      <c r="I20">
        <v>80</v>
      </c>
      <c r="J20" s="41">
        <f t="shared" ref="J20:J28" si="1">J19*I20/I19</f>
        <v>70.400000000000006</v>
      </c>
      <c r="M20" s="58" t="s">
        <v>101</v>
      </c>
      <c r="N20" s="161"/>
      <c r="O20" s="162">
        <f>$M$5/100/365*100000000</f>
        <v>8470.3013698630148</v>
      </c>
      <c r="P20" s="102"/>
      <c r="Q20" s="163">
        <f>Q18</f>
        <v>-150</v>
      </c>
      <c r="R20" s="67">
        <f>-O20*Q20*$D$17</f>
        <v>3811635.6164383562</v>
      </c>
      <c r="S20" s="367"/>
      <c r="U20" s="164"/>
      <c r="V20" s="164"/>
      <c r="W20" s="165"/>
      <c r="X20" s="165"/>
      <c r="Y20" s="72"/>
      <c r="Z20" s="92"/>
      <c r="AA20" s="58"/>
      <c r="AB20" s="68"/>
      <c r="AC20" s="134"/>
    </row>
    <row r="21" spans="1:30" x14ac:dyDescent="0.25">
      <c r="A21" s="106" t="s">
        <v>101</v>
      </c>
      <c r="B21" s="163"/>
      <c r="C21" s="162">
        <f>$M$5/100/365*100000000</f>
        <v>8470.3013698630148</v>
      </c>
      <c r="D21" s="166">
        <f>(D20-D19)*100</f>
        <v>10.400000000000009</v>
      </c>
      <c r="E21" s="163">
        <f>E19</f>
        <v>-100</v>
      </c>
      <c r="F21" s="162">
        <f>-C21*E21*$D$17</f>
        <v>2541090.4109589048</v>
      </c>
      <c r="G21" s="369"/>
      <c r="I21">
        <v>70</v>
      </c>
      <c r="J21" s="41">
        <f t="shared" si="1"/>
        <v>61.6</v>
      </c>
      <c r="M21" s="58" t="s">
        <v>143</v>
      </c>
      <c r="N21" s="161"/>
      <c r="O21" s="161"/>
      <c r="P21" s="58"/>
      <c r="Q21" s="161"/>
      <c r="R21" s="67">
        <f>SUM(R18:R20)</f>
        <v>646635.61644021142</v>
      </c>
      <c r="S21" s="368"/>
      <c r="U21" s="58"/>
      <c r="V21" s="58"/>
      <c r="W21" s="58"/>
      <c r="X21" s="85"/>
      <c r="Y21" s="58"/>
      <c r="Z21" s="92"/>
      <c r="AA21" s="58"/>
      <c r="AB21" s="68"/>
      <c r="AC21" s="68"/>
    </row>
    <row r="22" spans="1:30" x14ac:dyDescent="0.25">
      <c r="A22" s="106" t="s">
        <v>143</v>
      </c>
      <c r="B22" s="163"/>
      <c r="C22" s="163"/>
      <c r="D22" s="106"/>
      <c r="E22" s="163"/>
      <c r="F22" s="162">
        <f>SUM(F19:F21)</f>
        <v>-49098909.589041844</v>
      </c>
      <c r="G22" s="369"/>
      <c r="I22">
        <v>60</v>
      </c>
      <c r="J22" s="41">
        <f t="shared" si="1"/>
        <v>52.8</v>
      </c>
      <c r="M22" s="167" t="s">
        <v>144</v>
      </c>
      <c r="R22" t="s">
        <v>145</v>
      </c>
      <c r="U22" s="50" t="s">
        <v>146</v>
      </c>
      <c r="W22" t="s">
        <v>147</v>
      </c>
      <c r="X22" s="168">
        <v>2</v>
      </c>
    </row>
    <row r="23" spans="1:30" x14ac:dyDescent="0.25">
      <c r="A23" s="94"/>
      <c r="B23" s="169"/>
      <c r="C23" s="169"/>
      <c r="D23" s="94"/>
      <c r="E23" s="169"/>
      <c r="F23" s="170"/>
      <c r="G23" s="171"/>
      <c r="I23">
        <v>50</v>
      </c>
      <c r="J23" s="41">
        <f t="shared" si="1"/>
        <v>44</v>
      </c>
      <c r="M23" s="52" t="str">
        <f>A19</f>
        <v>국고 25-5</v>
      </c>
      <c r="N23" s="52" t="s">
        <v>133</v>
      </c>
      <c r="O23" s="52" t="s">
        <v>134</v>
      </c>
      <c r="P23" s="52" t="s">
        <v>135</v>
      </c>
      <c r="Q23" s="52" t="s">
        <v>136</v>
      </c>
      <c r="R23" s="52" t="s">
        <v>102</v>
      </c>
      <c r="S23" s="52" t="s">
        <v>137</v>
      </c>
      <c r="T23" s="128" t="s">
        <v>138</v>
      </c>
      <c r="U23" s="52"/>
      <c r="V23" s="52" t="s">
        <v>148</v>
      </c>
      <c r="W23" s="52" t="s">
        <v>134</v>
      </c>
      <c r="X23" s="52" t="s">
        <v>136</v>
      </c>
      <c r="Y23" s="52" t="s">
        <v>102</v>
      </c>
    </row>
    <row r="24" spans="1:30" x14ac:dyDescent="0.25">
      <c r="A24" s="52" t="s">
        <v>79</v>
      </c>
      <c r="B24" s="52" t="s">
        <v>133</v>
      </c>
      <c r="C24" s="52" t="s">
        <v>134</v>
      </c>
      <c r="D24" s="52" t="s">
        <v>135</v>
      </c>
      <c r="E24" s="52" t="s">
        <v>136</v>
      </c>
      <c r="F24" s="52" t="s">
        <v>102</v>
      </c>
      <c r="G24" s="52" t="s">
        <v>137</v>
      </c>
      <c r="I24">
        <v>40</v>
      </c>
      <c r="J24" s="41">
        <f t="shared" si="1"/>
        <v>35.200000000000003</v>
      </c>
      <c r="M24" s="58" t="s">
        <v>140</v>
      </c>
      <c r="N24" s="140">
        <f>B19</f>
        <v>8898.8799999999992</v>
      </c>
      <c r="O24" s="141">
        <v>8900.8799999999992</v>
      </c>
      <c r="P24" s="142"/>
      <c r="Q24" s="172">
        <v>-100</v>
      </c>
      <c r="R24" s="144">
        <f>(O24-N24)*Q24*10000</f>
        <v>-2000000</v>
      </c>
      <c r="S24" s="366">
        <f>R27/10000/Q25</f>
        <v>0.65986635482793266</v>
      </c>
      <c r="T24">
        <v>1</v>
      </c>
      <c r="U24" s="58" t="s">
        <v>149</v>
      </c>
      <c r="V24" s="63">
        <v>10065.030000000001</v>
      </c>
      <c r="W24" s="63">
        <v>10066.59</v>
      </c>
      <c r="X24" s="173">
        <v>100</v>
      </c>
      <c r="Y24" s="144">
        <f>(W24-V24)*X24*10000</f>
        <v>1559999.9999994906</v>
      </c>
    </row>
    <row r="25" spans="1:30" x14ac:dyDescent="0.25">
      <c r="A25" s="106" t="s">
        <v>150</v>
      </c>
      <c r="B25" s="146">
        <v>9318.7900000000009</v>
      </c>
      <c r="C25" s="147">
        <f>ROUNDDOWN([1]채권단가계산표!L18,0)-0.5</f>
        <v>9320.5</v>
      </c>
      <c r="D25" s="148">
        <v>4.2069999999999999</v>
      </c>
      <c r="E25" s="172">
        <v>-100</v>
      </c>
      <c r="F25" s="144">
        <f>(C25-B25)*E25*10000</f>
        <v>-1709999.9999991269</v>
      </c>
      <c r="G25" s="366">
        <f>F28/10000/E26</f>
        <v>-60.055579078454748</v>
      </c>
      <c r="I25">
        <v>30</v>
      </c>
      <c r="J25" s="41">
        <f t="shared" si="1"/>
        <v>26.4</v>
      </c>
      <c r="M25" s="58" t="s">
        <v>142</v>
      </c>
      <c r="N25" s="154">
        <f>B26</f>
        <v>106.34</v>
      </c>
      <c r="O25" s="174">
        <f>O19</f>
        <v>106.34</v>
      </c>
      <c r="P25" s="156"/>
      <c r="Q25" s="175">
        <f>-Q24*0.82</f>
        <v>82</v>
      </c>
      <c r="R25" s="144">
        <f>(O25-N25)*Q25*1000000</f>
        <v>0</v>
      </c>
      <c r="S25" s="367"/>
      <c r="T25" s="42"/>
      <c r="U25" s="58" t="s">
        <v>101</v>
      </c>
      <c r="V25" s="58"/>
      <c r="W25" s="76"/>
      <c r="X25" s="173"/>
      <c r="Y25" s="68">
        <f>-$O$26*X24*X22</f>
        <v>-1694060.273972603</v>
      </c>
    </row>
    <row r="26" spans="1:30" x14ac:dyDescent="0.25">
      <c r="A26" s="58" t="s">
        <v>117</v>
      </c>
      <c r="B26" s="176">
        <v>106.34</v>
      </c>
      <c r="C26" s="158">
        <f>C20</f>
        <v>105.73</v>
      </c>
      <c r="D26" s="156">
        <f>D20</f>
        <v>4.2889999999999997</v>
      </c>
      <c r="E26" s="157">
        <v>88</v>
      </c>
      <c r="F26" s="144">
        <f>(C26-B26)*E26*1000000</f>
        <v>-53679999.999999948</v>
      </c>
      <c r="G26" s="367"/>
      <c r="I26">
        <v>20</v>
      </c>
      <c r="J26" s="41">
        <f t="shared" si="1"/>
        <v>17.600000000000001</v>
      </c>
      <c r="M26" s="58" t="s">
        <v>101</v>
      </c>
      <c r="N26" s="161"/>
      <c r="O26" s="162">
        <f>$M$5/100/365*100000000</f>
        <v>8470.3013698630148</v>
      </c>
      <c r="P26" s="102">
        <f>(P25-P24)*100</f>
        <v>0</v>
      </c>
      <c r="Q26" s="163">
        <f>Q24</f>
        <v>-100</v>
      </c>
      <c r="R26" s="67">
        <f>-O26*Q26*$D$17</f>
        <v>2541090.4109589048</v>
      </c>
      <c r="S26" s="367"/>
      <c r="U26" s="58"/>
      <c r="V26" s="58"/>
      <c r="W26" s="58"/>
      <c r="X26" s="58"/>
      <c r="Y26" s="177">
        <f>Y24+Y25</f>
        <v>-134060.27397311246</v>
      </c>
    </row>
    <row r="27" spans="1:30" x14ac:dyDescent="0.25">
      <c r="A27" s="58" t="s">
        <v>101</v>
      </c>
      <c r="B27" s="161"/>
      <c r="C27" s="162">
        <f>$M$5/100/365*100000000</f>
        <v>8470.3013698630148</v>
      </c>
      <c r="D27" s="86">
        <f>(D26-D25)*100</f>
        <v>8.1999999999999851</v>
      </c>
      <c r="E27" s="163">
        <f>E25</f>
        <v>-100</v>
      </c>
      <c r="F27" s="67">
        <f>-C27*E27*$D$17</f>
        <v>2541090.4109589048</v>
      </c>
      <c r="G27" s="367"/>
      <c r="H27" s="129"/>
      <c r="I27" s="178">
        <v>10</v>
      </c>
      <c r="J27" s="41">
        <f t="shared" si="1"/>
        <v>8.8000000000000007</v>
      </c>
      <c r="M27" s="58" t="s">
        <v>143</v>
      </c>
      <c r="N27" s="161"/>
      <c r="O27" s="161"/>
      <c r="P27" s="58"/>
      <c r="Q27" s="161"/>
      <c r="R27" s="67">
        <f>SUM(R24:R26)</f>
        <v>541090.41095890477</v>
      </c>
      <c r="S27" s="368"/>
      <c r="U27" s="42" t="s">
        <v>151</v>
      </c>
    </row>
    <row r="28" spans="1:30" x14ac:dyDescent="0.25">
      <c r="A28" s="58" t="s">
        <v>143</v>
      </c>
      <c r="B28" s="161"/>
      <c r="C28" s="161"/>
      <c r="D28" s="58"/>
      <c r="E28" s="161"/>
      <c r="F28" s="67">
        <f>SUM(F25:F27)</f>
        <v>-52848909.589040175</v>
      </c>
      <c r="G28" s="368"/>
      <c r="H28" s="129"/>
      <c r="I28" s="178">
        <v>300</v>
      </c>
      <c r="J28" s="41">
        <f t="shared" si="1"/>
        <v>264</v>
      </c>
      <c r="P28" s="81"/>
      <c r="Q28">
        <f>2.3*82+3*88</f>
        <v>452.6</v>
      </c>
      <c r="U28" s="52" t="s">
        <v>152</v>
      </c>
      <c r="V28" s="52" t="s">
        <v>153</v>
      </c>
      <c r="W28" s="52" t="s">
        <v>154</v>
      </c>
      <c r="X28" s="52" t="s">
        <v>155</v>
      </c>
      <c r="Y28" s="52" t="s">
        <v>156</v>
      </c>
      <c r="Z28" s="52" t="s">
        <v>157</v>
      </c>
    </row>
    <row r="29" spans="1:30" ht="16.5" x14ac:dyDescent="0.25">
      <c r="A29" t="s">
        <v>158</v>
      </c>
      <c r="H29" s="129"/>
      <c r="I29" s="129"/>
      <c r="M29" s="45" t="s">
        <v>159</v>
      </c>
      <c r="N29" t="s">
        <v>160</v>
      </c>
      <c r="O29" t="s">
        <v>161</v>
      </c>
      <c r="P29" t="s">
        <v>162</v>
      </c>
      <c r="Q29" t="s">
        <v>163</v>
      </c>
      <c r="R29" s="135" t="s">
        <v>164</v>
      </c>
      <c r="S29" t="s">
        <v>165</v>
      </c>
      <c r="T29" s="36"/>
      <c r="U29" s="179" t="s">
        <v>166</v>
      </c>
      <c r="V29" s="59"/>
      <c r="W29" s="63"/>
      <c r="X29" s="58">
        <f>(V29-W29)</f>
        <v>0</v>
      </c>
      <c r="Y29" s="63"/>
      <c r="Z29" s="180" t="e">
        <f>ROUNDDOWN(Y30,0)-ROUNDDOWN(Y29,0)</f>
        <v>#VALUE!</v>
      </c>
    </row>
    <row r="30" spans="1:30" x14ac:dyDescent="0.25">
      <c r="D30" s="181">
        <f>D25-D19</f>
        <v>2.2000000000000242E-2</v>
      </c>
      <c r="F30">
        <v>0.86</v>
      </c>
      <c r="G30" s="81"/>
      <c r="M30" s="182" t="s">
        <v>123</v>
      </c>
      <c r="N30">
        <v>100</v>
      </c>
      <c r="O30" s="183">
        <v>5.0000000000000001E-3</v>
      </c>
      <c r="P30" s="184">
        <f ca="1">N30*O30/365*$P$66</f>
        <v>4.6575342465753428E-2</v>
      </c>
      <c r="Q30" s="36">
        <f ca="1">N30*$O$88/365*$P$66</f>
        <v>0.2709256621004566</v>
      </c>
      <c r="R30" s="36">
        <f ca="1">N30*$M$5%/365*$P$66</f>
        <v>0.2879902465753425</v>
      </c>
      <c r="S30" s="36">
        <f ca="1">P32+Q32-R32</f>
        <v>4.1322885844748747E-2</v>
      </c>
      <c r="U30" s="179" t="s">
        <v>167</v>
      </c>
      <c r="V30" s="185"/>
      <c r="W30" s="186">
        <f>V30-AVERAGE(X29:X30)</f>
        <v>0</v>
      </c>
      <c r="X30" s="187"/>
      <c r="Y30" s="188" t="e">
        <f>ROUNDDOWN([1]채권단가계산표!R18,0)-0.5</f>
        <v>#VALUE!</v>
      </c>
      <c r="Z30" s="58"/>
      <c r="AB30" s="30">
        <f>0.85*10103*100</f>
        <v>858754.99999999988</v>
      </c>
    </row>
    <row r="31" spans="1:30" x14ac:dyDescent="0.25">
      <c r="A31" s="52" t="s">
        <v>79</v>
      </c>
      <c r="B31" s="52" t="s">
        <v>133</v>
      </c>
      <c r="C31" s="52" t="s">
        <v>134</v>
      </c>
      <c r="D31" s="52" t="s">
        <v>135</v>
      </c>
      <c r="E31" s="52" t="s">
        <v>136</v>
      </c>
      <c r="F31" s="52" t="s">
        <v>102</v>
      </c>
      <c r="G31" s="52" t="s">
        <v>137</v>
      </c>
      <c r="I31" s="52" t="s">
        <v>168</v>
      </c>
      <c r="M31" s="189" t="s">
        <v>169</v>
      </c>
      <c r="N31" s="41">
        <v>100</v>
      </c>
      <c r="O31" s="183">
        <v>3.0999999999999999E-3</v>
      </c>
      <c r="P31" s="184">
        <f ca="1">N31*O31/365*P66</f>
        <v>2.8876712328767123E-2</v>
      </c>
      <c r="Q31" s="36">
        <f ca="1">N31*$O$88/365*$P$66</f>
        <v>0.2709256621004566</v>
      </c>
      <c r="R31" s="36">
        <f ca="1">N31*$M$5%/365*$P$66</f>
        <v>0.2879902465753425</v>
      </c>
      <c r="S31" s="190">
        <f ca="1">S30/0.0168</f>
        <v>2.4596955859969492</v>
      </c>
    </row>
    <row r="32" spans="1:30" x14ac:dyDescent="0.25">
      <c r="A32" s="76" t="s">
        <v>170</v>
      </c>
      <c r="B32" s="146">
        <v>10095.5</v>
      </c>
      <c r="C32" s="147">
        <f>_xll.IMDP("BND","KR103503GG60","장내국채-현재가격")</f>
        <v>10038</v>
      </c>
      <c r="D32" s="127">
        <f>_xll.IMDP("BND","KR103503GG60","장내국채-현재수익률")</f>
        <v>4.2919999999999998</v>
      </c>
      <c r="E32" s="191">
        <v>-100</v>
      </c>
      <c r="F32" s="192">
        <f>(C32-B32)*E32*10000</f>
        <v>57500000</v>
      </c>
      <c r="G32" s="370">
        <f>F35/10000/E33</f>
        <v>6.4618993381561314</v>
      </c>
      <c r="I32" s="63">
        <v>2.5525000000000002</v>
      </c>
      <c r="M32" s="193"/>
      <c r="N32" s="30"/>
      <c r="P32" s="194">
        <f ca="1">SUM(P30:P31)</f>
        <v>7.5452054794520551E-2</v>
      </c>
      <c r="Q32" s="194">
        <f ca="1">SUM(Q30:Q31)</f>
        <v>0.5418513242009132</v>
      </c>
      <c r="R32" s="194">
        <f ca="1">SUM(R30:R31)</f>
        <v>0.575980493150685</v>
      </c>
      <c r="S32" s="195"/>
      <c r="U32" s="41">
        <f>U33/170</f>
        <v>25.035294117647059</v>
      </c>
    </row>
    <row r="33" spans="1:32" x14ac:dyDescent="0.25">
      <c r="A33" s="76" t="s">
        <v>117</v>
      </c>
      <c r="B33" s="154">
        <f>B26</f>
        <v>106.34</v>
      </c>
      <c r="C33" s="158">
        <f>_xll.IMDP("FUT","A6769000","선물호가_현재가")</f>
        <v>105.73</v>
      </c>
      <c r="D33" s="196">
        <f>D26</f>
        <v>4.2889999999999997</v>
      </c>
      <c r="E33" s="197">
        <v>89</v>
      </c>
      <c r="F33" s="192">
        <f>(C33-B33)*E33*1000000</f>
        <v>-54289999.999999948</v>
      </c>
      <c r="G33" s="371"/>
      <c r="I33" s="52" t="s">
        <v>171</v>
      </c>
      <c r="J33">
        <f>14*5</f>
        <v>70</v>
      </c>
      <c r="M33">
        <f>7.8944/2.7725</f>
        <v>2.8473940486925158</v>
      </c>
      <c r="N33" s="198">
        <f ca="1">P32/P66</f>
        <v>2.2191780821917808E-3</v>
      </c>
      <c r="O33" s="91" t="s">
        <v>172</v>
      </c>
      <c r="P33" s="199">
        <f ca="1">-P32/0.0168</f>
        <v>-4.4911937377690805</v>
      </c>
      <c r="R33">
        <f ca="1">R32/P66</f>
        <v>1.6940602739726029E-2</v>
      </c>
      <c r="T33">
        <f>76*7</f>
        <v>532</v>
      </c>
      <c r="U33">
        <f>T33*8</f>
        <v>4256</v>
      </c>
    </row>
    <row r="34" spans="1:32" ht="17.25" x14ac:dyDescent="0.25">
      <c r="A34" s="76" t="s">
        <v>101</v>
      </c>
      <c r="B34" s="200"/>
      <c r="C34" s="201">
        <f>$M$5/100/365*100000000</f>
        <v>8470.3013698630148</v>
      </c>
      <c r="D34" s="202">
        <f>(D33-D32)*100</f>
        <v>-0.30000000000001137</v>
      </c>
      <c r="E34" s="200">
        <f>E32</f>
        <v>-100</v>
      </c>
      <c r="F34" s="201">
        <f>-C34*E34*$D$17</f>
        <v>2541090.4109589048</v>
      </c>
      <c r="G34" s="371"/>
      <c r="I34" s="203">
        <f>I32-P14</f>
        <v>-1.7304999999999993</v>
      </c>
      <c r="M34" s="204" t="s">
        <v>173</v>
      </c>
      <c r="P34" s="42"/>
      <c r="W34" s="137" t="s">
        <v>174</v>
      </c>
    </row>
    <row r="35" spans="1:32" x14ac:dyDescent="0.25">
      <c r="A35" s="76" t="s">
        <v>143</v>
      </c>
      <c r="B35" s="200"/>
      <c r="C35" s="200"/>
      <c r="D35" s="76"/>
      <c r="E35" s="200"/>
      <c r="F35" s="205">
        <f>SUM(F32:F34)</f>
        <v>5751090.4109589569</v>
      </c>
      <c r="G35" s="372"/>
      <c r="M35" s="52" t="s">
        <v>79</v>
      </c>
      <c r="N35" s="52" t="s">
        <v>133</v>
      </c>
      <c r="O35" s="52" t="s">
        <v>134</v>
      </c>
      <c r="P35" s="52" t="s">
        <v>135</v>
      </c>
      <c r="Q35" s="52" t="s">
        <v>136</v>
      </c>
      <c r="R35" s="52" t="s">
        <v>102</v>
      </c>
      <c r="S35" s="52" t="s">
        <v>175</v>
      </c>
      <c r="T35" s="52" t="s">
        <v>176</v>
      </c>
      <c r="U35" s="52" t="s">
        <v>177</v>
      </c>
      <c r="W35" s="206" t="s">
        <v>178</v>
      </c>
      <c r="X35" s="206" t="s">
        <v>179</v>
      </c>
      <c r="Y35" s="206" t="s">
        <v>180</v>
      </c>
      <c r="Z35" s="206" t="s">
        <v>96</v>
      </c>
      <c r="AA35" s="206" t="s">
        <v>147</v>
      </c>
      <c r="AB35" s="206" t="s">
        <v>181</v>
      </c>
      <c r="AC35" s="206" t="s">
        <v>182</v>
      </c>
      <c r="AD35" s="206" t="s">
        <v>183</v>
      </c>
      <c r="AE35" s="206" t="s">
        <v>115</v>
      </c>
      <c r="AF35" s="206" t="s">
        <v>184</v>
      </c>
    </row>
    <row r="36" spans="1:32" x14ac:dyDescent="0.25">
      <c r="D36" s="207">
        <f>(D32-D25)*100</f>
        <v>8.4999999999999964</v>
      </c>
      <c r="M36" s="208" t="s">
        <v>185</v>
      </c>
      <c r="N36" s="209"/>
      <c r="O36" s="210">
        <v>10080.120000000001</v>
      </c>
      <c r="P36" s="211"/>
      <c r="Q36" s="59">
        <v>90</v>
      </c>
      <c r="R36" s="212">
        <f>(O36-N36)*Q36*10000</f>
        <v>9072108000</v>
      </c>
      <c r="S36" s="87">
        <v>8.1300000000000008</v>
      </c>
      <c r="T36" s="213">
        <f>S36*O36*100</f>
        <v>8195137.5600000015</v>
      </c>
      <c r="U36" s="214">
        <f>T37/T36</f>
        <v>0.90193406100678042</v>
      </c>
      <c r="V36" s="215" t="s">
        <v>186</v>
      </c>
      <c r="W36" s="138">
        <f>V24</f>
        <v>10065.030000000001</v>
      </c>
      <c r="X36" s="216"/>
      <c r="Y36" s="168"/>
      <c r="AA36" s="30">
        <f>-O26*Z36*$D$17</f>
        <v>0</v>
      </c>
      <c r="AB36" s="30"/>
      <c r="AE36" s="30">
        <f>(X36-W36)*Z36*10000</f>
        <v>0</v>
      </c>
      <c r="AF36">
        <v>1.0426</v>
      </c>
    </row>
    <row r="37" spans="1:32" x14ac:dyDescent="0.25">
      <c r="A37" s="217"/>
      <c r="B37" s="217"/>
      <c r="C37" s="217"/>
      <c r="D37" s="217"/>
      <c r="E37" s="217"/>
      <c r="F37" s="217"/>
      <c r="G37" s="217"/>
      <c r="H37" s="217"/>
      <c r="I37" s="217"/>
      <c r="J37" s="217"/>
      <c r="M37" s="218" t="s">
        <v>124</v>
      </c>
      <c r="N37" s="209">
        <f>B25</f>
        <v>9318.7900000000009</v>
      </c>
      <c r="O37" s="219">
        <f>O18</f>
        <v>9320.9</v>
      </c>
      <c r="P37" s="220"/>
      <c r="Q37" s="221">
        <v>-100</v>
      </c>
      <c r="R37" s="212">
        <f>(O37-N37)*Q37*10000</f>
        <v>-2109999.9999987632</v>
      </c>
      <c r="S37" s="87">
        <v>7.93</v>
      </c>
      <c r="T37" s="213">
        <f>S37*O37*100</f>
        <v>7391473.6999999993</v>
      </c>
      <c r="V37" s="222"/>
      <c r="X37" s="138"/>
      <c r="AA37" s="30">
        <f>-O26*Z37*D$17</f>
        <v>0</v>
      </c>
      <c r="AE37" s="30">
        <f>(X37-W37)*Z37*10000</f>
        <v>0</v>
      </c>
      <c r="AF37">
        <v>1.9372</v>
      </c>
    </row>
    <row r="38" spans="1:32" x14ac:dyDescent="0.25">
      <c r="F38" s="30"/>
      <c r="G38" s="120" t="s">
        <v>153</v>
      </c>
      <c r="H38" s="223" t="s">
        <v>187</v>
      </c>
      <c r="I38" s="223" t="s">
        <v>188</v>
      </c>
      <c r="J38" s="223" t="s">
        <v>189</v>
      </c>
      <c r="M38" s="87" t="s">
        <v>101</v>
      </c>
      <c r="N38" s="87"/>
      <c r="O38" s="224"/>
      <c r="P38" s="225"/>
      <c r="Q38" s="213"/>
      <c r="R38" s="226"/>
      <c r="V38" s="215" t="s">
        <v>190</v>
      </c>
      <c r="W38" s="227">
        <f>B47</f>
        <v>103.39</v>
      </c>
      <c r="X38" s="138"/>
      <c r="Y38" s="168"/>
      <c r="Z38">
        <v>0</v>
      </c>
      <c r="AA38" s="30"/>
      <c r="AB38" s="30"/>
      <c r="AC38" s="30"/>
      <c r="AE38" s="30">
        <f>(X38-W38)*Z38*1000000</f>
        <v>0</v>
      </c>
    </row>
    <row r="39" spans="1:32" ht="16.5" x14ac:dyDescent="0.25">
      <c r="A39" s="42" t="s">
        <v>191</v>
      </c>
      <c r="C39" t="s">
        <v>132</v>
      </c>
      <c r="D39" s="38">
        <f>D17</f>
        <v>3</v>
      </c>
      <c r="G39" s="138">
        <f>J41-0.129</f>
        <v>3.694</v>
      </c>
      <c r="H39" s="138">
        <f>J41-0.837</f>
        <v>2.9859999999999998</v>
      </c>
      <c r="I39" s="138">
        <f>J41-0.512</f>
        <v>3.3109999999999999</v>
      </c>
      <c r="J39" s="228">
        <f>J43+0.185</f>
        <v>4.2269999999999994</v>
      </c>
      <c r="M39" s="87" t="s">
        <v>192</v>
      </c>
      <c r="N39" s="87"/>
      <c r="O39" s="87"/>
      <c r="P39" s="229">
        <f>(P36-P37)*100</f>
        <v>0</v>
      </c>
      <c r="Q39" s="87"/>
      <c r="R39" s="230">
        <f>R36+R37</f>
        <v>9069998000.0000019</v>
      </c>
      <c r="S39" s="52" t="s">
        <v>193</v>
      </c>
      <c r="T39" s="63">
        <v>-1.2</v>
      </c>
      <c r="W39" t="s">
        <v>194</v>
      </c>
      <c r="AA39" s="135">
        <f>AA36+AA37</f>
        <v>0</v>
      </c>
      <c r="AB39" s="135"/>
      <c r="AD39" s="135">
        <f>AA39+AB39+AC38</f>
        <v>0</v>
      </c>
      <c r="AE39" s="135">
        <f>AE36+AE38+AD39+AE37</f>
        <v>0</v>
      </c>
      <c r="AF39" t="e">
        <f>SUMPRODUCT(Z36:Z37,AF36:AF37)/SUM(Z36:Z37)</f>
        <v>#DIV/0!</v>
      </c>
    </row>
    <row r="40" spans="1:32" x14ac:dyDescent="0.25">
      <c r="A40" s="52" t="s">
        <v>79</v>
      </c>
      <c r="B40" s="52" t="s">
        <v>133</v>
      </c>
      <c r="C40" s="52" t="s">
        <v>134</v>
      </c>
      <c r="D40" s="52" t="s">
        <v>135</v>
      </c>
      <c r="E40" s="52" t="s">
        <v>136</v>
      </c>
      <c r="F40" s="52" t="s">
        <v>102</v>
      </c>
      <c r="G40" s="52" t="s">
        <v>139</v>
      </c>
      <c r="H40" s="231" t="s">
        <v>195</v>
      </c>
      <c r="I40" s="223" t="s">
        <v>196</v>
      </c>
      <c r="J40" s="223" t="s">
        <v>197</v>
      </c>
      <c r="O40" t="s">
        <v>198</v>
      </c>
      <c r="P40" s="136">
        <v>-1.1999999999999567</v>
      </c>
      <c r="S40" s="52" t="s">
        <v>199</v>
      </c>
      <c r="T40" s="168"/>
      <c r="V40" s="164"/>
      <c r="W40" s="51"/>
      <c r="X40" s="51"/>
      <c r="Y40" s="51"/>
      <c r="Z40" s="51"/>
    </row>
    <row r="41" spans="1:32" ht="17.25" x14ac:dyDescent="0.25">
      <c r="A41" s="232" t="s">
        <v>200</v>
      </c>
      <c r="B41" s="228">
        <v>9839.73</v>
      </c>
      <c r="C41" s="233">
        <f>ROUNDDOWN([1]채권단가계산표!H18,0)-0.5</f>
        <v>9839.5</v>
      </c>
      <c r="D41" s="234">
        <v>3.6850000000000001</v>
      </c>
      <c r="E41" s="235">
        <v>-100</v>
      </c>
      <c r="F41" s="236">
        <f>(C41-B41)*E41*10000</f>
        <v>229999.99999956344</v>
      </c>
      <c r="G41" s="151">
        <f>_xll.IMDP("FUT","A6569000","저평가")*100</f>
        <v>-2.1999999999999997</v>
      </c>
      <c r="H41" s="237">
        <f>J43-0.296</f>
        <v>3.746</v>
      </c>
      <c r="I41" s="142">
        <f>J41-0.078</f>
        <v>3.7450000000000001</v>
      </c>
      <c r="J41" s="66">
        <f>_xll.IMDP("BND","KR103501GG62","장내국채-현재수익률")</f>
        <v>3.823</v>
      </c>
      <c r="M41" s="42" t="s">
        <v>201</v>
      </c>
      <c r="R41" s="238" t="s">
        <v>202</v>
      </c>
      <c r="S41" s="103"/>
      <c r="T41" s="28"/>
      <c r="W41" s="45"/>
      <c r="X41" s="45"/>
      <c r="Y41" s="45"/>
      <c r="Z41" s="45"/>
      <c r="AC41" t="s">
        <v>203</v>
      </c>
      <c r="AD41" t="s">
        <v>204</v>
      </c>
      <c r="AE41" s="135">
        <f>AE36+AE37</f>
        <v>0</v>
      </c>
    </row>
    <row r="42" spans="1:32" x14ac:dyDescent="0.25">
      <c r="A42" s="232" t="s">
        <v>205</v>
      </c>
      <c r="B42" s="239">
        <f>B47</f>
        <v>103.39</v>
      </c>
      <c r="C42" s="158">
        <f>_xll.IMDP("FUT","A6569000","선물호가_현재가")</f>
        <v>103.21</v>
      </c>
      <c r="D42" s="62">
        <f>_xll.IMDP("FUT","A6569000","국채수익률")</f>
        <v>3.8570000000000002</v>
      </c>
      <c r="E42" s="240">
        <f ca="1">N50</f>
        <v>74.295221238938041</v>
      </c>
      <c r="F42" s="236">
        <f ca="1">(C42-B42)*E42*1000000</f>
        <v>-13373139.823009353</v>
      </c>
      <c r="G42" s="241"/>
      <c r="H42" s="231" t="s">
        <v>206</v>
      </c>
      <c r="I42" s="223" t="s">
        <v>207</v>
      </c>
      <c r="J42" s="223" t="s">
        <v>208</v>
      </c>
      <c r="M42" s="52" t="s">
        <v>209</v>
      </c>
      <c r="N42" s="52" t="s">
        <v>210</v>
      </c>
      <c r="O42" s="242" t="s">
        <v>211</v>
      </c>
      <c r="P42" s="52" t="s">
        <v>212</v>
      </c>
      <c r="R42" s="243" t="s">
        <v>124</v>
      </c>
      <c r="S42" s="63"/>
      <c r="T42" s="244"/>
      <c r="U42" s="244"/>
      <c r="AD42" t="s">
        <v>213</v>
      </c>
      <c r="AE42" s="135">
        <f>AD39</f>
        <v>0</v>
      </c>
    </row>
    <row r="43" spans="1:32" x14ac:dyDescent="0.25">
      <c r="A43" s="232" t="s">
        <v>101</v>
      </c>
      <c r="B43" s="232"/>
      <c r="C43" s="245">
        <f>$O$5</f>
        <v>847030.1369863014</v>
      </c>
      <c r="D43" s="86"/>
      <c r="E43" s="232">
        <f>E41/100</f>
        <v>-1</v>
      </c>
      <c r="F43" s="236">
        <f>-C43*D39*$E$43</f>
        <v>2541090.4109589043</v>
      </c>
      <c r="G43" s="246"/>
      <c r="H43" s="237">
        <f>J43-0.038</f>
        <v>4.0039999999999996</v>
      </c>
      <c r="I43" s="247">
        <f>J41-0.158</f>
        <v>3.665</v>
      </c>
      <c r="J43" s="66">
        <f>_xll.IMDP("BND","KR103503GG37","장내국채-현재수익률")</f>
        <v>4.0419999999999998</v>
      </c>
      <c r="M43" s="248" t="str">
        <f>M71</f>
        <v>국고25-10</v>
      </c>
      <c r="N43" s="136">
        <f ca="1">O71</f>
        <v>72.887141687141678</v>
      </c>
      <c r="O43" s="138"/>
      <c r="P43" s="249">
        <f ca="1">N43*O43</f>
        <v>0</v>
      </c>
      <c r="R43" t="s">
        <v>214</v>
      </c>
      <c r="S43" s="85">
        <f>(S41-S42)*100</f>
        <v>0</v>
      </c>
      <c r="T43" s="250">
        <f>0.3*T36*2</f>
        <v>4917082.5360000003</v>
      </c>
      <c r="U43" s="251"/>
      <c r="V43" s="244"/>
      <c r="AD43" t="s">
        <v>215</v>
      </c>
      <c r="AE43" s="252">
        <v>-1655347</v>
      </c>
    </row>
    <row r="44" spans="1:32" x14ac:dyDescent="0.25">
      <c r="A44" s="232" t="s">
        <v>192</v>
      </c>
      <c r="B44" s="232"/>
      <c r="C44" s="232"/>
      <c r="D44" s="232"/>
      <c r="E44" s="232"/>
      <c r="F44" s="253">
        <f ca="1">SUM(F41:F43)</f>
        <v>-10602049.412050884</v>
      </c>
      <c r="G44" s="70"/>
      <c r="I44">
        <v>100</v>
      </c>
      <c r="J44" s="254">
        <v>146</v>
      </c>
      <c r="M44" s="248" t="s">
        <v>216</v>
      </c>
      <c r="N44" s="255">
        <f ca="1">O73</f>
        <v>58.614905814905818</v>
      </c>
      <c r="O44" s="63"/>
      <c r="P44" s="249">
        <f ca="1">N44*O44</f>
        <v>0</v>
      </c>
      <c r="R44" s="136"/>
      <c r="U44" s="41"/>
      <c r="V44" s="244"/>
      <c r="Y44" s="135"/>
      <c r="AD44" t="s">
        <v>217</v>
      </c>
      <c r="AE44" s="256"/>
    </row>
    <row r="45" spans="1:32" x14ac:dyDescent="0.25">
      <c r="D45">
        <f>D41-D46</f>
        <v>8.4999999999999964E-2</v>
      </c>
      <c r="F45" s="30"/>
      <c r="G45" s="45"/>
      <c r="I45" s="82">
        <v>90</v>
      </c>
      <c r="J45" s="41">
        <f>J44*I45/I44</f>
        <v>131.4</v>
      </c>
      <c r="M45" s="248" t="str">
        <f>M70</f>
        <v>국고25-8</v>
      </c>
      <c r="N45" s="255">
        <f ca="1">O70</f>
        <v>114.08812448812449</v>
      </c>
      <c r="O45" s="63"/>
      <c r="P45" s="249">
        <f ca="1">N45*O45</f>
        <v>0</v>
      </c>
      <c r="Q45" s="41"/>
      <c r="U45" s="41"/>
      <c r="W45" s="36"/>
      <c r="X45" s="30"/>
      <c r="AD45" t="s">
        <v>218</v>
      </c>
      <c r="AE45" s="135">
        <f>SUM(AE41:AE44)</f>
        <v>-1655347</v>
      </c>
    </row>
    <row r="46" spans="1:32" x14ac:dyDescent="0.25">
      <c r="A46" s="248" t="s">
        <v>216</v>
      </c>
      <c r="B46" s="59">
        <v>9799.48</v>
      </c>
      <c r="C46" s="233">
        <f>ROUNDDOWN([1]채권단가계산표!P18,0)-0.5</f>
        <v>9799.5</v>
      </c>
      <c r="D46" s="234">
        <v>3.6</v>
      </c>
      <c r="E46" s="87">
        <v>-100</v>
      </c>
      <c r="F46" s="213">
        <f>(C46-B46)*E46*10000</f>
        <v>-20000.000000436557</v>
      </c>
      <c r="G46" s="257"/>
      <c r="H46" s="257">
        <f>115-62</f>
        <v>53</v>
      </c>
      <c r="I46" s="82">
        <f>I45-10</f>
        <v>80</v>
      </c>
      <c r="J46" s="41">
        <f>J45*I46/I45</f>
        <v>116.8</v>
      </c>
      <c r="M46" s="248" t="str">
        <f>M72</f>
        <v>26-03</v>
      </c>
      <c r="N46" s="136">
        <f ca="1">O72</f>
        <v>132.75872235872237</v>
      </c>
      <c r="O46" s="258"/>
      <c r="P46" s="249">
        <f ca="1">N46*O46</f>
        <v>0</v>
      </c>
      <c r="Q46" s="259"/>
      <c r="R46" t="s">
        <v>219</v>
      </c>
      <c r="S46">
        <v>3.4849999999999999</v>
      </c>
      <c r="T46">
        <v>3.2570000000000001</v>
      </c>
      <c r="U46" s="81">
        <f>T46-S46</f>
        <v>-0.22799999999999976</v>
      </c>
    </row>
    <row r="47" spans="1:32" x14ac:dyDescent="0.25">
      <c r="A47" s="248" t="s">
        <v>220</v>
      </c>
      <c r="B47" s="59">
        <v>103.39</v>
      </c>
      <c r="C47" s="158">
        <f>C42</f>
        <v>103.21</v>
      </c>
      <c r="D47" s="79">
        <f>D42</f>
        <v>3.8570000000000002</v>
      </c>
      <c r="E47" s="260">
        <f ca="1">N53</f>
        <v>58.776637168141598</v>
      </c>
      <c r="F47" s="213">
        <f ca="1">(C47-B47)*E47*1000000</f>
        <v>-10579794.690265888</v>
      </c>
      <c r="G47" s="261"/>
      <c r="H47" s="262">
        <f>0.58*19</f>
        <v>11.02</v>
      </c>
      <c r="I47" s="82">
        <f t="shared" ref="I47:I54" si="2">I46-10</f>
        <v>70</v>
      </c>
      <c r="J47" s="41">
        <f t="shared" ref="J47:J54" si="3">J46*I47/I46</f>
        <v>102.2</v>
      </c>
      <c r="M47" s="248" t="s">
        <v>221</v>
      </c>
      <c r="N47" s="85">
        <f ca="1">SUM(N43:N45)</f>
        <v>245.590171990172</v>
      </c>
      <c r="O47" s="58">
        <f>SUM(O43:O46)</f>
        <v>0</v>
      </c>
      <c r="P47" s="263">
        <f ca="1">SUM(P43:P46)</f>
        <v>0</v>
      </c>
      <c r="Q47" s="41"/>
      <c r="R47" s="41" t="s">
        <v>222</v>
      </c>
      <c r="S47">
        <v>3.5339999999999998</v>
      </c>
      <c r="U47" s="81">
        <f>T46-S47</f>
        <v>-0.27699999999999969</v>
      </c>
    </row>
    <row r="48" spans="1:32" x14ac:dyDescent="0.25">
      <c r="A48" s="248" t="s">
        <v>223</v>
      </c>
      <c r="B48" s="87"/>
      <c r="C48" s="224">
        <f>$O$5</f>
        <v>847030.1369863014</v>
      </c>
      <c r="D48" s="87"/>
      <c r="E48" s="87">
        <f>E46/100</f>
        <v>-1</v>
      </c>
      <c r="F48" s="213">
        <f>-C48*D39*E48</f>
        <v>2541090.4109589043</v>
      </c>
      <c r="G48" s="264"/>
      <c r="H48" s="257">
        <f>H46-5.5</f>
        <v>47.5</v>
      </c>
      <c r="I48" s="82">
        <f t="shared" si="2"/>
        <v>60</v>
      </c>
      <c r="J48" s="41">
        <f t="shared" si="3"/>
        <v>87.6</v>
      </c>
      <c r="M48" s="42" t="s">
        <v>224</v>
      </c>
      <c r="Q48" s="41"/>
      <c r="U48" s="41"/>
    </row>
    <row r="49" spans="1:25" x14ac:dyDescent="0.25">
      <c r="A49" s="248" t="s">
        <v>225</v>
      </c>
      <c r="B49" s="87"/>
      <c r="C49" s="87"/>
      <c r="D49" s="87"/>
      <c r="E49" s="87"/>
      <c r="F49" s="265">
        <f ca="1">SUM(F46:F48)</f>
        <v>-8058704.2793074194</v>
      </c>
      <c r="G49" s="266"/>
      <c r="H49" s="257"/>
      <c r="I49" s="82">
        <f t="shared" si="2"/>
        <v>50</v>
      </c>
      <c r="J49" s="41">
        <f t="shared" si="3"/>
        <v>73</v>
      </c>
      <c r="M49" s="52" t="s">
        <v>226</v>
      </c>
      <c r="N49" s="52" t="s">
        <v>227</v>
      </c>
      <c r="O49" s="242" t="s">
        <v>228</v>
      </c>
      <c r="P49" s="52" t="s">
        <v>229</v>
      </c>
      <c r="Q49" s="267" t="s">
        <v>230</v>
      </c>
      <c r="R49" s="267" t="s">
        <v>231</v>
      </c>
      <c r="S49" s="52" t="s">
        <v>232</v>
      </c>
      <c r="U49" s="41"/>
    </row>
    <row r="50" spans="1:25" x14ac:dyDescent="0.25">
      <c r="D50">
        <f>D41-D51</f>
        <v>-0.35699999999999976</v>
      </c>
      <c r="F50" s="30"/>
      <c r="G50" s="268"/>
      <c r="H50" s="51" t="str">
        <f>_xll.IMDP("BND","KR103503GF38","장내국채-현재가격")</f>
        <v/>
      </c>
      <c r="I50" s="82">
        <f t="shared" si="2"/>
        <v>40</v>
      </c>
      <c r="J50" s="41">
        <f t="shared" si="3"/>
        <v>58.4</v>
      </c>
      <c r="M50" s="248" t="s">
        <v>233</v>
      </c>
      <c r="N50" s="136">
        <f ca="1">O59</f>
        <v>74.295221238938041</v>
      </c>
      <c r="O50" s="138">
        <v>6</v>
      </c>
      <c r="P50" s="249">
        <f ca="1">N50*O50</f>
        <v>445.77132743362824</v>
      </c>
      <c r="Q50">
        <f>R50-O50</f>
        <v>6</v>
      </c>
      <c r="R50">
        <v>12</v>
      </c>
      <c r="S50" s="58">
        <f ca="1">O61/O60</f>
        <v>0.88539482879105524</v>
      </c>
      <c r="U50" s="41">
        <v>7.8</v>
      </c>
    </row>
    <row r="51" spans="1:25" x14ac:dyDescent="0.25">
      <c r="A51" s="248" t="s">
        <v>234</v>
      </c>
      <c r="B51" s="59">
        <v>9892.58</v>
      </c>
      <c r="C51" s="233">
        <f>_xll.IMDP("BND","KR103503GG37","장내국채-현재가격")</f>
        <v>9865</v>
      </c>
      <c r="D51" s="127">
        <f>_xll.IMDP("BND","KR103503GG37","장내국채-현재수익률")</f>
        <v>4.0419999999999998</v>
      </c>
      <c r="E51" s="248">
        <v>-100</v>
      </c>
      <c r="F51" s="269">
        <f>(C51-B51)*E51*10000</f>
        <v>27579999.999999925</v>
      </c>
      <c r="G51" s="45"/>
      <c r="I51" s="82">
        <f t="shared" si="2"/>
        <v>30</v>
      </c>
      <c r="J51" s="41">
        <f t="shared" si="3"/>
        <v>43.8</v>
      </c>
      <c r="M51" s="208" t="s">
        <v>235</v>
      </c>
      <c r="N51" s="255">
        <f ca="1">O60</f>
        <v>138.79433628318586</v>
      </c>
      <c r="O51" s="63">
        <v>3.5</v>
      </c>
      <c r="P51" s="249">
        <f ca="1">N51*O51</f>
        <v>485.78017699115048</v>
      </c>
      <c r="Q51" s="270">
        <f>R51-O51</f>
        <v>2.5</v>
      </c>
      <c r="R51" s="271">
        <v>6</v>
      </c>
      <c r="S51">
        <f>O51*65</f>
        <v>227.5</v>
      </c>
      <c r="U51" s="41">
        <v>0</v>
      </c>
    </row>
    <row r="52" spans="1:25" x14ac:dyDescent="0.25">
      <c r="A52" s="248" t="s">
        <v>220</v>
      </c>
      <c r="B52" s="248">
        <f>B47</f>
        <v>103.39</v>
      </c>
      <c r="C52" s="272">
        <f>C47</f>
        <v>103.21</v>
      </c>
      <c r="D52" s="33">
        <f>D47</f>
        <v>3.8570000000000002</v>
      </c>
      <c r="E52" s="273">
        <f ca="1">N51</f>
        <v>138.79433628318586</v>
      </c>
      <c r="F52" s="269">
        <f ca="1">(C52-B52)*E52*1000000</f>
        <v>-24982980.530974403</v>
      </c>
      <c r="H52" s="231" t="s">
        <v>236</v>
      </c>
      <c r="I52" s="82">
        <f t="shared" si="2"/>
        <v>20</v>
      </c>
      <c r="J52" s="41">
        <f t="shared" si="3"/>
        <v>29.2</v>
      </c>
      <c r="M52" s="208" t="s">
        <v>237</v>
      </c>
      <c r="N52" s="255">
        <f ca="1">O61</f>
        <v>122.88778761061948</v>
      </c>
      <c r="O52" s="63">
        <v>0</v>
      </c>
      <c r="P52" s="249">
        <f ca="1">N52*O52</f>
        <v>0</v>
      </c>
      <c r="Q52">
        <f>R52-O52</f>
        <v>0</v>
      </c>
      <c r="R52">
        <v>0</v>
      </c>
      <c r="U52" s="41">
        <v>6</v>
      </c>
    </row>
    <row r="53" spans="1:25" x14ac:dyDescent="0.25">
      <c r="A53" s="248" t="s">
        <v>223</v>
      </c>
      <c r="B53" s="248"/>
      <c r="C53" s="274">
        <f>$O$5</f>
        <v>847030.1369863014</v>
      </c>
      <c r="D53" s="248"/>
      <c r="E53" s="248">
        <f>E51/100</f>
        <v>-1</v>
      </c>
      <c r="F53" s="269">
        <f>-C53*$D$39*E53</f>
        <v>2541090.4109589043</v>
      </c>
      <c r="H53" s="275">
        <v>3.0070000000000001</v>
      </c>
      <c r="I53" s="82">
        <f t="shared" si="2"/>
        <v>10</v>
      </c>
      <c r="J53" s="41">
        <f t="shared" si="3"/>
        <v>14.6</v>
      </c>
      <c r="M53" s="248" t="s">
        <v>238</v>
      </c>
      <c r="N53" s="255">
        <f ca="1">O62</f>
        <v>58.776637168141598</v>
      </c>
      <c r="O53" s="63">
        <v>4</v>
      </c>
      <c r="P53" s="249">
        <f ca="1">N53*O53</f>
        <v>235.10654867256639</v>
      </c>
      <c r="Q53">
        <f>R53-O53</f>
        <v>4</v>
      </c>
      <c r="R53" s="45">
        <v>8</v>
      </c>
      <c r="S53">
        <v>3.496</v>
      </c>
      <c r="T53">
        <f>S46-S53</f>
        <v>-1.1000000000000121E-2</v>
      </c>
      <c r="U53">
        <v>12</v>
      </c>
    </row>
    <row r="54" spans="1:25" x14ac:dyDescent="0.25">
      <c r="A54" s="248" t="s">
        <v>225</v>
      </c>
      <c r="B54" s="248"/>
      <c r="C54" s="248"/>
      <c r="D54" s="248"/>
      <c r="E54" s="248"/>
      <c r="F54" s="276">
        <f ca="1">SUM(F51:F53)</f>
        <v>5138109.8799844272</v>
      </c>
      <c r="G54" s="30"/>
      <c r="H54" s="231" t="s">
        <v>239</v>
      </c>
      <c r="I54" s="82">
        <f t="shared" si="2"/>
        <v>0</v>
      </c>
      <c r="J54" s="41">
        <f t="shared" si="3"/>
        <v>0</v>
      </c>
      <c r="M54" s="248" t="s">
        <v>221</v>
      </c>
      <c r="N54" s="58"/>
      <c r="O54" s="58">
        <f>SUM(O50:O53)</f>
        <v>13.5</v>
      </c>
      <c r="P54" s="263">
        <f ca="1">SUM(P50:P53)</f>
        <v>1166.6580530973451</v>
      </c>
      <c r="Q54">
        <f>SUM(Q50:Q53)</f>
        <v>12.5</v>
      </c>
      <c r="R54">
        <f>SUM(R50:R53)</f>
        <v>26</v>
      </c>
      <c r="S54">
        <v>3.54</v>
      </c>
      <c r="T54" s="42">
        <f>S47-S54</f>
        <v>-6.0000000000002274E-3</v>
      </c>
    </row>
    <row r="55" spans="1:25" x14ac:dyDescent="0.25">
      <c r="A55" s="277"/>
      <c r="B55" s="278" t="s">
        <v>240</v>
      </c>
      <c r="C55" s="279"/>
      <c r="D55" s="279"/>
      <c r="E55" s="280"/>
      <c r="F55" s="281"/>
      <c r="H55" s="58">
        <f>H53-J41</f>
        <v>-0.81599999999999984</v>
      </c>
      <c r="O55" s="259"/>
      <c r="Q55" s="270" t="s">
        <v>241</v>
      </c>
    </row>
    <row r="56" spans="1:25" x14ac:dyDescent="0.25">
      <c r="A56" s="248" t="s">
        <v>242</v>
      </c>
      <c r="B56" s="59">
        <v>9567.81</v>
      </c>
      <c r="C56" s="282">
        <f>ROUNDDOWN([1]채권단가계산표!X18,0)-0.5</f>
        <v>9569.5</v>
      </c>
      <c r="D56" s="234">
        <v>3.927</v>
      </c>
      <c r="E56" s="248">
        <v>-100</v>
      </c>
      <c r="F56" s="269">
        <f>(C56-B56)*E56*10000</f>
        <v>-1690000.0000005094</v>
      </c>
      <c r="H56" s="45"/>
      <c r="I56">
        <v>100</v>
      </c>
      <c r="J56" s="254">
        <v>137</v>
      </c>
      <c r="N56" s="283"/>
      <c r="P56" s="41">
        <f ca="1">P54*2.4</f>
        <v>2799.9793274336284</v>
      </c>
      <c r="Q56" t="s">
        <v>243</v>
      </c>
      <c r="S56" s="30"/>
      <c r="T56" s="30"/>
      <c r="W56" s="41"/>
    </row>
    <row r="57" spans="1:25" ht="16.5" x14ac:dyDescent="0.3">
      <c r="A57" s="248" t="s">
        <v>220</v>
      </c>
      <c r="B57" s="232">
        <f>B47</f>
        <v>103.39</v>
      </c>
      <c r="C57" s="272">
        <f>C47</f>
        <v>103.21</v>
      </c>
      <c r="D57" s="284">
        <f>D52</f>
        <v>3.8570000000000002</v>
      </c>
      <c r="E57" s="273">
        <f ca="1">N52</f>
        <v>122.88778761061948</v>
      </c>
      <c r="F57" s="269">
        <f ca="1">(C57-B57)*E57*1000000</f>
        <v>-22119801.769912347</v>
      </c>
      <c r="I57" s="82">
        <v>90</v>
      </c>
      <c r="J57" s="41">
        <f>J56*I57/I56</f>
        <v>123.3</v>
      </c>
      <c r="M57" s="137" t="s">
        <v>244</v>
      </c>
      <c r="Q57" t="s">
        <v>245</v>
      </c>
      <c r="T57" s="30">
        <f>200000000*0.045</f>
        <v>9000000</v>
      </c>
      <c r="U57" s="91">
        <f>T57</f>
        <v>9000000</v>
      </c>
      <c r="W57" s="41"/>
    </row>
    <row r="58" spans="1:25" x14ac:dyDescent="0.25">
      <c r="A58" s="248" t="s">
        <v>223</v>
      </c>
      <c r="B58" s="248"/>
      <c r="C58" s="274">
        <f>$O$5</f>
        <v>847030.1369863014</v>
      </c>
      <c r="D58" s="248"/>
      <c r="E58" s="248">
        <f>E56/100</f>
        <v>-1</v>
      </c>
      <c r="F58" s="269">
        <f>-C58*D39*E58</f>
        <v>2541090.4109589043</v>
      </c>
      <c r="H58">
        <f>30*170</f>
        <v>5100</v>
      </c>
      <c r="I58" s="82">
        <f>I57-10</f>
        <v>80</v>
      </c>
      <c r="J58" s="41">
        <f>J57*I58/I57</f>
        <v>109.6</v>
      </c>
      <c r="M58" s="285" t="s">
        <v>246</v>
      </c>
      <c r="N58" s="52" t="s">
        <v>247</v>
      </c>
      <c r="O58" s="52" t="s">
        <v>248</v>
      </c>
      <c r="P58" s="52" t="s">
        <v>249</v>
      </c>
      <c r="Q58" s="52" t="s">
        <v>250</v>
      </c>
      <c r="S58" s="286"/>
      <c r="W58" s="41"/>
    </row>
    <row r="59" spans="1:25" x14ac:dyDescent="0.25">
      <c r="A59" s="248" t="s">
        <v>225</v>
      </c>
      <c r="B59" s="248"/>
      <c r="C59" s="248"/>
      <c r="D59" s="248"/>
      <c r="E59" s="248"/>
      <c r="F59" s="276">
        <f ca="1">SUM(F56:F58)</f>
        <v>-21268711.358953953</v>
      </c>
      <c r="G59" s="41"/>
      <c r="I59" s="82">
        <f t="shared" ref="I59:I66" si="4">I58-10</f>
        <v>70</v>
      </c>
      <c r="J59" s="41">
        <f t="shared" ref="J59:J66" si="5">J58*I59/I58</f>
        <v>95.9</v>
      </c>
      <c r="M59" s="248" t="s">
        <v>233</v>
      </c>
      <c r="N59" s="59">
        <v>76.599999999999994</v>
      </c>
      <c r="O59" s="225">
        <f ca="1">N59*$P$65/$Q$65</f>
        <v>74.295221238938041</v>
      </c>
      <c r="P59" s="87">
        <v>2</v>
      </c>
      <c r="Q59" s="287">
        <f ca="1">O59*P59</f>
        <v>148.59044247787608</v>
      </c>
      <c r="S59" s="36"/>
      <c r="W59" s="41"/>
      <c r="Y59" s="41"/>
    </row>
    <row r="60" spans="1:25" x14ac:dyDescent="0.25">
      <c r="H60">
        <f>22*170</f>
        <v>3740</v>
      </c>
      <c r="I60" s="82">
        <f t="shared" si="4"/>
        <v>60</v>
      </c>
      <c r="J60" s="41">
        <f t="shared" si="5"/>
        <v>82.2</v>
      </c>
      <c r="M60" s="208" t="s">
        <v>235</v>
      </c>
      <c r="N60" s="59">
        <v>143.1</v>
      </c>
      <c r="O60" s="225">
        <f ca="1">N60*$P$65/$Q$65</f>
        <v>138.79433628318586</v>
      </c>
      <c r="P60" s="87">
        <v>1</v>
      </c>
      <c r="Q60" s="287">
        <f ca="1">O60*P60</f>
        <v>138.79433628318586</v>
      </c>
      <c r="S60" s="36"/>
      <c r="T60" s="288"/>
      <c r="Y60" s="41"/>
    </row>
    <row r="61" spans="1:25" x14ac:dyDescent="0.25">
      <c r="B61" t="s">
        <v>251</v>
      </c>
      <c r="C61" t="s">
        <v>252</v>
      </c>
      <c r="D61" t="s">
        <v>253</v>
      </c>
      <c r="E61" t="s">
        <v>254</v>
      </c>
      <c r="F61" t="s">
        <v>255</v>
      </c>
      <c r="G61" t="s">
        <v>256</v>
      </c>
      <c r="I61" s="82">
        <f t="shared" si="4"/>
        <v>50</v>
      </c>
      <c r="J61" s="41">
        <f t="shared" si="5"/>
        <v>68.5</v>
      </c>
      <c r="M61" s="208" t="s">
        <v>237</v>
      </c>
      <c r="N61" s="289">
        <v>126.7</v>
      </c>
      <c r="O61" s="225">
        <f ca="1">N61*$P$65/$Q$65</f>
        <v>122.88778761061948</v>
      </c>
      <c r="P61" s="87">
        <v>1</v>
      </c>
      <c r="Q61" s="287">
        <f ca="1">O61*P61</f>
        <v>122.88778761061948</v>
      </c>
      <c r="S61" s="36"/>
      <c r="Y61" s="41"/>
    </row>
    <row r="62" spans="1:25" x14ac:dyDescent="0.25">
      <c r="A62" s="290" t="s">
        <v>257</v>
      </c>
      <c r="B62">
        <v>200</v>
      </c>
      <c r="C62" s="183">
        <v>3.0000000000000001E-3</v>
      </c>
      <c r="D62" s="291">
        <f ca="1">B62*C62/365*$P$66</f>
        <v>5.5890410958904103E-2</v>
      </c>
      <c r="E62" s="36">
        <f ca="1">B62*$O$88/365*$P$66</f>
        <v>0.5418513242009132</v>
      </c>
      <c r="F62" s="36">
        <f ca="1">B62*M5%/365*$P$66</f>
        <v>0.575980493150685</v>
      </c>
      <c r="G62" s="292">
        <f ca="1">D65+E65-F65</f>
        <v>9.6320913242008643E-2</v>
      </c>
      <c r="H62" s="42"/>
      <c r="I62" s="82">
        <f t="shared" si="4"/>
        <v>40</v>
      </c>
      <c r="J62" s="41">
        <f t="shared" si="5"/>
        <v>54.8</v>
      </c>
      <c r="M62" s="248" t="s">
        <v>238</v>
      </c>
      <c r="N62" s="293">
        <v>60.6</v>
      </c>
      <c r="O62" s="225">
        <f ca="1">N62*$P$65/$Q$65</f>
        <v>58.776637168141598</v>
      </c>
      <c r="P62" s="87">
        <v>2</v>
      </c>
      <c r="Q62" s="287">
        <f ca="1">O62*P62</f>
        <v>117.5532743362832</v>
      </c>
      <c r="R62" s="41">
        <f ca="1">Q59+Q61+Q62</f>
        <v>389.0315044247788</v>
      </c>
      <c r="S62" s="36"/>
    </row>
    <row r="63" spans="1:25" x14ac:dyDescent="0.25">
      <c r="A63" s="294" t="s">
        <v>258</v>
      </c>
      <c r="B63">
        <v>200</v>
      </c>
      <c r="C63" s="183">
        <v>4.4999999999999997E-3</v>
      </c>
      <c r="D63" s="291">
        <f ca="1">B63*C63/365*$P$66</f>
        <v>8.3835616438356159E-2</v>
      </c>
      <c r="E63" s="36">
        <f ca="1">B63*$O$88/365*$P$66</f>
        <v>0.5418513242009132</v>
      </c>
      <c r="F63" s="36">
        <f ca="1">B63*M5%/365*$P$66</f>
        <v>0.575980493150685</v>
      </c>
      <c r="G63" s="190">
        <f ca="1">G62/0.0426</f>
        <v>2.2610543014556019</v>
      </c>
      <c r="I63" s="82">
        <f t="shared" si="4"/>
        <v>30</v>
      </c>
      <c r="J63" s="41">
        <f t="shared" si="5"/>
        <v>41.1</v>
      </c>
      <c r="R63" s="41"/>
      <c r="S63" s="36"/>
      <c r="T63" s="295"/>
    </row>
    <row r="64" spans="1:25" x14ac:dyDescent="0.25">
      <c r="A64" s="294" t="s">
        <v>237</v>
      </c>
      <c r="B64">
        <v>100</v>
      </c>
      <c r="C64" s="183">
        <v>4.4999999999999997E-3</v>
      </c>
      <c r="D64" s="296">
        <f ca="1">B64*C64/365*$P$66</f>
        <v>4.1917808219178079E-2</v>
      </c>
      <c r="E64" s="36">
        <f ca="1">B64*$O$88/365*$P$66</f>
        <v>0.2709256621004566</v>
      </c>
      <c r="F64" s="36">
        <f ca="1">B64*M5%/365*$P$66</f>
        <v>0.2879902465753425</v>
      </c>
      <c r="H64" t="s">
        <v>259</v>
      </c>
      <c r="I64" s="82">
        <f t="shared" si="4"/>
        <v>20</v>
      </c>
      <c r="J64" s="41">
        <f t="shared" si="5"/>
        <v>27.4</v>
      </c>
      <c r="M64" s="52" t="s">
        <v>260</v>
      </c>
      <c r="N64" s="297" t="s">
        <v>261</v>
      </c>
      <c r="O64" s="297" t="s">
        <v>262</v>
      </c>
      <c r="P64" s="52" t="s">
        <v>263</v>
      </c>
      <c r="Q64" s="52" t="s">
        <v>248</v>
      </c>
      <c r="T64" s="41" t="s">
        <v>264</v>
      </c>
      <c r="U64" t="s">
        <v>265</v>
      </c>
    </row>
    <row r="65" spans="1:25" x14ac:dyDescent="0.25">
      <c r="B65">
        <f>SUM(B62:B64)</f>
        <v>500</v>
      </c>
      <c r="C65" s="298">
        <f>SUMPRODUCT(B62:B64,C62:C64)/B65</f>
        <v>3.8999999999999998E-3</v>
      </c>
      <c r="D65" s="296">
        <f ca="1">SUM(D62:D64)</f>
        <v>0.18164383561643832</v>
      </c>
      <c r="E65" s="36">
        <f ca="1">SUM(E62:E64)</f>
        <v>1.3546283105022829</v>
      </c>
      <c r="F65" s="36">
        <f ca="1">SUM(F62:F64)</f>
        <v>1.4399512328767126</v>
      </c>
      <c r="H65">
        <f ca="1">G62/P66</f>
        <v>2.832968036529666E-3</v>
      </c>
      <c r="I65" s="82">
        <f t="shared" si="4"/>
        <v>10</v>
      </c>
      <c r="J65" s="41">
        <f t="shared" si="5"/>
        <v>13.7</v>
      </c>
      <c r="M65" s="87" t="s">
        <v>266</v>
      </c>
      <c r="N65" s="299">
        <f ca="1">TODAY()</f>
        <v>46245</v>
      </c>
      <c r="O65" s="299">
        <f ca="1">EDATE(N65,36)</f>
        <v>47341</v>
      </c>
      <c r="P65" s="87">
        <f ca="1">O65-N65</f>
        <v>1096</v>
      </c>
      <c r="Q65" s="87">
        <f ca="1">P65+P66</f>
        <v>1130</v>
      </c>
      <c r="T65" s="136">
        <v>2500</v>
      </c>
      <c r="U65">
        <v>2252</v>
      </c>
      <c r="W65" s="41"/>
    </row>
    <row r="66" spans="1:25" x14ac:dyDescent="0.25">
      <c r="D66" s="300">
        <f ca="1">D65/P66</f>
        <v>5.3424657534246562E-3</v>
      </c>
      <c r="E66">
        <f ca="1">E65/P66</f>
        <v>3.9842009132420086E-2</v>
      </c>
      <c r="F66" s="81">
        <f ca="1">F65/P66</f>
        <v>4.2351506849315074E-2</v>
      </c>
      <c r="I66" s="82">
        <f t="shared" si="4"/>
        <v>0</v>
      </c>
      <c r="J66" s="41">
        <f t="shared" si="5"/>
        <v>0</v>
      </c>
      <c r="M66" s="87" t="s">
        <v>267</v>
      </c>
      <c r="N66" s="299">
        <f ca="1">TODAY()+1</f>
        <v>46246</v>
      </c>
      <c r="O66" s="301">
        <v>46280</v>
      </c>
      <c r="P66" s="87">
        <f ca="1">O66-N66</f>
        <v>34</v>
      </c>
      <c r="Q66" s="87"/>
      <c r="S66" t="s">
        <v>182</v>
      </c>
      <c r="T66" s="41" t="s">
        <v>164</v>
      </c>
      <c r="U66" t="s">
        <v>268</v>
      </c>
      <c r="V66" t="s">
        <v>269</v>
      </c>
      <c r="W66" s="41"/>
    </row>
    <row r="67" spans="1:25" x14ac:dyDescent="0.25">
      <c r="A67" s="42"/>
      <c r="G67" s="30"/>
      <c r="S67">
        <f>-T65*0.4%/365</f>
        <v>-2.7397260273972601E-2</v>
      </c>
      <c r="T67" s="288">
        <f>T65*2.771%/365</f>
        <v>0.18979452054794518</v>
      </c>
      <c r="U67">
        <f>-T65/10000</f>
        <v>-0.25</v>
      </c>
      <c r="V67">
        <f>-U65*2.652%/365</f>
        <v>-0.16362476712328769</v>
      </c>
      <c r="W67" s="41"/>
      <c r="Y67" s="36"/>
    </row>
    <row r="68" spans="1:25" ht="16.5" x14ac:dyDescent="0.25">
      <c r="A68" s="37"/>
      <c r="B68" s="37"/>
      <c r="C68" s="37"/>
      <c r="D68" s="37"/>
      <c r="E68" s="302"/>
      <c r="F68" s="37"/>
      <c r="G68" s="37"/>
      <c r="H68" s="303"/>
      <c r="I68" s="303"/>
      <c r="J68" s="37"/>
      <c r="M68" s="137" t="s">
        <v>270</v>
      </c>
      <c r="R68">
        <f>3020*0.4%/365</f>
        <v>3.3095890410958902E-2</v>
      </c>
      <c r="U68" s="288">
        <f>T67+U67+V67+S67</f>
        <v>-0.25122750684931511</v>
      </c>
      <c r="W68" s="41"/>
    </row>
    <row r="69" spans="1:25" x14ac:dyDescent="0.25">
      <c r="A69" s="51" t="s">
        <v>271</v>
      </c>
      <c r="B69" s="38"/>
      <c r="C69" s="38"/>
      <c r="D69" s="38"/>
      <c r="E69" s="254"/>
      <c r="F69" s="38"/>
      <c r="G69" s="38"/>
      <c r="H69" s="268"/>
      <c r="I69" s="304"/>
      <c r="M69" s="285" t="s">
        <v>272</v>
      </c>
      <c r="N69" s="52" t="s">
        <v>273</v>
      </c>
      <c r="O69" s="52" t="s">
        <v>274</v>
      </c>
      <c r="P69" s="52" t="s">
        <v>275</v>
      </c>
      <c r="Q69" s="52" t="s">
        <v>276</v>
      </c>
    </row>
    <row r="70" spans="1:25" x14ac:dyDescent="0.25">
      <c r="A70" s="248" t="s">
        <v>277</v>
      </c>
      <c r="B70" s="59">
        <f>B46</f>
        <v>9799.48</v>
      </c>
      <c r="C70" s="305">
        <v>10261</v>
      </c>
      <c r="D70" s="306"/>
      <c r="E70" s="87">
        <v>100</v>
      </c>
      <c r="F70" s="213">
        <f>(C70-B70)*E70*10000</f>
        <v>461520000.00000042</v>
      </c>
      <c r="G70" s="38"/>
      <c r="H70" s="45">
        <v>100</v>
      </c>
      <c r="I70" s="307">
        <v>3.0000000000000001E-3</v>
      </c>
      <c r="J70">
        <f>H70*I70/365</f>
        <v>8.2191780821917802E-4</v>
      </c>
      <c r="M70" s="248" t="s">
        <v>278</v>
      </c>
      <c r="N70" s="59">
        <v>127.1</v>
      </c>
      <c r="O70" s="225">
        <f ca="1">N70*$P$76/$Q$76</f>
        <v>114.08812448812449</v>
      </c>
      <c r="P70" s="87">
        <v>1</v>
      </c>
      <c r="Q70" s="287">
        <f ca="1">O70*P70</f>
        <v>114.08812448812449</v>
      </c>
    </row>
    <row r="71" spans="1:25" x14ac:dyDescent="0.25">
      <c r="A71" s="248" t="s">
        <v>205</v>
      </c>
      <c r="B71" s="232">
        <f>B47</f>
        <v>103.39</v>
      </c>
      <c r="C71" s="308">
        <v>106.99</v>
      </c>
      <c r="D71" s="87"/>
      <c r="E71" s="309">
        <v>-138.92635658914728</v>
      </c>
      <c r="F71" s="310">
        <f>(C71-B71)*E71*1000000</f>
        <v>-500134883.72092938</v>
      </c>
      <c r="G71" s="38"/>
      <c r="H71">
        <v>0</v>
      </c>
      <c r="I71" s="298">
        <v>2.5000000000000001E-3</v>
      </c>
      <c r="J71">
        <f>H71*I71/365</f>
        <v>0</v>
      </c>
      <c r="M71" s="248" t="s">
        <v>279</v>
      </c>
      <c r="N71" s="59">
        <v>81.2</v>
      </c>
      <c r="O71" s="225">
        <f ca="1">N71*$P$76/$Q$76</f>
        <v>72.887141687141678</v>
      </c>
      <c r="P71" s="87">
        <v>2</v>
      </c>
      <c r="Q71" s="287">
        <f ca="1">O71*P71</f>
        <v>145.77428337428336</v>
      </c>
    </row>
    <row r="72" spans="1:25" x14ac:dyDescent="0.25">
      <c r="A72" s="248" t="s">
        <v>101</v>
      </c>
      <c r="B72" s="58"/>
      <c r="C72" s="224">
        <f>C48</f>
        <v>847030.1369863014</v>
      </c>
      <c r="D72" s="87"/>
      <c r="E72" s="87">
        <f>E70/100</f>
        <v>1</v>
      </c>
      <c r="F72" s="311">
        <f>-C72*D39*$E$72</f>
        <v>-2541090.4109589043</v>
      </c>
      <c r="G72" s="38"/>
      <c r="H72">
        <v>250</v>
      </c>
      <c r="I72" s="298">
        <v>3.5000000000000001E-3</v>
      </c>
      <c r="J72">
        <f>H72*I72/365</f>
        <v>2.3972602739726029E-3</v>
      </c>
      <c r="M72" s="208" t="s">
        <v>208</v>
      </c>
      <c r="N72" s="289">
        <v>147.9</v>
      </c>
      <c r="O72" s="225">
        <f ca="1">N72*$P$76/$Q$76</f>
        <v>132.75872235872237</v>
      </c>
      <c r="P72" s="87">
        <v>1</v>
      </c>
      <c r="Q72" s="287">
        <f ca="1">O72*P72</f>
        <v>132.75872235872237</v>
      </c>
      <c r="W72" s="41"/>
    </row>
    <row r="73" spans="1:25" x14ac:dyDescent="0.25">
      <c r="A73" s="248" t="s">
        <v>192</v>
      </c>
      <c r="B73" s="58"/>
      <c r="C73" s="68"/>
      <c r="D73" s="58"/>
      <c r="E73" s="58"/>
      <c r="F73" s="312">
        <f>SUM(F70:F72)</f>
        <v>-41155974.131887868</v>
      </c>
      <c r="G73" s="38"/>
      <c r="I73" s="36"/>
      <c r="J73" s="313">
        <f>SUM(J70:J72)</f>
        <v>3.2191780821917808E-3</v>
      </c>
      <c r="M73" s="248" t="s">
        <v>216</v>
      </c>
      <c r="N73" s="293">
        <v>65.3</v>
      </c>
      <c r="O73" s="225">
        <f ca="1">N73*$P$76/$Q$76</f>
        <v>58.614905814905818</v>
      </c>
      <c r="P73" s="87">
        <v>2</v>
      </c>
      <c r="Q73" s="287">
        <f ca="1">O73*P73</f>
        <v>117.22981162981164</v>
      </c>
      <c r="R73" s="41">
        <f ca="1">Q72+Q71+Q73</f>
        <v>395.76281736281737</v>
      </c>
      <c r="W73" s="41"/>
    </row>
    <row r="74" spans="1:25" x14ac:dyDescent="0.25">
      <c r="A74" s="38"/>
      <c r="B74" s="38"/>
      <c r="C74" s="38"/>
      <c r="D74" s="38"/>
      <c r="E74" s="254"/>
      <c r="F74" s="38"/>
      <c r="G74" s="38"/>
      <c r="I74" s="41"/>
      <c r="T74">
        <v>2000</v>
      </c>
      <c r="W74" s="41"/>
      <c r="Y74" s="41"/>
    </row>
    <row r="75" spans="1:25" x14ac:dyDescent="0.25">
      <c r="A75" s="248" t="s">
        <v>280</v>
      </c>
      <c r="B75" s="314">
        <v>10167.85</v>
      </c>
      <c r="C75" s="315">
        <f>ROUNDDOWN([1]채권단가계산표!L18,0)-0.5</f>
        <v>9320.5</v>
      </c>
      <c r="D75" s="316">
        <v>3.23</v>
      </c>
      <c r="E75" s="87">
        <v>100</v>
      </c>
      <c r="F75" s="213">
        <f>(C75-B75)*E75*10000</f>
        <v>-847350000.00000024</v>
      </c>
      <c r="G75" s="38"/>
      <c r="I75" s="41">
        <f>4*82</f>
        <v>328</v>
      </c>
      <c r="M75" s="52" t="s">
        <v>79</v>
      </c>
      <c r="N75" s="297" t="s">
        <v>281</v>
      </c>
      <c r="O75" s="297" t="s">
        <v>282</v>
      </c>
      <c r="P75" s="52" t="s">
        <v>283</v>
      </c>
      <c r="Q75" s="52" t="s">
        <v>274</v>
      </c>
      <c r="T75" s="42">
        <v>60</v>
      </c>
      <c r="W75" s="41"/>
    </row>
    <row r="76" spans="1:25" x14ac:dyDescent="0.25">
      <c r="A76" s="248" t="s">
        <v>284</v>
      </c>
      <c r="B76" s="59">
        <f>B47</f>
        <v>103.39</v>
      </c>
      <c r="C76" s="317">
        <v>105.18</v>
      </c>
      <c r="D76" s="87">
        <v>3.42</v>
      </c>
      <c r="E76" s="309">
        <v>-74.950381679389309</v>
      </c>
      <c r="F76" s="213">
        <f>(C76-B76)*E76*1000000</f>
        <v>-134161183.20610732</v>
      </c>
      <c r="G76" s="38"/>
      <c r="I76" s="41"/>
      <c r="M76" s="87" t="s">
        <v>285</v>
      </c>
      <c r="N76" s="299">
        <f ca="1">TODAY()</f>
        <v>46245</v>
      </c>
      <c r="O76" s="299">
        <f ca="1">EDATE(N76,36)</f>
        <v>47341</v>
      </c>
      <c r="P76" s="87">
        <f ca="1">O76-N76</f>
        <v>1096</v>
      </c>
      <c r="Q76" s="87">
        <f ca="1">P76+P77</f>
        <v>1221</v>
      </c>
      <c r="T76">
        <f>T75/4</f>
        <v>15</v>
      </c>
      <c r="W76" s="41"/>
    </row>
    <row r="77" spans="1:25" x14ac:dyDescent="0.25">
      <c r="A77" s="87" t="s">
        <v>101</v>
      </c>
      <c r="B77" s="87"/>
      <c r="C77" s="224">
        <v>986857.5342465752</v>
      </c>
      <c r="D77" s="87"/>
      <c r="E77" s="87"/>
      <c r="F77" s="224">
        <f>$F$43</f>
        <v>2541090.4109589043</v>
      </c>
      <c r="G77" s="38"/>
      <c r="I77" s="41"/>
      <c r="M77" s="87" t="s">
        <v>267</v>
      </c>
      <c r="N77" s="299">
        <f ca="1">TODAY()+1</f>
        <v>46246</v>
      </c>
      <c r="O77" s="301">
        <v>46371</v>
      </c>
      <c r="P77" s="87">
        <f ca="1">O77-N77</f>
        <v>125</v>
      </c>
      <c r="Q77" s="87"/>
    </row>
    <row r="78" spans="1:25" x14ac:dyDescent="0.25">
      <c r="A78" s="87" t="s">
        <v>192</v>
      </c>
      <c r="B78" s="87"/>
      <c r="C78" s="87"/>
      <c r="D78" s="87"/>
      <c r="E78" s="87"/>
      <c r="F78" s="312">
        <f>SUM(F75:F77)</f>
        <v>-978970092.79514873</v>
      </c>
      <c r="I78" s="41"/>
      <c r="T78" t="s">
        <v>286</v>
      </c>
      <c r="X78" s="82">
        <v>100</v>
      </c>
      <c r="Y78" s="254">
        <f>Y76</f>
        <v>0</v>
      </c>
    </row>
    <row r="79" spans="1:25" x14ac:dyDescent="0.25">
      <c r="I79" s="41"/>
      <c r="T79" t="s">
        <v>287</v>
      </c>
      <c r="X79">
        <v>90</v>
      </c>
      <c r="Y79" s="41">
        <f>Y78*X79/X78</f>
        <v>0</v>
      </c>
    </row>
    <row r="80" spans="1:25" ht="17.25" thickBot="1" x14ac:dyDescent="0.3">
      <c r="A80" s="248" t="s">
        <v>288</v>
      </c>
      <c r="B80" s="59">
        <f>B56</f>
        <v>9567.81</v>
      </c>
      <c r="C80" s="318">
        <v>10201.5</v>
      </c>
      <c r="D80" s="319"/>
      <c r="E80" s="87">
        <v>100</v>
      </c>
      <c r="F80" s="212">
        <f>(C80-B80)*E80*10000</f>
        <v>633690000.00000048</v>
      </c>
      <c r="I80" s="41"/>
      <c r="M80" s="320" t="s">
        <v>289</v>
      </c>
      <c r="N80" s="38"/>
      <c r="O80" s="38"/>
      <c r="X80">
        <v>80</v>
      </c>
      <c r="Y80" s="41">
        <f t="shared" ref="Y80:Y87" si="6">Y79*X80/X79</f>
        <v>0</v>
      </c>
    </row>
    <row r="81" spans="1:25" ht="14.25" thickBot="1" x14ac:dyDescent="0.3">
      <c r="A81" s="248" t="s">
        <v>284</v>
      </c>
      <c r="B81" s="232">
        <f>B71</f>
        <v>103.39</v>
      </c>
      <c r="C81" s="308">
        <v>105.79</v>
      </c>
      <c r="D81" s="87" t="str">
        <f>_xll.IMDP("FUT","165TC000","국채수익률")</f>
        <v/>
      </c>
      <c r="E81" s="309">
        <v>-82</v>
      </c>
      <c r="F81" s="212">
        <f>(C81-B81)*E81*1000000</f>
        <v>-196800000.00000048</v>
      </c>
      <c r="I81" s="41"/>
      <c r="M81" s="52" t="s">
        <v>290</v>
      </c>
      <c r="N81" s="321">
        <f ca="1">TODAY()+1</f>
        <v>46246</v>
      </c>
      <c r="O81" s="322"/>
      <c r="P81" s="323"/>
      <c r="Q81" s="323"/>
      <c r="R81" s="323"/>
      <c r="X81">
        <v>70</v>
      </c>
      <c r="Y81" s="41">
        <f t="shared" si="6"/>
        <v>0</v>
      </c>
    </row>
    <row r="82" spans="1:25" ht="14.25" thickBot="1" x14ac:dyDescent="0.3">
      <c r="A82" s="87" t="s">
        <v>291</v>
      </c>
      <c r="B82" s="87"/>
      <c r="C82" s="224">
        <v>986857.5342465752</v>
      </c>
      <c r="D82" s="87"/>
      <c r="E82" s="87">
        <f>E80/100</f>
        <v>1</v>
      </c>
      <c r="F82" s="324">
        <f>-C82*D39*E82</f>
        <v>-2960572.6027397257</v>
      </c>
      <c r="G82" s="30"/>
      <c r="I82" s="41"/>
      <c r="M82" s="52" t="s">
        <v>292</v>
      </c>
      <c r="N82" s="321">
        <f>$O$66</f>
        <v>46280</v>
      </c>
      <c r="O82" s="322"/>
      <c r="P82" s="323"/>
      <c r="Q82" s="323"/>
      <c r="R82" s="323"/>
      <c r="X82">
        <v>60</v>
      </c>
      <c r="Y82" s="41">
        <f t="shared" si="6"/>
        <v>0</v>
      </c>
    </row>
    <row r="83" spans="1:25" x14ac:dyDescent="0.15">
      <c r="A83" s="87" t="s">
        <v>293</v>
      </c>
      <c r="B83" s="87"/>
      <c r="C83" s="87"/>
      <c r="D83" s="87"/>
      <c r="E83" s="87"/>
      <c r="F83" s="230">
        <f>SUM(F80:F82)</f>
        <v>433929427.39726025</v>
      </c>
      <c r="H83" s="325"/>
      <c r="I83" s="41"/>
      <c r="M83" s="326"/>
      <c r="N83" s="327"/>
      <c r="O83" s="328"/>
      <c r="P83" s="323"/>
      <c r="Q83" s="323"/>
      <c r="R83" s="323"/>
      <c r="X83">
        <v>50</v>
      </c>
      <c r="Y83" s="41">
        <f t="shared" si="6"/>
        <v>0</v>
      </c>
    </row>
    <row r="84" spans="1:25" x14ac:dyDescent="0.25">
      <c r="A84" s="124"/>
      <c r="B84" s="37"/>
      <c r="C84" s="37"/>
      <c r="D84" s="37"/>
      <c r="E84" s="37"/>
      <c r="F84" s="37"/>
      <c r="G84" s="37"/>
      <c r="H84" s="45"/>
      <c r="I84" s="41"/>
      <c r="M84" s="52" t="s">
        <v>294</v>
      </c>
      <c r="N84" s="52" t="s">
        <v>295</v>
      </c>
      <c r="O84" s="52" t="s">
        <v>296</v>
      </c>
      <c r="P84" s="323" t="s">
        <v>105</v>
      </c>
      <c r="Q84" s="323"/>
      <c r="R84" s="323"/>
      <c r="X84">
        <v>40</v>
      </c>
      <c r="Y84" s="41">
        <f t="shared" si="6"/>
        <v>0</v>
      </c>
    </row>
    <row r="85" spans="1:25" x14ac:dyDescent="0.15">
      <c r="A85" s="42" t="s">
        <v>297</v>
      </c>
      <c r="C85" t="s">
        <v>132</v>
      </c>
      <c r="D85" s="138">
        <v>1</v>
      </c>
      <c r="H85" s="84"/>
      <c r="I85" s="41"/>
      <c r="M85" s="329" t="s">
        <v>298</v>
      </c>
      <c r="N85" s="330">
        <f>1/365</f>
        <v>2.7397260273972603E-3</v>
      </c>
      <c r="O85" s="331">
        <v>2.896E-2</v>
      </c>
      <c r="P85" s="323"/>
      <c r="Q85" s="332"/>
      <c r="X85">
        <v>30</v>
      </c>
      <c r="Y85" s="41">
        <f t="shared" si="6"/>
        <v>0</v>
      </c>
    </row>
    <row r="86" spans="1:25" x14ac:dyDescent="0.15">
      <c r="A86" s="52" t="s">
        <v>79</v>
      </c>
      <c r="B86" s="52" t="s">
        <v>133</v>
      </c>
      <c r="C86" s="52" t="s">
        <v>134</v>
      </c>
      <c r="D86" s="52" t="s">
        <v>135</v>
      </c>
      <c r="E86" s="52" t="s">
        <v>136</v>
      </c>
      <c r="F86" s="333" t="s">
        <v>102</v>
      </c>
      <c r="G86" s="52" t="s">
        <v>139</v>
      </c>
      <c r="J86" s="41"/>
      <c r="M86" s="329" t="s">
        <v>299</v>
      </c>
      <c r="N86" s="334">
        <f>91/365</f>
        <v>0.24931506849315069</v>
      </c>
      <c r="O86" s="335">
        <v>2.93E-2</v>
      </c>
      <c r="P86" s="336"/>
      <c r="Q86" s="332"/>
      <c r="X86">
        <v>20</v>
      </c>
      <c r="Y86" s="41">
        <f t="shared" si="6"/>
        <v>0</v>
      </c>
    </row>
    <row r="87" spans="1:25" ht="17.25" x14ac:dyDescent="0.25">
      <c r="A87" s="248" t="s">
        <v>300</v>
      </c>
      <c r="B87" s="59">
        <v>9675.64</v>
      </c>
      <c r="C87" s="337">
        <f>ROUNDDOWN([1]채권단가계산표!N18,0)-0.5</f>
        <v>8900.5</v>
      </c>
      <c r="D87" s="148">
        <v>3.39</v>
      </c>
      <c r="E87" s="87">
        <v>100</v>
      </c>
      <c r="F87" s="212">
        <f>(C87-B87)*E87*10000</f>
        <v>-775139999.9999994</v>
      </c>
      <c r="G87" s="338" t="e">
        <f>_xll.IMDP("FUT","170V3000","저평가")*100</f>
        <v>#VALUE!</v>
      </c>
      <c r="M87" s="339" t="s">
        <v>301</v>
      </c>
      <c r="N87" s="340">
        <v>1</v>
      </c>
      <c r="O87" s="341">
        <v>3.2480000000000002E-2</v>
      </c>
      <c r="P87" s="323"/>
      <c r="Q87" s="332"/>
      <c r="X87">
        <v>10</v>
      </c>
      <c r="Y87" s="41">
        <f t="shared" si="6"/>
        <v>0</v>
      </c>
    </row>
    <row r="88" spans="1:25" x14ac:dyDescent="0.15">
      <c r="A88" s="248" t="s">
        <v>302</v>
      </c>
      <c r="B88" s="59">
        <v>129.56</v>
      </c>
      <c r="C88" s="342" t="str">
        <f>_xll.IMDP("FUT","170V6000","선물호가_현재가")</f>
        <v/>
      </c>
      <c r="D88" s="87" t="str">
        <f>_xll.IMDP("FUT","165V3000","국채수익률")</f>
        <v/>
      </c>
      <c r="E88" s="309">
        <v>-79.7</v>
      </c>
      <c r="F88" s="212" t="e">
        <f>(C88-B88)*E88*1000000</f>
        <v>#VALUE!</v>
      </c>
      <c r="M88" s="343" t="s">
        <v>303</v>
      </c>
      <c r="N88" s="344">
        <f ca="1">(N82-N81)/365</f>
        <v>9.3150684931506855E-2</v>
      </c>
      <c r="O88" s="345">
        <f ca="1">((N88-N85)/(N86-N85))*(O86-O85)+O85</f>
        <v>2.9084666666666665E-2</v>
      </c>
      <c r="P88" s="323" t="s">
        <v>304</v>
      </c>
      <c r="Q88" s="332"/>
      <c r="R88" s="323"/>
      <c r="S88" s="36">
        <f ca="1">O88/365*100000000</f>
        <v>7968.4018264840179</v>
      </c>
    </row>
    <row r="89" spans="1:25" x14ac:dyDescent="0.15">
      <c r="A89" s="87" t="s">
        <v>101</v>
      </c>
      <c r="B89" s="87"/>
      <c r="C89" s="224">
        <f>$O$5</f>
        <v>847030.1369863014</v>
      </c>
      <c r="D89" s="87"/>
      <c r="E89" s="87">
        <f>E87/100</f>
        <v>1</v>
      </c>
      <c r="F89" s="324">
        <f>-C89*D85*E89</f>
        <v>-847030.1369863014</v>
      </c>
      <c r="M89" s="346"/>
      <c r="N89" s="347"/>
      <c r="O89" s="347"/>
      <c r="P89" s="347"/>
      <c r="Q89" s="347"/>
      <c r="R89" s="347"/>
      <c r="V89" s="30"/>
    </row>
    <row r="90" spans="1:25" x14ac:dyDescent="0.15">
      <c r="A90" s="87" t="s">
        <v>192</v>
      </c>
      <c r="B90" s="87"/>
      <c r="C90" s="87"/>
      <c r="D90" s="87"/>
      <c r="E90" s="87"/>
      <c r="F90" s="230" t="e">
        <f>SUM(F87:F89)</f>
        <v>#VALUE!</v>
      </c>
      <c r="M90" s="346"/>
      <c r="N90" s="347"/>
      <c r="O90" s="347"/>
      <c r="P90" s="347"/>
      <c r="Q90" s="347"/>
      <c r="R90" s="347"/>
    </row>
    <row r="91" spans="1:25" x14ac:dyDescent="0.25">
      <c r="A91" s="42"/>
      <c r="D91" s="168"/>
      <c r="M91" s="52" t="s">
        <v>305</v>
      </c>
      <c r="N91" s="52" t="s">
        <v>306</v>
      </c>
      <c r="O91" s="52" t="s">
        <v>282</v>
      </c>
      <c r="P91" s="52" t="s">
        <v>307</v>
      </c>
      <c r="Q91" s="52" t="s">
        <v>308</v>
      </c>
      <c r="R91" s="52" t="s">
        <v>309</v>
      </c>
      <c r="S91" s="52" t="s">
        <v>310</v>
      </c>
      <c r="T91" s="52" t="s">
        <v>311</v>
      </c>
      <c r="U91" s="348"/>
      <c r="V91" s="94"/>
    </row>
    <row r="92" spans="1:25" x14ac:dyDescent="0.15">
      <c r="A92" s="248" t="s">
        <v>312</v>
      </c>
      <c r="B92" s="59">
        <v>10376.14</v>
      </c>
      <c r="C92" s="337" t="str">
        <f>_xll.IMDP("BND","KR103502GD98","장내국채-현재가격")</f>
        <v/>
      </c>
      <c r="D92" s="349" t="str">
        <f>_xll.IMDP("BND","KR103502GD98","장내국채-현재수익률")</f>
        <v/>
      </c>
      <c r="E92" s="87">
        <v>100</v>
      </c>
      <c r="F92" s="213" t="e">
        <f>(C92-B92)*E92*10000</f>
        <v>#VALUE!</v>
      </c>
      <c r="H92" s="129"/>
      <c r="M92" s="350" t="s">
        <v>313</v>
      </c>
      <c r="N92" s="351">
        <v>45818</v>
      </c>
      <c r="O92" s="351">
        <v>46914</v>
      </c>
      <c r="P92" s="352">
        <v>2.2499999999999999E-2</v>
      </c>
      <c r="Q92" s="353">
        <v>6</v>
      </c>
      <c r="R92" s="354">
        <f>C46</f>
        <v>9799.5</v>
      </c>
      <c r="S92" s="67">
        <f>R92*E41*2*10000</f>
        <v>-19599000000</v>
      </c>
      <c r="T92" s="68">
        <f ca="1">S92*$M$5/100/365*$N$88*365</f>
        <v>-56443208.426301368</v>
      </c>
      <c r="V92" s="91"/>
    </row>
    <row r="93" spans="1:25" x14ac:dyDescent="0.15">
      <c r="A93" s="248" t="s">
        <v>302</v>
      </c>
      <c r="B93" s="232">
        <f>B88</f>
        <v>129.56</v>
      </c>
      <c r="C93" s="342" t="str">
        <f>_xll.IMDP("FUT","170V3000","선물호가_현재가")</f>
        <v/>
      </c>
      <c r="D93" s="87" t="str">
        <f>_xll.IMDP("FUT","165V3000","국채수익률")</f>
        <v/>
      </c>
      <c r="E93" s="309">
        <v>-80</v>
      </c>
      <c r="F93" s="213" t="e">
        <f>(C93-B93)*E93*1000000</f>
        <v>#VALUE!</v>
      </c>
      <c r="M93" s="355" t="s">
        <v>314</v>
      </c>
      <c r="N93" s="351">
        <v>45726</v>
      </c>
      <c r="O93" s="351">
        <v>47552</v>
      </c>
      <c r="P93" s="356">
        <v>2.6249999999999999E-2</v>
      </c>
      <c r="Q93" s="353">
        <v>6</v>
      </c>
      <c r="R93" s="357">
        <f>C41</f>
        <v>9839.5</v>
      </c>
      <c r="S93" s="67">
        <f>R93*E46*10000</f>
        <v>-9839500000</v>
      </c>
      <c r="T93" s="68">
        <f ca="1">S93*$M$5/100/365*$N$88*365</f>
        <v>-28336800.311780822</v>
      </c>
    </row>
    <row r="94" spans="1:25" x14ac:dyDescent="0.15">
      <c r="A94" s="87" t="s">
        <v>101</v>
      </c>
      <c r="B94" s="87"/>
      <c r="C94" s="224">
        <f>$O$5</f>
        <v>847030.1369863014</v>
      </c>
      <c r="D94" s="87"/>
      <c r="E94" s="87">
        <f>E92/100</f>
        <v>1</v>
      </c>
      <c r="F94" s="224">
        <f>-C94*D85*E94</f>
        <v>-847030.1369863014</v>
      </c>
      <c r="M94" s="350" t="s">
        <v>315</v>
      </c>
      <c r="N94" s="351">
        <v>45636</v>
      </c>
      <c r="O94" s="351">
        <v>46731</v>
      </c>
      <c r="P94" s="352">
        <v>2.8750000000000001E-2</v>
      </c>
      <c r="Q94" s="353">
        <v>6</v>
      </c>
      <c r="R94" s="354">
        <f>C51</f>
        <v>9865</v>
      </c>
      <c r="S94" s="67">
        <f>R94*E51*2*10000</f>
        <v>-19730000000</v>
      </c>
      <c r="T94" s="68">
        <f ca="1">S94*$M$5/100/365*$N$88*365</f>
        <v>-56820475.649315082</v>
      </c>
    </row>
    <row r="95" spans="1:25" x14ac:dyDescent="0.25">
      <c r="A95" s="87" t="s">
        <v>192</v>
      </c>
      <c r="B95" s="87"/>
      <c r="C95" s="87"/>
      <c r="D95" s="87"/>
      <c r="E95" s="87"/>
      <c r="F95" s="312" t="e">
        <f>SUM(F92:F94)</f>
        <v>#VALUE!</v>
      </c>
    </row>
    <row r="96" spans="1:25" x14ac:dyDescent="0.25">
      <c r="M96" s="358"/>
      <c r="N96" s="358"/>
      <c r="O96" s="358"/>
      <c r="P96" s="358"/>
      <c r="Q96" s="358"/>
      <c r="R96" s="358"/>
    </row>
    <row r="97" spans="3:22" x14ac:dyDescent="0.25">
      <c r="M97" s="52" t="s">
        <v>316</v>
      </c>
      <c r="N97" s="52" t="s">
        <v>317</v>
      </c>
      <c r="O97" s="52" t="s">
        <v>318</v>
      </c>
      <c r="P97" s="52" t="s">
        <v>319</v>
      </c>
      <c r="Q97" s="52" t="s">
        <v>320</v>
      </c>
      <c r="R97" s="52" t="s">
        <v>321</v>
      </c>
      <c r="S97" s="52" t="s">
        <v>322</v>
      </c>
      <c r="T97" s="52" t="s">
        <v>323</v>
      </c>
      <c r="U97" s="52" t="s">
        <v>324</v>
      </c>
      <c r="V97" s="52" t="s">
        <v>325</v>
      </c>
    </row>
    <row r="98" spans="3:22" x14ac:dyDescent="0.25">
      <c r="M98" s="359">
        <v>46001</v>
      </c>
      <c r="N98" s="360">
        <f ca="1">(M98-$N$81)/365</f>
        <v>-0.67123287671232879</v>
      </c>
      <c r="O98" s="361">
        <f ca="1">(N98-N86)/(N87-N86)*(O87-O86)+O86</f>
        <v>2.5400437956204377E-2</v>
      </c>
      <c r="P98" s="362">
        <f>IF($N$82&gt;M98,10000*P92/(12/Q92),0)</f>
        <v>112.5</v>
      </c>
      <c r="Q98" s="362">
        <f ca="1">P98/(1+O98*N98)</f>
        <v>114.45135078487863</v>
      </c>
      <c r="R98" s="362">
        <f ca="1">(R92-Q98)*(1+$O$88*$N$88)</f>
        <v>9711.2879313927588</v>
      </c>
      <c r="S98" s="67">
        <f ca="1">R98*E56*2*10000</f>
        <v>-19422575862.785519</v>
      </c>
      <c r="T98" s="363">
        <f ca="1">S98-S92</f>
        <v>176424137.21448135</v>
      </c>
      <c r="U98" s="67">
        <f>P98*E56*2*10000</f>
        <v>-225000000</v>
      </c>
      <c r="V98" s="67">
        <f>U98*$M$5/100/365*($N$82-M98)</f>
        <v>-5317231.6849315073</v>
      </c>
    </row>
    <row r="99" spans="3:22" x14ac:dyDescent="0.25">
      <c r="M99" s="359">
        <v>46091</v>
      </c>
      <c r="N99" s="360">
        <f ca="1">(M99-$N$81)/365</f>
        <v>-0.42465753424657532</v>
      </c>
      <c r="O99" s="361">
        <f ca="1">(N99-N85)/(N86-N85)*(O86-O85)+O85</f>
        <v>2.8370666666666666E-2</v>
      </c>
      <c r="P99" s="362">
        <f>IF($N$82&gt;M99,10000*P93/(12/Q93),0)</f>
        <v>131.25</v>
      </c>
      <c r="Q99" s="362">
        <f ca="1">P99/(1+O99*N99)</f>
        <v>132.85055927318095</v>
      </c>
      <c r="R99" s="362">
        <f ca="1">(R93-Q99)*(1+$O$88*$N$88)</f>
        <v>9732.9472449918776</v>
      </c>
      <c r="S99" s="67">
        <f ca="1">R99*E46*10000</f>
        <v>-9732947244.9918785</v>
      </c>
      <c r="T99" s="363">
        <f ca="1">S99-S93</f>
        <v>106552755.00812149</v>
      </c>
      <c r="U99" s="67">
        <f>P99*E46*10000</f>
        <v>-131250000</v>
      </c>
      <c r="V99" s="67">
        <f>U99*$M$5/100/365*($N$82-M99)</f>
        <v>-2101164.1335616438</v>
      </c>
    </row>
    <row r="100" spans="3:22" x14ac:dyDescent="0.25">
      <c r="M100" s="359">
        <v>46001</v>
      </c>
      <c r="N100" s="360">
        <f ca="1">(M100-$N$81)/365</f>
        <v>-0.67123287671232879</v>
      </c>
      <c r="O100" s="361">
        <f ca="1">(N100-N86)/(N87-N86)*(O87-O86)+O86</f>
        <v>2.5400437956204377E-2</v>
      </c>
      <c r="P100" s="362">
        <f>IF($N$82&gt;M100,10000*P94/(12/Q94),0)</f>
        <v>143.75</v>
      </c>
      <c r="Q100" s="362">
        <f ca="1">P100/(1+O100*N100)</f>
        <v>146.24339266956713</v>
      </c>
      <c r="R100" s="362">
        <f ca="1">(R94-Q100)*(1+$O$88*$N$88)</f>
        <v>9745.0872130167754</v>
      </c>
      <c r="S100" s="67">
        <f ca="1">R100*E51*2*10000</f>
        <v>-19490174426.03355</v>
      </c>
      <c r="T100" s="363">
        <f ca="1">S100-S94</f>
        <v>239825573.96644974</v>
      </c>
      <c r="U100" s="67">
        <f>P100*E51*2*10000</f>
        <v>-287500000</v>
      </c>
      <c r="V100" s="67">
        <f>U100*$M$5/100/365*($N$82-M100)</f>
        <v>-6794240.486301369</v>
      </c>
    </row>
    <row r="101" spans="3:22" x14ac:dyDescent="0.25">
      <c r="R101" s="323"/>
    </row>
    <row r="102" spans="3:22" ht="16.5" x14ac:dyDescent="0.25">
      <c r="M102" s="137" t="s">
        <v>326</v>
      </c>
      <c r="N102" s="323"/>
      <c r="O102" s="323"/>
      <c r="P102" s="323"/>
      <c r="Q102" s="323"/>
    </row>
    <row r="103" spans="3:22" x14ac:dyDescent="0.25">
      <c r="C103">
        <f>4.12*9620.78*100</f>
        <v>3963761.3600000003</v>
      </c>
      <c r="M103" s="52" t="s">
        <v>79</v>
      </c>
      <c r="N103" s="52" t="str">
        <f>M92</f>
        <v>25-04</v>
      </c>
      <c r="O103" s="364" t="str">
        <f>M93</f>
        <v>25-3</v>
      </c>
      <c r="P103" s="52" t="str">
        <f>M94</f>
        <v>24-12</v>
      </c>
      <c r="Q103" s="52" t="s">
        <v>327</v>
      </c>
    </row>
    <row r="104" spans="3:22" x14ac:dyDescent="0.25">
      <c r="C104">
        <f>3.67*9721.62*100</f>
        <v>3567834.5400000005</v>
      </c>
      <c r="E104" s="36">
        <f>C104/C103</f>
        <v>0.90011335596651565</v>
      </c>
      <c r="M104" s="58" t="s">
        <v>328</v>
      </c>
      <c r="N104" s="363">
        <f ca="1">T98+U98+V98-T92</f>
        <v>2550113.9558512121</v>
      </c>
      <c r="O104" s="363">
        <f ca="1">T99+U99+V99-T93</f>
        <v>1538391.1863406673</v>
      </c>
      <c r="P104" s="363">
        <f ca="1">T100+U100+V100-T94</f>
        <v>2351809.1294634491</v>
      </c>
      <c r="Q104" s="363">
        <f ca="1">SUM(N104:P104)</f>
        <v>6440314.2716553286</v>
      </c>
    </row>
    <row r="105" spans="3:22" x14ac:dyDescent="0.25">
      <c r="E105" s="41"/>
      <c r="M105" s="76" t="s">
        <v>329</v>
      </c>
      <c r="N105" s="67">
        <f ca="1">-E57*$G$41*2*10000</f>
        <v>5407062.654867257</v>
      </c>
      <c r="O105" s="67">
        <f ca="1">-E47*$G$41*10000</f>
        <v>1293086.017699115</v>
      </c>
      <c r="P105" s="67">
        <f ca="1">-E52*2*$G$41*10000</f>
        <v>6106950.7964601768</v>
      </c>
      <c r="Q105" s="173">
        <f ca="1">SUM(N105:P105)</f>
        <v>12807099.469026549</v>
      </c>
    </row>
    <row r="106" spans="3:22" ht="17.25" x14ac:dyDescent="0.25">
      <c r="M106" s="76" t="s">
        <v>330</v>
      </c>
      <c r="N106" s="363">
        <f ca="1">SUM(N104:N105)</f>
        <v>7957176.6107184691</v>
      </c>
      <c r="O106" s="363">
        <f ca="1">SUM(O104:O105)</f>
        <v>2831477.2040397823</v>
      </c>
      <c r="P106" s="363">
        <f ca="1">SUM(P104:P105)</f>
        <v>8458759.9259236269</v>
      </c>
      <c r="Q106" s="365">
        <f ca="1">SUM(Q104:Q105)</f>
        <v>19247413.740681879</v>
      </c>
    </row>
    <row r="107" spans="3:22" x14ac:dyDescent="0.25">
      <c r="R107" s="30">
        <f ca="1">Q106*5</f>
        <v>96237068.703409404</v>
      </c>
    </row>
  </sheetData>
  <mergeCells count="5">
    <mergeCell ref="S18:S21"/>
    <mergeCell ref="G19:G22"/>
    <mergeCell ref="S24:S27"/>
    <mergeCell ref="G25:G28"/>
    <mergeCell ref="G32:G35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B1:AB42761"/>
  <sheetViews>
    <sheetView showGridLines="0" workbookViewId="0">
      <pane ySplit="34" topLeftCell="A35" activePane="bottomLeft" state="frozen"/>
      <selection activeCell="D41" sqref="D41"/>
      <selection pane="bottomLeft" activeCell="D41" sqref="D41"/>
    </sheetView>
  </sheetViews>
  <sheetFormatPr defaultRowHeight="13.5" x14ac:dyDescent="0.25"/>
  <cols>
    <col min="1" max="1" width="1.5703125" customWidth="1"/>
    <col min="2" max="2" width="13.5703125" style="1" hidden="1" customWidth="1"/>
    <col min="3" max="3" width="9.7109375" style="1" hidden="1" customWidth="1"/>
    <col min="4" max="4" width="8.140625" customWidth="1"/>
    <col min="5" max="5" width="13.85546875" bestFit="1" customWidth="1"/>
    <col min="6" max="6" width="13.7109375" customWidth="1"/>
    <col min="7" max="7" width="7" customWidth="1"/>
    <col min="8" max="8" width="13.7109375" customWidth="1"/>
    <col min="9" max="9" width="7.42578125" customWidth="1"/>
    <col min="10" max="10" width="13.7109375" customWidth="1"/>
    <col min="11" max="11" width="6.7109375" style="2" customWidth="1"/>
    <col min="12" max="12" width="13.7109375" customWidth="1"/>
    <col min="13" max="13" width="6.7109375" style="2" customWidth="1"/>
    <col min="14" max="14" width="13.7109375" customWidth="1"/>
    <col min="15" max="15" width="6.7109375" style="2" customWidth="1"/>
    <col min="16" max="16" width="13.7109375" customWidth="1"/>
    <col min="17" max="17" width="6.7109375" style="2" customWidth="1"/>
    <col min="18" max="18" width="13.7109375" customWidth="1"/>
    <col min="19" max="19" width="6.7109375" style="2" customWidth="1"/>
    <col min="20" max="20" width="13.7109375" customWidth="1"/>
    <col min="21" max="21" width="6.7109375" style="3" customWidth="1"/>
    <col min="22" max="22" width="11.28515625" bestFit="1" customWidth="1"/>
    <col min="24" max="24" width="11.28515625" bestFit="1" customWidth="1"/>
    <col min="26" max="26" width="13.140625" bestFit="1" customWidth="1"/>
    <col min="27" max="27" width="17.140625" bestFit="1" customWidth="1"/>
  </cols>
  <sheetData>
    <row r="1" spans="2:26" ht="7.5" customHeight="1" x14ac:dyDescent="0.25"/>
    <row r="2" spans="2:26" ht="24" customHeight="1" x14ac:dyDescent="0.25">
      <c r="D2" s="4" t="s">
        <v>0</v>
      </c>
      <c r="E2" s="5"/>
      <c r="F2" s="5"/>
      <c r="G2" s="5"/>
      <c r="H2" s="5"/>
      <c r="I2" s="5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7"/>
    </row>
    <row r="3" spans="2:26" ht="8.25" customHeight="1" x14ac:dyDescent="0.25"/>
    <row r="4" spans="2:26" x14ac:dyDescent="0.25">
      <c r="B4" s="8">
        <v>1</v>
      </c>
      <c r="C4" s="9"/>
      <c r="D4" s="373" t="s">
        <v>1</v>
      </c>
      <c r="E4" s="10" t="s">
        <v>2</v>
      </c>
      <c r="F4" s="375" t="s">
        <v>3</v>
      </c>
      <c r="G4" s="376"/>
      <c r="H4" s="375" t="s">
        <v>4</v>
      </c>
      <c r="I4" s="376"/>
      <c r="J4" s="375" t="s">
        <v>5</v>
      </c>
      <c r="K4" s="376"/>
      <c r="L4" s="375" t="s">
        <v>6</v>
      </c>
      <c r="M4" s="376"/>
      <c r="N4" s="375" t="s">
        <v>7</v>
      </c>
      <c r="O4" s="376"/>
      <c r="P4" s="375" t="s">
        <v>8</v>
      </c>
      <c r="Q4" s="376"/>
      <c r="R4" s="375" t="s">
        <v>9</v>
      </c>
      <c r="S4" s="376"/>
      <c r="T4" s="375" t="s">
        <v>10</v>
      </c>
      <c r="U4" s="376"/>
      <c r="V4" s="375" t="s">
        <v>3</v>
      </c>
      <c r="W4" s="376"/>
      <c r="X4" s="375" t="s">
        <v>11</v>
      </c>
      <c r="Y4" s="376"/>
    </row>
    <row r="5" spans="2:26" x14ac:dyDescent="0.25">
      <c r="B5" s="9" t="s">
        <v>12</v>
      </c>
      <c r="C5" s="11" t="s">
        <v>13</v>
      </c>
      <c r="D5" s="374"/>
      <c r="E5" s="12" t="s">
        <v>14</v>
      </c>
      <c r="F5" s="377" t="str">
        <f>_xll.IMDP("BND",F$4,"한글종목명")</f>
        <v>국고04250-3606(26-6)</v>
      </c>
      <c r="G5" s="378"/>
      <c r="H5" s="379" t="str">
        <f>_xll.IMDP("BND",H$4,"한글종목명")</f>
        <v>국고02750-2812(25-10)</v>
      </c>
      <c r="I5" s="380"/>
      <c r="J5" s="381" t="str">
        <f>_xll.IMDP("BND",J$4,"한글종목명")</f>
        <v>국고02875-2712(24-12)</v>
      </c>
      <c r="K5" s="382"/>
      <c r="L5" s="383" t="str">
        <f>_xll.IMDP("BND",L$4,"한글종목명")</f>
        <v>국고03250-3512(25-11)</v>
      </c>
      <c r="M5" s="384"/>
      <c r="N5" s="379" t="str">
        <f>_xll.IMDP("BND",N$4,"한글종목명")</f>
        <v>국고02625-3506(25-5)</v>
      </c>
      <c r="O5" s="380"/>
      <c r="P5" s="387" t="str">
        <f>_xll.IMDP("BND",P$4,"한글종목명")</f>
        <v>국고02250-2806(25-4)</v>
      </c>
      <c r="Q5" s="388"/>
      <c r="R5" s="383" t="str">
        <f>_xll.IMDP("BND",R$4,"한글종목명")</f>
        <v>국고03375-3103(26-3)</v>
      </c>
      <c r="S5" s="384"/>
      <c r="T5" s="381" t="str">
        <f>_xll.IMDP("BND",T$4,"한글종목명")</f>
        <v>국고03500-3406(24-5)</v>
      </c>
      <c r="U5" s="382"/>
      <c r="V5" s="381" t="str">
        <f>_xll.IMDP("BND",V$4,"한글종목명")</f>
        <v>국고04250-3606(26-6)</v>
      </c>
      <c r="W5" s="382"/>
      <c r="X5" s="379" t="str">
        <f>_xll.IMDP("BND",X$4,"한글종목명")</f>
        <v>국고02500-3009(25-8)</v>
      </c>
      <c r="Y5" s="380"/>
    </row>
    <row r="6" spans="2:26" x14ac:dyDescent="0.25">
      <c r="B6" s="11" t="s">
        <v>15</v>
      </c>
      <c r="C6" s="11" t="s">
        <v>16</v>
      </c>
      <c r="D6" s="373" t="s">
        <v>17</v>
      </c>
      <c r="E6" s="13" t="s">
        <v>18</v>
      </c>
      <c r="F6" s="393">
        <f>_xll.IMDP("BND",F$4,"발행일")</f>
        <v>20260610</v>
      </c>
      <c r="G6" s="394"/>
      <c r="H6" s="385">
        <f>_xll.IMDP("BND",H$4,"발행일")</f>
        <v>20251210</v>
      </c>
      <c r="I6" s="386"/>
      <c r="J6" s="385">
        <f>_xll.IMDP("BND",J$4,"발행일")</f>
        <v>20241210</v>
      </c>
      <c r="K6" s="386"/>
      <c r="L6" s="385">
        <f>_xll.IMDP("BND",L$4,"발행일")</f>
        <v>20251210</v>
      </c>
      <c r="M6" s="386"/>
      <c r="N6" s="385">
        <f>_xll.IMDP("BND",N$4,"발행일")</f>
        <v>20250610</v>
      </c>
      <c r="O6" s="386"/>
      <c r="P6" s="385">
        <f>_xll.IMDP("BND",P$4,"발행일")</f>
        <v>20250610</v>
      </c>
      <c r="Q6" s="386"/>
      <c r="R6" s="385">
        <f>_xll.IMDP("BND",R$4,"발행일")</f>
        <v>20260310</v>
      </c>
      <c r="S6" s="386"/>
      <c r="T6" s="385">
        <f>_xll.IMDP("BND",T$4,"발행일")</f>
        <v>20240610</v>
      </c>
      <c r="U6" s="386"/>
      <c r="V6" s="385">
        <f>_xll.IMDP("BND",V$4,"발행일")</f>
        <v>20260610</v>
      </c>
      <c r="W6" s="386"/>
      <c r="X6" s="385">
        <f>_xll.IMDP("BND",X$4,"발행일")</f>
        <v>20250910</v>
      </c>
      <c r="Y6" s="386"/>
    </row>
    <row r="7" spans="2:26" x14ac:dyDescent="0.25">
      <c r="B7" s="11" t="s">
        <v>19</v>
      </c>
      <c r="C7" s="11" t="s">
        <v>20</v>
      </c>
      <c r="D7" s="374"/>
      <c r="E7" s="13" t="s">
        <v>21</v>
      </c>
      <c r="F7" s="393">
        <f>_xll.IMDP("BND",F$4,"만기일")</f>
        <v>20360610</v>
      </c>
      <c r="G7" s="394"/>
      <c r="H7" s="385">
        <f>_xll.IMDP("BND",H$4,"만기일")</f>
        <v>20281210</v>
      </c>
      <c r="I7" s="386"/>
      <c r="J7" s="385">
        <f>_xll.IMDP("BND",J$4,"만기일")</f>
        <v>20271210</v>
      </c>
      <c r="K7" s="386"/>
      <c r="L7" s="385">
        <f>_xll.IMDP("BND",L$4,"만기일")</f>
        <v>20351210</v>
      </c>
      <c r="M7" s="386"/>
      <c r="N7" s="385">
        <f>_xll.IMDP("BND",N$4,"만기일")</f>
        <v>20350610</v>
      </c>
      <c r="O7" s="386"/>
      <c r="P7" s="385">
        <f>_xll.IMDP("BND",P$4,"만기일")</f>
        <v>20280610</v>
      </c>
      <c r="Q7" s="386"/>
      <c r="R7" s="385">
        <f>_xll.IMDP("BND",R$4,"만기일")</f>
        <v>20310310</v>
      </c>
      <c r="S7" s="386"/>
      <c r="T7" s="385">
        <f>_xll.IMDP("BND",T$4,"만기일")</f>
        <v>20340610</v>
      </c>
      <c r="U7" s="386"/>
      <c r="V7" s="385">
        <f>_xll.IMDP("BND",V$4,"만기일")</f>
        <v>20360610</v>
      </c>
      <c r="W7" s="386"/>
      <c r="X7" s="385">
        <f>_xll.IMDP("BND",X$4,"만기일")</f>
        <v>20300910</v>
      </c>
      <c r="Y7" s="386"/>
    </row>
    <row r="8" spans="2:26" x14ac:dyDescent="0.25">
      <c r="B8" s="11" t="s">
        <v>22</v>
      </c>
      <c r="C8" s="11" t="s">
        <v>23</v>
      </c>
      <c r="D8" s="374"/>
      <c r="E8" s="13" t="s">
        <v>24</v>
      </c>
      <c r="F8" s="389" t="str">
        <f>ROUNDDOWN((DATE(LEFT(F7,4),MID(F7,5,2),RIGHT(F7,2))-DATE(LEFT(F6,4),MID(F6,5,2),RIGHT(F6,2)))/365,0)&amp;"Y"</f>
        <v>10Y</v>
      </c>
      <c r="G8" s="390"/>
      <c r="H8" s="391" t="str">
        <f t="shared" ref="H8:T8" si="0">ROUNDDOWN((DATE(LEFT(H7,4),MID(H7,5,2),RIGHT(H7,2))-DATE(LEFT(H6,4),MID(H6,5,2),RIGHT(H6,2)))/365,0)&amp;"Y"</f>
        <v>3Y</v>
      </c>
      <c r="I8" s="392"/>
      <c r="J8" s="391" t="str">
        <f t="shared" si="0"/>
        <v>3Y</v>
      </c>
      <c r="K8" s="392"/>
      <c r="L8" s="391" t="str">
        <f t="shared" si="0"/>
        <v>10Y</v>
      </c>
      <c r="M8" s="392"/>
      <c r="N8" s="391" t="str">
        <f t="shared" si="0"/>
        <v>10Y</v>
      </c>
      <c r="O8" s="392"/>
      <c r="P8" s="391" t="str">
        <f t="shared" si="0"/>
        <v>3Y</v>
      </c>
      <c r="Q8" s="392"/>
      <c r="R8" s="391" t="str">
        <f t="shared" si="0"/>
        <v>5Y</v>
      </c>
      <c r="S8" s="392"/>
      <c r="T8" s="391" t="str">
        <f t="shared" si="0"/>
        <v>10Y</v>
      </c>
      <c r="U8" s="392"/>
      <c r="V8" s="391" t="str">
        <f>ROUNDDOWN((DATE(LEFT(V7,4),MID(V7,5,2),RIGHT(V7,2))-DATE(LEFT(V6,4),MID(V6,5,2),RIGHT(V6,2)))/365,0)&amp;"Y"</f>
        <v>10Y</v>
      </c>
      <c r="W8" s="392"/>
      <c r="X8" s="391" t="str">
        <f>ROUNDDOWN((DATE(LEFT(X7,4),MID(X7,5,2),RIGHT(X7,2))-DATE(LEFT(X6,4),MID(X6,5,2),RIGHT(X6,2)))/365,0)&amp;"Y"</f>
        <v>5Y</v>
      </c>
      <c r="Y8" s="392"/>
    </row>
    <row r="9" spans="2:26" x14ac:dyDescent="0.25">
      <c r="B9" s="11" t="s">
        <v>25</v>
      </c>
      <c r="C9" s="11" t="s">
        <v>26</v>
      </c>
      <c r="D9" s="374"/>
      <c r="E9" s="13" t="s">
        <v>27</v>
      </c>
      <c r="F9" s="389">
        <f ca="1">DATE(LEFT(F7,4),MID(F7,5,2),RIGHT(F7,2))-TODAY()</f>
        <v>3591</v>
      </c>
      <c r="G9" s="390"/>
      <c r="H9" s="391">
        <f ca="1">DATE(LEFT(H7,4),MID(H7,5,2),RIGHT(H7,2))-TODAY()</f>
        <v>852</v>
      </c>
      <c r="I9" s="392"/>
      <c r="J9" s="391">
        <f t="shared" ref="J9:T9" ca="1" si="1">DATE(LEFT(J7,4),MID(J7,5,2),RIGHT(J7,2))-TODAY()</f>
        <v>486</v>
      </c>
      <c r="K9" s="392"/>
      <c r="L9" s="391">
        <f t="shared" ca="1" si="1"/>
        <v>3408</v>
      </c>
      <c r="M9" s="392"/>
      <c r="N9" s="391">
        <f t="shared" ca="1" si="1"/>
        <v>3225</v>
      </c>
      <c r="O9" s="392"/>
      <c r="P9" s="391">
        <f t="shared" ca="1" si="1"/>
        <v>669</v>
      </c>
      <c r="Q9" s="392"/>
      <c r="R9" s="391">
        <f t="shared" ca="1" si="1"/>
        <v>1672</v>
      </c>
      <c r="S9" s="392"/>
      <c r="T9" s="391">
        <f t="shared" ca="1" si="1"/>
        <v>2860</v>
      </c>
      <c r="U9" s="392"/>
      <c r="V9" s="391">
        <f ca="1">DATE(LEFT(V7,4),MID(V7,5,2),RIGHT(V7,2))-TODAY()</f>
        <v>3591</v>
      </c>
      <c r="W9" s="392"/>
      <c r="X9" s="391">
        <f ca="1">DATE(LEFT(X7,4),MID(X7,5,2),RIGHT(X7,2))-TODAY()</f>
        <v>1491</v>
      </c>
      <c r="Y9" s="392"/>
    </row>
    <row r="10" spans="2:26" x14ac:dyDescent="0.25">
      <c r="B10" s="11" t="s">
        <v>28</v>
      </c>
      <c r="C10" s="11" t="s">
        <v>29</v>
      </c>
      <c r="D10" s="374"/>
      <c r="E10" s="13" t="s">
        <v>30</v>
      </c>
      <c r="F10" s="393" t="str">
        <f>_xll.IMDP("BND",F$4,"이자종류")</f>
        <v>이표채</v>
      </c>
      <c r="G10" s="394"/>
      <c r="H10" s="385" t="str">
        <f>_xll.IMDP("BND",H$4,"이자종류")</f>
        <v>이표채</v>
      </c>
      <c r="I10" s="386"/>
      <c r="J10" s="385" t="str">
        <f>_xll.IMDP("BND",J$4,"이자종류")</f>
        <v>이표채</v>
      </c>
      <c r="K10" s="386"/>
      <c r="L10" s="385" t="str">
        <f>_xll.IMDP("BND",L$4,"이자종류")</f>
        <v>이표채</v>
      </c>
      <c r="M10" s="386"/>
      <c r="N10" s="385" t="str">
        <f>_xll.IMDP("BND",N$4,"이자종류")</f>
        <v>이표채</v>
      </c>
      <c r="O10" s="386"/>
      <c r="P10" s="385" t="str">
        <f>_xll.IMDP("BND",P$4,"이자종류")</f>
        <v>이표채</v>
      </c>
      <c r="Q10" s="386"/>
      <c r="R10" s="385" t="str">
        <f>_xll.IMDP("BND",R$4,"이자종류")</f>
        <v>이표채</v>
      </c>
      <c r="S10" s="386"/>
      <c r="T10" s="385" t="str">
        <f>_xll.IMDP("BND",T$4,"이자종류")</f>
        <v>이표채</v>
      </c>
      <c r="U10" s="386"/>
      <c r="V10" s="385" t="str">
        <f>_xll.IMDP("BND",V$4,"이자종류")</f>
        <v>이표채</v>
      </c>
      <c r="W10" s="386"/>
      <c r="X10" s="385" t="str">
        <f>_xll.IMDP("BND",X$4,"이자종류")</f>
        <v>이표채</v>
      </c>
      <c r="Y10" s="386"/>
    </row>
    <row r="11" spans="2:26" x14ac:dyDescent="0.25">
      <c r="D11" s="374"/>
      <c r="E11" s="13" t="s">
        <v>31</v>
      </c>
      <c r="F11" s="393">
        <f>_xll.IMDP("BND",F$4,"표면이율")</f>
        <v>4.25</v>
      </c>
      <c r="G11" s="394"/>
      <c r="H11" s="393">
        <f>_xll.IMDP("BND",H$4,"표면이율")</f>
        <v>2.75</v>
      </c>
      <c r="I11" s="394"/>
      <c r="J11" s="393">
        <f>_xll.IMDP("BND",J$4,"표면이율")</f>
        <v>2.875</v>
      </c>
      <c r="K11" s="394"/>
      <c r="L11" s="393">
        <f>_xll.IMDP("BND",L$4,"표면이율")</f>
        <v>3.25</v>
      </c>
      <c r="M11" s="394"/>
      <c r="N11" s="393">
        <f>_xll.IMDP("BND",N$4,"표면이율")</f>
        <v>2.625</v>
      </c>
      <c r="O11" s="394"/>
      <c r="P11" s="393">
        <f>_xll.IMDP("BND",P$4,"표면이율")</f>
        <v>2.25</v>
      </c>
      <c r="Q11" s="394"/>
      <c r="R11" s="393">
        <f>_xll.IMDP("BND",R$4,"표면이율")</f>
        <v>3.375</v>
      </c>
      <c r="S11" s="394"/>
      <c r="T11" s="393">
        <f>_xll.IMDP("BND",T$4,"표면이율")</f>
        <v>3.5</v>
      </c>
      <c r="U11" s="394"/>
      <c r="V11" s="393">
        <f>_xll.IMDP("BND",V$4,"표면이율")</f>
        <v>4.25</v>
      </c>
      <c r="W11" s="394"/>
      <c r="X11" s="393">
        <f>_xll.IMDP("BND",X$4,"표면이율")</f>
        <v>2.5</v>
      </c>
      <c r="Y11" s="394"/>
    </row>
    <row r="12" spans="2:26" x14ac:dyDescent="0.25">
      <c r="D12" s="374"/>
      <c r="E12" s="13" t="s">
        <v>32</v>
      </c>
      <c r="F12" s="395">
        <f>F35</f>
        <v>46366</v>
      </c>
      <c r="G12" s="396"/>
      <c r="H12" s="395">
        <f>H35</f>
        <v>46366</v>
      </c>
      <c r="I12" s="396"/>
      <c r="J12" s="397">
        <f>J35</f>
        <v>46366</v>
      </c>
      <c r="K12" s="386"/>
      <c r="L12" s="397">
        <f>L35</f>
        <v>46366</v>
      </c>
      <c r="M12" s="386"/>
      <c r="N12" s="397">
        <f>N35</f>
        <v>46366</v>
      </c>
      <c r="O12" s="386"/>
      <c r="P12" s="397">
        <f>P35</f>
        <v>46366</v>
      </c>
      <c r="Q12" s="386"/>
      <c r="R12" s="397">
        <f>R35</f>
        <v>46275</v>
      </c>
      <c r="S12" s="386"/>
      <c r="T12" s="397">
        <f>T35</f>
        <v>46366</v>
      </c>
      <c r="U12" s="386"/>
      <c r="V12" s="397">
        <f>V35</f>
        <v>46366</v>
      </c>
      <c r="W12" s="386"/>
      <c r="X12" s="397">
        <f>X35</f>
        <v>46275</v>
      </c>
      <c r="Y12" s="386"/>
    </row>
    <row r="13" spans="2:26" x14ac:dyDescent="0.25">
      <c r="D13" s="374"/>
      <c r="E13" s="13" t="s">
        <v>33</v>
      </c>
      <c r="F13" s="393" t="str">
        <f>_xll.IMDP("BND",F$4,"이자지급기간")</f>
        <v>06M</v>
      </c>
      <c r="G13" s="394"/>
      <c r="H13" s="385" t="str">
        <f>_xll.IMDP("BND",H$4,"이자지급기간")</f>
        <v>06M</v>
      </c>
      <c r="I13" s="386"/>
      <c r="J13" s="385" t="str">
        <f>_xll.IMDP("BND",J$4,"이자지급기간")</f>
        <v>06M</v>
      </c>
      <c r="K13" s="386"/>
      <c r="L13" s="385" t="str">
        <f>_xll.IMDP("BND",L$4,"이자지급기간")</f>
        <v>06M</v>
      </c>
      <c r="M13" s="386"/>
      <c r="N13" s="385" t="str">
        <f>_xll.IMDP("BND",N$4,"이자지급기간")</f>
        <v>06M</v>
      </c>
      <c r="O13" s="386"/>
      <c r="P13" s="385" t="str">
        <f>_xll.IMDP("BND",P$4,"이자지급기간")</f>
        <v>06M</v>
      </c>
      <c r="Q13" s="386"/>
      <c r="R13" s="385" t="str">
        <f>_xll.IMDP("BND",R$4,"이자지급기간")</f>
        <v>06M</v>
      </c>
      <c r="S13" s="386"/>
      <c r="T13" s="385" t="str">
        <f>_xll.IMDP("BND",T$4,"이자지급기간")</f>
        <v>06M</v>
      </c>
      <c r="U13" s="386"/>
      <c r="V13" s="385" t="str">
        <f>_xll.IMDP("BND",V$4,"이자지급기간")</f>
        <v>06M</v>
      </c>
      <c r="W13" s="386"/>
      <c r="X13" s="385" t="str">
        <f>_xll.IMDP("BND",X$4,"이자지급기간")</f>
        <v>06M</v>
      </c>
      <c r="Y13" s="386"/>
    </row>
    <row r="14" spans="2:26" ht="17.25" customHeight="1" thickBot="1" x14ac:dyDescent="0.3">
      <c r="D14" s="374"/>
      <c r="E14" s="13" t="s">
        <v>34</v>
      </c>
      <c r="F14" s="398">
        <f>_xll.IMDP("BND",F$4,INDEX($B$5:$C$10,$B$4,2))</f>
        <v>4.2350000000000003</v>
      </c>
      <c r="G14" s="399"/>
      <c r="H14" s="400">
        <f>_xll.IMDP("BND",H$4,INDEX($B$5:$C$10,$B$4,2))</f>
        <v>3.69</v>
      </c>
      <c r="I14" s="401"/>
      <c r="J14" s="400">
        <f>_xll.IMDP("BND",J$4,INDEX($B$5:$C$10,$B$4,2))</f>
        <v>3.5</v>
      </c>
      <c r="K14" s="401"/>
      <c r="L14" s="400">
        <f>_xll.IMDP("BND",L$4,INDEX($B$5:$C$10,$B$4,2))</f>
        <v>4.226</v>
      </c>
      <c r="M14" s="401"/>
      <c r="N14" s="400">
        <f>_xll.IMDP("BND",N$4,INDEX($B$5:$C$10,$B$4,2))</f>
        <v>4.2039999999999997</v>
      </c>
      <c r="O14" s="401"/>
      <c r="P14" s="400">
        <f>_xll.IMDP("BND",P$4,INDEX($B$5:$C$10,$B$4,2))</f>
        <v>3.6059999999999999</v>
      </c>
      <c r="Q14" s="401"/>
      <c r="R14" s="400">
        <f>_xll.IMDP("BND",R$4,INDEX($B$5:$C$10,$B$4,2))</f>
        <v>3.9870000000000001</v>
      </c>
      <c r="S14" s="401"/>
      <c r="T14" s="400">
        <f>_xll.IMDP("BND",T$4,INDEX($B$5:$C$10,$B$4,2))</f>
        <v>4.1829999999999998</v>
      </c>
      <c r="U14" s="401"/>
      <c r="V14" s="400">
        <f>_xll.IMDP("BND",V$4,INDEX($B$5:$C$10,$B$4,2))</f>
        <v>4.2350000000000003</v>
      </c>
      <c r="W14" s="401"/>
      <c r="X14" s="400">
        <f>_xll.IMDP("BND",X$4,INDEX($B$5:$C$10,$B$4,2))</f>
        <v>3.95</v>
      </c>
      <c r="Y14" s="401"/>
      <c r="Z14" s="14" t="s">
        <v>35</v>
      </c>
    </row>
    <row r="15" spans="2:26" ht="14.25" thickBot="1" x14ac:dyDescent="0.3">
      <c r="D15" s="373" t="s">
        <v>36</v>
      </c>
      <c r="E15" s="13" t="s">
        <v>37</v>
      </c>
      <c r="F15" s="403">
        <f ca="1">$Z$15</f>
        <v>46246</v>
      </c>
      <c r="G15" s="404"/>
      <c r="H15" s="403">
        <f ca="1">$Z$15</f>
        <v>46246</v>
      </c>
      <c r="I15" s="404"/>
      <c r="J15" s="403">
        <f ca="1">$Z$15</f>
        <v>46246</v>
      </c>
      <c r="K15" s="404"/>
      <c r="L15" s="403">
        <f ca="1">$Z$15</f>
        <v>46246</v>
      </c>
      <c r="M15" s="404"/>
      <c r="N15" s="403">
        <f ca="1">$Z$15</f>
        <v>46246</v>
      </c>
      <c r="O15" s="404"/>
      <c r="P15" s="403">
        <f ca="1">$Z$15</f>
        <v>46246</v>
      </c>
      <c r="Q15" s="404"/>
      <c r="R15" s="403">
        <f ca="1">$Z$15</f>
        <v>46246</v>
      </c>
      <c r="S15" s="404"/>
      <c r="T15" s="403">
        <f ca="1">$Z$15</f>
        <v>46246</v>
      </c>
      <c r="U15" s="404"/>
      <c r="V15" s="403">
        <f ca="1">$Z$15</f>
        <v>46246</v>
      </c>
      <c r="W15" s="405"/>
      <c r="X15" s="403">
        <f ca="1">$Z$15</f>
        <v>46246</v>
      </c>
      <c r="Y15" s="405"/>
      <c r="Z15" s="15">
        <f ca="1">WORKDAY(TODAY(),1)</f>
        <v>46246</v>
      </c>
    </row>
    <row r="16" spans="2:26" ht="18" customHeight="1" x14ac:dyDescent="0.25">
      <c r="C16" s="1" t="str">
        <f>INDEX($C$18:$C$26,$C$17,1)</f>
        <v>세전수익률</v>
      </c>
      <c r="D16" s="402"/>
      <c r="E16" s="13"/>
      <c r="F16" s="406">
        <f>[1]트레이딩!P36</f>
        <v>0</v>
      </c>
      <c r="G16" s="407"/>
      <c r="H16" s="406">
        <f>[1]트레이딩!D41</f>
        <v>3.68</v>
      </c>
      <c r="I16" s="407"/>
      <c r="J16" s="406">
        <f>[1]트레이딩!D51</f>
        <v>3.9910000000000001</v>
      </c>
      <c r="K16" s="407"/>
      <c r="L16" s="406">
        <f>[1]트레이딩!D25</f>
        <v>4.2069999999999999</v>
      </c>
      <c r="M16" s="407"/>
      <c r="N16" s="406">
        <f>[1]트레이딩!D19</f>
        <v>4.1849999999999996</v>
      </c>
      <c r="O16" s="407"/>
      <c r="P16" s="406">
        <f>[1]트레이딩!D46</f>
        <v>3.6</v>
      </c>
      <c r="Q16" s="407"/>
      <c r="R16" s="406">
        <f>[1]트레이딩!D51</f>
        <v>3.9910000000000001</v>
      </c>
      <c r="S16" s="407"/>
      <c r="T16" s="406">
        <f>[1]트레이딩!D25</f>
        <v>4.2069999999999999</v>
      </c>
      <c r="U16" s="407"/>
      <c r="V16" s="406">
        <f>[1]트레이딩!D32</f>
        <v>4.2240000000000002</v>
      </c>
      <c r="W16" s="407"/>
      <c r="X16" s="406">
        <f>[1]트레이딩!D56</f>
        <v>3.927</v>
      </c>
      <c r="Y16" s="407"/>
    </row>
    <row r="17" spans="3:28" x14ac:dyDescent="0.25">
      <c r="C17" s="16">
        <v>1</v>
      </c>
      <c r="D17" s="424" t="s">
        <v>38</v>
      </c>
      <c r="E17" s="13" t="s">
        <v>39</v>
      </c>
      <c r="F17" s="408">
        <f ca="1">_xll.IMBC(F$4,$E17,F$15,F$16,$C$16)</f>
        <v>0</v>
      </c>
      <c r="G17" s="409"/>
      <c r="H17" s="408">
        <f ca="1">_xll.IMBC(H$4,$E17,H$15,H$16,$C$16)</f>
        <v>3.68</v>
      </c>
      <c r="I17" s="409"/>
      <c r="J17" s="408">
        <f ca="1">_xll.IMBC(J$4,$E17,J$15,J$16,$C$16)</f>
        <v>3.9910000000000001</v>
      </c>
      <c r="K17" s="409"/>
      <c r="L17" s="408">
        <f ca="1">_xll.IMBC(L$4,$E17,L$15,L$16,$C$16)</f>
        <v>4.2069999999999999</v>
      </c>
      <c r="M17" s="409"/>
      <c r="N17" s="408">
        <f ca="1">_xll.IMBC(N$4,$E17,N$15,N$16,$C$16)</f>
        <v>4.1849999999999996</v>
      </c>
      <c r="O17" s="409"/>
      <c r="P17" s="408">
        <f ca="1">_xll.IMBC(P$4,$E17,P$15,P$16,$C$16)</f>
        <v>3.6</v>
      </c>
      <c r="Q17" s="409"/>
      <c r="R17" s="408">
        <f ca="1">_xll.IMBC(R$4,$E17,R$15,R$16,$C$16)</f>
        <v>3.9910000000000001</v>
      </c>
      <c r="S17" s="409"/>
      <c r="T17" s="408">
        <f ca="1">_xll.IMBC(T$4,$E17,T$15,T$16,$C$16)</f>
        <v>4.2069999999999999</v>
      </c>
      <c r="U17" s="409"/>
      <c r="V17" s="408">
        <f ca="1">_xll.IMBC(V$4,$E17,V$15,V$16,$C$16)</f>
        <v>4.2240000000000002</v>
      </c>
      <c r="W17" s="409"/>
      <c r="X17" s="408">
        <f ca="1">_xll.IMBC(X$4,$E17,X$15,X$16,$C$16)</f>
        <v>3.927</v>
      </c>
      <c r="Y17" s="409"/>
    </row>
    <row r="18" spans="3:28" x14ac:dyDescent="0.25">
      <c r="C18" s="1" t="s">
        <v>40</v>
      </c>
      <c r="D18" s="425"/>
      <c r="E18" s="13" t="s">
        <v>41</v>
      </c>
      <c r="F18" s="412">
        <f ca="1">_xll.IMBC(F$4,$E18,F$15,F$16,$C$16)</f>
        <v>14250</v>
      </c>
      <c r="G18" s="413"/>
      <c r="H18" s="412">
        <f ca="1">_xll.IMBC(H$4,$E18,H$15,H$16,$C$16)</f>
        <v>9841.01</v>
      </c>
      <c r="I18" s="413"/>
      <c r="J18" s="412">
        <f ca="1">_xll.IMBC(J$4,$E18,J$15,J$16,$C$16)</f>
        <v>9905.7800000000007</v>
      </c>
      <c r="K18" s="413"/>
      <c r="L18" s="414">
        <f ca="1">_xll.IMBC(L$4,$E18,L$15,L$16,$C$16)</f>
        <v>9323.02</v>
      </c>
      <c r="M18" s="415"/>
      <c r="N18" s="412">
        <f ca="1">_xll.IMBC(N$4,$E18,N$15,N$16,$C$16)</f>
        <v>8902.89</v>
      </c>
      <c r="O18" s="413"/>
      <c r="P18" s="412">
        <f ca="1">_xll.IMBC(P$4,$E18,P$15,P$16,$C$16)</f>
        <v>9801.3799999999992</v>
      </c>
      <c r="Q18" s="413"/>
      <c r="R18" s="410">
        <f ca="1">_xll.IMBC(R$4,$E18,R$15,R$16,$C$16)</f>
        <v>9886.2000000000007</v>
      </c>
      <c r="S18" s="411"/>
      <c r="T18" s="412">
        <f ca="1">_xll.IMBC(T$4,$E18,T$15,T$16,$C$16)</f>
        <v>9591.9599999999991</v>
      </c>
      <c r="U18" s="413"/>
      <c r="V18" s="412">
        <f ca="1">_xll.IMBC(V$4,$E18,V$15,V$16,$C$16)</f>
        <v>10092.89</v>
      </c>
      <c r="W18" s="413"/>
      <c r="X18" s="412">
        <f ca="1">_xll.IMBC(X$4,$E18,X$15,X$16,$C$16)</f>
        <v>9571.8799999999992</v>
      </c>
      <c r="Y18" s="413"/>
      <c r="AA18">
        <v>10510</v>
      </c>
      <c r="AB18">
        <v>10510</v>
      </c>
    </row>
    <row r="19" spans="3:28" x14ac:dyDescent="0.25">
      <c r="C19" s="1" t="s">
        <v>41</v>
      </c>
      <c r="D19" s="425"/>
      <c r="E19" s="13" t="s">
        <v>42</v>
      </c>
      <c r="F19" s="410">
        <f ca="1">_xll.IMBC(F$4,$E19,F$15,F$16,$C$16)</f>
        <v>14239.8</v>
      </c>
      <c r="G19" s="411"/>
      <c r="H19" s="410">
        <f ca="1">_xll.IMBC(H$4,$E19,H$15,H$16,$C$16)</f>
        <v>9834.4</v>
      </c>
      <c r="I19" s="411"/>
      <c r="J19" s="410">
        <f ca="1">_xll.IMBC(J$4,$E19,J$15,J$16,$C$16)</f>
        <v>9898.7999999999993</v>
      </c>
      <c r="K19" s="411"/>
      <c r="L19" s="410">
        <f ca="1">_xll.IMBC(L$4,$E19,L$15,L$16,$C$16)</f>
        <v>9315.2000000000007</v>
      </c>
      <c r="M19" s="411"/>
      <c r="N19" s="410">
        <f ca="1">_xll.IMBC(N$4,$E19,N$15,N$16,$C$16)</f>
        <v>8896.5</v>
      </c>
      <c r="O19" s="411"/>
      <c r="P19" s="410">
        <f ca="1">_xll.IMBC(P$4,$E19,P$15,P$16,$C$16)</f>
        <v>9795.9</v>
      </c>
      <c r="Q19" s="411"/>
      <c r="R19" s="410">
        <f ca="1">_xll.IMBC(R$4,$E19,R$15,R$16,$C$16)</f>
        <v>9866.4</v>
      </c>
      <c r="S19" s="411"/>
      <c r="T19" s="410">
        <f ca="1">_xll.IMBC(T$4,$E19,T$15,T$16,$C$16)</f>
        <v>9583.5</v>
      </c>
      <c r="U19" s="411"/>
      <c r="V19" s="410">
        <f ca="1">_xll.IMBC(V$4,$E19,V$15,V$16,$C$16)</f>
        <v>10082.6</v>
      </c>
      <c r="W19" s="411"/>
      <c r="X19" s="410">
        <f ca="1">_xll.IMBC(X$4,$E19,X$15,X$16,$C$16)</f>
        <v>9557.1</v>
      </c>
      <c r="Y19" s="411"/>
      <c r="AA19">
        <v>10510</v>
      </c>
      <c r="AB19">
        <v>10510</v>
      </c>
    </row>
    <row r="20" spans="3:28" x14ac:dyDescent="0.25">
      <c r="C20" s="1" t="s">
        <v>42</v>
      </c>
      <c r="D20" s="425"/>
      <c r="E20" s="13" t="s">
        <v>43</v>
      </c>
      <c r="F20" s="410">
        <f ca="1">_xll.IMBC(F$4,$E20,F$15,F$16,$C$16)</f>
        <v>73.155699999999996</v>
      </c>
      <c r="G20" s="411"/>
      <c r="H20" s="410">
        <f ca="1">_xll.IMBC(H$4,$E20,H$15,H$16,$C$16)</f>
        <v>47.335999999999999</v>
      </c>
      <c r="I20" s="411"/>
      <c r="J20" s="410">
        <f ca="1">_xll.IMBC(J$4,$E20,J$15,J$16,$C$16)</f>
        <v>49.487699999999997</v>
      </c>
      <c r="K20" s="411"/>
      <c r="L20" s="410">
        <f ca="1">_xll.IMBC(L$4,$E20,L$15,L$16,$C$16)</f>
        <v>55.942599999999999</v>
      </c>
      <c r="M20" s="411"/>
      <c r="N20" s="410">
        <f ca="1">_xll.IMBC(N$4,$E20,N$15,N$16,$C$16)</f>
        <v>45.184399999999997</v>
      </c>
      <c r="O20" s="411"/>
      <c r="P20" s="410">
        <f ca="1">_xll.IMBC(P$4,$E20,P$15,P$16,$C$16)</f>
        <v>38.729500000000002</v>
      </c>
      <c r="Q20" s="411"/>
      <c r="R20" s="410">
        <f ca="1">_xll.IMBC(R$4,$E20,R$15,R$16,$C$16)</f>
        <v>142.15350000000001</v>
      </c>
      <c r="S20" s="411"/>
      <c r="T20" s="410">
        <f ca="1">_xll.IMBC(T$4,$E20,T$15,T$16,$C$16)</f>
        <v>60.245899999999999</v>
      </c>
      <c r="U20" s="411"/>
      <c r="V20" s="410">
        <f ca="1">_xll.IMBC(V$4,$E20,V$15,V$16,$C$16)</f>
        <v>73.155699999999996</v>
      </c>
      <c r="W20" s="411"/>
      <c r="X20" s="410">
        <f ca="1">_xll.IMBC(X$4,$E20,X$15,X$16,$C$16)</f>
        <v>105.2989</v>
      </c>
      <c r="Y20" s="411"/>
      <c r="AA20">
        <v>505</v>
      </c>
      <c r="AB20">
        <v>10005</v>
      </c>
    </row>
    <row r="21" spans="3:28" x14ac:dyDescent="0.25">
      <c r="C21" s="1" t="s">
        <v>44</v>
      </c>
      <c r="D21" s="425"/>
      <c r="E21" s="13" t="s">
        <v>45</v>
      </c>
      <c r="F21" s="410">
        <f ca="1">_xll.IMBC(F$4,$E21,F$15,F$16,$C$16)</f>
        <v>10.199999999999999</v>
      </c>
      <c r="G21" s="411"/>
      <c r="H21" s="410">
        <f ca="1">_xll.IMBC(H$4,$E21,H$15,H$16,$C$16)</f>
        <v>6.6</v>
      </c>
      <c r="I21" s="411"/>
      <c r="J21" s="410">
        <f ca="1">_xll.IMBC(J$4,$E21,J$15,J$16,$C$16)</f>
        <v>6.9</v>
      </c>
      <c r="K21" s="411"/>
      <c r="L21" s="410">
        <f ca="1">_xll.IMBC(L$4,$E21,L$15,L$16,$C$16)</f>
        <v>7.8</v>
      </c>
      <c r="M21" s="411"/>
      <c r="N21" s="410">
        <f ca="1">_xll.IMBC(N$4,$E21,N$15,N$16,$C$16)</f>
        <v>6.3</v>
      </c>
      <c r="O21" s="411"/>
      <c r="P21" s="410">
        <f ca="1">_xll.IMBC(P$4,$E21,P$15,P$16,$C$16)</f>
        <v>5.4</v>
      </c>
      <c r="Q21" s="411"/>
      <c r="R21" s="410">
        <f ca="1">_xll.IMBC(R$4,$E21,R$15,R$16,$C$16)</f>
        <v>19.8</v>
      </c>
      <c r="S21" s="411"/>
      <c r="T21" s="410">
        <f ca="1">_xll.IMBC(T$4,$E21,T$15,T$16,$C$16)</f>
        <v>8.4</v>
      </c>
      <c r="U21" s="411"/>
      <c r="V21" s="410">
        <f ca="1">_xll.IMBC(V$4,$E21,V$15,V$16,$C$16)</f>
        <v>10.199999999999999</v>
      </c>
      <c r="W21" s="411"/>
      <c r="X21" s="410">
        <f ca="1">_xll.IMBC(X$4,$E21,X$15,X$16,$C$16)</f>
        <v>14.7</v>
      </c>
      <c r="Y21" s="411"/>
    </row>
    <row r="22" spans="3:28" x14ac:dyDescent="0.25">
      <c r="C22" s="1" t="s">
        <v>46</v>
      </c>
      <c r="D22" s="425"/>
      <c r="E22" s="13" t="s">
        <v>47</v>
      </c>
      <c r="F22" s="416">
        <f ca="1">_xll.IMBC(F$4,$E22,F$15,F$16,$C$16)</f>
        <v>14176.8442</v>
      </c>
      <c r="G22" s="417"/>
      <c r="H22" s="416">
        <f ca="1">_xll.IMBC(H$4,$E22,H$15,H$16,$C$16)</f>
        <v>9793.6774000000005</v>
      </c>
      <c r="I22" s="417"/>
      <c r="J22" s="416">
        <f ca="1">_xll.IMBC(J$4,$E22,J$15,J$16,$C$16)</f>
        <v>9856.2963999999993</v>
      </c>
      <c r="K22" s="417"/>
      <c r="L22" s="416">
        <f ca="1">_xll.IMBC(L$4,$E22,L$15,L$16,$C$16)</f>
        <v>9267.0774999999994</v>
      </c>
      <c r="M22" s="417"/>
      <c r="N22" s="416">
        <f ca="1">_xll.IMBC(N$4,$E22,N$15,N$16,$C$16)</f>
        <v>8857.7111000000004</v>
      </c>
      <c r="O22" s="417"/>
      <c r="P22" s="416">
        <f ca="1">_xll.IMBC(P$4,$E22,P$15,P$16,$C$16)</f>
        <v>9762.6589999999997</v>
      </c>
      <c r="Q22" s="417"/>
      <c r="R22" s="416">
        <f ca="1">_xll.IMBC(R$4,$E22,R$15,R$16,$C$16)</f>
        <v>9744.0526000000009</v>
      </c>
      <c r="S22" s="417"/>
      <c r="T22" s="416">
        <f ca="1">_xll.IMBC(T$4,$E22,T$15,T$16,$C$16)</f>
        <v>9531.7237000000005</v>
      </c>
      <c r="U22" s="417"/>
      <c r="V22" s="416">
        <f ca="1">_xll.IMBC(V$4,$E22,V$15,V$16,$C$16)</f>
        <v>10019.7389</v>
      </c>
      <c r="W22" s="417"/>
      <c r="X22" s="416">
        <f ca="1">_xll.IMBC(X$4,$E22,X$15,X$16,$C$16)</f>
        <v>9466.5831999999991</v>
      </c>
      <c r="Y22" s="417"/>
    </row>
    <row r="23" spans="3:28" x14ac:dyDescent="0.25">
      <c r="C23" s="1" t="s">
        <v>48</v>
      </c>
      <c r="D23" s="425"/>
      <c r="E23" s="13" t="s">
        <v>49</v>
      </c>
      <c r="F23" s="416">
        <f ca="1">_xll.IMBC(F$4,$E23,F$15,F$16,$C$16)</f>
        <v>119859.6</v>
      </c>
      <c r="G23" s="417"/>
      <c r="H23" s="416">
        <f ca="1">_xll.IMBC(H$4,$E23,H$15,H$16,$C$16)</f>
        <v>21839.169392</v>
      </c>
      <c r="I23" s="417"/>
      <c r="J23" s="416">
        <f ca="1">_xll.IMBC(J$4,$E23,J$15,J$16,$C$16)</f>
        <v>12689.304179999999</v>
      </c>
      <c r="K23" s="417"/>
      <c r="L23" s="416">
        <f ca="1">_xll.IMBC(L$4,$E23,L$15,L$16,$C$16)</f>
        <v>73195.030020000006</v>
      </c>
      <c r="M23" s="417"/>
      <c r="N23" s="416">
        <f ca="1">_xll.IMBC(N$4,$E23,N$15,N$16,$C$16)</f>
        <v>68264.689652999994</v>
      </c>
      <c r="O23" s="417"/>
      <c r="P23" s="416">
        <f ca="1">_xll.IMBC(P$4,$E23,P$15,P$16,$C$16)</f>
        <v>17274.932250000002</v>
      </c>
      <c r="Q23" s="417"/>
      <c r="R23" s="416">
        <f ca="1">_xll.IMBC(R$4,$E23,R$15,R$16,$C$16)</f>
        <v>40857.687360000004</v>
      </c>
      <c r="S23" s="417"/>
      <c r="T23" s="416">
        <f ca="1">_xll.IMBC(T$4,$E23,T$15,T$16,$C$16)</f>
        <v>64307.377428</v>
      </c>
      <c r="U23" s="417"/>
      <c r="V23" s="416">
        <f ca="1">_xll.IMBC(V$4,$E23,V$15,V$16,$C$16)</f>
        <v>79861.001413999998</v>
      </c>
      <c r="W23" s="417"/>
      <c r="X23" s="416">
        <f ca="1">_xll.IMBC(X$4,$E23,X$15,X$16,$C$16)</f>
        <v>36186.492339999997</v>
      </c>
      <c r="Y23" s="417"/>
    </row>
    <row r="24" spans="3:28" x14ac:dyDescent="0.25">
      <c r="C24" s="1" t="s">
        <v>50</v>
      </c>
      <c r="D24" s="425"/>
      <c r="E24" s="13" t="s">
        <v>51</v>
      </c>
      <c r="F24" s="416">
        <f ca="1">_xll.IMBC(F$4,$E24,F$15,F$16,$C$16)</f>
        <v>8.4111999999999991</v>
      </c>
      <c r="G24" s="417"/>
      <c r="H24" s="416">
        <f ca="1">_xll.IMBC(H$4,$E24,H$15,H$16,$C$16)</f>
        <v>2.3008999999999999</v>
      </c>
      <c r="I24" s="417"/>
      <c r="J24" s="416">
        <f ca="1">_xll.IMBC(J$4,$E24,J$15,J$16,$C$16)</f>
        <v>1.3065</v>
      </c>
      <c r="K24" s="417"/>
      <c r="L24" s="416">
        <f ca="1">_xll.IMBC(L$4,$E24,L$15,L$16,$C$16)</f>
        <v>8.1813000000000002</v>
      </c>
      <c r="M24" s="417"/>
      <c r="N24" s="416">
        <f ca="1">_xll.IMBC(N$4,$E24,N$15,N$16,$C$16)</f>
        <v>7.9885999999999999</v>
      </c>
      <c r="O24" s="417"/>
      <c r="P24" s="416">
        <f ca="1">_xll.IMBC(P$4,$E24,P$15,P$16,$C$16)</f>
        <v>1.7942</v>
      </c>
      <c r="Q24" s="417"/>
      <c r="R24" s="416">
        <f ca="1">_xll.IMBC(R$4,$E24,R$15,R$16,$C$16)</f>
        <v>4.2976999999999999</v>
      </c>
      <c r="S24" s="417"/>
      <c r="T24" s="416">
        <f ca="1">_xll.IMBC(T$4,$E24,T$15,T$16,$C$16)</f>
        <v>6.9863</v>
      </c>
      <c r="U24" s="417"/>
      <c r="V24" s="416">
        <f ca="1">_xll.IMBC(V$4,$E24,V$15,V$16,$C$16)</f>
        <v>8.2468000000000004</v>
      </c>
      <c r="W24" s="417"/>
      <c r="X24" s="416">
        <f ca="1">_xll.IMBC(X$4,$E24,X$15,X$16,$C$16)</f>
        <v>3.9289000000000001</v>
      </c>
      <c r="Y24" s="417"/>
    </row>
    <row r="25" spans="3:28" x14ac:dyDescent="0.25">
      <c r="C25" s="1" t="s">
        <v>52</v>
      </c>
      <c r="D25" s="425"/>
      <c r="E25" s="13" t="s">
        <v>53</v>
      </c>
      <c r="F25" s="416">
        <f ca="1">_xll.IMBC(F$4,$E25,F$15,F$16,$C$16)</f>
        <v>8.4111999999999991</v>
      </c>
      <c r="G25" s="417"/>
      <c r="H25" s="416">
        <f ca="1">_xll.IMBC(H$4,$E25,H$15,H$16,$C$16)</f>
        <v>2.2191999999999998</v>
      </c>
      <c r="I25" s="417"/>
      <c r="J25" s="416">
        <f ca="1">_xll.IMBC(J$4,$E25,J$15,J$16,$C$16)</f>
        <v>1.2809999999999999</v>
      </c>
      <c r="K25" s="417"/>
      <c r="L25" s="416">
        <f ca="1">_xll.IMBC(L$4,$E25,L$15,L$16,$C$16)</f>
        <v>7.851</v>
      </c>
      <c r="M25" s="417"/>
      <c r="N25" s="416">
        <f ca="1">_xll.IMBC(N$4,$E25,N$15,N$16,$C$16)</f>
        <v>7.6677</v>
      </c>
      <c r="O25" s="417"/>
      <c r="P25" s="416">
        <f ca="1">_xll.IMBC(P$4,$E25,P$15,P$16,$C$16)</f>
        <v>1.7625</v>
      </c>
      <c r="Q25" s="417"/>
      <c r="R25" s="416">
        <f ca="1">_xll.IMBC(R$4,$E25,R$15,R$16,$C$16)</f>
        <v>4.1327999999999996</v>
      </c>
      <c r="S25" s="417"/>
      <c r="T25" s="416">
        <f ca="1">_xll.IMBC(T$4,$E25,T$15,T$16,$C$16)</f>
        <v>6.7042999999999999</v>
      </c>
      <c r="U25" s="417"/>
      <c r="V25" s="416">
        <f ca="1">_xll.IMBC(V$4,$E25,V$15,V$16,$C$16)</f>
        <v>7.9126000000000003</v>
      </c>
      <c r="W25" s="417"/>
      <c r="X25" s="416">
        <f ca="1">_xll.IMBC(X$4,$E25,X$15,X$16,$C$16)</f>
        <v>3.7805</v>
      </c>
      <c r="Y25" s="417"/>
    </row>
    <row r="26" spans="3:28" x14ac:dyDescent="0.25">
      <c r="C26" s="1" t="s">
        <v>54</v>
      </c>
      <c r="D26" s="425"/>
      <c r="E26" s="13" t="s">
        <v>55</v>
      </c>
      <c r="F26" s="416">
        <f ca="1">_xll.IMBC(F$4,$E26,F$15,F$16,$C$16)</f>
        <v>1170713.0249999999</v>
      </c>
      <c r="G26" s="417"/>
      <c r="H26" s="416">
        <f ca="1">_xll.IMBC(H$4,$E26,H$15,H$16,$C$16)</f>
        <v>60116.761888000001</v>
      </c>
      <c r="I26" s="417"/>
      <c r="J26" s="416">
        <f ca="1">_xll.IMBC(J$4,$E26,J$15,J$16,$C$16)</f>
        <v>22639.660189999999</v>
      </c>
      <c r="K26" s="417"/>
      <c r="L26" s="416">
        <f ca="1">_xll.IMBC(L$4,$E26,L$15,L$16,$C$16)</f>
        <v>669698.63105600001</v>
      </c>
      <c r="M26" s="417"/>
      <c r="N26" s="416">
        <f ca="1">_xll.IMBC(N$4,$E26,N$15,N$16,$C$16)</f>
        <v>599595.39687599998</v>
      </c>
      <c r="O26" s="417"/>
      <c r="P26" s="416">
        <f ca="1">_xll.IMBC(P$4,$E26,P$15,P$16,$C$16)</f>
        <v>39293.73242</v>
      </c>
      <c r="Q26" s="417"/>
      <c r="R26" s="416">
        <f ca="1">_xll.IMBC(R$4,$E26,R$15,R$16,$C$16)</f>
        <v>198733.38102</v>
      </c>
      <c r="S26" s="417"/>
      <c r="T26" s="416">
        <f ca="1">_xll.IMBC(T$4,$E26,T$15,T$16,$C$16)</f>
        <v>501665.26317599998</v>
      </c>
      <c r="U26" s="417"/>
      <c r="V26" s="416">
        <f ca="1">_xll.IMBC(V$4,$E26,V$15,V$16,$C$16)</f>
        <v>755026.896542</v>
      </c>
      <c r="W26" s="417"/>
      <c r="X26" s="416">
        <f ca="1">_xll.IMBC(X$4,$E26,X$15,X$16,$C$16)</f>
        <v>160006.417644</v>
      </c>
      <c r="Y26" s="417"/>
    </row>
    <row r="27" spans="3:28" x14ac:dyDescent="0.25">
      <c r="D27" s="425"/>
      <c r="E27" s="13" t="s">
        <v>56</v>
      </c>
      <c r="F27" s="416">
        <f ca="1">_xll.IMBC(F$4,$E27,F$15,F$16,$C$16)</f>
        <v>82.155299999999997</v>
      </c>
      <c r="G27" s="417"/>
      <c r="H27" s="416">
        <f ca="1">_xll.IMBC(H$4,$E27,H$15,H$16,$C$16)</f>
        <v>6.1087999999999996</v>
      </c>
      <c r="I27" s="417"/>
      <c r="J27" s="416">
        <f ca="1">_xll.IMBC(J$4,$E27,J$15,J$16,$C$16)</f>
        <v>2.2854999999999999</v>
      </c>
      <c r="K27" s="417"/>
      <c r="L27" s="416">
        <f ca="1">_xll.IMBC(L$4,$E27,L$15,L$16,$C$16)</f>
        <v>71.832800000000006</v>
      </c>
      <c r="M27" s="417"/>
      <c r="N27" s="416">
        <f ca="1">_xll.IMBC(N$4,$E27,N$15,N$16,$C$16)</f>
        <v>67.348399999999998</v>
      </c>
      <c r="O27" s="417"/>
      <c r="P27" s="416">
        <f ca="1">_xll.IMBC(P$4,$E27,P$15,P$16,$C$16)</f>
        <v>4.0090000000000003</v>
      </c>
      <c r="Q27" s="417"/>
      <c r="R27" s="416">
        <f ca="1">_xll.IMBC(R$4,$E27,R$15,R$16,$C$16)</f>
        <v>20.1021</v>
      </c>
      <c r="S27" s="417"/>
      <c r="T27" s="416">
        <f ca="1">_xll.IMBC(T$4,$E27,T$15,T$16,$C$16)</f>
        <v>52.300600000000003</v>
      </c>
      <c r="U27" s="417"/>
      <c r="V27" s="416">
        <f ca="1">_xll.IMBC(V$4,$E27,V$15,V$16,$C$16)</f>
        <v>74.8078</v>
      </c>
      <c r="W27" s="417"/>
      <c r="X27" s="416">
        <f ca="1">_xll.IMBC(X$4,$E27,X$15,X$16,$C$16)</f>
        <v>16.7163</v>
      </c>
      <c r="Y27" s="417"/>
    </row>
    <row r="28" spans="3:28" x14ac:dyDescent="0.25">
      <c r="D28" s="425"/>
      <c r="E28" s="13" t="s">
        <v>57</v>
      </c>
      <c r="F28" s="418">
        <f ca="1">_xll.IMBC(F$4,$E28,F$15,F$16,$C$16)</f>
        <v>3590</v>
      </c>
      <c r="G28" s="419"/>
      <c r="H28" s="418">
        <f ca="1">_xll.IMBC(H$4,$E28,H$15,H$16,$C$16)</f>
        <v>851</v>
      </c>
      <c r="I28" s="419"/>
      <c r="J28" s="418">
        <f ca="1">_xll.IMBC(J$4,$E28,J$15,J$16,$C$16)</f>
        <v>485</v>
      </c>
      <c r="K28" s="419"/>
      <c r="L28" s="418">
        <f ca="1">_xll.IMBC(L$4,$E28,L$15,L$16,$C$16)</f>
        <v>3407</v>
      </c>
      <c r="M28" s="419"/>
      <c r="N28" s="418">
        <f ca="1">_xll.IMBC(N$4,$E28,N$15,N$16,$C$16)</f>
        <v>3224</v>
      </c>
      <c r="O28" s="419"/>
      <c r="P28" s="418">
        <f ca="1">_xll.IMBC(P$4,$E28,P$15,P$16,$C$16)</f>
        <v>668</v>
      </c>
      <c r="Q28" s="419"/>
      <c r="R28" s="418">
        <f ca="1">_xll.IMBC(R$4,$E28,R$15,R$16,$C$16)</f>
        <v>1671</v>
      </c>
      <c r="S28" s="419"/>
      <c r="T28" s="418">
        <f ca="1">_xll.IMBC(T$4,$E28,T$15,T$16,$C$16)</f>
        <v>2859</v>
      </c>
      <c r="U28" s="419"/>
      <c r="V28" s="418">
        <f ca="1">_xll.IMBC(V$4,$E28,V$15,V$16,$C$16)</f>
        <v>3590</v>
      </c>
      <c r="W28" s="419"/>
      <c r="X28" s="418">
        <f ca="1">_xll.IMBC(X$4,$E28,X$15,X$16,$C$16)</f>
        <v>1490</v>
      </c>
      <c r="Y28" s="419"/>
    </row>
    <row r="29" spans="3:28" x14ac:dyDescent="0.25">
      <c r="D29" s="426"/>
      <c r="E29" s="13" t="s">
        <v>58</v>
      </c>
      <c r="F29" s="416">
        <f ca="1">_xll.IMBC(F$4,$E29,F$15,F$16,$C$16)</f>
        <v>11.986000000000001</v>
      </c>
      <c r="G29" s="417"/>
      <c r="H29" s="416">
        <f ca="1">_xll.IMBC(H$4,$E29,H$15,H$16,$C$16)</f>
        <v>2.1840000000000002</v>
      </c>
      <c r="I29" s="417"/>
      <c r="J29" s="416">
        <f ca="1">_xll.IMBC(J$4,$E29,J$15,J$16,$C$16)</f>
        <v>1.2688999999999999</v>
      </c>
      <c r="K29" s="417"/>
      <c r="L29" s="416">
        <f ca="1">_xll.IMBC(L$4,$E29,L$15,L$16,$C$16)</f>
        <v>7.3194999999999997</v>
      </c>
      <c r="M29" s="417"/>
      <c r="N29" s="416">
        <f ca="1">_xll.IMBC(N$4,$E29,N$15,N$16,$C$16)</f>
        <v>6.8265000000000002</v>
      </c>
      <c r="O29" s="417"/>
      <c r="P29" s="416">
        <f ca="1">_xll.IMBC(P$4,$E29,P$15,P$16,$C$16)</f>
        <v>1.7275</v>
      </c>
      <c r="Q29" s="417"/>
      <c r="R29" s="416">
        <f ca="1">_xll.IMBC(R$4,$E29,R$15,R$16,$C$16)</f>
        <v>4.0857999999999999</v>
      </c>
      <c r="S29" s="417"/>
      <c r="T29" s="416">
        <f ca="1">_xll.IMBC(T$4,$E29,T$15,T$16,$C$16)</f>
        <v>6.4306999999999999</v>
      </c>
      <c r="U29" s="417"/>
      <c r="V29" s="416">
        <f ca="1">_xll.IMBC(V$4,$E29,V$15,V$16,$C$16)</f>
        <v>7.9861000000000004</v>
      </c>
      <c r="W29" s="417"/>
      <c r="X29" s="416">
        <f ca="1">_xll.IMBC(X$4,$E29,X$15,X$16,$C$16)</f>
        <v>3.6185999999999998</v>
      </c>
      <c r="Y29" s="417"/>
    </row>
    <row r="30" spans="3:28" ht="8.25" customHeight="1" x14ac:dyDescent="0.25"/>
    <row r="31" spans="3:28" ht="22.5" customHeight="1" x14ac:dyDescent="0.25">
      <c r="D31" s="4" t="s">
        <v>59</v>
      </c>
      <c r="E31" s="5"/>
      <c r="F31" s="5"/>
      <c r="G31" s="5"/>
      <c r="H31" s="5"/>
      <c r="I31" s="5"/>
      <c r="J31" s="5"/>
      <c r="K31" s="6"/>
      <c r="L31" s="5"/>
      <c r="M31" s="6"/>
      <c r="N31" s="5"/>
      <c r="O31" s="6"/>
      <c r="P31" s="5"/>
      <c r="Q31" s="6"/>
      <c r="R31" s="5"/>
      <c r="S31" s="6"/>
      <c r="T31" s="5"/>
      <c r="U31" s="7"/>
      <c r="V31" s="5"/>
      <c r="W31" s="7"/>
      <c r="X31" s="5"/>
      <c r="Y31" s="7"/>
    </row>
    <row r="32" spans="3:28" ht="7.5" customHeight="1" x14ac:dyDescent="0.25">
      <c r="D32" s="17"/>
      <c r="W32" s="3"/>
      <c r="Y32" s="3"/>
    </row>
    <row r="33" spans="2:27" ht="18.75" customHeight="1" x14ac:dyDescent="0.25">
      <c r="B33" s="9"/>
      <c r="D33" s="420" t="s">
        <v>60</v>
      </c>
      <c r="E33" s="421"/>
      <c r="F33" s="18" t="str">
        <f ca="1">_xll.IMDT("채권현금흐름",$F$4,$F$34:$G$34,100,F$15,F$16,"","sort=A,DtFmt=1,Pos=20,Orient=V,Title="&amp;F$5&amp;"")</f>
        <v>국고04250-3606(26-6)</v>
      </c>
      <c r="G33" s="19"/>
      <c r="H33" s="18" t="str">
        <f ca="1">_xll.IMDT("채권현금흐름",$H$4,$H$34:$I$34,100,H$15,H$16,"","sort=A,DtFmt=1,Pos=20,Orient=V,Title="&amp;H$5&amp;"")</f>
        <v>국고02750-2812(25-10)</v>
      </c>
      <c r="I33" s="20"/>
      <c r="J33" s="18" t="str">
        <f ca="1">_xll.IMDT("채권현금흐름",J$4,$J$34:$K$34,100,J$15,J$16,"","sort=A,DtFmt=1,Pos=20,Orient=V,Title="&amp;J$5&amp;"")</f>
        <v>국고02875-2712(24-12)</v>
      </c>
      <c r="K33" s="21"/>
      <c r="L33" s="18" t="str">
        <f ca="1">_xll.IMDT("채권현금흐름",L$4,$L$34:$M$34,100,L$15,L$16,"","sort=A,DtFmt=1,Pos=20,Orient=V,Title="&amp;L$5&amp;"")</f>
        <v>국고03250-3512(25-11)</v>
      </c>
      <c r="M33" s="21"/>
      <c r="N33" s="18" t="str">
        <f ca="1">_xll.IMDT("채권현금흐름",N$4,$N$34:$O$34,100,N$15,N$16,"","sort=A,DtFmt=1,Pos=20,Orient=V,Title="&amp;N$5&amp;"")</f>
        <v>국고02625-3506(25-5)</v>
      </c>
      <c r="O33" s="21"/>
      <c r="P33" s="18" t="str">
        <f ca="1">_xll.IMDT("채권현금흐름",P$4,$P$34:$Q$34,100,P$15,P$16,"","sort=A,DtFmt=1,Pos=20,Orient=V,Title="&amp;P$5&amp;"")</f>
        <v>국고02250-2806(25-4)</v>
      </c>
      <c r="Q33" s="21"/>
      <c r="R33" s="18" t="str">
        <f ca="1">_xll.IMDT("채권현금흐름",R$4,$R$34:$S$34,100,R$15,R$16,"","sort=A,DtFmt=1,Pos=20,Orient=V,Title="&amp;R$5&amp;"")</f>
        <v>국고03375-3103(26-3)</v>
      </c>
      <c r="S33" s="21"/>
      <c r="T33" s="18" t="str">
        <f ca="1">_xll.IMDT("채권현금흐름",T$4,$T$34:$U$34,100,T$15,T$16,"","sort=A,DtFmt=1,Pos=20,Orient=V,Title="&amp;T$5&amp;"")</f>
        <v>국고03500-3406(24-5)</v>
      </c>
      <c r="U33" s="21"/>
      <c r="V33" s="18" t="str">
        <f ca="1">_xll.IMDT("채권현금흐름",V$4,$T$34:$U$34,100,V$15,V$16,"","sort=A,DtFmt=1,Pos=20,Orient=V,Title="&amp;V$5&amp;"")</f>
        <v>국고04250-3606(26-6)</v>
      </c>
      <c r="W33" s="21"/>
      <c r="X33" s="18" t="str">
        <f ca="1">_xll.IMDT("채권현금흐름",X$4,$T$34:$U$34,100,X$15,X$16,"","sort=A,DtFmt=1,Pos=20,Orient=V,Title="&amp;X$5&amp;"")</f>
        <v>국고02500-3009(25-8)</v>
      </c>
      <c r="Y33" s="21"/>
    </row>
    <row r="34" spans="2:27" x14ac:dyDescent="0.25">
      <c r="B34" s="9" t="s">
        <v>61</v>
      </c>
      <c r="C34" s="8">
        <v>3</v>
      </c>
      <c r="D34" s="422"/>
      <c r="E34" s="423"/>
      <c r="F34" s="22" t="s">
        <v>62</v>
      </c>
      <c r="G34" s="22" t="str">
        <f>INDEX($B$34:$B$42,$C$34,1)</f>
        <v>현금흐름</v>
      </c>
      <c r="H34" s="22" t="s">
        <v>62</v>
      </c>
      <c r="I34" s="22" t="str">
        <f>INDEX($B$34:$B$42,$C$35,1)</f>
        <v>현금흐름</v>
      </c>
      <c r="J34" s="22" t="s">
        <v>62</v>
      </c>
      <c r="K34" s="23" t="str">
        <f>INDEX($B$34:$B$42,$C$36,1)</f>
        <v>현금흐름</v>
      </c>
      <c r="L34" s="22" t="s">
        <v>62</v>
      </c>
      <c r="M34" s="23" t="str">
        <f>INDEX($B$34:$B$42,$C$37,1)</f>
        <v>현금흐름</v>
      </c>
      <c r="N34" s="22" t="s">
        <v>62</v>
      </c>
      <c r="O34" s="23" t="str">
        <f>INDEX($B$34:$B$42,$C$38,1)</f>
        <v>현금흐름</v>
      </c>
      <c r="P34" s="22" t="s">
        <v>62</v>
      </c>
      <c r="Q34" s="23" t="str">
        <f>INDEX($B$34:$B$42,$C$39,1)</f>
        <v>현금흐름</v>
      </c>
      <c r="R34" s="22" t="s">
        <v>62</v>
      </c>
      <c r="S34" s="23" t="str">
        <f>INDEX($B$34:$B$42,$C$40,1)</f>
        <v>현금흐름</v>
      </c>
      <c r="T34" s="22" t="s">
        <v>62</v>
      </c>
      <c r="U34" s="23" t="str">
        <f>INDEX($B$34:$B$42,$C$41,1)</f>
        <v>현금흐름</v>
      </c>
      <c r="V34" s="22" t="s">
        <v>62</v>
      </c>
      <c r="W34" s="23" t="str">
        <f>INDEX($B$34:$B$42,$C$41,1)</f>
        <v>현금흐름</v>
      </c>
      <c r="X34" s="22" t="s">
        <v>62</v>
      </c>
      <c r="Y34" s="23" t="str">
        <f>INDEX($B$34:$B$42,$C$41,1)</f>
        <v>현금흐름</v>
      </c>
    </row>
    <row r="35" spans="2:27" x14ac:dyDescent="0.25">
      <c r="B35" s="9" t="s">
        <v>63</v>
      </c>
      <c r="C35" s="8">
        <v>3</v>
      </c>
      <c r="F35" s="24">
        <v>46366</v>
      </c>
      <c r="G35">
        <v>212.5</v>
      </c>
      <c r="H35" s="24">
        <v>46366</v>
      </c>
      <c r="I35" s="25">
        <v>137.5</v>
      </c>
      <c r="J35" s="26">
        <v>46366</v>
      </c>
      <c r="K35" s="27">
        <v>143.75</v>
      </c>
      <c r="L35" s="28">
        <v>46366</v>
      </c>
      <c r="M35" s="2">
        <v>162.5</v>
      </c>
      <c r="N35" s="28">
        <v>46366</v>
      </c>
      <c r="O35" s="2">
        <v>131.25</v>
      </c>
      <c r="P35" s="28">
        <v>46366</v>
      </c>
      <c r="Q35" s="2">
        <v>112.5</v>
      </c>
      <c r="R35" s="28">
        <v>46275</v>
      </c>
      <c r="S35" s="2">
        <v>168.75</v>
      </c>
      <c r="T35" s="28">
        <v>46366</v>
      </c>
      <c r="U35" s="3">
        <v>175</v>
      </c>
      <c r="V35" s="28">
        <v>46366</v>
      </c>
      <c r="W35" s="3">
        <v>212.5</v>
      </c>
      <c r="X35" s="28">
        <v>46275</v>
      </c>
      <c r="Y35" s="3">
        <v>125</v>
      </c>
    </row>
    <row r="36" spans="2:27" x14ac:dyDescent="0.25">
      <c r="B36" s="9" t="s">
        <v>64</v>
      </c>
      <c r="C36" s="8">
        <v>3</v>
      </c>
      <c r="F36" s="24">
        <v>46548</v>
      </c>
      <c r="G36">
        <v>212.5</v>
      </c>
      <c r="H36" s="24">
        <v>46548</v>
      </c>
      <c r="I36" s="25">
        <v>137.5</v>
      </c>
      <c r="J36" s="26">
        <v>46548</v>
      </c>
      <c r="K36" s="27">
        <v>143.75</v>
      </c>
      <c r="L36" s="28">
        <v>46548</v>
      </c>
      <c r="M36" s="2">
        <v>162.5</v>
      </c>
      <c r="N36" s="28">
        <v>46548</v>
      </c>
      <c r="O36" s="29">
        <v>131.25</v>
      </c>
      <c r="P36" s="28">
        <v>46548</v>
      </c>
      <c r="Q36" s="2">
        <v>112.5</v>
      </c>
      <c r="R36" s="28">
        <v>46456</v>
      </c>
      <c r="S36" s="2">
        <v>168.75</v>
      </c>
      <c r="T36" s="28">
        <v>46548</v>
      </c>
      <c r="U36" s="3">
        <v>175</v>
      </c>
      <c r="V36" s="28">
        <v>46548</v>
      </c>
      <c r="W36" s="3">
        <v>212.5</v>
      </c>
      <c r="X36" s="28">
        <v>46456</v>
      </c>
      <c r="Y36" s="3">
        <v>125</v>
      </c>
    </row>
    <row r="37" spans="2:27" x14ac:dyDescent="0.25">
      <c r="B37" s="9" t="s">
        <v>65</v>
      </c>
      <c r="C37" s="8">
        <v>3</v>
      </c>
      <c r="F37" s="24">
        <v>46731</v>
      </c>
      <c r="G37">
        <v>212.5</v>
      </c>
      <c r="H37" s="24">
        <v>46731</v>
      </c>
      <c r="I37" s="25">
        <v>137.5</v>
      </c>
      <c r="J37" s="26">
        <v>46731</v>
      </c>
      <c r="K37" s="27">
        <v>10143.75</v>
      </c>
      <c r="L37" s="28">
        <v>46731</v>
      </c>
      <c r="M37" s="2">
        <v>162.5</v>
      </c>
      <c r="N37" s="28">
        <v>46731</v>
      </c>
      <c r="O37" s="2">
        <v>131.25</v>
      </c>
      <c r="P37" s="28">
        <v>46731</v>
      </c>
      <c r="Q37" s="2">
        <v>112.5</v>
      </c>
      <c r="R37" s="28">
        <v>46640</v>
      </c>
      <c r="S37" s="2">
        <v>168.75</v>
      </c>
      <c r="T37" s="28">
        <v>46731</v>
      </c>
      <c r="U37" s="3">
        <v>175</v>
      </c>
      <c r="V37" s="28">
        <v>46731</v>
      </c>
      <c r="W37" s="3">
        <v>212.5</v>
      </c>
      <c r="X37" s="28">
        <v>46640</v>
      </c>
      <c r="Y37" s="3">
        <v>125</v>
      </c>
    </row>
    <row r="38" spans="2:27" x14ac:dyDescent="0.25">
      <c r="B38" s="9" t="s">
        <v>66</v>
      </c>
      <c r="C38" s="8">
        <v>3</v>
      </c>
      <c r="F38" s="24">
        <v>46914</v>
      </c>
      <c r="G38">
        <v>212.5</v>
      </c>
      <c r="H38" s="24">
        <v>46914</v>
      </c>
      <c r="I38" s="25">
        <v>137.5</v>
      </c>
      <c r="J38" s="26"/>
      <c r="K38" s="27"/>
      <c r="L38" s="28">
        <v>46914</v>
      </c>
      <c r="M38" s="2">
        <v>162.5</v>
      </c>
      <c r="N38" s="28">
        <v>46914</v>
      </c>
      <c r="O38" s="2">
        <v>131.25</v>
      </c>
      <c r="P38" s="28">
        <v>46914</v>
      </c>
      <c r="Q38" s="2">
        <v>10112.5</v>
      </c>
      <c r="R38" s="28">
        <v>46822</v>
      </c>
      <c r="S38" s="2">
        <v>168.75</v>
      </c>
      <c r="T38" s="28">
        <v>46914</v>
      </c>
      <c r="U38" s="3">
        <v>175</v>
      </c>
      <c r="V38" s="28">
        <v>46914</v>
      </c>
      <c r="W38" s="3">
        <v>212.5</v>
      </c>
      <c r="X38" s="28">
        <v>46822</v>
      </c>
      <c r="Y38" s="3">
        <v>125</v>
      </c>
      <c r="AA38" s="30"/>
    </row>
    <row r="39" spans="2:27" x14ac:dyDescent="0.25">
      <c r="B39" s="9" t="s">
        <v>67</v>
      </c>
      <c r="C39" s="8">
        <v>3</v>
      </c>
      <c r="F39" s="24">
        <v>47097</v>
      </c>
      <c r="G39">
        <v>212.5</v>
      </c>
      <c r="H39" s="24">
        <v>47097</v>
      </c>
      <c r="I39" s="25">
        <v>10137.5</v>
      </c>
      <c r="J39" s="26"/>
      <c r="K39" s="27"/>
      <c r="L39" s="28">
        <v>47097</v>
      </c>
      <c r="M39" s="2">
        <v>162.5</v>
      </c>
      <c r="N39" s="28">
        <v>47097</v>
      </c>
      <c r="O39" s="2">
        <v>131.25</v>
      </c>
      <c r="P39" s="28"/>
      <c r="R39" s="28">
        <v>47006</v>
      </c>
      <c r="S39" s="2">
        <v>168.75</v>
      </c>
      <c r="T39" s="28">
        <v>47097</v>
      </c>
      <c r="U39" s="3">
        <v>175</v>
      </c>
      <c r="V39" s="28">
        <v>47097</v>
      </c>
      <c r="W39" s="3">
        <v>212.5</v>
      </c>
      <c r="X39" s="28">
        <v>47006</v>
      </c>
      <c r="Y39" s="3">
        <v>125</v>
      </c>
    </row>
    <row r="40" spans="2:27" x14ac:dyDescent="0.25">
      <c r="B40" s="9" t="s">
        <v>68</v>
      </c>
      <c r="C40" s="8">
        <v>3</v>
      </c>
      <c r="F40" s="24">
        <v>47279</v>
      </c>
      <c r="G40">
        <v>212.5</v>
      </c>
      <c r="H40" s="24"/>
      <c r="I40" s="25"/>
      <c r="J40" s="26"/>
      <c r="K40" s="27"/>
      <c r="L40" s="28">
        <v>47279</v>
      </c>
      <c r="M40" s="2">
        <v>162.5</v>
      </c>
      <c r="N40" s="28">
        <v>47279</v>
      </c>
      <c r="O40" s="2">
        <v>131.25</v>
      </c>
      <c r="P40" s="28"/>
      <c r="R40" s="28">
        <v>47187</v>
      </c>
      <c r="S40" s="2">
        <v>168.75</v>
      </c>
      <c r="T40" s="28">
        <v>47279</v>
      </c>
      <c r="U40" s="3">
        <v>175</v>
      </c>
      <c r="V40" s="28">
        <v>47279</v>
      </c>
      <c r="W40" s="3">
        <v>212.5</v>
      </c>
      <c r="X40" s="28">
        <v>47187</v>
      </c>
      <c r="Y40" s="3">
        <v>125</v>
      </c>
    </row>
    <row r="41" spans="2:27" x14ac:dyDescent="0.25">
      <c r="B41" s="9" t="s">
        <v>69</v>
      </c>
      <c r="C41" s="8">
        <v>3</v>
      </c>
      <c r="D41" s="28"/>
      <c r="F41" s="28">
        <v>47462</v>
      </c>
      <c r="G41">
        <v>212.5</v>
      </c>
      <c r="H41" s="24"/>
      <c r="I41" s="25"/>
      <c r="J41" s="26"/>
      <c r="K41" s="27"/>
      <c r="L41" s="28">
        <v>47462</v>
      </c>
      <c r="M41" s="2">
        <v>162.5</v>
      </c>
      <c r="N41" s="28">
        <v>47462</v>
      </c>
      <c r="O41" s="2">
        <v>131.25</v>
      </c>
      <c r="P41" s="28"/>
      <c r="R41" s="28">
        <v>47371</v>
      </c>
      <c r="S41" s="2">
        <v>168.75</v>
      </c>
      <c r="T41" s="28">
        <v>47462</v>
      </c>
      <c r="U41" s="3">
        <v>175</v>
      </c>
      <c r="V41" s="28">
        <v>47462</v>
      </c>
      <c r="W41" s="3">
        <v>212.5</v>
      </c>
      <c r="X41" s="28">
        <v>47371</v>
      </c>
      <c r="Y41" s="3">
        <v>125</v>
      </c>
    </row>
    <row r="42" spans="2:27" x14ac:dyDescent="0.25">
      <c r="B42" s="9" t="s">
        <v>70</v>
      </c>
      <c r="C42" s="9"/>
      <c r="D42" s="28"/>
      <c r="F42" s="28">
        <v>47644</v>
      </c>
      <c r="G42">
        <v>212.5</v>
      </c>
      <c r="H42" s="24"/>
      <c r="I42" s="25"/>
      <c r="J42" s="26"/>
      <c r="K42" s="27"/>
      <c r="L42" s="28">
        <v>47644</v>
      </c>
      <c r="M42" s="2">
        <v>162.5</v>
      </c>
      <c r="N42" s="28">
        <v>47644</v>
      </c>
      <c r="O42" s="2">
        <v>131.25</v>
      </c>
      <c r="P42" s="28"/>
      <c r="R42" s="28">
        <v>47552</v>
      </c>
      <c r="S42" s="2">
        <v>168.75</v>
      </c>
      <c r="T42" s="28">
        <v>47644</v>
      </c>
      <c r="U42" s="3">
        <v>175</v>
      </c>
      <c r="V42" s="28">
        <v>47644</v>
      </c>
      <c r="W42" s="3">
        <v>212.5</v>
      </c>
      <c r="X42" s="28">
        <v>47552</v>
      </c>
      <c r="Y42" s="3">
        <v>125</v>
      </c>
    </row>
    <row r="43" spans="2:27" x14ac:dyDescent="0.25">
      <c r="C43" s="31"/>
      <c r="D43" s="28"/>
      <c r="F43" s="28">
        <v>47827</v>
      </c>
      <c r="G43">
        <v>212.5</v>
      </c>
      <c r="H43" s="24"/>
      <c r="I43" s="25"/>
      <c r="J43" s="26"/>
      <c r="K43" s="27"/>
      <c r="L43" s="28">
        <v>47827</v>
      </c>
      <c r="M43" s="2">
        <v>162.5</v>
      </c>
      <c r="N43" s="28">
        <v>47827</v>
      </c>
      <c r="O43" s="2">
        <v>131.25</v>
      </c>
      <c r="P43" s="28"/>
      <c r="R43" s="28">
        <v>47736</v>
      </c>
      <c r="S43" s="2">
        <v>168.75</v>
      </c>
      <c r="T43" s="28">
        <v>47827</v>
      </c>
      <c r="U43" s="3">
        <v>175</v>
      </c>
      <c r="V43" s="28">
        <v>47827</v>
      </c>
      <c r="W43" s="3">
        <v>212.5</v>
      </c>
      <c r="X43" s="28">
        <v>47736</v>
      </c>
      <c r="Y43" s="3">
        <v>10125</v>
      </c>
    </row>
    <row r="44" spans="2:27" x14ac:dyDescent="0.25">
      <c r="D44" s="28"/>
      <c r="F44" s="28">
        <v>48009</v>
      </c>
      <c r="G44">
        <v>212.5</v>
      </c>
      <c r="H44" s="24"/>
      <c r="I44" s="25"/>
      <c r="J44" s="26"/>
      <c r="K44" s="27"/>
      <c r="L44" s="28">
        <v>48009</v>
      </c>
      <c r="M44" s="2">
        <v>162.5</v>
      </c>
      <c r="N44" s="28">
        <v>48009</v>
      </c>
      <c r="O44" s="2">
        <v>131.25</v>
      </c>
      <c r="P44" s="28"/>
      <c r="R44" s="28">
        <v>47917</v>
      </c>
      <c r="S44" s="2">
        <v>10168.75</v>
      </c>
      <c r="T44" s="28">
        <v>48009</v>
      </c>
      <c r="U44" s="3">
        <v>175</v>
      </c>
      <c r="V44" s="28">
        <v>48009</v>
      </c>
      <c r="W44" s="3">
        <v>212.5</v>
      </c>
      <c r="X44" s="28"/>
      <c r="Y44" s="3"/>
    </row>
    <row r="45" spans="2:27" x14ac:dyDescent="0.25">
      <c r="D45" s="28"/>
      <c r="F45" s="28">
        <v>48192</v>
      </c>
      <c r="G45">
        <v>212.5</v>
      </c>
      <c r="H45" s="26"/>
      <c r="J45" s="26"/>
      <c r="K45" s="27"/>
      <c r="L45" s="28">
        <v>48192</v>
      </c>
      <c r="M45" s="2">
        <v>162.5</v>
      </c>
      <c r="N45" s="28">
        <v>48192</v>
      </c>
      <c r="O45" s="2">
        <v>131.25</v>
      </c>
      <c r="P45" s="28"/>
      <c r="R45" s="28"/>
      <c r="T45" s="28">
        <v>48192</v>
      </c>
      <c r="U45" s="3">
        <v>175</v>
      </c>
      <c r="V45" s="28">
        <v>48192</v>
      </c>
      <c r="W45" s="3">
        <v>212.5</v>
      </c>
      <c r="X45" s="28"/>
      <c r="Y45" s="3"/>
    </row>
    <row r="46" spans="2:27" x14ac:dyDescent="0.25">
      <c r="D46" s="28"/>
      <c r="F46" s="28">
        <v>48375</v>
      </c>
      <c r="G46">
        <v>212.5</v>
      </c>
      <c r="H46" s="28"/>
      <c r="J46" s="26"/>
      <c r="K46" s="27"/>
      <c r="L46" s="28">
        <v>48375</v>
      </c>
      <c r="M46" s="2">
        <v>162.5</v>
      </c>
      <c r="N46" s="28">
        <v>48375</v>
      </c>
      <c r="O46" s="2">
        <v>131.25</v>
      </c>
      <c r="P46" s="28"/>
      <c r="R46" s="28"/>
      <c r="T46" s="28">
        <v>48375</v>
      </c>
      <c r="U46" s="3">
        <v>175</v>
      </c>
      <c r="V46" s="28">
        <v>48375</v>
      </c>
      <c r="W46" s="3">
        <v>212.5</v>
      </c>
      <c r="X46" s="28"/>
      <c r="Y46" s="3"/>
    </row>
    <row r="47" spans="2:27" x14ac:dyDescent="0.25">
      <c r="D47" s="28"/>
      <c r="F47" s="28">
        <v>48558</v>
      </c>
      <c r="G47">
        <v>212.5</v>
      </c>
      <c r="H47" s="28"/>
      <c r="J47" s="26"/>
      <c r="K47" s="27"/>
      <c r="L47" s="28">
        <v>48558</v>
      </c>
      <c r="M47" s="2">
        <v>162.5</v>
      </c>
      <c r="N47" s="28">
        <v>48558</v>
      </c>
      <c r="O47" s="2">
        <v>131.25</v>
      </c>
      <c r="P47" s="28"/>
      <c r="R47" s="28"/>
      <c r="T47" s="28">
        <v>48558</v>
      </c>
      <c r="U47" s="3">
        <v>175</v>
      </c>
      <c r="V47" s="28">
        <v>48558</v>
      </c>
      <c r="W47">
        <v>212.5</v>
      </c>
      <c r="X47" s="28"/>
    </row>
    <row r="48" spans="2:27" x14ac:dyDescent="0.25">
      <c r="C48" s="31"/>
      <c r="D48" s="28"/>
      <c r="F48" s="28">
        <v>48740</v>
      </c>
      <c r="G48">
        <v>212.5</v>
      </c>
      <c r="H48" s="28"/>
      <c r="J48" s="26"/>
      <c r="K48" s="27"/>
      <c r="L48" s="28">
        <v>48740</v>
      </c>
      <c r="M48" s="2">
        <v>162.5</v>
      </c>
      <c r="N48" s="28">
        <v>48740</v>
      </c>
      <c r="O48" s="2">
        <v>131.25</v>
      </c>
      <c r="P48" s="28"/>
      <c r="R48" s="28"/>
      <c r="T48" s="28">
        <v>48740</v>
      </c>
      <c r="U48" s="3">
        <v>175</v>
      </c>
      <c r="V48" s="28">
        <v>48740</v>
      </c>
      <c r="W48">
        <v>212.5</v>
      </c>
      <c r="X48" s="28"/>
    </row>
    <row r="49" spans="4:24" x14ac:dyDescent="0.25">
      <c r="D49" s="28"/>
      <c r="F49" s="28">
        <v>48923</v>
      </c>
      <c r="G49">
        <v>212.5</v>
      </c>
      <c r="H49" s="28"/>
      <c r="I49" s="32"/>
      <c r="J49" s="26"/>
      <c r="K49" s="27"/>
      <c r="L49" s="28">
        <v>48923</v>
      </c>
      <c r="M49" s="2">
        <v>162.5</v>
      </c>
      <c r="N49" s="28">
        <v>48923</v>
      </c>
      <c r="O49" s="2">
        <v>131.25</v>
      </c>
      <c r="P49" s="28"/>
      <c r="R49" s="28"/>
      <c r="T49" s="28">
        <v>48923</v>
      </c>
      <c r="U49" s="3">
        <v>175</v>
      </c>
      <c r="V49" s="28">
        <v>48923</v>
      </c>
      <c r="W49">
        <v>212.5</v>
      </c>
      <c r="X49" s="28"/>
    </row>
    <row r="50" spans="4:24" x14ac:dyDescent="0.25">
      <c r="D50" s="28"/>
      <c r="F50" s="28">
        <v>49105</v>
      </c>
      <c r="G50">
        <v>212.5</v>
      </c>
      <c r="H50" s="28"/>
      <c r="I50" s="32"/>
      <c r="J50" s="26"/>
      <c r="K50" s="27"/>
      <c r="L50" s="28">
        <v>49105</v>
      </c>
      <c r="M50" s="2">
        <v>162.5</v>
      </c>
      <c r="N50" s="28">
        <v>49105</v>
      </c>
      <c r="O50" s="2">
        <v>131.25</v>
      </c>
      <c r="P50" s="28"/>
      <c r="R50" s="28"/>
      <c r="T50" s="28">
        <v>49105</v>
      </c>
      <c r="U50" s="3">
        <v>10175</v>
      </c>
      <c r="V50" s="28">
        <v>49105</v>
      </c>
      <c r="W50">
        <v>212.5</v>
      </c>
      <c r="X50" s="28"/>
    </row>
    <row r="51" spans="4:24" x14ac:dyDescent="0.25">
      <c r="D51" s="28"/>
      <c r="F51" s="28">
        <v>49288</v>
      </c>
      <c r="G51">
        <v>212.5</v>
      </c>
      <c r="H51" s="28"/>
      <c r="I51" s="32"/>
      <c r="J51" s="26"/>
      <c r="K51" s="27"/>
      <c r="L51" s="28">
        <v>49288</v>
      </c>
      <c r="M51" s="2">
        <v>162.5</v>
      </c>
      <c r="N51" s="28">
        <v>49288</v>
      </c>
      <c r="O51" s="2">
        <v>131.25</v>
      </c>
      <c r="P51" s="28"/>
      <c r="R51" s="28"/>
      <c r="T51" s="28"/>
      <c r="V51" s="28">
        <v>49288</v>
      </c>
      <c r="W51">
        <v>212.5</v>
      </c>
      <c r="X51" s="28"/>
    </row>
    <row r="52" spans="4:24" x14ac:dyDescent="0.25">
      <c r="D52" s="28"/>
      <c r="F52" s="28">
        <v>49470</v>
      </c>
      <c r="G52">
        <v>212.5</v>
      </c>
      <c r="H52" s="28"/>
      <c r="I52" s="32"/>
      <c r="J52" s="26"/>
      <c r="K52" s="27"/>
      <c r="L52" s="28">
        <v>49470</v>
      </c>
      <c r="M52" s="2">
        <v>162.5</v>
      </c>
      <c r="N52" s="28">
        <v>49470</v>
      </c>
      <c r="O52" s="2">
        <v>10131.25</v>
      </c>
      <c r="P52" s="28"/>
      <c r="R52" s="28"/>
      <c r="T52" s="28"/>
      <c r="V52" s="28">
        <v>49470</v>
      </c>
      <c r="W52">
        <v>212.5</v>
      </c>
      <c r="X52" s="28"/>
    </row>
    <row r="53" spans="4:24" x14ac:dyDescent="0.25">
      <c r="D53" s="28"/>
      <c r="F53" s="28">
        <v>49653</v>
      </c>
      <c r="G53">
        <v>212.5</v>
      </c>
      <c r="H53" s="28"/>
      <c r="I53" s="32"/>
      <c r="J53" s="26"/>
      <c r="K53" s="27"/>
      <c r="L53" s="28">
        <v>49653</v>
      </c>
      <c r="M53" s="2">
        <v>10162.5</v>
      </c>
      <c r="N53" s="28"/>
      <c r="P53" s="28"/>
      <c r="R53" s="28"/>
      <c r="T53" s="28"/>
      <c r="V53" s="28">
        <v>49653</v>
      </c>
      <c r="W53">
        <v>212.5</v>
      </c>
      <c r="X53" s="28"/>
    </row>
    <row r="54" spans="4:24" x14ac:dyDescent="0.25">
      <c r="D54" s="28"/>
      <c r="F54" s="28">
        <v>49836</v>
      </c>
      <c r="G54">
        <v>10212.5</v>
      </c>
      <c r="H54" s="28"/>
      <c r="I54" s="32"/>
      <c r="J54" s="26"/>
      <c r="K54" s="27"/>
      <c r="L54" s="28"/>
      <c r="N54" s="28"/>
      <c r="P54" s="28"/>
      <c r="R54" s="28"/>
      <c r="T54" s="28"/>
      <c r="V54" s="28">
        <v>49836</v>
      </c>
      <c r="W54">
        <v>10212.5</v>
      </c>
      <c r="X54" s="28"/>
    </row>
    <row r="55" spans="4:24" x14ac:dyDescent="0.25">
      <c r="D55" s="28"/>
      <c r="F55" s="28"/>
      <c r="H55" s="28"/>
      <c r="I55" s="32"/>
      <c r="J55" s="26"/>
      <c r="K55" s="27"/>
      <c r="L55" s="28"/>
      <c r="N55" s="28"/>
      <c r="P55" s="28"/>
      <c r="R55" s="28"/>
      <c r="T55" s="28"/>
      <c r="V55" s="28"/>
      <c r="X55" s="28"/>
    </row>
    <row r="56" spans="4:24" x14ac:dyDescent="0.25">
      <c r="D56" s="28"/>
      <c r="F56" s="28"/>
      <c r="H56" s="28"/>
      <c r="I56" s="32"/>
      <c r="J56" s="26"/>
      <c r="K56" s="27"/>
      <c r="L56" s="28"/>
      <c r="N56" s="28"/>
      <c r="P56" s="28"/>
      <c r="R56" s="28"/>
      <c r="T56" s="28"/>
      <c r="V56" s="28"/>
      <c r="X56" s="28"/>
    </row>
    <row r="57" spans="4:24" x14ac:dyDescent="0.25">
      <c r="D57" s="33"/>
      <c r="F57" s="28"/>
      <c r="H57" s="28"/>
      <c r="I57" s="32"/>
      <c r="J57" s="26"/>
      <c r="K57" s="27"/>
      <c r="L57" s="28"/>
      <c r="N57" s="28"/>
      <c r="P57" s="28"/>
      <c r="R57" s="28"/>
      <c r="T57" s="28"/>
      <c r="V57" s="28"/>
      <c r="X57" s="28"/>
    </row>
    <row r="58" spans="4:24" x14ac:dyDescent="0.25">
      <c r="D58" s="28"/>
      <c r="F58" s="28"/>
      <c r="H58" s="28"/>
      <c r="I58" s="32"/>
      <c r="J58" s="26"/>
      <c r="K58" s="27"/>
      <c r="L58" s="28"/>
      <c r="N58" s="28"/>
      <c r="P58" s="28"/>
      <c r="R58" s="28"/>
      <c r="T58" s="28"/>
      <c r="V58" s="28"/>
      <c r="X58" s="28"/>
    </row>
    <row r="59" spans="4:24" x14ac:dyDescent="0.25">
      <c r="D59" s="28"/>
      <c r="F59" s="28"/>
      <c r="H59" s="28"/>
      <c r="I59" s="32"/>
      <c r="J59" s="26"/>
      <c r="K59" s="27"/>
      <c r="L59" s="28"/>
      <c r="N59" s="28"/>
      <c r="P59" s="28"/>
      <c r="R59" s="28"/>
      <c r="T59" s="28"/>
      <c r="V59" s="28"/>
      <c r="X59" s="28"/>
    </row>
    <row r="60" spans="4:24" x14ac:dyDescent="0.25">
      <c r="D60" s="28"/>
      <c r="F60" s="28"/>
      <c r="H60" s="28"/>
      <c r="I60" s="32"/>
      <c r="J60" s="26"/>
      <c r="K60" s="27"/>
      <c r="L60" s="28"/>
      <c r="N60" s="28"/>
      <c r="P60" s="28"/>
      <c r="R60" s="28"/>
      <c r="T60" s="28"/>
      <c r="V60" s="28"/>
      <c r="X60" s="28"/>
    </row>
    <row r="61" spans="4:24" x14ac:dyDescent="0.25">
      <c r="D61" s="28"/>
      <c r="F61" s="28"/>
      <c r="H61" s="28"/>
      <c r="I61" s="32"/>
      <c r="J61" s="26"/>
      <c r="K61" s="27"/>
      <c r="L61" s="28"/>
      <c r="N61" s="28"/>
      <c r="P61" s="28"/>
      <c r="R61" s="28"/>
      <c r="T61" s="28"/>
      <c r="V61" s="28"/>
      <c r="X61" s="28"/>
    </row>
    <row r="62" spans="4:24" x14ac:dyDescent="0.25">
      <c r="D62" s="28"/>
      <c r="F62" s="28"/>
      <c r="H62" s="28"/>
      <c r="I62" s="32"/>
      <c r="J62" s="26"/>
      <c r="K62" s="27"/>
      <c r="L62" s="28"/>
      <c r="N62" s="28"/>
      <c r="P62" s="28"/>
      <c r="R62" s="28"/>
      <c r="T62" s="28"/>
      <c r="V62" s="28"/>
      <c r="X62" s="28"/>
    </row>
    <row r="63" spans="4:24" x14ac:dyDescent="0.25">
      <c r="D63" s="28"/>
      <c r="F63" s="28"/>
      <c r="H63" s="28"/>
      <c r="I63" s="32"/>
      <c r="J63" s="26"/>
      <c r="K63" s="27"/>
      <c r="L63" s="28"/>
      <c r="N63" s="28"/>
      <c r="P63" s="28"/>
      <c r="R63" s="28"/>
      <c r="T63" s="28"/>
      <c r="V63" s="28"/>
      <c r="X63" s="28"/>
    </row>
    <row r="64" spans="4:24" x14ac:dyDescent="0.25">
      <c r="D64" s="28"/>
      <c r="F64" s="28"/>
      <c r="H64" s="28"/>
      <c r="I64" s="32"/>
      <c r="J64" s="26"/>
      <c r="K64" s="27"/>
      <c r="L64" s="28"/>
      <c r="N64" s="28"/>
      <c r="P64" s="28"/>
      <c r="R64" s="28"/>
      <c r="T64" s="28"/>
      <c r="V64" s="28"/>
      <c r="X64" s="28"/>
    </row>
    <row r="65" spans="4:24" x14ac:dyDescent="0.25">
      <c r="D65" s="28"/>
      <c r="F65" s="28"/>
      <c r="H65" s="28"/>
      <c r="I65" s="32"/>
      <c r="J65" s="26"/>
      <c r="K65" s="27"/>
      <c r="L65" s="28"/>
      <c r="N65" s="28"/>
      <c r="P65" s="28"/>
      <c r="R65" s="28"/>
      <c r="T65" s="28"/>
      <c r="V65" s="28"/>
      <c r="X65" s="28"/>
    </row>
    <row r="66" spans="4:24" x14ac:dyDescent="0.25">
      <c r="D66" s="28"/>
      <c r="F66" s="28"/>
      <c r="H66" s="28"/>
      <c r="I66" s="32"/>
      <c r="J66" s="26"/>
      <c r="K66" s="27"/>
      <c r="L66" s="28"/>
      <c r="N66" s="28"/>
      <c r="P66" s="28"/>
      <c r="R66" s="28"/>
      <c r="T66" s="28"/>
      <c r="V66" s="28"/>
      <c r="X66" s="28"/>
    </row>
    <row r="67" spans="4:24" x14ac:dyDescent="0.25">
      <c r="D67" s="28"/>
      <c r="F67" s="28"/>
      <c r="H67" s="28"/>
      <c r="I67" s="32"/>
      <c r="J67" s="26"/>
      <c r="K67" s="27"/>
      <c r="L67" s="28"/>
      <c r="N67" s="28"/>
      <c r="P67" s="28"/>
      <c r="R67" s="28"/>
      <c r="T67" s="28"/>
      <c r="V67" s="28"/>
      <c r="X67" s="28"/>
    </row>
    <row r="68" spans="4:24" x14ac:dyDescent="0.25">
      <c r="D68" s="28"/>
      <c r="F68" s="28"/>
      <c r="H68" s="28"/>
      <c r="I68" s="32"/>
      <c r="J68" s="26"/>
      <c r="K68" s="27"/>
      <c r="L68" s="28"/>
      <c r="N68" s="28"/>
      <c r="P68" s="28"/>
      <c r="R68" s="28"/>
      <c r="T68" s="28"/>
      <c r="V68" s="28"/>
      <c r="X68" s="28"/>
    </row>
    <row r="69" spans="4:24" x14ac:dyDescent="0.25">
      <c r="D69" s="28"/>
      <c r="F69" s="28"/>
      <c r="H69" s="28"/>
      <c r="I69" s="32"/>
      <c r="J69" s="26"/>
      <c r="K69" s="27"/>
      <c r="L69" s="28"/>
      <c r="N69" s="28"/>
      <c r="P69" s="28"/>
      <c r="R69" s="28"/>
      <c r="T69" s="28"/>
      <c r="V69" s="28"/>
      <c r="X69" s="28"/>
    </row>
    <row r="70" spans="4:24" x14ac:dyDescent="0.25">
      <c r="D70" s="28"/>
      <c r="F70" s="28"/>
      <c r="H70" s="28"/>
      <c r="I70" s="32"/>
      <c r="J70" s="26"/>
      <c r="K70" s="27"/>
      <c r="L70" s="28"/>
      <c r="N70" s="28"/>
      <c r="P70" s="28"/>
      <c r="R70" s="28"/>
      <c r="T70" s="28"/>
      <c r="V70" s="28"/>
      <c r="X70" s="28"/>
    </row>
    <row r="71" spans="4:24" x14ac:dyDescent="0.25">
      <c r="D71" s="28"/>
      <c r="F71" s="28"/>
      <c r="H71" s="28"/>
      <c r="I71" s="32"/>
      <c r="J71" s="26"/>
      <c r="K71" s="27"/>
      <c r="L71" s="28"/>
      <c r="N71" s="28"/>
      <c r="P71" s="28"/>
      <c r="R71" s="28"/>
      <c r="T71" s="28"/>
      <c r="V71" s="28"/>
      <c r="X71" s="28"/>
    </row>
    <row r="72" spans="4:24" x14ac:dyDescent="0.25">
      <c r="D72" s="28"/>
      <c r="F72" s="28"/>
      <c r="H72" s="28"/>
      <c r="I72" s="32"/>
      <c r="J72" s="26"/>
      <c r="K72" s="27"/>
      <c r="L72" s="28"/>
      <c r="N72" s="28"/>
      <c r="P72" s="28"/>
      <c r="R72" s="28"/>
      <c r="T72" s="28"/>
      <c r="V72" s="28"/>
      <c r="X72" s="28"/>
    </row>
    <row r="73" spans="4:24" x14ac:dyDescent="0.25">
      <c r="D73" s="28"/>
      <c r="F73" s="28"/>
      <c r="H73" s="28"/>
      <c r="I73" s="32"/>
      <c r="J73" s="26"/>
      <c r="K73" s="27"/>
      <c r="L73" s="28"/>
      <c r="N73" s="28"/>
      <c r="P73" s="28"/>
      <c r="R73" s="28"/>
      <c r="T73" s="28"/>
      <c r="V73" s="28"/>
      <c r="X73" s="28"/>
    </row>
    <row r="74" spans="4:24" x14ac:dyDescent="0.25">
      <c r="D74" s="28"/>
      <c r="F74" s="28"/>
      <c r="H74" s="28"/>
      <c r="I74" s="32"/>
      <c r="J74" s="26"/>
      <c r="K74" s="27"/>
      <c r="L74" s="28"/>
      <c r="N74" s="28"/>
      <c r="P74" s="28"/>
      <c r="R74" s="28"/>
      <c r="T74" s="28"/>
      <c r="V74" s="28"/>
      <c r="X74" s="28"/>
    </row>
    <row r="75" spans="4:24" x14ac:dyDescent="0.25">
      <c r="D75" s="28"/>
      <c r="F75" s="28"/>
      <c r="H75" s="28"/>
      <c r="I75" s="32"/>
      <c r="J75" s="26"/>
      <c r="K75" s="27"/>
      <c r="L75" s="28"/>
      <c r="N75" s="28"/>
      <c r="P75" s="28"/>
      <c r="R75" s="28"/>
      <c r="T75" s="28"/>
      <c r="V75" s="28"/>
      <c r="X75" s="28"/>
    </row>
    <row r="76" spans="4:24" x14ac:dyDescent="0.25">
      <c r="D76" s="28"/>
      <c r="F76" s="28"/>
      <c r="H76" s="28"/>
      <c r="I76" s="32"/>
      <c r="J76" s="26"/>
      <c r="K76" s="27"/>
      <c r="L76" s="28"/>
      <c r="N76" s="28"/>
      <c r="P76" s="28"/>
      <c r="R76" s="28"/>
      <c r="T76" s="28"/>
      <c r="V76" s="28"/>
      <c r="X76" s="28"/>
    </row>
    <row r="77" spans="4:24" x14ac:dyDescent="0.25">
      <c r="D77" s="28"/>
      <c r="F77" s="28"/>
      <c r="H77" s="28"/>
      <c r="I77" s="32"/>
      <c r="J77" s="26"/>
      <c r="K77" s="27"/>
      <c r="L77" s="28"/>
      <c r="N77" s="28"/>
      <c r="P77" s="28"/>
      <c r="R77" s="28"/>
      <c r="T77" s="28"/>
      <c r="V77" s="28"/>
      <c r="X77" s="28"/>
    </row>
    <row r="78" spans="4:24" x14ac:dyDescent="0.25">
      <c r="D78" s="28"/>
      <c r="F78" s="28"/>
      <c r="H78" s="28"/>
      <c r="I78" s="32"/>
      <c r="J78" s="26"/>
      <c r="K78" s="27"/>
      <c r="L78" s="28"/>
      <c r="N78" s="28"/>
      <c r="P78" s="28"/>
      <c r="R78" s="28"/>
      <c r="T78" s="28"/>
      <c r="V78" s="28"/>
      <c r="X78" s="28"/>
    </row>
    <row r="79" spans="4:24" x14ac:dyDescent="0.25">
      <c r="D79" s="28"/>
      <c r="F79" s="28"/>
      <c r="H79" s="28"/>
      <c r="I79" s="32"/>
      <c r="J79" s="26"/>
      <c r="K79" s="27"/>
      <c r="L79" s="28"/>
      <c r="N79" s="28"/>
      <c r="P79" s="28"/>
      <c r="R79" s="28"/>
      <c r="T79" s="28"/>
      <c r="V79" s="28"/>
      <c r="X79" s="28"/>
    </row>
    <row r="80" spans="4:24" x14ac:dyDescent="0.25">
      <c r="D80" s="28"/>
      <c r="F80" s="28"/>
      <c r="H80" s="28"/>
      <c r="I80" s="32"/>
      <c r="J80" s="26"/>
      <c r="K80" s="27"/>
      <c r="L80" s="28"/>
      <c r="N80" s="28"/>
      <c r="P80" s="28"/>
      <c r="R80" s="28"/>
      <c r="T80" s="28"/>
      <c r="V80" s="28"/>
      <c r="X80" s="28"/>
    </row>
    <row r="81" spans="4:24" x14ac:dyDescent="0.25">
      <c r="D81" s="28"/>
      <c r="F81" s="28"/>
      <c r="H81" s="28"/>
      <c r="I81" s="32"/>
      <c r="J81" s="26"/>
      <c r="K81" s="27"/>
      <c r="L81" s="28"/>
      <c r="N81" s="28"/>
      <c r="P81" s="28"/>
      <c r="R81" s="28"/>
      <c r="T81" s="28"/>
      <c r="V81" s="28"/>
      <c r="X81" s="28"/>
    </row>
    <row r="82" spans="4:24" x14ac:dyDescent="0.25">
      <c r="D82" s="28"/>
      <c r="F82" s="28"/>
      <c r="H82" s="28"/>
      <c r="I82" s="32"/>
      <c r="J82" s="26"/>
      <c r="K82" s="27"/>
      <c r="L82" s="28"/>
      <c r="N82" s="28"/>
      <c r="P82" s="28"/>
      <c r="R82" s="28"/>
      <c r="T82" s="28"/>
      <c r="V82" s="28"/>
      <c r="X82" s="28"/>
    </row>
    <row r="83" spans="4:24" x14ac:dyDescent="0.25">
      <c r="D83" s="28"/>
      <c r="F83" s="28"/>
      <c r="H83" s="28"/>
      <c r="I83" s="32"/>
      <c r="J83" s="26"/>
      <c r="K83" s="27"/>
      <c r="L83" s="28"/>
      <c r="N83" s="28"/>
      <c r="P83" s="28"/>
      <c r="R83" s="28"/>
      <c r="T83" s="28"/>
      <c r="V83" s="28"/>
      <c r="X83" s="28"/>
    </row>
    <row r="84" spans="4:24" x14ac:dyDescent="0.25">
      <c r="D84" s="28"/>
      <c r="F84" s="28"/>
      <c r="H84" s="28"/>
      <c r="I84" s="32"/>
      <c r="J84" s="26"/>
      <c r="K84" s="27"/>
      <c r="L84" s="28"/>
      <c r="N84" s="28"/>
      <c r="P84" s="28"/>
      <c r="R84" s="28"/>
      <c r="T84" s="28"/>
      <c r="V84" s="28"/>
      <c r="X84" s="28"/>
    </row>
    <row r="85" spans="4:24" x14ac:dyDescent="0.25">
      <c r="D85" s="28"/>
      <c r="F85" s="28"/>
      <c r="H85" s="28"/>
      <c r="I85" s="32"/>
      <c r="J85" s="26"/>
      <c r="K85" s="27"/>
      <c r="L85" s="28"/>
      <c r="N85" s="28"/>
      <c r="P85" s="28"/>
      <c r="R85" s="28"/>
      <c r="T85" s="28"/>
      <c r="V85" s="28"/>
      <c r="X85" s="28"/>
    </row>
    <row r="86" spans="4:24" x14ac:dyDescent="0.25">
      <c r="D86" s="28"/>
      <c r="F86" s="28"/>
      <c r="H86" s="28"/>
      <c r="I86" s="32"/>
      <c r="J86" s="26"/>
      <c r="K86" s="27"/>
      <c r="L86" s="28"/>
      <c r="N86" s="28"/>
      <c r="P86" s="28"/>
      <c r="R86" s="28"/>
      <c r="T86" s="28"/>
      <c r="V86" s="28"/>
      <c r="X86" s="28"/>
    </row>
    <row r="87" spans="4:24" x14ac:dyDescent="0.25">
      <c r="D87" s="28"/>
      <c r="F87" s="28"/>
      <c r="H87" s="28"/>
      <c r="I87" s="32"/>
      <c r="J87" s="26"/>
      <c r="K87" s="27"/>
      <c r="L87" s="28"/>
      <c r="N87" s="28"/>
      <c r="P87" s="28"/>
      <c r="R87" s="28"/>
      <c r="T87" s="28"/>
      <c r="V87" s="28"/>
      <c r="X87" s="28"/>
    </row>
    <row r="88" spans="4:24" x14ac:dyDescent="0.25">
      <c r="D88" s="28"/>
      <c r="F88" s="28"/>
      <c r="H88" s="28"/>
      <c r="I88" s="32"/>
      <c r="J88" s="26"/>
      <c r="K88" s="27"/>
      <c r="L88" s="28"/>
      <c r="N88" s="28"/>
      <c r="P88" s="28"/>
      <c r="R88" s="28"/>
      <c r="T88" s="28"/>
      <c r="V88" s="28"/>
      <c r="X88" s="28"/>
    </row>
    <row r="89" spans="4:24" x14ac:dyDescent="0.25">
      <c r="D89" s="28"/>
      <c r="F89" s="28"/>
      <c r="H89" s="28"/>
      <c r="I89" s="32"/>
      <c r="J89" s="26"/>
      <c r="K89" s="27"/>
      <c r="L89" s="28"/>
      <c r="N89" s="28"/>
      <c r="P89" s="28"/>
      <c r="R89" s="28"/>
      <c r="T89" s="28"/>
      <c r="V89" s="28"/>
      <c r="X89" s="28"/>
    </row>
    <row r="90" spans="4:24" x14ac:dyDescent="0.25">
      <c r="D90" s="28"/>
      <c r="F90" s="28"/>
      <c r="H90" s="28"/>
      <c r="I90" s="32"/>
      <c r="J90" s="26"/>
      <c r="K90" s="27"/>
      <c r="L90" s="28"/>
      <c r="N90" s="28"/>
      <c r="P90" s="28"/>
      <c r="R90" s="28"/>
      <c r="T90" s="28"/>
      <c r="V90" s="28"/>
      <c r="X90" s="28"/>
    </row>
    <row r="91" spans="4:24" x14ac:dyDescent="0.25">
      <c r="D91" s="28"/>
      <c r="F91" s="28"/>
      <c r="H91" s="28"/>
      <c r="I91" s="32"/>
      <c r="J91" s="26"/>
      <c r="K91" s="27"/>
      <c r="L91" s="28"/>
      <c r="N91" s="28"/>
      <c r="P91" s="28"/>
      <c r="R91" s="28"/>
      <c r="T91" s="28"/>
      <c r="V91" s="28"/>
      <c r="X91" s="28"/>
    </row>
    <row r="92" spans="4:24" x14ac:dyDescent="0.25">
      <c r="D92" s="28"/>
      <c r="F92" s="28"/>
      <c r="H92" s="28"/>
      <c r="I92" s="32"/>
      <c r="J92" s="26"/>
      <c r="K92" s="27"/>
      <c r="L92" s="28"/>
      <c r="N92" s="28"/>
      <c r="P92" s="28"/>
      <c r="R92" s="28"/>
      <c r="T92" s="28"/>
      <c r="V92" s="28"/>
      <c r="X92" s="28"/>
    </row>
    <row r="93" spans="4:24" x14ac:dyDescent="0.25">
      <c r="D93" s="28"/>
      <c r="F93" s="28"/>
      <c r="H93" s="28"/>
      <c r="I93" s="32"/>
      <c r="J93" s="26"/>
      <c r="K93" s="27"/>
      <c r="L93" s="28"/>
      <c r="N93" s="28"/>
      <c r="P93" s="28"/>
      <c r="R93" s="28"/>
      <c r="T93" s="28"/>
      <c r="V93" s="28"/>
      <c r="X93" s="28"/>
    </row>
    <row r="94" spans="4:24" x14ac:dyDescent="0.25">
      <c r="D94" s="28"/>
      <c r="F94" s="28"/>
      <c r="H94" s="28"/>
      <c r="I94" s="32"/>
      <c r="J94" s="26"/>
      <c r="K94" s="27"/>
      <c r="L94" s="28"/>
      <c r="N94" s="28"/>
      <c r="P94" s="28"/>
      <c r="R94" s="28"/>
      <c r="T94" s="28"/>
      <c r="V94" s="28"/>
      <c r="X94" s="28"/>
    </row>
    <row r="95" spans="4:24" x14ac:dyDescent="0.25">
      <c r="D95" s="28"/>
      <c r="F95" s="28"/>
      <c r="H95" s="28"/>
      <c r="I95" s="32"/>
      <c r="J95" s="26"/>
      <c r="K95" s="27"/>
      <c r="L95" s="28"/>
      <c r="N95" s="28"/>
      <c r="P95" s="28"/>
      <c r="R95" s="28"/>
      <c r="T95" s="28"/>
      <c r="V95" s="28"/>
      <c r="X95" s="28"/>
    </row>
    <row r="96" spans="4:24" x14ac:dyDescent="0.25">
      <c r="D96" s="28"/>
      <c r="F96" s="28"/>
      <c r="H96" s="28"/>
      <c r="I96" s="32"/>
      <c r="J96" s="26"/>
      <c r="K96" s="27"/>
      <c r="L96" s="28"/>
      <c r="N96" s="28"/>
      <c r="P96" s="28"/>
      <c r="R96" s="28"/>
      <c r="T96" s="28"/>
      <c r="V96" s="28"/>
      <c r="X96" s="28"/>
    </row>
    <row r="97" spans="4:24" x14ac:dyDescent="0.25">
      <c r="D97" s="28"/>
      <c r="F97" s="28"/>
      <c r="H97" s="28"/>
      <c r="I97" s="32"/>
      <c r="J97" s="26"/>
      <c r="K97" s="27"/>
      <c r="L97" s="28"/>
      <c r="N97" s="28"/>
      <c r="P97" s="28"/>
      <c r="R97" s="28"/>
      <c r="T97" s="28"/>
      <c r="V97" s="28"/>
      <c r="X97" s="28"/>
    </row>
    <row r="98" spans="4:24" x14ac:dyDescent="0.25">
      <c r="D98" s="28"/>
      <c r="F98" s="28"/>
      <c r="H98" s="28"/>
      <c r="I98" s="32"/>
      <c r="J98" s="26"/>
      <c r="K98" s="27"/>
      <c r="L98" s="28"/>
      <c r="N98" s="28"/>
      <c r="P98" s="28"/>
      <c r="R98" s="28"/>
      <c r="T98" s="28"/>
      <c r="V98" s="28"/>
      <c r="X98" s="28"/>
    </row>
    <row r="99" spans="4:24" x14ac:dyDescent="0.25">
      <c r="D99" s="28"/>
      <c r="F99" s="28"/>
      <c r="H99" s="28"/>
      <c r="I99" s="32"/>
      <c r="J99" s="26"/>
      <c r="K99" s="27"/>
      <c r="L99" s="28"/>
      <c r="N99" s="28"/>
      <c r="P99" s="28"/>
      <c r="R99" s="28"/>
      <c r="T99" s="28"/>
      <c r="V99" s="28"/>
      <c r="X99" s="28"/>
    </row>
    <row r="100" spans="4:24" x14ac:dyDescent="0.25">
      <c r="D100" s="28"/>
      <c r="F100" s="28"/>
      <c r="H100" s="28"/>
      <c r="I100" s="32"/>
      <c r="J100" s="26"/>
      <c r="K100" s="27"/>
      <c r="L100" s="28"/>
      <c r="N100" s="28"/>
      <c r="P100" s="28"/>
      <c r="R100" s="28"/>
      <c r="T100" s="28"/>
      <c r="V100" s="28"/>
      <c r="X100" s="28"/>
    </row>
    <row r="101" spans="4:24" x14ac:dyDescent="0.25">
      <c r="D101" s="28"/>
      <c r="F101" s="28"/>
      <c r="H101" s="28"/>
      <c r="I101" s="32"/>
      <c r="J101" s="26"/>
      <c r="K101" s="27"/>
      <c r="L101" s="28"/>
      <c r="N101" s="28"/>
      <c r="P101" s="28"/>
      <c r="R101" s="28"/>
      <c r="T101" s="28"/>
      <c r="V101" s="28"/>
      <c r="X101" s="28"/>
    </row>
    <row r="102" spans="4:24" x14ac:dyDescent="0.25">
      <c r="D102" s="28"/>
      <c r="F102" s="28"/>
      <c r="H102" s="28"/>
      <c r="I102" s="32"/>
      <c r="J102" s="26"/>
      <c r="K102" s="27"/>
      <c r="L102" s="28"/>
      <c r="N102" s="28"/>
      <c r="P102" s="28"/>
      <c r="R102" s="28"/>
      <c r="T102" s="28"/>
      <c r="V102" s="28"/>
      <c r="X102" s="28"/>
    </row>
    <row r="103" spans="4:24" x14ac:dyDescent="0.25">
      <c r="D103" s="28"/>
      <c r="F103" s="28"/>
      <c r="H103" s="28"/>
      <c r="I103" s="32"/>
      <c r="J103" s="26"/>
      <c r="K103" s="27"/>
      <c r="L103" s="28"/>
      <c r="N103" s="28"/>
      <c r="P103" s="28"/>
      <c r="R103" s="28"/>
      <c r="T103" s="28"/>
      <c r="V103" s="28"/>
      <c r="X103" s="28"/>
    </row>
    <row r="104" spans="4:24" x14ac:dyDescent="0.25">
      <c r="D104" s="28"/>
      <c r="F104" s="28"/>
      <c r="H104" s="28"/>
      <c r="I104" s="32"/>
      <c r="J104" s="26"/>
      <c r="K104" s="27"/>
      <c r="L104" s="28"/>
      <c r="N104" s="28"/>
      <c r="P104" s="28"/>
      <c r="R104" s="28"/>
      <c r="T104" s="28"/>
      <c r="V104" s="28"/>
      <c r="X104" s="28"/>
    </row>
    <row r="105" spans="4:24" x14ac:dyDescent="0.25">
      <c r="D105" s="28"/>
      <c r="F105" s="28"/>
      <c r="H105" s="28"/>
      <c r="I105" s="32"/>
      <c r="J105" s="26"/>
      <c r="K105" s="27"/>
      <c r="L105" s="28"/>
      <c r="N105" s="28"/>
      <c r="P105" s="28"/>
      <c r="R105" s="28"/>
      <c r="T105" s="28"/>
      <c r="V105" s="28"/>
      <c r="X105" s="28"/>
    </row>
    <row r="106" spans="4:24" x14ac:dyDescent="0.25">
      <c r="D106" s="28"/>
      <c r="F106" s="28"/>
      <c r="H106" s="28"/>
      <c r="I106" s="32"/>
      <c r="J106" s="26"/>
      <c r="K106" s="27"/>
      <c r="L106" s="28"/>
      <c r="N106" s="28"/>
      <c r="P106" s="28"/>
      <c r="R106" s="28"/>
      <c r="T106" s="28"/>
      <c r="V106" s="28"/>
      <c r="X106" s="28"/>
    </row>
    <row r="107" spans="4:24" x14ac:dyDescent="0.25">
      <c r="D107" s="28"/>
      <c r="F107" s="28"/>
      <c r="H107" s="28"/>
      <c r="I107" s="32"/>
      <c r="J107" s="26"/>
      <c r="K107" s="27"/>
      <c r="L107" s="28"/>
      <c r="N107" s="28"/>
      <c r="P107" s="28"/>
      <c r="R107" s="28"/>
      <c r="T107" s="28"/>
      <c r="V107" s="28"/>
      <c r="X107" s="28"/>
    </row>
    <row r="108" spans="4:24" x14ac:dyDescent="0.25">
      <c r="D108" s="28"/>
      <c r="F108" s="28"/>
      <c r="H108" s="28"/>
      <c r="I108" s="32"/>
      <c r="J108" s="26"/>
      <c r="K108" s="27"/>
      <c r="L108" s="28"/>
      <c r="N108" s="28"/>
      <c r="P108" s="28"/>
      <c r="R108" s="28"/>
      <c r="T108" s="28"/>
      <c r="V108" s="28"/>
      <c r="X108" s="28"/>
    </row>
    <row r="109" spans="4:24" x14ac:dyDescent="0.25">
      <c r="D109" s="28"/>
      <c r="F109" s="28"/>
      <c r="H109" s="28"/>
      <c r="I109" s="32"/>
      <c r="J109" s="26"/>
      <c r="K109" s="27"/>
      <c r="L109" s="28"/>
      <c r="N109" s="28"/>
      <c r="P109" s="28"/>
      <c r="R109" s="28"/>
      <c r="T109" s="28"/>
      <c r="V109" s="28"/>
      <c r="X109" s="28"/>
    </row>
    <row r="110" spans="4:24" x14ac:dyDescent="0.25">
      <c r="D110" s="28"/>
      <c r="F110" s="28"/>
      <c r="H110" s="28"/>
      <c r="I110" s="32"/>
      <c r="J110" s="26"/>
      <c r="K110" s="27"/>
      <c r="L110" s="28"/>
      <c r="N110" s="28"/>
      <c r="P110" s="28"/>
      <c r="R110" s="28"/>
      <c r="T110" s="28"/>
      <c r="V110" s="28"/>
      <c r="X110" s="28"/>
    </row>
    <row r="111" spans="4:24" x14ac:dyDescent="0.25">
      <c r="D111" s="28"/>
      <c r="F111" s="28"/>
      <c r="H111" s="28"/>
      <c r="I111" s="32"/>
      <c r="J111" s="26"/>
      <c r="K111" s="27"/>
      <c r="L111" s="28"/>
      <c r="N111" s="28"/>
      <c r="P111" s="28"/>
      <c r="R111" s="28"/>
      <c r="T111" s="28"/>
      <c r="V111" s="28"/>
      <c r="X111" s="28"/>
    </row>
    <row r="112" spans="4:24" x14ac:dyDescent="0.25">
      <c r="D112" s="28"/>
      <c r="F112" s="28"/>
      <c r="H112" s="28"/>
      <c r="I112" s="32"/>
      <c r="J112" s="26"/>
      <c r="K112" s="27"/>
      <c r="L112" s="28"/>
      <c r="N112" s="28"/>
      <c r="P112" s="28"/>
      <c r="R112" s="28"/>
      <c r="T112" s="28"/>
      <c r="V112" s="28"/>
      <c r="X112" s="28"/>
    </row>
    <row r="113" spans="4:24" x14ac:dyDescent="0.25">
      <c r="D113" s="28"/>
      <c r="F113" s="28"/>
      <c r="H113" s="28"/>
      <c r="I113" s="32"/>
      <c r="J113" s="26"/>
      <c r="K113" s="27"/>
      <c r="L113" s="28"/>
      <c r="N113" s="28"/>
      <c r="P113" s="28"/>
      <c r="R113" s="28"/>
      <c r="T113" s="28"/>
      <c r="V113" s="28"/>
      <c r="X113" s="28"/>
    </row>
    <row r="114" spans="4:24" x14ac:dyDescent="0.25">
      <c r="D114" s="28"/>
      <c r="F114" s="28"/>
      <c r="H114" s="28"/>
      <c r="I114" s="32"/>
      <c r="J114" s="26"/>
      <c r="K114" s="27"/>
      <c r="L114" s="28"/>
      <c r="N114" s="28"/>
      <c r="P114" s="28"/>
      <c r="R114" s="28"/>
      <c r="T114" s="28"/>
      <c r="V114" s="28"/>
      <c r="X114" s="28"/>
    </row>
    <row r="115" spans="4:24" x14ac:dyDescent="0.25">
      <c r="D115" s="28"/>
      <c r="F115" s="28"/>
      <c r="H115" s="28"/>
      <c r="I115" s="32"/>
      <c r="J115" s="26"/>
      <c r="K115" s="27"/>
      <c r="L115" s="28"/>
      <c r="N115" s="28"/>
      <c r="P115" s="28"/>
      <c r="R115" s="28"/>
      <c r="T115" s="28"/>
      <c r="V115" s="28"/>
      <c r="X115" s="28"/>
    </row>
    <row r="116" spans="4:24" x14ac:dyDescent="0.25">
      <c r="D116" s="28"/>
      <c r="F116" s="28"/>
      <c r="H116" s="28"/>
      <c r="I116" s="32"/>
      <c r="J116" s="26"/>
      <c r="K116" s="27"/>
      <c r="L116" s="28"/>
      <c r="N116" s="28"/>
      <c r="P116" s="28"/>
      <c r="R116" s="28"/>
      <c r="T116" s="28"/>
      <c r="V116" s="28"/>
      <c r="X116" s="28"/>
    </row>
    <row r="117" spans="4:24" x14ac:dyDescent="0.25">
      <c r="D117" s="28"/>
      <c r="F117" s="28"/>
      <c r="H117" s="28"/>
      <c r="I117" s="32"/>
      <c r="J117" s="26"/>
      <c r="K117" s="27"/>
      <c r="L117" s="28"/>
      <c r="N117" s="28"/>
      <c r="P117" s="28"/>
      <c r="R117" s="28"/>
      <c r="T117" s="28"/>
      <c r="V117" s="28"/>
      <c r="X117" s="28"/>
    </row>
    <row r="118" spans="4:24" x14ac:dyDescent="0.25">
      <c r="D118" s="28"/>
      <c r="F118" s="28"/>
      <c r="H118" s="28"/>
      <c r="I118" s="32"/>
      <c r="J118" s="26"/>
      <c r="K118" s="27"/>
      <c r="L118" s="28"/>
      <c r="N118" s="28"/>
      <c r="P118" s="28"/>
      <c r="R118" s="28"/>
      <c r="T118" s="28"/>
      <c r="V118" s="28"/>
      <c r="X118" s="28"/>
    </row>
    <row r="119" spans="4:24" x14ac:dyDescent="0.25">
      <c r="D119" s="28"/>
      <c r="F119" s="28"/>
      <c r="H119" s="28"/>
      <c r="I119" s="32"/>
      <c r="J119" s="26"/>
      <c r="K119" s="27"/>
      <c r="L119" s="28"/>
      <c r="N119" s="28"/>
      <c r="P119" s="28"/>
      <c r="R119" s="28"/>
      <c r="T119" s="28"/>
      <c r="V119" s="28"/>
      <c r="X119" s="28"/>
    </row>
    <row r="120" spans="4:24" x14ac:dyDescent="0.25">
      <c r="D120" s="28"/>
      <c r="F120" s="28"/>
      <c r="H120" s="28"/>
      <c r="I120" s="32"/>
      <c r="J120" s="26"/>
      <c r="K120" s="27"/>
      <c r="L120" s="28"/>
      <c r="N120" s="28"/>
      <c r="P120" s="28"/>
      <c r="R120" s="28"/>
      <c r="T120" s="28"/>
      <c r="V120" s="28"/>
      <c r="X120" s="28"/>
    </row>
    <row r="121" spans="4:24" x14ac:dyDescent="0.25">
      <c r="D121" s="28"/>
      <c r="F121" s="28"/>
      <c r="H121" s="28"/>
      <c r="I121" s="32"/>
      <c r="J121" s="26"/>
      <c r="K121" s="27"/>
      <c r="L121" s="28"/>
      <c r="N121" s="28"/>
      <c r="P121" s="28"/>
      <c r="R121" s="28"/>
      <c r="T121" s="28"/>
      <c r="V121" s="28"/>
      <c r="X121" s="28"/>
    </row>
    <row r="122" spans="4:24" x14ac:dyDescent="0.25">
      <c r="D122" s="28"/>
      <c r="F122" s="28"/>
      <c r="H122" s="28"/>
      <c r="I122" s="32"/>
      <c r="J122" s="26"/>
      <c r="K122" s="27"/>
      <c r="L122" s="28"/>
      <c r="N122" s="28"/>
      <c r="P122" s="28"/>
      <c r="R122" s="28"/>
      <c r="T122" s="28"/>
      <c r="V122" s="28"/>
      <c r="X122" s="28"/>
    </row>
    <row r="123" spans="4:24" x14ac:dyDescent="0.25">
      <c r="D123" s="28"/>
      <c r="F123" s="28"/>
      <c r="H123" s="28"/>
      <c r="I123" s="32"/>
      <c r="J123" s="26"/>
      <c r="K123" s="27"/>
      <c r="L123" s="28"/>
      <c r="N123" s="28"/>
      <c r="P123" s="28"/>
      <c r="R123" s="28"/>
      <c r="T123" s="28"/>
      <c r="V123" s="28"/>
      <c r="X123" s="28"/>
    </row>
    <row r="124" spans="4:24" x14ac:dyDescent="0.25">
      <c r="D124" s="28"/>
      <c r="F124" s="28"/>
      <c r="H124" s="28"/>
      <c r="I124" s="32"/>
      <c r="J124" s="26"/>
      <c r="K124" s="27"/>
      <c r="L124" s="28"/>
      <c r="N124" s="28"/>
      <c r="P124" s="28"/>
      <c r="R124" s="28"/>
      <c r="T124" s="28"/>
      <c r="V124" s="28"/>
      <c r="X124" s="28"/>
    </row>
    <row r="125" spans="4:24" x14ac:dyDescent="0.25">
      <c r="D125" s="28"/>
      <c r="F125" s="28"/>
      <c r="H125" s="28"/>
      <c r="I125" s="32"/>
      <c r="J125" s="26"/>
      <c r="K125" s="27"/>
      <c r="L125" s="28"/>
      <c r="N125" s="28"/>
      <c r="P125" s="28"/>
      <c r="R125" s="28"/>
      <c r="T125" s="28"/>
      <c r="V125" s="28"/>
      <c r="X125" s="28"/>
    </row>
    <row r="126" spans="4:24" x14ac:dyDescent="0.25">
      <c r="D126" s="28"/>
      <c r="F126" s="28"/>
      <c r="H126" s="28"/>
      <c r="I126" s="32"/>
      <c r="J126" s="26"/>
      <c r="K126" s="27"/>
      <c r="L126" s="28"/>
      <c r="N126" s="28"/>
      <c r="P126" s="28"/>
      <c r="R126" s="28"/>
      <c r="T126" s="28"/>
      <c r="V126" s="28"/>
      <c r="X126" s="28"/>
    </row>
    <row r="127" spans="4:24" x14ac:dyDescent="0.25">
      <c r="D127" s="28"/>
      <c r="F127" s="28"/>
      <c r="H127" s="28"/>
      <c r="I127" s="32"/>
      <c r="J127" s="26"/>
      <c r="K127" s="27"/>
      <c r="L127" s="28"/>
      <c r="N127" s="28"/>
      <c r="P127" s="28"/>
      <c r="R127" s="28"/>
      <c r="T127" s="28"/>
      <c r="V127" s="28"/>
      <c r="X127" s="28"/>
    </row>
    <row r="128" spans="4:24" x14ac:dyDescent="0.25">
      <c r="D128" s="28"/>
      <c r="F128" s="28"/>
      <c r="H128" s="28"/>
      <c r="I128" s="32"/>
      <c r="J128" s="26"/>
      <c r="K128" s="27"/>
      <c r="L128" s="28"/>
      <c r="N128" s="28"/>
      <c r="P128" s="28"/>
      <c r="R128" s="28"/>
      <c r="T128" s="28"/>
      <c r="V128" s="28"/>
      <c r="X128" s="28"/>
    </row>
    <row r="129" spans="4:24" x14ac:dyDescent="0.25">
      <c r="D129" s="28"/>
      <c r="F129" s="28"/>
      <c r="H129" s="28"/>
      <c r="I129" s="32"/>
      <c r="J129" s="26"/>
      <c r="K129" s="27"/>
      <c r="L129" s="28"/>
      <c r="N129" s="28"/>
      <c r="P129" s="28"/>
      <c r="R129" s="28"/>
      <c r="T129" s="28"/>
      <c r="V129" s="28"/>
      <c r="X129" s="28"/>
    </row>
    <row r="130" spans="4:24" x14ac:dyDescent="0.25">
      <c r="D130" s="28"/>
      <c r="F130" s="28"/>
      <c r="H130" s="28"/>
      <c r="I130" s="32"/>
      <c r="J130" s="26"/>
      <c r="K130" s="27"/>
      <c r="L130" s="28"/>
      <c r="N130" s="28"/>
      <c r="P130" s="28"/>
      <c r="R130" s="28"/>
      <c r="T130" s="28"/>
      <c r="V130" s="28"/>
      <c r="X130" s="28"/>
    </row>
    <row r="131" spans="4:24" x14ac:dyDescent="0.25">
      <c r="D131" s="28"/>
      <c r="F131" s="28"/>
      <c r="H131" s="28"/>
      <c r="I131" s="32"/>
      <c r="J131" s="26"/>
      <c r="K131" s="27"/>
      <c r="L131" s="28"/>
      <c r="N131" s="28"/>
      <c r="P131" s="28"/>
      <c r="R131" s="28"/>
      <c r="T131" s="28"/>
      <c r="V131" s="28"/>
      <c r="X131" s="28"/>
    </row>
    <row r="132" spans="4:24" x14ac:dyDescent="0.25">
      <c r="D132" s="28"/>
      <c r="F132" s="28"/>
      <c r="H132" s="28"/>
      <c r="I132" s="32"/>
      <c r="J132" s="26"/>
      <c r="K132" s="27"/>
      <c r="L132" s="28"/>
      <c r="N132" s="28"/>
      <c r="P132" s="28"/>
      <c r="R132" s="28"/>
      <c r="T132" s="28"/>
      <c r="V132" s="28"/>
      <c r="X132" s="28"/>
    </row>
    <row r="133" spans="4:24" x14ac:dyDescent="0.25">
      <c r="D133" s="28"/>
      <c r="F133" s="28"/>
      <c r="H133" s="28"/>
      <c r="I133" s="32"/>
      <c r="J133" s="26"/>
      <c r="K133" s="27"/>
      <c r="L133" s="28"/>
      <c r="N133" s="28"/>
      <c r="P133" s="28"/>
      <c r="R133" s="28"/>
      <c r="T133" s="28"/>
      <c r="V133" s="28"/>
      <c r="X133" s="28"/>
    </row>
    <row r="134" spans="4:24" x14ac:dyDescent="0.25">
      <c r="D134" s="28"/>
      <c r="F134" s="28"/>
      <c r="H134" s="28"/>
      <c r="I134" s="32"/>
      <c r="J134" s="26"/>
      <c r="K134" s="27"/>
      <c r="L134" s="28"/>
      <c r="N134" s="28"/>
      <c r="P134" s="28"/>
      <c r="R134" s="28"/>
      <c r="T134" s="28"/>
      <c r="V134" s="28"/>
      <c r="X134" s="28"/>
    </row>
    <row r="135" spans="4:24" x14ac:dyDescent="0.25">
      <c r="D135" s="28"/>
      <c r="F135" s="28"/>
      <c r="H135" s="28"/>
      <c r="I135" s="32"/>
      <c r="J135" s="34"/>
      <c r="K135" s="27"/>
      <c r="L135" s="32"/>
    </row>
    <row r="136" spans="4:24" x14ac:dyDescent="0.25">
      <c r="D136" s="28"/>
      <c r="F136" s="28"/>
      <c r="H136" s="28"/>
      <c r="I136" s="32"/>
      <c r="J136" s="34"/>
      <c r="K136" s="27"/>
      <c r="L136" s="32"/>
    </row>
    <row r="137" spans="4:24" x14ac:dyDescent="0.25">
      <c r="D137" s="28"/>
      <c r="F137" s="28"/>
      <c r="H137" s="28"/>
      <c r="I137" s="32"/>
      <c r="J137" s="34"/>
      <c r="K137" s="27"/>
      <c r="L137" s="32"/>
    </row>
    <row r="138" spans="4:24" x14ac:dyDescent="0.25">
      <c r="D138" s="28"/>
      <c r="F138" s="28"/>
      <c r="H138" s="28"/>
      <c r="I138" s="32"/>
      <c r="J138" s="34"/>
      <c r="K138" s="27"/>
      <c r="L138" s="32"/>
    </row>
    <row r="139" spans="4:24" x14ac:dyDescent="0.25">
      <c r="D139" s="28"/>
      <c r="F139" s="28"/>
      <c r="H139" s="28"/>
      <c r="I139" s="32"/>
      <c r="J139" s="34"/>
      <c r="K139" s="27"/>
      <c r="L139" s="32"/>
    </row>
    <row r="140" spans="4:24" x14ac:dyDescent="0.25">
      <c r="D140" s="28"/>
      <c r="F140" s="28"/>
      <c r="H140" s="28"/>
      <c r="I140" s="32"/>
      <c r="J140" s="34"/>
      <c r="K140" s="27"/>
      <c r="L140" s="32"/>
    </row>
    <row r="141" spans="4:24" x14ac:dyDescent="0.25">
      <c r="D141" s="28"/>
      <c r="F141" s="28"/>
      <c r="H141" s="28"/>
      <c r="I141" s="32"/>
      <c r="J141" s="34"/>
      <c r="K141" s="27"/>
      <c r="L141" s="32"/>
    </row>
    <row r="142" spans="4:24" x14ac:dyDescent="0.25">
      <c r="D142" s="28"/>
      <c r="F142" s="28"/>
      <c r="H142" s="28"/>
      <c r="I142" s="32"/>
      <c r="J142" s="34"/>
      <c r="K142" s="27"/>
      <c r="L142" s="32"/>
    </row>
    <row r="143" spans="4:24" x14ac:dyDescent="0.25">
      <c r="D143" s="28"/>
      <c r="F143" s="28"/>
      <c r="H143" s="28"/>
      <c r="I143" s="32"/>
      <c r="J143" s="34"/>
      <c r="K143" s="27"/>
      <c r="L143" s="32"/>
    </row>
    <row r="144" spans="4:24" x14ac:dyDescent="0.25">
      <c r="D144" s="28"/>
      <c r="F144" s="28"/>
      <c r="H144" s="28"/>
      <c r="I144" s="32"/>
      <c r="J144" s="34"/>
      <c r="K144" s="27"/>
      <c r="L144" s="32"/>
    </row>
    <row r="145" spans="4:12" x14ac:dyDescent="0.25">
      <c r="D145" s="28"/>
      <c r="F145" s="28"/>
      <c r="H145" s="28"/>
      <c r="I145" s="32"/>
      <c r="J145" s="34"/>
      <c r="K145" s="27"/>
      <c r="L145" s="32"/>
    </row>
    <row r="146" spans="4:12" x14ac:dyDescent="0.25">
      <c r="D146" s="28"/>
      <c r="F146" s="28"/>
      <c r="H146" s="28"/>
      <c r="I146" s="32"/>
      <c r="J146" s="34"/>
      <c r="K146" s="27"/>
      <c r="L146" s="32"/>
    </row>
    <row r="147" spans="4:12" x14ac:dyDescent="0.25">
      <c r="D147" s="28"/>
      <c r="F147" s="28"/>
      <c r="H147" s="28"/>
      <c r="I147" s="32"/>
      <c r="J147" s="34"/>
      <c r="K147" s="27"/>
      <c r="L147" s="32"/>
    </row>
    <row r="148" spans="4:12" x14ac:dyDescent="0.25">
      <c r="D148" s="28"/>
      <c r="F148" s="28"/>
      <c r="H148" s="28"/>
      <c r="I148" s="32"/>
      <c r="J148" s="34"/>
      <c r="K148" s="27"/>
      <c r="L148" s="32"/>
    </row>
    <row r="149" spans="4:12" x14ac:dyDescent="0.25">
      <c r="D149" s="28"/>
      <c r="F149" s="28"/>
      <c r="H149" s="28"/>
      <c r="I149" s="32"/>
      <c r="J149" s="34"/>
      <c r="K149" s="27"/>
      <c r="L149" s="32"/>
    </row>
    <row r="150" spans="4:12" x14ac:dyDescent="0.25">
      <c r="D150" s="28"/>
      <c r="F150" s="28"/>
      <c r="H150" s="28"/>
      <c r="I150" s="32"/>
      <c r="J150" s="34"/>
      <c r="K150" s="27"/>
      <c r="L150" s="32"/>
    </row>
    <row r="151" spans="4:12" x14ac:dyDescent="0.25">
      <c r="D151" s="28"/>
      <c r="F151" s="28"/>
      <c r="H151" s="28"/>
      <c r="I151" s="32"/>
      <c r="J151" s="34"/>
      <c r="K151" s="27"/>
      <c r="L151" s="32"/>
    </row>
    <row r="152" spans="4:12" x14ac:dyDescent="0.25">
      <c r="D152" s="28"/>
      <c r="F152" s="28"/>
      <c r="H152" s="28"/>
      <c r="I152" s="32"/>
      <c r="J152" s="34"/>
      <c r="K152" s="27"/>
      <c r="L152" s="32"/>
    </row>
    <row r="153" spans="4:12" x14ac:dyDescent="0.25">
      <c r="D153" s="28"/>
      <c r="F153" s="28"/>
      <c r="H153" s="28"/>
      <c r="I153" s="32"/>
      <c r="J153" s="34"/>
      <c r="K153" s="27"/>
      <c r="L153" s="32"/>
    </row>
    <row r="154" spans="4:12" x14ac:dyDescent="0.25">
      <c r="D154" s="28"/>
      <c r="F154" s="28"/>
      <c r="H154" s="28"/>
      <c r="I154" s="32"/>
      <c r="J154" s="34"/>
      <c r="K154" s="27"/>
      <c r="L154" s="32"/>
    </row>
    <row r="155" spans="4:12" x14ac:dyDescent="0.25">
      <c r="D155" s="28"/>
      <c r="F155" s="28"/>
      <c r="H155" s="28"/>
      <c r="I155" s="32"/>
      <c r="J155" s="34"/>
      <c r="K155" s="27"/>
      <c r="L155" s="32"/>
    </row>
    <row r="156" spans="4:12" x14ac:dyDescent="0.25">
      <c r="D156" s="28"/>
      <c r="F156" s="28"/>
      <c r="H156" s="28"/>
      <c r="I156" s="32"/>
      <c r="J156" s="34"/>
      <c r="K156" s="27"/>
      <c r="L156" s="32"/>
    </row>
    <row r="157" spans="4:12" x14ac:dyDescent="0.25">
      <c r="D157" s="28"/>
      <c r="F157" s="28"/>
      <c r="H157" s="28"/>
      <c r="I157" s="32"/>
      <c r="J157" s="34"/>
      <c r="K157" s="27"/>
      <c r="L157" s="32"/>
    </row>
    <row r="158" spans="4:12" x14ac:dyDescent="0.25">
      <c r="D158" s="28"/>
      <c r="F158" s="28"/>
      <c r="H158" s="28"/>
      <c r="I158" s="32"/>
      <c r="J158" s="34"/>
      <c r="K158" s="27"/>
      <c r="L158" s="32"/>
    </row>
    <row r="159" spans="4:12" x14ac:dyDescent="0.25">
      <c r="D159" s="28"/>
      <c r="F159" s="28"/>
      <c r="H159" s="28"/>
      <c r="I159" s="32"/>
      <c r="J159" s="34"/>
      <c r="K159" s="27"/>
      <c r="L159" s="32"/>
    </row>
    <row r="160" spans="4:12" x14ac:dyDescent="0.25">
      <c r="D160" s="28"/>
      <c r="F160" s="28"/>
      <c r="H160" s="28"/>
      <c r="I160" s="32"/>
      <c r="J160" s="34"/>
      <c r="K160" s="27"/>
      <c r="L160" s="32"/>
    </row>
    <row r="161" spans="4:12" x14ac:dyDescent="0.25">
      <c r="D161" s="28"/>
      <c r="F161" s="28"/>
      <c r="H161" s="28"/>
      <c r="I161" s="32"/>
      <c r="J161" s="34"/>
      <c r="K161" s="27"/>
      <c r="L161" s="32"/>
    </row>
    <row r="162" spans="4:12" x14ac:dyDescent="0.25">
      <c r="D162" s="28"/>
      <c r="F162" s="28"/>
      <c r="H162" s="28"/>
      <c r="I162" s="32"/>
      <c r="J162" s="34"/>
      <c r="K162" s="27"/>
      <c r="L162" s="32"/>
    </row>
    <row r="163" spans="4:12" x14ac:dyDescent="0.25">
      <c r="D163" s="28"/>
      <c r="F163" s="28"/>
      <c r="H163" s="28"/>
      <c r="I163" s="32"/>
      <c r="J163" s="34"/>
      <c r="K163" s="27"/>
      <c r="L163" s="32"/>
    </row>
    <row r="164" spans="4:12" x14ac:dyDescent="0.25">
      <c r="D164" s="28"/>
      <c r="F164" s="28"/>
      <c r="H164" s="28"/>
      <c r="I164" s="32"/>
      <c r="J164" s="34"/>
      <c r="K164" s="27"/>
      <c r="L164" s="32"/>
    </row>
    <row r="165" spans="4:12" x14ac:dyDescent="0.25">
      <c r="D165" s="28"/>
      <c r="F165" s="28"/>
      <c r="H165" s="28"/>
      <c r="I165" s="32"/>
      <c r="J165" s="34"/>
      <c r="K165" s="27"/>
      <c r="L165" s="32"/>
    </row>
    <row r="166" spans="4:12" x14ac:dyDescent="0.25">
      <c r="D166" s="28"/>
      <c r="F166" s="28"/>
      <c r="H166" s="28"/>
      <c r="I166" s="32"/>
      <c r="J166" s="34"/>
      <c r="K166" s="27"/>
      <c r="L166" s="32"/>
    </row>
    <row r="167" spans="4:12" x14ac:dyDescent="0.25">
      <c r="D167" s="28"/>
      <c r="F167" s="28"/>
      <c r="H167" s="28"/>
      <c r="I167" s="32"/>
      <c r="J167" s="34"/>
      <c r="K167" s="27"/>
      <c r="L167" s="32"/>
    </row>
    <row r="168" spans="4:12" x14ac:dyDescent="0.25">
      <c r="D168" s="28"/>
      <c r="F168" s="28"/>
      <c r="H168" s="28"/>
      <c r="I168" s="32"/>
      <c r="J168" s="34"/>
      <c r="K168" s="27"/>
      <c r="L168" s="32"/>
    </row>
    <row r="169" spans="4:12" x14ac:dyDescent="0.25">
      <c r="D169" s="28"/>
      <c r="F169" s="28"/>
      <c r="H169" s="28"/>
      <c r="I169" s="32"/>
      <c r="J169" s="34"/>
      <c r="K169" s="27"/>
      <c r="L169" s="32"/>
    </row>
    <row r="170" spans="4:12" x14ac:dyDescent="0.25">
      <c r="D170" s="28"/>
      <c r="F170" s="28"/>
      <c r="H170" s="28"/>
      <c r="I170" s="32"/>
      <c r="J170" s="34"/>
      <c r="K170" s="27"/>
      <c r="L170" s="32"/>
    </row>
    <row r="171" spans="4:12" x14ac:dyDescent="0.25">
      <c r="D171" s="28"/>
      <c r="F171" s="28"/>
      <c r="H171" s="28"/>
      <c r="I171" s="32"/>
      <c r="J171" s="34"/>
      <c r="K171" s="27"/>
      <c r="L171" s="32"/>
    </row>
    <row r="172" spans="4:12" x14ac:dyDescent="0.25">
      <c r="D172" s="28"/>
      <c r="F172" s="28"/>
      <c r="H172" s="28"/>
      <c r="I172" s="32"/>
      <c r="J172" s="34"/>
      <c r="K172" s="27"/>
      <c r="L172" s="32"/>
    </row>
    <row r="173" spans="4:12" x14ac:dyDescent="0.25">
      <c r="D173" s="28"/>
      <c r="F173" s="28"/>
      <c r="H173" s="28"/>
      <c r="I173" s="32"/>
      <c r="J173" s="34"/>
      <c r="K173" s="27"/>
      <c r="L173" s="32"/>
    </row>
    <row r="174" spans="4:12" x14ac:dyDescent="0.25">
      <c r="D174" s="28"/>
      <c r="F174" s="28"/>
      <c r="H174" s="28"/>
      <c r="I174" s="32"/>
      <c r="J174" s="34"/>
      <c r="K174" s="27"/>
      <c r="L174" s="32"/>
    </row>
    <row r="175" spans="4:12" x14ac:dyDescent="0.25">
      <c r="D175" s="28"/>
      <c r="F175" s="28"/>
      <c r="H175" s="28"/>
      <c r="I175" s="32"/>
      <c r="J175" s="34"/>
      <c r="K175" s="27"/>
      <c r="L175" s="32"/>
    </row>
    <row r="176" spans="4:12" x14ac:dyDescent="0.25">
      <c r="D176" s="28"/>
      <c r="F176" s="28"/>
      <c r="H176" s="28"/>
      <c r="I176" s="32"/>
      <c r="J176" s="34"/>
      <c r="K176" s="27"/>
      <c r="L176" s="32"/>
    </row>
    <row r="177" spans="4:12" x14ac:dyDescent="0.25">
      <c r="D177" s="28"/>
      <c r="F177" s="28"/>
      <c r="H177" s="28"/>
      <c r="I177" s="32"/>
      <c r="J177" s="34"/>
      <c r="K177" s="27"/>
      <c r="L177" s="32"/>
    </row>
    <row r="178" spans="4:12" x14ac:dyDescent="0.25">
      <c r="D178" s="28"/>
      <c r="F178" s="28"/>
      <c r="H178" s="28"/>
      <c r="I178" s="32"/>
      <c r="J178" s="34"/>
      <c r="K178" s="27"/>
      <c r="L178" s="32"/>
    </row>
    <row r="179" spans="4:12" x14ac:dyDescent="0.25">
      <c r="D179" s="28"/>
      <c r="F179" s="28"/>
      <c r="H179" s="28"/>
      <c r="I179" s="32"/>
      <c r="J179" s="34"/>
      <c r="K179" s="27"/>
      <c r="L179" s="32"/>
    </row>
    <row r="180" spans="4:12" x14ac:dyDescent="0.25">
      <c r="D180" s="28"/>
      <c r="F180" s="28"/>
      <c r="H180" s="28"/>
      <c r="I180" s="32"/>
      <c r="J180" s="34"/>
      <c r="K180" s="27"/>
      <c r="L180" s="32"/>
    </row>
    <row r="181" spans="4:12" x14ac:dyDescent="0.25">
      <c r="D181" s="28"/>
      <c r="F181" s="28"/>
      <c r="H181" s="28"/>
      <c r="I181" s="32"/>
      <c r="J181" s="34"/>
      <c r="K181" s="27"/>
      <c r="L181" s="32"/>
    </row>
    <row r="182" spans="4:12" x14ac:dyDescent="0.25">
      <c r="D182" s="28"/>
      <c r="F182" s="28"/>
      <c r="H182" s="28"/>
      <c r="I182" s="32"/>
      <c r="J182" s="34"/>
      <c r="K182" s="27"/>
      <c r="L182" s="32"/>
    </row>
    <row r="183" spans="4:12" x14ac:dyDescent="0.25">
      <c r="D183" s="28"/>
      <c r="F183" s="28"/>
      <c r="H183" s="28"/>
      <c r="I183" s="32"/>
      <c r="J183" s="34"/>
      <c r="K183" s="27"/>
      <c r="L183" s="32"/>
    </row>
    <row r="184" spans="4:12" x14ac:dyDescent="0.25">
      <c r="D184" s="28"/>
      <c r="F184" s="28"/>
      <c r="H184" s="28"/>
      <c r="I184" s="32"/>
      <c r="J184" s="34"/>
      <c r="K184" s="27"/>
      <c r="L184" s="32"/>
    </row>
    <row r="185" spans="4:12" x14ac:dyDescent="0.25">
      <c r="D185" s="28"/>
      <c r="F185" s="28"/>
      <c r="H185" s="28"/>
      <c r="I185" s="32"/>
      <c r="J185" s="34"/>
      <c r="K185" s="27"/>
      <c r="L185" s="32"/>
    </row>
    <row r="186" spans="4:12" x14ac:dyDescent="0.25">
      <c r="D186" s="28"/>
      <c r="F186" s="28"/>
      <c r="H186" s="28"/>
      <c r="I186" s="32"/>
      <c r="J186" s="34"/>
      <c r="K186" s="27"/>
      <c r="L186" s="32"/>
    </row>
    <row r="187" spans="4:12" x14ac:dyDescent="0.25">
      <c r="D187" s="28"/>
      <c r="F187" s="28"/>
      <c r="H187" s="28"/>
      <c r="I187" s="32"/>
      <c r="J187" s="34"/>
      <c r="K187" s="27"/>
      <c r="L187" s="32"/>
    </row>
    <row r="188" spans="4:12" x14ac:dyDescent="0.25">
      <c r="D188" s="28"/>
      <c r="F188" s="28"/>
      <c r="H188" s="28"/>
      <c r="I188" s="32"/>
      <c r="J188" s="34"/>
      <c r="K188" s="27"/>
      <c r="L188" s="32"/>
    </row>
    <row r="189" spans="4:12" x14ac:dyDescent="0.25">
      <c r="D189" s="28"/>
      <c r="F189" s="28"/>
      <c r="H189" s="28"/>
      <c r="I189" s="32"/>
      <c r="J189" s="34"/>
      <c r="K189" s="27"/>
      <c r="L189" s="32"/>
    </row>
    <row r="190" spans="4:12" x14ac:dyDescent="0.25">
      <c r="D190" s="28"/>
      <c r="F190" s="28"/>
      <c r="H190" s="28"/>
      <c r="I190" s="32"/>
      <c r="J190" s="34"/>
      <c r="K190" s="27"/>
      <c r="L190" s="32"/>
    </row>
    <row r="191" spans="4:12" x14ac:dyDescent="0.25">
      <c r="D191" s="28"/>
      <c r="F191" s="28"/>
      <c r="H191" s="28"/>
      <c r="I191" s="32"/>
      <c r="J191" s="34"/>
      <c r="K191" s="27"/>
      <c r="L191" s="32"/>
    </row>
    <row r="192" spans="4:12" x14ac:dyDescent="0.25">
      <c r="D192" s="28"/>
      <c r="F192" s="28"/>
      <c r="H192" s="28"/>
      <c r="I192" s="32"/>
      <c r="J192" s="34"/>
      <c r="K192" s="27"/>
      <c r="L192" s="32"/>
    </row>
    <row r="193" spans="4:12" x14ac:dyDescent="0.25">
      <c r="D193" s="28"/>
      <c r="F193" s="28"/>
      <c r="H193" s="28"/>
      <c r="I193" s="32"/>
      <c r="J193" s="34"/>
      <c r="K193" s="27"/>
      <c r="L193" s="32"/>
    </row>
    <row r="194" spans="4:12" x14ac:dyDescent="0.25">
      <c r="D194" s="28"/>
      <c r="F194" s="28"/>
      <c r="H194" s="28"/>
      <c r="I194" s="32"/>
      <c r="J194" s="34"/>
      <c r="K194" s="27"/>
      <c r="L194" s="32"/>
    </row>
    <row r="195" spans="4:12" x14ac:dyDescent="0.25">
      <c r="D195" s="28"/>
      <c r="F195" s="28"/>
      <c r="H195" s="28"/>
      <c r="I195" s="32"/>
      <c r="J195" s="34"/>
      <c r="K195" s="27"/>
      <c r="L195" s="32"/>
    </row>
    <row r="196" spans="4:12" x14ac:dyDescent="0.25">
      <c r="D196" s="28"/>
      <c r="F196" s="28"/>
      <c r="H196" s="28"/>
      <c r="I196" s="32"/>
      <c r="J196" s="34"/>
      <c r="K196" s="27"/>
      <c r="L196" s="32"/>
    </row>
    <row r="197" spans="4:12" x14ac:dyDescent="0.25">
      <c r="D197" s="28"/>
      <c r="F197" s="28"/>
      <c r="H197" s="28"/>
      <c r="I197" s="32"/>
      <c r="J197" s="34"/>
      <c r="K197" s="27"/>
      <c r="L197" s="32"/>
    </row>
    <row r="198" spans="4:12" x14ac:dyDescent="0.25">
      <c r="D198" s="28"/>
      <c r="F198" s="28"/>
      <c r="H198" s="28"/>
      <c r="I198" s="32"/>
      <c r="J198" s="34"/>
      <c r="K198" s="27"/>
      <c r="L198" s="32"/>
    </row>
    <row r="199" spans="4:12" x14ac:dyDescent="0.25">
      <c r="D199" s="28"/>
      <c r="F199" s="28"/>
      <c r="H199" s="28"/>
      <c r="I199" s="32"/>
      <c r="J199" s="34"/>
      <c r="K199" s="27"/>
      <c r="L199" s="32"/>
    </row>
    <row r="200" spans="4:12" x14ac:dyDescent="0.25">
      <c r="D200" s="28"/>
      <c r="F200" s="28"/>
      <c r="H200" s="28"/>
      <c r="I200" s="32"/>
      <c r="J200" s="34"/>
      <c r="K200" s="27"/>
      <c r="L200" s="32"/>
    </row>
    <row r="201" spans="4:12" x14ac:dyDescent="0.25">
      <c r="D201" s="28"/>
      <c r="F201" s="28"/>
      <c r="H201" s="28"/>
      <c r="I201" s="32"/>
      <c r="J201" s="34"/>
      <c r="K201" s="27"/>
      <c r="L201" s="32"/>
    </row>
    <row r="202" spans="4:12" x14ac:dyDescent="0.25">
      <c r="D202" s="28"/>
      <c r="F202" s="28"/>
      <c r="H202" s="28"/>
      <c r="I202" s="32"/>
      <c r="J202" s="34"/>
      <c r="K202" s="27"/>
      <c r="L202" s="32"/>
    </row>
    <row r="203" spans="4:12" x14ac:dyDescent="0.25">
      <c r="D203" s="28"/>
      <c r="F203" s="28"/>
      <c r="H203" s="28"/>
      <c r="I203" s="32"/>
      <c r="J203" s="34"/>
      <c r="K203" s="27"/>
      <c r="L203" s="32"/>
    </row>
    <row r="204" spans="4:12" x14ac:dyDescent="0.25">
      <c r="D204" s="28"/>
      <c r="F204" s="28"/>
      <c r="H204" s="28"/>
      <c r="I204" s="32"/>
      <c r="J204" s="34"/>
      <c r="K204" s="27"/>
      <c r="L204" s="32"/>
    </row>
    <row r="205" spans="4:12" x14ac:dyDescent="0.25">
      <c r="D205" s="28"/>
      <c r="F205" s="28"/>
      <c r="H205" s="28"/>
      <c r="I205" s="32"/>
      <c r="J205" s="34"/>
      <c r="K205" s="27"/>
      <c r="L205" s="32"/>
    </row>
    <row r="206" spans="4:12" x14ac:dyDescent="0.25">
      <c r="D206" s="28"/>
      <c r="F206" s="28"/>
      <c r="H206" s="28"/>
      <c r="I206" s="32"/>
      <c r="J206" s="34"/>
      <c r="K206" s="27"/>
      <c r="L206" s="32"/>
    </row>
    <row r="207" spans="4:12" x14ac:dyDescent="0.25">
      <c r="D207" s="28"/>
      <c r="F207" s="28"/>
      <c r="H207" s="28"/>
      <c r="I207" s="32"/>
      <c r="J207" s="34"/>
      <c r="K207" s="27"/>
      <c r="L207" s="32"/>
    </row>
    <row r="208" spans="4:12" x14ac:dyDescent="0.25">
      <c r="D208" s="28"/>
      <c r="F208" s="28"/>
      <c r="H208" s="28"/>
      <c r="I208" s="32"/>
      <c r="J208" s="34"/>
      <c r="K208" s="27"/>
      <c r="L208" s="32"/>
    </row>
    <row r="209" spans="4:12" x14ac:dyDescent="0.25">
      <c r="D209" s="28"/>
      <c r="F209" s="28"/>
      <c r="H209" s="28"/>
      <c r="I209" s="32"/>
      <c r="J209" s="34"/>
      <c r="K209" s="27"/>
      <c r="L209" s="32"/>
    </row>
    <row r="210" spans="4:12" x14ac:dyDescent="0.25">
      <c r="D210" s="28"/>
      <c r="F210" s="28"/>
      <c r="H210" s="28"/>
      <c r="I210" s="32"/>
      <c r="J210" s="34"/>
      <c r="K210" s="27"/>
      <c r="L210" s="32"/>
    </row>
    <row r="211" spans="4:12" x14ac:dyDescent="0.25">
      <c r="D211" s="28"/>
      <c r="F211" s="28"/>
      <c r="H211" s="28"/>
      <c r="I211" s="32"/>
      <c r="J211" s="34"/>
      <c r="K211" s="27"/>
      <c r="L211" s="32"/>
    </row>
    <row r="212" spans="4:12" x14ac:dyDescent="0.25">
      <c r="D212" s="28"/>
      <c r="F212" s="28"/>
      <c r="H212" s="28"/>
      <c r="I212" s="32"/>
      <c r="J212" s="34"/>
      <c r="K212" s="27"/>
      <c r="L212" s="32"/>
    </row>
    <row r="213" spans="4:12" x14ac:dyDescent="0.25">
      <c r="D213" s="28"/>
      <c r="F213" s="28"/>
      <c r="H213" s="28"/>
      <c r="I213" s="32"/>
      <c r="J213" s="34"/>
      <c r="K213" s="27"/>
      <c r="L213" s="32"/>
    </row>
    <row r="214" spans="4:12" x14ac:dyDescent="0.25">
      <c r="D214" s="28"/>
      <c r="F214" s="28"/>
      <c r="H214" s="28"/>
      <c r="I214" s="32"/>
      <c r="J214" s="34"/>
      <c r="K214" s="27"/>
      <c r="L214" s="32"/>
    </row>
    <row r="215" spans="4:12" x14ac:dyDescent="0.25">
      <c r="D215" s="28"/>
      <c r="F215" s="28"/>
      <c r="H215" s="28"/>
      <c r="I215" s="32"/>
      <c r="J215" s="34"/>
      <c r="K215" s="27"/>
      <c r="L215" s="32"/>
    </row>
    <row r="216" spans="4:12" x14ac:dyDescent="0.25">
      <c r="D216" s="28"/>
      <c r="F216" s="28"/>
      <c r="H216" s="28"/>
      <c r="I216" s="32"/>
      <c r="J216" s="34"/>
      <c r="K216" s="27"/>
      <c r="L216" s="32"/>
    </row>
    <row r="217" spans="4:12" x14ac:dyDescent="0.25">
      <c r="D217" s="28"/>
      <c r="F217" s="28"/>
      <c r="H217" s="28"/>
      <c r="I217" s="32"/>
      <c r="J217" s="34"/>
      <c r="K217" s="27"/>
      <c r="L217" s="32"/>
    </row>
    <row r="218" spans="4:12" x14ac:dyDescent="0.25">
      <c r="D218" s="28"/>
      <c r="F218" s="28"/>
      <c r="H218" s="28"/>
      <c r="I218" s="32"/>
      <c r="J218" s="34"/>
      <c r="K218" s="27"/>
      <c r="L218" s="32"/>
    </row>
    <row r="219" spans="4:12" x14ac:dyDescent="0.25">
      <c r="D219" s="28"/>
      <c r="F219" s="28"/>
      <c r="H219" s="28"/>
      <c r="I219" s="32"/>
      <c r="J219" s="34"/>
      <c r="K219" s="27"/>
      <c r="L219" s="32"/>
    </row>
    <row r="220" spans="4:12" x14ac:dyDescent="0.25">
      <c r="D220" s="28"/>
      <c r="F220" s="28"/>
      <c r="H220" s="28"/>
      <c r="I220" s="32"/>
      <c r="J220" s="34"/>
      <c r="K220" s="27"/>
      <c r="L220" s="32"/>
    </row>
    <row r="221" spans="4:12" x14ac:dyDescent="0.25">
      <c r="D221" s="28"/>
      <c r="F221" s="28"/>
      <c r="H221" s="28"/>
      <c r="I221" s="32"/>
      <c r="J221" s="34"/>
      <c r="K221" s="27"/>
      <c r="L221" s="32"/>
    </row>
    <row r="222" spans="4:12" x14ac:dyDescent="0.25">
      <c r="D222" s="28"/>
      <c r="F222" s="28"/>
      <c r="H222" s="28"/>
      <c r="I222" s="32"/>
      <c r="J222" s="34"/>
      <c r="K222" s="27"/>
      <c r="L222" s="32"/>
    </row>
    <row r="223" spans="4:12" x14ac:dyDescent="0.25">
      <c r="D223" s="28"/>
      <c r="F223" s="28"/>
      <c r="H223" s="28"/>
      <c r="I223" s="32"/>
      <c r="J223" s="34"/>
      <c r="K223" s="27"/>
      <c r="L223" s="32"/>
    </row>
    <row r="224" spans="4:12" x14ac:dyDescent="0.25">
      <c r="D224" s="28"/>
      <c r="F224" s="28"/>
      <c r="H224" s="28"/>
      <c r="I224" s="32"/>
      <c r="J224" s="34"/>
      <c r="K224" s="27"/>
      <c r="L224" s="32"/>
    </row>
    <row r="225" spans="4:12" x14ac:dyDescent="0.25">
      <c r="D225" s="28"/>
      <c r="F225" s="28"/>
      <c r="H225" s="28"/>
      <c r="I225" s="32"/>
      <c r="J225" s="34"/>
      <c r="K225" s="27"/>
      <c r="L225" s="32"/>
    </row>
    <row r="226" spans="4:12" x14ac:dyDescent="0.25">
      <c r="D226" s="28"/>
      <c r="F226" s="28"/>
      <c r="H226" s="28"/>
      <c r="I226" s="32"/>
      <c r="J226" s="34"/>
      <c r="K226" s="27"/>
      <c r="L226" s="32"/>
    </row>
    <row r="227" spans="4:12" x14ac:dyDescent="0.25">
      <c r="D227" s="28"/>
      <c r="F227" s="28"/>
      <c r="H227" s="28"/>
      <c r="I227" s="32"/>
      <c r="J227" s="34"/>
      <c r="K227" s="27"/>
      <c r="L227" s="32"/>
    </row>
    <row r="228" spans="4:12" x14ac:dyDescent="0.25">
      <c r="D228" s="28"/>
      <c r="F228" s="28"/>
      <c r="H228" s="28"/>
      <c r="I228" s="32"/>
      <c r="J228" s="34"/>
      <c r="K228" s="27"/>
      <c r="L228" s="32"/>
    </row>
    <row r="229" spans="4:12" x14ac:dyDescent="0.25">
      <c r="D229" s="28"/>
      <c r="F229" s="28"/>
      <c r="H229" s="28"/>
      <c r="I229" s="32"/>
      <c r="J229" s="34"/>
      <c r="K229" s="27"/>
      <c r="L229" s="32"/>
    </row>
    <row r="230" spans="4:12" x14ac:dyDescent="0.25">
      <c r="D230" s="28"/>
      <c r="F230" s="28"/>
      <c r="H230" s="28"/>
      <c r="I230" s="32"/>
      <c r="J230" s="34"/>
      <c r="K230" s="27"/>
      <c r="L230" s="32"/>
    </row>
    <row r="231" spans="4:12" x14ac:dyDescent="0.25">
      <c r="D231" s="28"/>
      <c r="F231" s="28"/>
      <c r="H231" s="28"/>
      <c r="I231" s="32"/>
      <c r="J231" s="34"/>
      <c r="K231" s="27"/>
      <c r="L231" s="32"/>
    </row>
    <row r="232" spans="4:12" x14ac:dyDescent="0.25">
      <c r="D232" s="28"/>
      <c r="F232" s="28"/>
      <c r="H232" s="28"/>
      <c r="I232" s="32"/>
      <c r="J232" s="34"/>
      <c r="K232" s="27"/>
      <c r="L232" s="32"/>
    </row>
    <row r="233" spans="4:12" x14ac:dyDescent="0.25">
      <c r="D233" s="28"/>
      <c r="F233" s="28"/>
      <c r="H233" s="28"/>
      <c r="I233" s="32"/>
      <c r="J233" s="34"/>
      <c r="K233" s="27"/>
      <c r="L233" s="32"/>
    </row>
    <row r="234" spans="4:12" x14ac:dyDescent="0.25">
      <c r="D234" s="28"/>
      <c r="F234" s="28"/>
      <c r="H234" s="28"/>
      <c r="I234" s="32"/>
      <c r="J234" s="34"/>
      <c r="K234" s="27"/>
      <c r="L234" s="32"/>
    </row>
    <row r="235" spans="4:12" x14ac:dyDescent="0.25">
      <c r="D235" s="28"/>
      <c r="F235" s="28"/>
      <c r="H235" s="28"/>
      <c r="I235" s="32"/>
      <c r="J235" s="34"/>
      <c r="K235" s="27"/>
      <c r="L235" s="32"/>
    </row>
    <row r="236" spans="4:12" x14ac:dyDescent="0.25">
      <c r="D236" s="28"/>
      <c r="F236" s="28"/>
      <c r="H236" s="28"/>
      <c r="I236" s="32"/>
      <c r="J236" s="34"/>
      <c r="K236" s="27"/>
      <c r="L236" s="32"/>
    </row>
    <row r="237" spans="4:12" x14ac:dyDescent="0.25">
      <c r="D237" s="28"/>
      <c r="F237" s="28"/>
      <c r="H237" s="28"/>
      <c r="I237" s="32"/>
      <c r="J237" s="34"/>
      <c r="K237" s="27"/>
      <c r="L237" s="32"/>
    </row>
    <row r="238" spans="4:12" x14ac:dyDescent="0.25">
      <c r="D238" s="28"/>
      <c r="F238" s="28"/>
      <c r="H238" s="28"/>
      <c r="I238" s="32"/>
      <c r="J238" s="34"/>
      <c r="K238" s="27"/>
      <c r="L238" s="32"/>
    </row>
    <row r="239" spans="4:12" x14ac:dyDescent="0.25">
      <c r="D239" s="28"/>
      <c r="F239" s="28"/>
      <c r="H239" s="28"/>
      <c r="I239" s="32"/>
      <c r="J239" s="34"/>
      <c r="K239" s="27"/>
      <c r="L239" s="32"/>
    </row>
    <row r="240" spans="4:12" x14ac:dyDescent="0.25">
      <c r="D240" s="28"/>
      <c r="F240" s="28"/>
      <c r="H240" s="28"/>
      <c r="I240" s="32"/>
      <c r="J240" s="34"/>
      <c r="K240" s="27"/>
      <c r="L240" s="32"/>
    </row>
    <row r="241" spans="4:12" x14ac:dyDescent="0.25">
      <c r="D241" s="28"/>
      <c r="F241" s="28"/>
      <c r="H241" s="28"/>
      <c r="I241" s="32"/>
      <c r="J241" s="34"/>
      <c r="K241" s="27"/>
      <c r="L241" s="32"/>
    </row>
    <row r="242" spans="4:12" x14ac:dyDescent="0.25">
      <c r="D242" s="28"/>
      <c r="F242" s="28"/>
      <c r="H242" s="28"/>
      <c r="I242" s="32"/>
      <c r="J242" s="34"/>
      <c r="K242" s="27"/>
      <c r="L242" s="32"/>
    </row>
    <row r="243" spans="4:12" x14ac:dyDescent="0.25">
      <c r="D243" s="28"/>
      <c r="F243" s="28"/>
      <c r="H243" s="28"/>
      <c r="I243" s="32"/>
      <c r="J243" s="34"/>
      <c r="K243" s="27"/>
      <c r="L243" s="32"/>
    </row>
    <row r="244" spans="4:12" x14ac:dyDescent="0.25">
      <c r="D244" s="28"/>
      <c r="F244" s="28"/>
      <c r="H244" s="28"/>
      <c r="I244" s="32"/>
      <c r="J244" s="34"/>
      <c r="L244" s="32"/>
    </row>
    <row r="245" spans="4:12" x14ac:dyDescent="0.25">
      <c r="D245" s="28"/>
      <c r="F245" s="28"/>
      <c r="H245" s="28"/>
      <c r="I245" s="32"/>
      <c r="J245" s="32"/>
      <c r="L245" s="32"/>
    </row>
    <row r="246" spans="4:12" x14ac:dyDescent="0.25">
      <c r="D246" s="28"/>
      <c r="F246" s="28"/>
      <c r="H246" s="28"/>
      <c r="I246" s="32"/>
      <c r="J246" s="32"/>
      <c r="L246" s="32"/>
    </row>
    <row r="247" spans="4:12" x14ac:dyDescent="0.25">
      <c r="D247" s="28"/>
      <c r="F247" s="28"/>
      <c r="H247" s="28"/>
      <c r="I247" s="32"/>
      <c r="J247" s="32"/>
      <c r="L247" s="32"/>
    </row>
    <row r="248" spans="4:12" x14ac:dyDescent="0.25">
      <c r="D248" s="28"/>
      <c r="F248" s="28"/>
      <c r="H248" s="28"/>
      <c r="I248" s="32"/>
      <c r="J248" s="32"/>
      <c r="L248" s="32"/>
    </row>
    <row r="249" spans="4:12" x14ac:dyDescent="0.25">
      <c r="D249" s="28"/>
      <c r="F249" s="28"/>
      <c r="H249" s="28"/>
      <c r="I249" s="32"/>
      <c r="J249" s="32"/>
      <c r="L249" s="32"/>
    </row>
    <row r="250" spans="4:12" x14ac:dyDescent="0.25">
      <c r="D250" s="28"/>
      <c r="F250" s="28"/>
      <c r="H250" s="28"/>
      <c r="I250" s="32"/>
      <c r="J250" s="32"/>
      <c r="L250" s="32"/>
    </row>
    <row r="251" spans="4:12" x14ac:dyDescent="0.25">
      <c r="D251" s="28"/>
      <c r="F251" s="28"/>
      <c r="H251" s="28"/>
      <c r="I251" s="32"/>
      <c r="J251" s="32"/>
      <c r="L251" s="32"/>
    </row>
    <row r="252" spans="4:12" x14ac:dyDescent="0.25">
      <c r="D252" s="28"/>
      <c r="F252" s="28"/>
      <c r="H252" s="28"/>
      <c r="I252" s="32"/>
      <c r="J252" s="32"/>
      <c r="L252" s="32"/>
    </row>
    <row r="253" spans="4:12" x14ac:dyDescent="0.25">
      <c r="D253" s="28"/>
      <c r="F253" s="28"/>
      <c r="H253" s="28"/>
      <c r="I253" s="32"/>
      <c r="J253" s="32"/>
      <c r="L253" s="32"/>
    </row>
    <row r="254" spans="4:12" x14ac:dyDescent="0.25">
      <c r="D254" s="28"/>
      <c r="F254" s="28"/>
      <c r="H254" s="28"/>
      <c r="I254" s="32"/>
      <c r="J254" s="32"/>
      <c r="L254" s="32"/>
    </row>
    <row r="255" spans="4:12" x14ac:dyDescent="0.25">
      <c r="D255" s="28"/>
      <c r="F255" s="28"/>
      <c r="H255" s="28"/>
      <c r="I255" s="32"/>
      <c r="J255" s="32"/>
      <c r="L255" s="32"/>
    </row>
    <row r="256" spans="4:12" x14ac:dyDescent="0.25">
      <c r="D256" s="28"/>
      <c r="F256" s="28"/>
      <c r="H256" s="28"/>
      <c r="I256" s="32"/>
      <c r="J256" s="32"/>
      <c r="L256" s="32"/>
    </row>
    <row r="257" spans="4:12" x14ac:dyDescent="0.25">
      <c r="D257" s="28"/>
      <c r="F257" s="28"/>
      <c r="H257" s="28"/>
      <c r="I257" s="32"/>
      <c r="J257" s="32"/>
      <c r="L257" s="32"/>
    </row>
    <row r="258" spans="4:12" x14ac:dyDescent="0.25">
      <c r="D258" s="28"/>
      <c r="F258" s="28"/>
      <c r="H258" s="28"/>
      <c r="I258" s="32"/>
      <c r="J258" s="32"/>
      <c r="L258" s="32"/>
    </row>
    <row r="259" spans="4:12" x14ac:dyDescent="0.25">
      <c r="D259" s="28"/>
      <c r="F259" s="28"/>
      <c r="H259" s="28"/>
      <c r="I259" s="32"/>
      <c r="J259" s="32"/>
      <c r="L259" s="32"/>
    </row>
    <row r="260" spans="4:12" x14ac:dyDescent="0.25">
      <c r="D260" s="28"/>
      <c r="F260" s="28"/>
      <c r="H260" s="28"/>
      <c r="I260" s="32"/>
      <c r="J260" s="32"/>
      <c r="L260" s="32"/>
    </row>
    <row r="261" spans="4:12" x14ac:dyDescent="0.25">
      <c r="D261" s="28"/>
      <c r="F261" s="28"/>
      <c r="H261" s="28"/>
      <c r="I261" s="32"/>
      <c r="J261" s="32"/>
      <c r="L261" s="32"/>
    </row>
    <row r="262" spans="4:12" x14ac:dyDescent="0.25">
      <c r="D262" s="28"/>
      <c r="F262" s="28"/>
      <c r="H262" s="28"/>
      <c r="I262" s="32"/>
      <c r="J262" s="32"/>
      <c r="L262" s="32"/>
    </row>
    <row r="263" spans="4:12" x14ac:dyDescent="0.25">
      <c r="D263" s="28"/>
      <c r="F263" s="28"/>
      <c r="H263" s="28"/>
      <c r="I263" s="32"/>
      <c r="J263" s="32"/>
      <c r="L263" s="32"/>
    </row>
    <row r="264" spans="4:12" x14ac:dyDescent="0.25">
      <c r="D264" s="28"/>
      <c r="F264" s="28"/>
      <c r="H264" s="28"/>
      <c r="I264" s="32"/>
      <c r="J264" s="32"/>
      <c r="L264" s="32"/>
    </row>
    <row r="265" spans="4:12" x14ac:dyDescent="0.25">
      <c r="D265" s="28"/>
      <c r="F265" s="28"/>
      <c r="H265" s="28"/>
      <c r="I265" s="32"/>
      <c r="J265" s="32"/>
      <c r="L265" s="32"/>
    </row>
    <row r="266" spans="4:12" x14ac:dyDescent="0.25">
      <c r="D266" s="28"/>
      <c r="F266" s="28"/>
      <c r="H266" s="28"/>
      <c r="I266" s="32"/>
      <c r="J266" s="32"/>
      <c r="L266" s="32"/>
    </row>
    <row r="267" spans="4:12" x14ac:dyDescent="0.25">
      <c r="D267" s="28"/>
      <c r="F267" s="28"/>
      <c r="H267" s="28"/>
      <c r="I267" s="32"/>
      <c r="J267" s="32"/>
      <c r="L267" s="32"/>
    </row>
    <row r="268" spans="4:12" x14ac:dyDescent="0.25">
      <c r="D268" s="28"/>
      <c r="F268" s="28"/>
      <c r="H268" s="28"/>
      <c r="I268" s="32"/>
      <c r="J268" s="32"/>
      <c r="L268" s="32"/>
    </row>
    <row r="269" spans="4:12" x14ac:dyDescent="0.25">
      <c r="D269" s="28"/>
      <c r="F269" s="28"/>
      <c r="H269" s="28"/>
      <c r="I269" s="32"/>
      <c r="J269" s="32"/>
      <c r="L269" s="32"/>
    </row>
    <row r="270" spans="4:12" x14ac:dyDescent="0.25">
      <c r="D270" s="28"/>
      <c r="F270" s="28"/>
      <c r="H270" s="28"/>
      <c r="I270" s="32"/>
      <c r="J270" s="32"/>
      <c r="L270" s="32"/>
    </row>
    <row r="271" spans="4:12" x14ac:dyDescent="0.25">
      <c r="D271" s="28"/>
      <c r="F271" s="28"/>
      <c r="H271" s="28"/>
      <c r="I271" s="32"/>
      <c r="J271" s="32"/>
      <c r="L271" s="32"/>
    </row>
    <row r="272" spans="4:12" x14ac:dyDescent="0.25">
      <c r="D272" s="28"/>
      <c r="F272" s="28"/>
      <c r="H272" s="28"/>
      <c r="I272" s="32"/>
      <c r="J272" s="32"/>
      <c r="L272" s="32"/>
    </row>
    <row r="273" spans="4:12" x14ac:dyDescent="0.25">
      <c r="D273" s="28"/>
      <c r="F273" s="28"/>
      <c r="H273" s="28"/>
      <c r="I273" s="32"/>
      <c r="J273" s="32"/>
      <c r="L273" s="32"/>
    </row>
    <row r="274" spans="4:12" x14ac:dyDescent="0.25">
      <c r="D274" s="28"/>
      <c r="F274" s="28"/>
      <c r="H274" s="28"/>
      <c r="I274" s="32"/>
      <c r="J274" s="32"/>
      <c r="L274" s="32"/>
    </row>
    <row r="275" spans="4:12" x14ac:dyDescent="0.25">
      <c r="D275" s="28"/>
      <c r="F275" s="28"/>
      <c r="H275" s="28"/>
      <c r="I275" s="32"/>
      <c r="J275" s="32"/>
      <c r="L275" s="32"/>
    </row>
    <row r="276" spans="4:12" x14ac:dyDescent="0.25">
      <c r="D276" s="28"/>
      <c r="F276" s="28"/>
      <c r="H276" s="28"/>
      <c r="I276" s="32"/>
      <c r="J276" s="32"/>
      <c r="L276" s="32"/>
    </row>
    <row r="277" spans="4:12" x14ac:dyDescent="0.25">
      <c r="D277" s="28"/>
      <c r="F277" s="28"/>
      <c r="H277" s="28"/>
      <c r="I277" s="32"/>
      <c r="J277" s="32"/>
      <c r="L277" s="32"/>
    </row>
    <row r="278" spans="4:12" x14ac:dyDescent="0.25">
      <c r="D278" s="28"/>
      <c r="F278" s="28"/>
      <c r="H278" s="28"/>
      <c r="I278" s="32"/>
      <c r="J278" s="32"/>
      <c r="L278" s="32"/>
    </row>
    <row r="279" spans="4:12" x14ac:dyDescent="0.25">
      <c r="D279" s="28"/>
      <c r="F279" s="28"/>
      <c r="H279" s="28"/>
      <c r="I279" s="32"/>
      <c r="J279" s="32"/>
      <c r="L279" s="32"/>
    </row>
    <row r="280" spans="4:12" x14ac:dyDescent="0.25">
      <c r="D280" s="28"/>
      <c r="F280" s="28"/>
      <c r="H280" s="28"/>
      <c r="I280" s="32"/>
      <c r="J280" s="32"/>
      <c r="L280" s="32"/>
    </row>
    <row r="281" spans="4:12" x14ac:dyDescent="0.25">
      <c r="D281" s="28"/>
      <c r="F281" s="28"/>
      <c r="H281" s="28"/>
      <c r="I281" s="32"/>
      <c r="J281" s="32"/>
      <c r="L281" s="32"/>
    </row>
    <row r="282" spans="4:12" x14ac:dyDescent="0.25">
      <c r="D282" s="28"/>
      <c r="F282" s="28"/>
      <c r="H282" s="28"/>
      <c r="I282" s="32"/>
      <c r="J282" s="32"/>
      <c r="L282" s="32"/>
    </row>
    <row r="283" spans="4:12" x14ac:dyDescent="0.25">
      <c r="D283" s="28"/>
      <c r="F283" s="28"/>
      <c r="H283" s="28"/>
      <c r="I283" s="32"/>
      <c r="J283" s="32"/>
      <c r="L283" s="32"/>
    </row>
    <row r="284" spans="4:12" x14ac:dyDescent="0.25">
      <c r="D284" s="28"/>
      <c r="F284" s="28"/>
      <c r="H284" s="28"/>
      <c r="I284" s="32"/>
      <c r="J284" s="32"/>
      <c r="L284" s="32"/>
    </row>
    <row r="285" spans="4:12" x14ac:dyDescent="0.25">
      <c r="D285" s="28"/>
      <c r="F285" s="28"/>
      <c r="H285" s="28"/>
      <c r="I285" s="32"/>
      <c r="J285" s="32"/>
      <c r="L285" s="32"/>
    </row>
    <row r="286" spans="4:12" x14ac:dyDescent="0.25">
      <c r="D286" s="28"/>
      <c r="F286" s="28"/>
      <c r="H286" s="28"/>
      <c r="I286" s="32"/>
      <c r="J286" s="32"/>
      <c r="L286" s="32"/>
    </row>
    <row r="287" spans="4:12" x14ac:dyDescent="0.25">
      <c r="D287" s="28"/>
      <c r="F287" s="28"/>
      <c r="H287" s="28"/>
      <c r="I287" s="32"/>
      <c r="J287" s="32"/>
      <c r="L287" s="32"/>
    </row>
    <row r="288" spans="4:12" x14ac:dyDescent="0.25">
      <c r="D288" s="28"/>
      <c r="F288" s="28"/>
      <c r="H288" s="28"/>
    </row>
    <row r="289" spans="4:8" x14ac:dyDescent="0.25">
      <c r="D289" s="28"/>
      <c r="F289" s="28"/>
      <c r="H289" s="28"/>
    </row>
    <row r="290" spans="4:8" x14ac:dyDescent="0.25">
      <c r="D290" s="28"/>
      <c r="F290" s="28"/>
      <c r="H290" s="28"/>
    </row>
    <row r="291" spans="4:8" x14ac:dyDescent="0.25">
      <c r="D291" s="28"/>
      <c r="F291" s="28"/>
      <c r="H291" s="28"/>
    </row>
    <row r="292" spans="4:8" x14ac:dyDescent="0.25">
      <c r="D292" s="28"/>
      <c r="F292" s="28"/>
      <c r="H292" s="28"/>
    </row>
    <row r="293" spans="4:8" x14ac:dyDescent="0.25">
      <c r="D293" s="28"/>
      <c r="F293" s="28"/>
      <c r="H293" s="28"/>
    </row>
    <row r="294" spans="4:8" x14ac:dyDescent="0.25">
      <c r="D294" s="28"/>
      <c r="F294" s="28"/>
      <c r="H294" s="28"/>
    </row>
    <row r="295" spans="4:8" x14ac:dyDescent="0.25">
      <c r="D295" s="28"/>
      <c r="F295" s="28"/>
      <c r="H295" s="28"/>
    </row>
    <row r="296" spans="4:8" x14ac:dyDescent="0.25">
      <c r="D296" s="28"/>
      <c r="F296" s="28"/>
      <c r="H296" s="28"/>
    </row>
    <row r="297" spans="4:8" x14ac:dyDescent="0.25">
      <c r="D297" s="28"/>
      <c r="F297" s="28"/>
      <c r="H297" s="28"/>
    </row>
    <row r="298" spans="4:8" x14ac:dyDescent="0.25">
      <c r="D298" s="28"/>
      <c r="F298" s="28"/>
      <c r="H298" s="28"/>
    </row>
    <row r="299" spans="4:8" x14ac:dyDescent="0.25">
      <c r="D299" s="28"/>
      <c r="F299" s="28"/>
      <c r="H299" s="28"/>
    </row>
    <row r="300" spans="4:8" x14ac:dyDescent="0.25">
      <c r="D300" s="28"/>
      <c r="F300" s="28"/>
      <c r="H300" s="28"/>
    </row>
    <row r="301" spans="4:8" x14ac:dyDescent="0.25">
      <c r="D301" s="28"/>
      <c r="F301" s="28"/>
      <c r="H301" s="28"/>
    </row>
    <row r="302" spans="4:8" x14ac:dyDescent="0.25">
      <c r="D302" s="28"/>
      <c r="F302" s="28"/>
      <c r="H302" s="28"/>
    </row>
    <row r="303" spans="4:8" x14ac:dyDescent="0.25">
      <c r="D303" s="28"/>
      <c r="F303" s="28"/>
      <c r="H303" s="28"/>
    </row>
    <row r="304" spans="4:8" x14ac:dyDescent="0.25">
      <c r="D304" s="28"/>
      <c r="F304" s="28"/>
      <c r="H304" s="28"/>
    </row>
    <row r="305" spans="4:8" x14ac:dyDescent="0.25">
      <c r="D305" s="28"/>
      <c r="F305" s="28"/>
      <c r="H305" s="28"/>
    </row>
    <row r="306" spans="4:8" x14ac:dyDescent="0.25">
      <c r="D306" s="28"/>
      <c r="F306" s="28"/>
      <c r="H306" s="28"/>
    </row>
    <row r="307" spans="4:8" x14ac:dyDescent="0.25">
      <c r="D307" s="28"/>
      <c r="F307" s="28"/>
      <c r="H307" s="28"/>
    </row>
    <row r="308" spans="4:8" x14ac:dyDescent="0.25">
      <c r="D308" s="28"/>
      <c r="F308" s="28"/>
      <c r="H308" s="28"/>
    </row>
    <row r="309" spans="4:8" x14ac:dyDescent="0.25">
      <c r="D309" s="28"/>
      <c r="F309" s="28"/>
      <c r="H309" s="28"/>
    </row>
    <row r="310" spans="4:8" x14ac:dyDescent="0.25">
      <c r="D310" s="28"/>
      <c r="F310" s="28"/>
      <c r="H310" s="28"/>
    </row>
    <row r="311" spans="4:8" x14ac:dyDescent="0.25">
      <c r="D311" s="28"/>
      <c r="F311" s="28"/>
      <c r="H311" s="28"/>
    </row>
    <row r="312" spans="4:8" x14ac:dyDescent="0.25">
      <c r="D312" s="28"/>
      <c r="F312" s="28"/>
      <c r="H312" s="28"/>
    </row>
    <row r="313" spans="4:8" x14ac:dyDescent="0.25">
      <c r="D313" s="28"/>
      <c r="F313" s="28"/>
      <c r="H313" s="28"/>
    </row>
    <row r="314" spans="4:8" x14ac:dyDescent="0.25">
      <c r="D314" s="28"/>
      <c r="F314" s="28"/>
      <c r="H314" s="28"/>
    </row>
    <row r="315" spans="4:8" x14ac:dyDescent="0.25">
      <c r="D315" s="28"/>
      <c r="F315" s="28"/>
      <c r="H315" s="28"/>
    </row>
    <row r="316" spans="4:8" x14ac:dyDescent="0.25">
      <c r="D316" s="28"/>
      <c r="F316" s="28"/>
      <c r="H316" s="28"/>
    </row>
    <row r="317" spans="4:8" x14ac:dyDescent="0.25">
      <c r="D317" s="28"/>
      <c r="F317" s="28"/>
      <c r="H317" s="28"/>
    </row>
    <row r="318" spans="4:8" x14ac:dyDescent="0.25">
      <c r="D318" s="28"/>
      <c r="F318" s="28"/>
      <c r="H318" s="28"/>
    </row>
    <row r="319" spans="4:8" x14ac:dyDescent="0.25">
      <c r="D319" s="28"/>
      <c r="F319" s="28"/>
      <c r="H319" s="28"/>
    </row>
    <row r="320" spans="4:8" x14ac:dyDescent="0.25">
      <c r="D320" s="28"/>
      <c r="F320" s="28"/>
      <c r="H320" s="28"/>
    </row>
    <row r="321" spans="4:8" x14ac:dyDescent="0.25">
      <c r="D321" s="28"/>
      <c r="F321" s="28"/>
      <c r="H321" s="28"/>
    </row>
    <row r="322" spans="4:8" x14ac:dyDescent="0.25">
      <c r="D322" s="28"/>
      <c r="F322" s="28"/>
      <c r="H322" s="28"/>
    </row>
    <row r="323" spans="4:8" x14ac:dyDescent="0.25">
      <c r="D323" s="28"/>
      <c r="F323" s="28"/>
      <c r="H323" s="28"/>
    </row>
    <row r="324" spans="4:8" x14ac:dyDescent="0.25">
      <c r="D324" s="28"/>
      <c r="F324" s="28"/>
      <c r="H324" s="28"/>
    </row>
    <row r="325" spans="4:8" x14ac:dyDescent="0.25">
      <c r="D325" s="28"/>
      <c r="F325" s="28"/>
      <c r="H325" s="28"/>
    </row>
    <row r="326" spans="4:8" x14ac:dyDescent="0.25">
      <c r="D326" s="28"/>
      <c r="F326" s="28"/>
      <c r="H326" s="28"/>
    </row>
    <row r="327" spans="4:8" x14ac:dyDescent="0.25">
      <c r="D327" s="28"/>
      <c r="F327" s="28"/>
      <c r="H327" s="28"/>
    </row>
    <row r="328" spans="4:8" x14ac:dyDescent="0.25">
      <c r="D328" s="28"/>
      <c r="F328" s="28"/>
      <c r="H328" s="28"/>
    </row>
    <row r="329" spans="4:8" x14ac:dyDescent="0.25">
      <c r="D329" s="28"/>
      <c r="F329" s="28"/>
      <c r="H329" s="28"/>
    </row>
    <row r="330" spans="4:8" x14ac:dyDescent="0.25">
      <c r="D330" s="28"/>
      <c r="F330" s="28"/>
      <c r="H330" s="28"/>
    </row>
    <row r="331" spans="4:8" x14ac:dyDescent="0.25">
      <c r="D331" s="28"/>
      <c r="F331" s="28"/>
      <c r="H331" s="28"/>
    </row>
    <row r="332" spans="4:8" x14ac:dyDescent="0.25">
      <c r="D332" s="28"/>
      <c r="F332" s="28"/>
      <c r="H332" s="28"/>
    </row>
    <row r="333" spans="4:8" x14ac:dyDescent="0.25">
      <c r="D333" s="28"/>
      <c r="F333" s="28"/>
      <c r="H333" s="28"/>
    </row>
    <row r="334" spans="4:8" x14ac:dyDescent="0.25">
      <c r="D334" s="28"/>
      <c r="F334" s="28"/>
      <c r="H334" s="28"/>
    </row>
    <row r="335" spans="4:8" x14ac:dyDescent="0.25">
      <c r="D335" s="28"/>
      <c r="F335" s="28"/>
      <c r="H335" s="28"/>
    </row>
    <row r="336" spans="4:8" x14ac:dyDescent="0.25">
      <c r="D336" s="28"/>
      <c r="F336" s="28"/>
      <c r="H336" s="28"/>
    </row>
    <row r="337" spans="4:8" x14ac:dyDescent="0.25">
      <c r="D337" s="28"/>
      <c r="F337" s="28"/>
      <c r="H337" s="28"/>
    </row>
    <row r="338" spans="4:8" x14ac:dyDescent="0.25">
      <c r="D338" s="28"/>
      <c r="F338" s="28"/>
      <c r="H338" s="28"/>
    </row>
    <row r="339" spans="4:8" x14ac:dyDescent="0.25">
      <c r="D339" s="28"/>
      <c r="F339" s="28"/>
      <c r="H339" s="28"/>
    </row>
    <row r="340" spans="4:8" x14ac:dyDescent="0.25">
      <c r="D340" s="28"/>
      <c r="F340" s="28"/>
      <c r="H340" s="28"/>
    </row>
    <row r="341" spans="4:8" x14ac:dyDescent="0.25">
      <c r="D341" s="28"/>
      <c r="F341" s="28"/>
      <c r="H341" s="28"/>
    </row>
    <row r="342" spans="4:8" x14ac:dyDescent="0.25">
      <c r="D342" s="28"/>
      <c r="F342" s="28"/>
      <c r="H342" s="28"/>
    </row>
    <row r="343" spans="4:8" x14ac:dyDescent="0.25">
      <c r="D343" s="28"/>
      <c r="F343" s="28"/>
      <c r="H343" s="28"/>
    </row>
    <row r="344" spans="4:8" x14ac:dyDescent="0.25">
      <c r="D344" s="28"/>
      <c r="F344" s="28"/>
      <c r="H344" s="28"/>
    </row>
    <row r="345" spans="4:8" x14ac:dyDescent="0.25">
      <c r="D345" s="28"/>
      <c r="F345" s="28"/>
      <c r="H345" s="28"/>
    </row>
    <row r="346" spans="4:8" x14ac:dyDescent="0.25">
      <c r="D346" s="28"/>
      <c r="F346" s="28"/>
      <c r="H346" s="28"/>
    </row>
    <row r="347" spans="4:8" x14ac:dyDescent="0.25">
      <c r="D347" s="28"/>
      <c r="F347" s="28"/>
      <c r="H347" s="28"/>
    </row>
    <row r="348" spans="4:8" x14ac:dyDescent="0.25">
      <c r="D348" s="28"/>
      <c r="F348" s="28"/>
      <c r="H348" s="28"/>
    </row>
    <row r="349" spans="4:8" x14ac:dyDescent="0.25">
      <c r="D349" s="28"/>
      <c r="F349" s="28"/>
      <c r="H349" s="28"/>
    </row>
    <row r="350" spans="4:8" x14ac:dyDescent="0.25">
      <c r="D350" s="28"/>
      <c r="F350" s="28"/>
      <c r="H350" s="28"/>
    </row>
    <row r="351" spans="4:8" x14ac:dyDescent="0.25">
      <c r="D351" s="28"/>
      <c r="F351" s="28"/>
      <c r="H351" s="28"/>
    </row>
    <row r="352" spans="4:8" x14ac:dyDescent="0.25">
      <c r="D352" s="28"/>
      <c r="F352" s="28"/>
      <c r="H352" s="28"/>
    </row>
    <row r="353" spans="4:8" x14ac:dyDescent="0.25">
      <c r="D353" s="28"/>
      <c r="F353" s="28"/>
      <c r="H353" s="28"/>
    </row>
    <row r="354" spans="4:8" x14ac:dyDescent="0.25">
      <c r="D354" s="28"/>
      <c r="F354" s="28"/>
      <c r="H354" s="28"/>
    </row>
    <row r="355" spans="4:8" x14ac:dyDescent="0.25">
      <c r="D355" s="28"/>
      <c r="F355" s="28"/>
      <c r="H355" s="28"/>
    </row>
    <row r="356" spans="4:8" x14ac:dyDescent="0.25">
      <c r="D356" s="28"/>
      <c r="F356" s="28"/>
      <c r="H356" s="28"/>
    </row>
    <row r="357" spans="4:8" x14ac:dyDescent="0.25">
      <c r="D357" s="28"/>
      <c r="F357" s="28"/>
      <c r="H357" s="28"/>
    </row>
    <row r="358" spans="4:8" x14ac:dyDescent="0.25">
      <c r="D358" s="28"/>
      <c r="F358" s="28"/>
      <c r="H358" s="28"/>
    </row>
    <row r="359" spans="4:8" x14ac:dyDescent="0.25">
      <c r="D359" s="28"/>
      <c r="F359" s="28"/>
      <c r="H359" s="28"/>
    </row>
    <row r="360" spans="4:8" x14ac:dyDescent="0.25">
      <c r="D360" s="28"/>
      <c r="F360" s="28"/>
      <c r="H360" s="28"/>
    </row>
    <row r="361" spans="4:8" x14ac:dyDescent="0.25">
      <c r="D361" s="28"/>
      <c r="F361" s="28"/>
      <c r="H361" s="28"/>
    </row>
    <row r="362" spans="4:8" x14ac:dyDescent="0.25">
      <c r="D362" s="28"/>
      <c r="F362" s="28"/>
      <c r="H362" s="28"/>
    </row>
    <row r="363" spans="4:8" x14ac:dyDescent="0.25">
      <c r="D363" s="28"/>
      <c r="F363" s="28"/>
      <c r="H363" s="28"/>
    </row>
    <row r="364" spans="4:8" x14ac:dyDescent="0.25">
      <c r="D364" s="28"/>
      <c r="F364" s="28"/>
      <c r="H364" s="28"/>
    </row>
    <row r="365" spans="4:8" x14ac:dyDescent="0.25">
      <c r="D365" s="28"/>
      <c r="F365" s="28"/>
      <c r="H365" s="28"/>
    </row>
    <row r="366" spans="4:8" x14ac:dyDescent="0.25">
      <c r="D366" s="28"/>
      <c r="F366" s="28"/>
      <c r="H366" s="28"/>
    </row>
    <row r="367" spans="4:8" x14ac:dyDescent="0.25">
      <c r="D367" s="28"/>
      <c r="F367" s="28"/>
      <c r="H367" s="28"/>
    </row>
    <row r="368" spans="4:8" x14ac:dyDescent="0.25">
      <c r="D368" s="28"/>
      <c r="F368" s="28"/>
      <c r="H368" s="28"/>
    </row>
    <row r="369" spans="4:8" x14ac:dyDescent="0.25">
      <c r="D369" s="28"/>
      <c r="F369" s="28"/>
      <c r="H369" s="28"/>
    </row>
    <row r="370" spans="4:8" x14ac:dyDescent="0.25">
      <c r="D370" s="28"/>
      <c r="F370" s="28"/>
      <c r="H370" s="28"/>
    </row>
    <row r="371" spans="4:8" x14ac:dyDescent="0.25">
      <c r="D371" s="28"/>
      <c r="F371" s="28"/>
      <c r="H371" s="28"/>
    </row>
    <row r="372" spans="4:8" x14ac:dyDescent="0.25">
      <c r="D372" s="28"/>
      <c r="F372" s="28"/>
      <c r="H372" s="28"/>
    </row>
    <row r="373" spans="4:8" x14ac:dyDescent="0.25">
      <c r="D373" s="28"/>
      <c r="F373" s="28"/>
      <c r="H373" s="28"/>
    </row>
    <row r="374" spans="4:8" x14ac:dyDescent="0.25">
      <c r="D374" s="28"/>
      <c r="F374" s="28"/>
      <c r="H374" s="28"/>
    </row>
    <row r="375" spans="4:8" x14ac:dyDescent="0.25">
      <c r="D375" s="28"/>
      <c r="F375" s="28"/>
      <c r="H375" s="28"/>
    </row>
    <row r="376" spans="4:8" x14ac:dyDescent="0.25">
      <c r="D376" s="28"/>
      <c r="F376" s="28"/>
      <c r="H376" s="28"/>
    </row>
    <row r="377" spans="4:8" x14ac:dyDescent="0.25">
      <c r="D377" s="28"/>
      <c r="F377" s="28"/>
      <c r="H377" s="28"/>
    </row>
    <row r="378" spans="4:8" x14ac:dyDescent="0.25">
      <c r="D378" s="28"/>
      <c r="F378" s="28"/>
      <c r="H378" s="28"/>
    </row>
    <row r="379" spans="4:8" x14ac:dyDescent="0.25">
      <c r="D379" s="28"/>
      <c r="F379" s="28"/>
      <c r="H379" s="28"/>
    </row>
    <row r="380" spans="4:8" x14ac:dyDescent="0.25">
      <c r="D380" s="28"/>
      <c r="F380" s="28"/>
      <c r="H380" s="28"/>
    </row>
    <row r="381" spans="4:8" x14ac:dyDescent="0.25">
      <c r="D381" s="28"/>
      <c r="F381" s="28"/>
      <c r="H381" s="28"/>
    </row>
    <row r="382" spans="4:8" x14ac:dyDescent="0.25">
      <c r="D382" s="28"/>
      <c r="F382" s="28"/>
      <c r="H382" s="28"/>
    </row>
    <row r="383" spans="4:8" x14ac:dyDescent="0.25">
      <c r="D383" s="28"/>
      <c r="F383" s="28"/>
      <c r="H383" s="28"/>
    </row>
    <row r="384" spans="4:8" x14ac:dyDescent="0.25">
      <c r="D384" s="28"/>
      <c r="F384" s="28"/>
      <c r="H384" s="28"/>
    </row>
    <row r="385" spans="4:8" x14ac:dyDescent="0.25">
      <c r="D385" s="28"/>
      <c r="F385" s="28"/>
      <c r="H385" s="28"/>
    </row>
    <row r="386" spans="4:8" x14ac:dyDescent="0.25">
      <c r="D386" s="28"/>
      <c r="F386" s="28"/>
      <c r="H386" s="28"/>
    </row>
    <row r="387" spans="4:8" x14ac:dyDescent="0.25">
      <c r="D387" s="28"/>
      <c r="F387" s="28"/>
      <c r="H387" s="28"/>
    </row>
    <row r="388" spans="4:8" x14ac:dyDescent="0.25">
      <c r="D388" s="28"/>
      <c r="F388" s="28"/>
      <c r="H388" s="28"/>
    </row>
    <row r="389" spans="4:8" x14ac:dyDescent="0.25">
      <c r="D389" s="28"/>
      <c r="F389" s="28"/>
      <c r="H389" s="28"/>
    </row>
    <row r="390" spans="4:8" x14ac:dyDescent="0.25">
      <c r="D390" s="28"/>
      <c r="F390" s="28"/>
      <c r="H390" s="28"/>
    </row>
    <row r="391" spans="4:8" x14ac:dyDescent="0.25">
      <c r="D391" s="28"/>
      <c r="F391" s="28"/>
      <c r="H391" s="28"/>
    </row>
    <row r="392" spans="4:8" x14ac:dyDescent="0.25">
      <c r="D392" s="28"/>
      <c r="F392" s="28"/>
      <c r="H392" s="28"/>
    </row>
    <row r="393" spans="4:8" x14ac:dyDescent="0.25">
      <c r="D393" s="28"/>
      <c r="F393" s="28"/>
      <c r="H393" s="28"/>
    </row>
    <row r="394" spans="4:8" x14ac:dyDescent="0.25">
      <c r="D394" s="28"/>
      <c r="F394" s="28"/>
      <c r="H394" s="28"/>
    </row>
    <row r="395" spans="4:8" x14ac:dyDescent="0.25">
      <c r="D395" s="28"/>
      <c r="F395" s="28"/>
      <c r="H395" s="28"/>
    </row>
    <row r="396" spans="4:8" x14ac:dyDescent="0.25">
      <c r="D396" s="28"/>
      <c r="F396" s="28"/>
      <c r="H396" s="28"/>
    </row>
    <row r="397" spans="4:8" x14ac:dyDescent="0.25">
      <c r="D397" s="28"/>
      <c r="F397" s="28"/>
      <c r="H397" s="28"/>
    </row>
    <row r="398" spans="4:8" x14ac:dyDescent="0.25">
      <c r="D398" s="28"/>
      <c r="F398" s="28"/>
      <c r="H398" s="28"/>
    </row>
    <row r="399" spans="4:8" x14ac:dyDescent="0.25">
      <c r="D399" s="28"/>
      <c r="F399" s="28"/>
      <c r="H399" s="28"/>
    </row>
    <row r="400" spans="4:8" x14ac:dyDescent="0.25">
      <c r="D400" s="28"/>
      <c r="F400" s="28"/>
      <c r="H400" s="28"/>
    </row>
    <row r="401" spans="4:8" x14ac:dyDescent="0.25">
      <c r="D401" s="28"/>
      <c r="F401" s="28"/>
      <c r="H401" s="28"/>
    </row>
    <row r="402" spans="4:8" x14ac:dyDescent="0.25">
      <c r="D402" s="28"/>
      <c r="F402" s="28"/>
      <c r="H402" s="28"/>
    </row>
    <row r="403" spans="4:8" x14ac:dyDescent="0.25">
      <c r="D403" s="28"/>
      <c r="F403" s="28"/>
      <c r="H403" s="28"/>
    </row>
    <row r="404" spans="4:8" x14ac:dyDescent="0.25">
      <c r="D404" s="28"/>
      <c r="F404" s="28"/>
      <c r="H404" s="28"/>
    </row>
    <row r="405" spans="4:8" x14ac:dyDescent="0.25">
      <c r="D405" s="28"/>
      <c r="F405" s="28"/>
      <c r="H405" s="28"/>
    </row>
    <row r="406" spans="4:8" x14ac:dyDescent="0.25">
      <c r="D406" s="28"/>
      <c r="F406" s="28"/>
      <c r="H406" s="28"/>
    </row>
    <row r="407" spans="4:8" x14ac:dyDescent="0.25">
      <c r="D407" s="28"/>
      <c r="F407" s="28"/>
      <c r="H407" s="28"/>
    </row>
    <row r="408" spans="4:8" x14ac:dyDescent="0.25">
      <c r="D408" s="28"/>
      <c r="F408" s="28"/>
      <c r="H408" s="28"/>
    </row>
    <row r="409" spans="4:8" x14ac:dyDescent="0.25">
      <c r="D409" s="28"/>
      <c r="F409" s="28"/>
      <c r="H409" s="28"/>
    </row>
    <row r="410" spans="4:8" x14ac:dyDescent="0.25">
      <c r="D410" s="28"/>
      <c r="F410" s="28"/>
      <c r="H410" s="28"/>
    </row>
    <row r="411" spans="4:8" x14ac:dyDescent="0.25">
      <c r="D411" s="28"/>
      <c r="F411" s="28"/>
      <c r="H411" s="28"/>
    </row>
    <row r="412" spans="4:8" x14ac:dyDescent="0.25">
      <c r="D412" s="28"/>
      <c r="F412" s="28"/>
      <c r="H412" s="28"/>
    </row>
    <row r="413" spans="4:8" x14ac:dyDescent="0.25">
      <c r="D413" s="28"/>
      <c r="F413" s="28"/>
      <c r="H413" s="28"/>
    </row>
    <row r="414" spans="4:8" x14ac:dyDescent="0.25">
      <c r="D414" s="28"/>
      <c r="F414" s="28"/>
      <c r="H414" s="28"/>
    </row>
    <row r="415" spans="4:8" x14ac:dyDescent="0.25">
      <c r="D415" s="28"/>
      <c r="F415" s="28"/>
      <c r="H415" s="28"/>
    </row>
    <row r="416" spans="4:8" x14ac:dyDescent="0.25">
      <c r="D416" s="28"/>
      <c r="F416" s="28"/>
      <c r="H416" s="28"/>
    </row>
    <row r="417" spans="4:8" x14ac:dyDescent="0.25">
      <c r="D417" s="28"/>
      <c r="F417" s="28"/>
      <c r="H417" s="28"/>
    </row>
    <row r="418" spans="4:8" x14ac:dyDescent="0.25">
      <c r="D418" s="28"/>
      <c r="F418" s="28"/>
      <c r="H418" s="28"/>
    </row>
    <row r="419" spans="4:8" x14ac:dyDescent="0.25">
      <c r="D419" s="28"/>
      <c r="F419" s="28"/>
      <c r="H419" s="28"/>
    </row>
    <row r="420" spans="4:8" x14ac:dyDescent="0.25">
      <c r="D420" s="28"/>
      <c r="F420" s="28"/>
      <c r="H420" s="28"/>
    </row>
    <row r="421" spans="4:8" x14ac:dyDescent="0.25">
      <c r="D421" s="28"/>
      <c r="F421" s="28"/>
      <c r="H421" s="28"/>
    </row>
    <row r="422" spans="4:8" x14ac:dyDescent="0.25">
      <c r="D422" s="28"/>
      <c r="F422" s="28"/>
      <c r="H422" s="28"/>
    </row>
    <row r="423" spans="4:8" x14ac:dyDescent="0.25">
      <c r="D423" s="28"/>
      <c r="F423" s="28"/>
      <c r="H423" s="28"/>
    </row>
    <row r="424" spans="4:8" x14ac:dyDescent="0.25">
      <c r="D424" s="28"/>
      <c r="F424" s="28"/>
      <c r="H424" s="28"/>
    </row>
    <row r="425" spans="4:8" x14ac:dyDescent="0.25">
      <c r="D425" s="28"/>
      <c r="F425" s="28"/>
      <c r="H425" s="28"/>
    </row>
    <row r="426" spans="4:8" x14ac:dyDescent="0.25">
      <c r="D426" s="28"/>
      <c r="F426" s="28"/>
      <c r="H426" s="28"/>
    </row>
    <row r="427" spans="4:8" x14ac:dyDescent="0.25">
      <c r="D427" s="28"/>
      <c r="F427" s="28"/>
      <c r="H427" s="28"/>
    </row>
    <row r="428" spans="4:8" x14ac:dyDescent="0.25">
      <c r="D428" s="28"/>
      <c r="F428" s="28"/>
      <c r="H428" s="28"/>
    </row>
    <row r="429" spans="4:8" x14ac:dyDescent="0.25">
      <c r="D429" s="28"/>
      <c r="F429" s="28"/>
      <c r="H429" s="28"/>
    </row>
    <row r="430" spans="4:8" x14ac:dyDescent="0.25">
      <c r="D430" s="28"/>
      <c r="F430" s="28"/>
      <c r="H430" s="28"/>
    </row>
    <row r="431" spans="4:8" x14ac:dyDescent="0.25">
      <c r="D431" s="28"/>
      <c r="F431" s="28"/>
      <c r="H431" s="28"/>
    </row>
    <row r="432" spans="4:8" x14ac:dyDescent="0.25">
      <c r="D432" s="28"/>
      <c r="F432" s="28"/>
      <c r="H432" s="28"/>
    </row>
    <row r="433" spans="4:8" x14ac:dyDescent="0.25">
      <c r="D433" s="28"/>
      <c r="F433" s="28"/>
      <c r="H433" s="28"/>
    </row>
    <row r="434" spans="4:8" x14ac:dyDescent="0.25">
      <c r="D434" s="28"/>
      <c r="F434" s="28"/>
      <c r="H434" s="28"/>
    </row>
    <row r="435" spans="4:8" x14ac:dyDescent="0.25">
      <c r="D435" s="28"/>
      <c r="F435" s="28"/>
      <c r="H435" s="28"/>
    </row>
    <row r="436" spans="4:8" x14ac:dyDescent="0.25">
      <c r="D436" s="28"/>
      <c r="F436" s="28"/>
      <c r="H436" s="28"/>
    </row>
    <row r="437" spans="4:8" x14ac:dyDescent="0.25">
      <c r="D437" s="28"/>
      <c r="F437" s="28"/>
      <c r="H437" s="28"/>
    </row>
    <row r="438" spans="4:8" x14ac:dyDescent="0.25">
      <c r="D438" s="28"/>
      <c r="F438" s="28"/>
      <c r="H438" s="28"/>
    </row>
    <row r="439" spans="4:8" x14ac:dyDescent="0.25">
      <c r="D439" s="28"/>
      <c r="F439" s="28"/>
      <c r="H439" s="28"/>
    </row>
    <row r="440" spans="4:8" x14ac:dyDescent="0.25">
      <c r="D440" s="28"/>
      <c r="F440" s="28"/>
      <c r="H440" s="28"/>
    </row>
    <row r="441" spans="4:8" x14ac:dyDescent="0.25">
      <c r="D441" s="28"/>
      <c r="F441" s="28"/>
      <c r="H441" s="28"/>
    </row>
    <row r="442" spans="4:8" x14ac:dyDescent="0.25">
      <c r="D442" s="28"/>
      <c r="F442" s="28"/>
      <c r="H442" s="28"/>
    </row>
    <row r="443" spans="4:8" x14ac:dyDescent="0.25">
      <c r="D443" s="28"/>
      <c r="F443" s="28"/>
      <c r="H443" s="28"/>
    </row>
    <row r="444" spans="4:8" x14ac:dyDescent="0.25">
      <c r="D444" s="28"/>
      <c r="F444" s="28"/>
      <c r="H444" s="28"/>
    </row>
    <row r="445" spans="4:8" x14ac:dyDescent="0.25">
      <c r="D445" s="28"/>
      <c r="F445" s="28"/>
      <c r="H445" s="28"/>
    </row>
    <row r="446" spans="4:8" x14ac:dyDescent="0.25">
      <c r="D446" s="28"/>
      <c r="F446" s="28"/>
      <c r="H446" s="28"/>
    </row>
    <row r="447" spans="4:8" x14ac:dyDescent="0.25">
      <c r="D447" s="28"/>
      <c r="F447" s="28"/>
      <c r="H447" s="28"/>
    </row>
    <row r="448" spans="4:8" x14ac:dyDescent="0.25">
      <c r="D448" s="28"/>
      <c r="F448" s="28"/>
      <c r="H448" s="28"/>
    </row>
    <row r="449" spans="4:8" x14ac:dyDescent="0.25">
      <c r="D449" s="28"/>
      <c r="F449" s="28"/>
      <c r="H449" s="28"/>
    </row>
    <row r="450" spans="4:8" x14ac:dyDescent="0.25">
      <c r="D450" s="28"/>
      <c r="F450" s="28"/>
      <c r="H450" s="28"/>
    </row>
    <row r="451" spans="4:8" x14ac:dyDescent="0.25">
      <c r="D451" s="28"/>
      <c r="F451" s="28"/>
      <c r="H451" s="28"/>
    </row>
    <row r="452" spans="4:8" x14ac:dyDescent="0.25">
      <c r="D452" s="28"/>
      <c r="F452" s="28"/>
      <c r="H452" s="28"/>
    </row>
    <row r="453" spans="4:8" x14ac:dyDescent="0.25">
      <c r="D453" s="28"/>
      <c r="F453" s="28"/>
      <c r="H453" s="28"/>
    </row>
    <row r="454" spans="4:8" x14ac:dyDescent="0.25">
      <c r="D454" s="28"/>
      <c r="F454" s="28"/>
      <c r="H454" s="28"/>
    </row>
    <row r="455" spans="4:8" x14ac:dyDescent="0.25">
      <c r="D455" s="28"/>
      <c r="F455" s="28"/>
      <c r="H455" s="28"/>
    </row>
    <row r="456" spans="4:8" x14ac:dyDescent="0.25">
      <c r="D456" s="28"/>
      <c r="F456" s="28"/>
      <c r="H456" s="28"/>
    </row>
    <row r="457" spans="4:8" x14ac:dyDescent="0.25">
      <c r="D457" s="28"/>
      <c r="F457" s="28"/>
      <c r="H457" s="28"/>
    </row>
    <row r="458" spans="4:8" x14ac:dyDescent="0.25">
      <c r="D458" s="28"/>
      <c r="F458" s="28"/>
      <c r="H458" s="28"/>
    </row>
    <row r="459" spans="4:8" x14ac:dyDescent="0.25">
      <c r="D459" s="28"/>
      <c r="F459" s="28"/>
      <c r="H459" s="28"/>
    </row>
    <row r="460" spans="4:8" x14ac:dyDescent="0.25">
      <c r="D460" s="28"/>
      <c r="F460" s="28"/>
      <c r="H460" s="28"/>
    </row>
    <row r="461" spans="4:8" x14ac:dyDescent="0.25">
      <c r="D461" s="28"/>
      <c r="F461" s="28"/>
      <c r="H461" s="28"/>
    </row>
    <row r="462" spans="4:8" x14ac:dyDescent="0.25">
      <c r="D462" s="28"/>
      <c r="F462" s="28"/>
      <c r="H462" s="28"/>
    </row>
    <row r="463" spans="4:8" x14ac:dyDescent="0.25">
      <c r="D463" s="28"/>
      <c r="F463" s="28"/>
      <c r="H463" s="28"/>
    </row>
    <row r="464" spans="4:8" x14ac:dyDescent="0.25">
      <c r="D464" s="28"/>
      <c r="F464" s="28"/>
      <c r="H464" s="28"/>
    </row>
    <row r="465" spans="4:8" x14ac:dyDescent="0.25">
      <c r="D465" s="28"/>
      <c r="F465" s="28"/>
      <c r="H465" s="28"/>
    </row>
    <row r="466" spans="4:8" x14ac:dyDescent="0.25">
      <c r="D466" s="28"/>
      <c r="F466" s="28"/>
      <c r="H466" s="28"/>
    </row>
    <row r="467" spans="4:8" x14ac:dyDescent="0.25">
      <c r="D467" s="28"/>
      <c r="F467" s="28"/>
      <c r="H467" s="28"/>
    </row>
    <row r="468" spans="4:8" x14ac:dyDescent="0.25">
      <c r="D468" s="28"/>
      <c r="F468" s="28"/>
      <c r="H468" s="28"/>
    </row>
    <row r="469" spans="4:8" x14ac:dyDescent="0.25">
      <c r="D469" s="28"/>
      <c r="F469" s="28"/>
      <c r="H469" s="28"/>
    </row>
    <row r="470" spans="4:8" x14ac:dyDescent="0.25">
      <c r="D470" s="28"/>
      <c r="F470" s="28"/>
      <c r="H470" s="28"/>
    </row>
    <row r="471" spans="4:8" x14ac:dyDescent="0.25">
      <c r="D471" s="28"/>
      <c r="F471" s="28"/>
      <c r="H471" s="28"/>
    </row>
    <row r="472" spans="4:8" x14ac:dyDescent="0.25">
      <c r="D472" s="28"/>
      <c r="F472" s="28"/>
      <c r="H472" s="28"/>
    </row>
    <row r="473" spans="4:8" x14ac:dyDescent="0.25">
      <c r="D473" s="28"/>
      <c r="F473" s="28"/>
      <c r="H473" s="28"/>
    </row>
    <row r="474" spans="4:8" x14ac:dyDescent="0.25">
      <c r="D474" s="28"/>
      <c r="F474" s="28"/>
      <c r="H474" s="28"/>
    </row>
    <row r="475" spans="4:8" x14ac:dyDescent="0.25">
      <c r="D475" s="28"/>
      <c r="F475" s="28"/>
      <c r="H475" s="28"/>
    </row>
    <row r="476" spans="4:8" x14ac:dyDescent="0.25">
      <c r="D476" s="28"/>
      <c r="F476" s="28"/>
      <c r="H476" s="28"/>
    </row>
    <row r="477" spans="4:8" x14ac:dyDescent="0.25">
      <c r="D477" s="28"/>
      <c r="F477" s="28"/>
      <c r="H477" s="28"/>
    </row>
    <row r="478" spans="4:8" x14ac:dyDescent="0.25">
      <c r="D478" s="28"/>
      <c r="F478" s="28"/>
      <c r="H478" s="28"/>
    </row>
    <row r="479" spans="4:8" x14ac:dyDescent="0.25">
      <c r="D479" s="28"/>
      <c r="F479" s="28"/>
      <c r="H479" s="28"/>
    </row>
    <row r="480" spans="4:8" x14ac:dyDescent="0.25">
      <c r="D480" s="28"/>
      <c r="F480" s="28"/>
      <c r="H480" s="28"/>
    </row>
    <row r="481" spans="4:8" x14ac:dyDescent="0.25">
      <c r="D481" s="28"/>
      <c r="F481" s="28"/>
      <c r="H481" s="28"/>
    </row>
    <row r="482" spans="4:8" x14ac:dyDescent="0.25">
      <c r="D482" s="28"/>
      <c r="F482" s="28"/>
      <c r="H482" s="28"/>
    </row>
    <row r="483" spans="4:8" x14ac:dyDescent="0.25">
      <c r="D483" s="28"/>
      <c r="F483" s="28"/>
      <c r="H483" s="28"/>
    </row>
    <row r="484" spans="4:8" x14ac:dyDescent="0.25">
      <c r="D484" s="28"/>
      <c r="F484" s="28"/>
      <c r="H484" s="28"/>
    </row>
    <row r="485" spans="4:8" x14ac:dyDescent="0.25">
      <c r="D485" s="28"/>
      <c r="F485" s="28"/>
      <c r="H485" s="28"/>
    </row>
    <row r="486" spans="4:8" x14ac:dyDescent="0.25">
      <c r="D486" s="28"/>
      <c r="F486" s="28"/>
      <c r="H486" s="28"/>
    </row>
    <row r="487" spans="4:8" x14ac:dyDescent="0.25">
      <c r="D487" s="28"/>
      <c r="F487" s="28"/>
      <c r="H487" s="28"/>
    </row>
    <row r="488" spans="4:8" x14ac:dyDescent="0.25">
      <c r="D488" s="28"/>
      <c r="F488" s="28"/>
      <c r="H488" s="28"/>
    </row>
    <row r="489" spans="4:8" x14ac:dyDescent="0.25">
      <c r="D489" s="28"/>
      <c r="F489" s="28"/>
      <c r="H489" s="28"/>
    </row>
    <row r="490" spans="4:8" x14ac:dyDescent="0.25">
      <c r="D490" s="28"/>
      <c r="F490" s="28"/>
      <c r="H490" s="28"/>
    </row>
    <row r="491" spans="4:8" x14ac:dyDescent="0.25">
      <c r="D491" s="28"/>
      <c r="F491" s="28"/>
      <c r="H491" s="28"/>
    </row>
    <row r="492" spans="4:8" x14ac:dyDescent="0.25">
      <c r="D492" s="28"/>
      <c r="F492" s="28"/>
      <c r="H492" s="28"/>
    </row>
    <row r="493" spans="4:8" x14ac:dyDescent="0.25">
      <c r="D493" s="28"/>
      <c r="F493" s="28"/>
      <c r="H493" s="28"/>
    </row>
    <row r="494" spans="4:8" x14ac:dyDescent="0.25">
      <c r="D494" s="28"/>
      <c r="F494" s="28"/>
      <c r="H494" s="28"/>
    </row>
    <row r="495" spans="4:8" x14ac:dyDescent="0.25">
      <c r="D495" s="28"/>
      <c r="F495" s="28"/>
      <c r="H495" s="28"/>
    </row>
    <row r="496" spans="4:8" x14ac:dyDescent="0.25">
      <c r="D496" s="28"/>
      <c r="F496" s="28"/>
      <c r="H496" s="28"/>
    </row>
    <row r="497" spans="4:8" x14ac:dyDescent="0.25">
      <c r="D497" s="28"/>
      <c r="F497" s="28"/>
      <c r="H497" s="28"/>
    </row>
    <row r="498" spans="4:8" x14ac:dyDescent="0.25">
      <c r="D498" s="28"/>
      <c r="F498" s="28"/>
      <c r="H498" s="28"/>
    </row>
    <row r="499" spans="4:8" x14ac:dyDescent="0.25">
      <c r="D499" s="28"/>
      <c r="F499" s="28"/>
      <c r="H499" s="28"/>
    </row>
    <row r="500" spans="4:8" x14ac:dyDescent="0.25">
      <c r="D500" s="28"/>
      <c r="F500" s="28"/>
      <c r="H500" s="28"/>
    </row>
    <row r="501" spans="4:8" x14ac:dyDescent="0.25">
      <c r="D501" s="28"/>
      <c r="F501" s="28"/>
      <c r="H501" s="28"/>
    </row>
    <row r="502" spans="4:8" x14ac:dyDescent="0.25">
      <c r="D502" s="28"/>
      <c r="F502" s="28"/>
      <c r="H502" s="28"/>
    </row>
    <row r="503" spans="4:8" x14ac:dyDescent="0.25">
      <c r="D503" s="28"/>
      <c r="F503" s="28"/>
      <c r="H503" s="28"/>
    </row>
    <row r="504" spans="4:8" x14ac:dyDescent="0.25">
      <c r="D504" s="28"/>
      <c r="F504" s="28"/>
      <c r="H504" s="28"/>
    </row>
    <row r="505" spans="4:8" x14ac:dyDescent="0.25">
      <c r="D505" s="28"/>
      <c r="F505" s="28"/>
      <c r="H505" s="28"/>
    </row>
    <row r="506" spans="4:8" x14ac:dyDescent="0.25">
      <c r="D506" s="28"/>
      <c r="F506" s="28"/>
      <c r="H506" s="28"/>
    </row>
    <row r="507" spans="4:8" x14ac:dyDescent="0.25">
      <c r="D507" s="28"/>
      <c r="F507" s="28"/>
      <c r="H507" s="28"/>
    </row>
    <row r="508" spans="4:8" x14ac:dyDescent="0.25">
      <c r="D508" s="28"/>
      <c r="F508" s="28"/>
      <c r="H508" s="28"/>
    </row>
    <row r="509" spans="4:8" x14ac:dyDescent="0.25">
      <c r="D509" s="28"/>
      <c r="F509" s="28"/>
      <c r="H509" s="28"/>
    </row>
    <row r="510" spans="4:8" x14ac:dyDescent="0.25">
      <c r="D510" s="28"/>
      <c r="F510" s="28"/>
      <c r="H510" s="28"/>
    </row>
    <row r="511" spans="4:8" x14ac:dyDescent="0.25">
      <c r="D511" s="28"/>
      <c r="F511" s="28"/>
      <c r="H511" s="28"/>
    </row>
    <row r="512" spans="4:8" x14ac:dyDescent="0.25">
      <c r="D512" s="28"/>
      <c r="F512" s="28"/>
      <c r="H512" s="28"/>
    </row>
    <row r="513" spans="4:8" x14ac:dyDescent="0.25">
      <c r="D513" s="28"/>
      <c r="F513" s="28"/>
      <c r="H513" s="28"/>
    </row>
    <row r="514" spans="4:8" x14ac:dyDescent="0.25">
      <c r="D514" s="28"/>
      <c r="F514" s="28"/>
      <c r="H514" s="28"/>
    </row>
    <row r="515" spans="4:8" x14ac:dyDescent="0.25">
      <c r="D515" s="28"/>
      <c r="F515" s="28"/>
      <c r="H515" s="28"/>
    </row>
    <row r="516" spans="4:8" x14ac:dyDescent="0.25">
      <c r="D516" s="28"/>
      <c r="F516" s="28"/>
      <c r="H516" s="28"/>
    </row>
    <row r="517" spans="4:8" x14ac:dyDescent="0.25">
      <c r="D517" s="28"/>
      <c r="F517" s="28"/>
      <c r="H517" s="28"/>
    </row>
    <row r="518" spans="4:8" x14ac:dyDescent="0.25">
      <c r="D518" s="28"/>
      <c r="F518" s="28"/>
      <c r="H518" s="28"/>
    </row>
    <row r="519" spans="4:8" x14ac:dyDescent="0.25">
      <c r="D519" s="28"/>
      <c r="F519" s="28"/>
      <c r="H519" s="28"/>
    </row>
    <row r="520" spans="4:8" x14ac:dyDescent="0.25">
      <c r="D520" s="28"/>
      <c r="F520" s="28"/>
      <c r="H520" s="28"/>
    </row>
    <row r="521" spans="4:8" x14ac:dyDescent="0.25">
      <c r="D521" s="28"/>
      <c r="F521" s="28"/>
      <c r="H521" s="28"/>
    </row>
    <row r="522" spans="4:8" x14ac:dyDescent="0.25">
      <c r="D522" s="28"/>
      <c r="F522" s="28"/>
      <c r="H522" s="28"/>
    </row>
    <row r="523" spans="4:8" x14ac:dyDescent="0.25">
      <c r="D523" s="28"/>
      <c r="F523" s="28"/>
      <c r="H523" s="28"/>
    </row>
    <row r="524" spans="4:8" x14ac:dyDescent="0.25">
      <c r="D524" s="28"/>
      <c r="F524" s="28"/>
      <c r="H524" s="28"/>
    </row>
    <row r="525" spans="4:8" x14ac:dyDescent="0.25">
      <c r="D525" s="28"/>
      <c r="F525" s="28"/>
      <c r="H525" s="28"/>
    </row>
    <row r="526" spans="4:8" x14ac:dyDescent="0.25">
      <c r="D526" s="28"/>
      <c r="F526" s="28"/>
      <c r="H526" s="28"/>
    </row>
    <row r="527" spans="4:8" x14ac:dyDescent="0.25">
      <c r="D527" s="28"/>
      <c r="F527" s="28"/>
      <c r="H527" s="28"/>
    </row>
    <row r="528" spans="4:8" x14ac:dyDescent="0.25">
      <c r="D528" s="28"/>
      <c r="F528" s="28"/>
      <c r="H528" s="28"/>
    </row>
    <row r="529" spans="4:8" x14ac:dyDescent="0.25">
      <c r="D529" s="28"/>
      <c r="F529" s="28"/>
      <c r="H529" s="28"/>
    </row>
    <row r="530" spans="4:8" x14ac:dyDescent="0.25">
      <c r="D530" s="28"/>
      <c r="F530" s="28"/>
      <c r="H530" s="28"/>
    </row>
    <row r="531" spans="4:8" x14ac:dyDescent="0.25">
      <c r="D531" s="28"/>
      <c r="F531" s="28"/>
      <c r="H531" s="28"/>
    </row>
    <row r="532" spans="4:8" x14ac:dyDescent="0.25">
      <c r="D532" s="28"/>
      <c r="F532" s="28"/>
      <c r="H532" s="28"/>
    </row>
    <row r="533" spans="4:8" x14ac:dyDescent="0.25">
      <c r="D533" s="28"/>
      <c r="F533" s="28"/>
      <c r="H533" s="28"/>
    </row>
    <row r="534" spans="4:8" x14ac:dyDescent="0.25">
      <c r="D534" s="28"/>
      <c r="F534" s="28"/>
      <c r="H534" s="28"/>
    </row>
    <row r="535" spans="4:8" x14ac:dyDescent="0.25">
      <c r="D535" s="28"/>
      <c r="F535" s="28"/>
      <c r="H535" s="28"/>
    </row>
    <row r="536" spans="4:8" x14ac:dyDescent="0.25">
      <c r="D536" s="28"/>
      <c r="F536" s="28"/>
      <c r="H536" s="28"/>
    </row>
    <row r="537" spans="4:8" x14ac:dyDescent="0.25">
      <c r="D537" s="28"/>
      <c r="F537" s="28"/>
      <c r="H537" s="28"/>
    </row>
    <row r="538" spans="4:8" x14ac:dyDescent="0.25">
      <c r="D538" s="28"/>
      <c r="F538" s="28"/>
      <c r="H538" s="28"/>
    </row>
    <row r="539" spans="4:8" x14ac:dyDescent="0.25">
      <c r="D539" s="28"/>
      <c r="F539" s="28"/>
      <c r="H539" s="28"/>
    </row>
    <row r="540" spans="4:8" x14ac:dyDescent="0.25">
      <c r="D540" s="28"/>
      <c r="F540" s="28"/>
      <c r="H540" s="28"/>
    </row>
    <row r="541" spans="4:8" x14ac:dyDescent="0.25">
      <c r="D541" s="28"/>
      <c r="F541" s="28"/>
      <c r="H541" s="28"/>
    </row>
    <row r="542" spans="4:8" x14ac:dyDescent="0.25">
      <c r="D542" s="28"/>
      <c r="F542" s="28"/>
      <c r="H542" s="28"/>
    </row>
    <row r="543" spans="4:8" x14ac:dyDescent="0.25">
      <c r="D543" s="28"/>
      <c r="F543" s="28"/>
      <c r="H543" s="28"/>
    </row>
    <row r="544" spans="4:8" x14ac:dyDescent="0.25">
      <c r="D544" s="28"/>
      <c r="F544" s="28"/>
      <c r="H544" s="28"/>
    </row>
    <row r="545" spans="4:8" x14ac:dyDescent="0.25">
      <c r="D545" s="28"/>
      <c r="F545" s="28"/>
      <c r="H545" s="28"/>
    </row>
    <row r="546" spans="4:8" x14ac:dyDescent="0.25">
      <c r="D546" s="28"/>
      <c r="F546" s="28"/>
      <c r="H546" s="28"/>
    </row>
    <row r="547" spans="4:8" x14ac:dyDescent="0.25">
      <c r="D547" s="28"/>
      <c r="F547" s="28"/>
      <c r="H547" s="28"/>
    </row>
    <row r="548" spans="4:8" x14ac:dyDescent="0.25">
      <c r="D548" s="28"/>
      <c r="F548" s="28"/>
      <c r="H548" s="28"/>
    </row>
    <row r="549" spans="4:8" x14ac:dyDescent="0.25">
      <c r="D549" s="28"/>
      <c r="F549" s="28"/>
      <c r="H549" s="28"/>
    </row>
    <row r="550" spans="4:8" x14ac:dyDescent="0.25">
      <c r="D550" s="28"/>
      <c r="F550" s="28"/>
      <c r="H550" s="28"/>
    </row>
    <row r="551" spans="4:8" x14ac:dyDescent="0.25">
      <c r="D551" s="28"/>
      <c r="F551" s="28"/>
      <c r="H551" s="28"/>
    </row>
    <row r="552" spans="4:8" x14ac:dyDescent="0.25">
      <c r="D552" s="28"/>
      <c r="F552" s="28"/>
      <c r="H552" s="28"/>
    </row>
    <row r="553" spans="4:8" x14ac:dyDescent="0.25">
      <c r="D553" s="28"/>
      <c r="F553" s="28"/>
      <c r="H553" s="28"/>
    </row>
    <row r="554" spans="4:8" x14ac:dyDescent="0.25">
      <c r="D554" s="28"/>
      <c r="F554" s="28"/>
      <c r="H554" s="28"/>
    </row>
    <row r="555" spans="4:8" x14ac:dyDescent="0.25">
      <c r="D555" s="28"/>
      <c r="F555" s="28"/>
      <c r="H555" s="28"/>
    </row>
    <row r="556" spans="4:8" x14ac:dyDescent="0.25">
      <c r="D556" s="28"/>
      <c r="F556" s="28"/>
      <c r="H556" s="28"/>
    </row>
    <row r="557" spans="4:8" x14ac:dyDescent="0.25">
      <c r="D557" s="28"/>
      <c r="F557" s="28"/>
      <c r="H557" s="28"/>
    </row>
    <row r="558" spans="4:8" x14ac:dyDescent="0.25">
      <c r="D558" s="28"/>
      <c r="F558" s="28"/>
      <c r="H558" s="28"/>
    </row>
    <row r="559" spans="4:8" x14ac:dyDescent="0.25">
      <c r="D559" s="28"/>
      <c r="F559" s="28"/>
      <c r="H559" s="28"/>
    </row>
    <row r="560" spans="4:8" x14ac:dyDescent="0.25">
      <c r="D560" s="28"/>
      <c r="F560" s="28"/>
      <c r="H560" s="28"/>
    </row>
    <row r="561" spans="4:8" x14ac:dyDescent="0.25">
      <c r="D561" s="28"/>
      <c r="F561" s="28"/>
      <c r="H561" s="28"/>
    </row>
    <row r="562" spans="4:8" x14ac:dyDescent="0.25">
      <c r="D562" s="28"/>
      <c r="F562" s="28"/>
      <c r="H562" s="28"/>
    </row>
    <row r="563" spans="4:8" x14ac:dyDescent="0.25">
      <c r="D563" s="28"/>
      <c r="F563" s="28"/>
      <c r="H563" s="28"/>
    </row>
    <row r="564" spans="4:8" x14ac:dyDescent="0.25">
      <c r="D564" s="28"/>
      <c r="F564" s="28"/>
      <c r="H564" s="28"/>
    </row>
    <row r="565" spans="4:8" x14ac:dyDescent="0.25">
      <c r="D565" s="28"/>
      <c r="F565" s="28"/>
      <c r="H565" s="28"/>
    </row>
    <row r="566" spans="4:8" x14ac:dyDescent="0.25">
      <c r="D566" s="28"/>
      <c r="F566" s="28"/>
      <c r="H566" s="28"/>
    </row>
    <row r="567" spans="4:8" x14ac:dyDescent="0.25">
      <c r="D567" s="28"/>
      <c r="F567" s="28"/>
      <c r="H567" s="28"/>
    </row>
    <row r="568" spans="4:8" x14ac:dyDescent="0.25">
      <c r="D568" s="28"/>
      <c r="F568" s="28"/>
      <c r="H568" s="28"/>
    </row>
    <row r="569" spans="4:8" x14ac:dyDescent="0.25">
      <c r="D569" s="28"/>
      <c r="F569" s="28"/>
      <c r="H569" s="28"/>
    </row>
    <row r="570" spans="4:8" x14ac:dyDescent="0.25">
      <c r="D570" s="28"/>
      <c r="F570" s="28"/>
      <c r="H570" s="28"/>
    </row>
    <row r="571" spans="4:8" x14ac:dyDescent="0.25">
      <c r="D571" s="28"/>
      <c r="F571" s="28"/>
      <c r="H571" s="28"/>
    </row>
    <row r="572" spans="4:8" x14ac:dyDescent="0.25">
      <c r="D572" s="28"/>
      <c r="F572" s="28"/>
      <c r="H572" s="28"/>
    </row>
    <row r="573" spans="4:8" x14ac:dyDescent="0.25">
      <c r="D573" s="28"/>
      <c r="F573" s="28"/>
      <c r="H573" s="28"/>
    </row>
    <row r="574" spans="4:8" x14ac:dyDescent="0.25">
      <c r="D574" s="28"/>
      <c r="F574" s="28"/>
      <c r="H574" s="28"/>
    </row>
    <row r="575" spans="4:8" x14ac:dyDescent="0.25">
      <c r="D575" s="28"/>
      <c r="F575" s="28"/>
      <c r="H575" s="28"/>
    </row>
    <row r="576" spans="4:8" x14ac:dyDescent="0.25">
      <c r="D576" s="28"/>
      <c r="F576" s="28"/>
      <c r="H576" s="28"/>
    </row>
    <row r="577" spans="4:8" x14ac:dyDescent="0.25">
      <c r="D577" s="28"/>
      <c r="F577" s="28"/>
      <c r="H577" s="28"/>
    </row>
    <row r="578" spans="4:8" x14ac:dyDescent="0.25">
      <c r="D578" s="28"/>
      <c r="F578" s="28"/>
      <c r="H578" s="28"/>
    </row>
    <row r="579" spans="4:8" x14ac:dyDescent="0.25">
      <c r="D579" s="28"/>
      <c r="F579" s="28"/>
      <c r="H579" s="28"/>
    </row>
    <row r="580" spans="4:8" x14ac:dyDescent="0.25">
      <c r="D580" s="28"/>
      <c r="F580" s="28"/>
      <c r="H580" s="28"/>
    </row>
    <row r="581" spans="4:8" x14ac:dyDescent="0.25">
      <c r="D581" s="28"/>
      <c r="F581" s="28"/>
      <c r="H581" s="28"/>
    </row>
    <row r="582" spans="4:8" x14ac:dyDescent="0.25">
      <c r="D582" s="28"/>
      <c r="F582" s="28"/>
      <c r="H582" s="28"/>
    </row>
    <row r="583" spans="4:8" x14ac:dyDescent="0.25">
      <c r="D583" s="28"/>
      <c r="F583" s="28"/>
      <c r="H583" s="28"/>
    </row>
    <row r="584" spans="4:8" x14ac:dyDescent="0.25">
      <c r="D584" s="28"/>
      <c r="F584" s="28"/>
      <c r="H584" s="28"/>
    </row>
    <row r="585" spans="4:8" x14ac:dyDescent="0.25">
      <c r="D585" s="28"/>
      <c r="F585" s="28"/>
      <c r="H585" s="28"/>
    </row>
    <row r="586" spans="4:8" x14ac:dyDescent="0.25">
      <c r="D586" s="28"/>
      <c r="F586" s="28"/>
      <c r="H586" s="28"/>
    </row>
    <row r="587" spans="4:8" x14ac:dyDescent="0.25">
      <c r="D587" s="28"/>
      <c r="F587" s="28"/>
      <c r="H587" s="28"/>
    </row>
    <row r="588" spans="4:8" x14ac:dyDescent="0.25">
      <c r="D588" s="28"/>
      <c r="F588" s="28"/>
      <c r="H588" s="28"/>
    </row>
    <row r="589" spans="4:8" x14ac:dyDescent="0.25">
      <c r="D589" s="28"/>
      <c r="F589" s="28"/>
      <c r="H589" s="28"/>
    </row>
    <row r="590" spans="4:8" x14ac:dyDescent="0.25">
      <c r="D590" s="28"/>
      <c r="F590" s="28"/>
      <c r="H590" s="28"/>
    </row>
    <row r="591" spans="4:8" x14ac:dyDescent="0.25">
      <c r="D591" s="28"/>
      <c r="F591" s="28"/>
      <c r="H591" s="28"/>
    </row>
    <row r="592" spans="4:8" x14ac:dyDescent="0.25">
      <c r="D592" s="28"/>
      <c r="F592" s="28"/>
      <c r="H592" s="28"/>
    </row>
    <row r="593" spans="4:8" x14ac:dyDescent="0.25">
      <c r="D593" s="28"/>
      <c r="F593" s="28"/>
      <c r="H593" s="28"/>
    </row>
    <row r="594" spans="4:8" x14ac:dyDescent="0.25">
      <c r="D594" s="28"/>
      <c r="F594" s="28"/>
      <c r="H594" s="28"/>
    </row>
    <row r="595" spans="4:8" x14ac:dyDescent="0.25">
      <c r="D595" s="28"/>
      <c r="F595" s="28"/>
      <c r="H595" s="28"/>
    </row>
    <row r="596" spans="4:8" x14ac:dyDescent="0.25">
      <c r="D596" s="28"/>
      <c r="F596" s="28"/>
      <c r="H596" s="28"/>
    </row>
    <row r="597" spans="4:8" x14ac:dyDescent="0.25">
      <c r="D597" s="28"/>
      <c r="F597" s="28"/>
      <c r="H597" s="28"/>
    </row>
    <row r="598" spans="4:8" x14ac:dyDescent="0.25">
      <c r="D598" s="28"/>
      <c r="F598" s="28"/>
      <c r="H598" s="28"/>
    </row>
    <row r="599" spans="4:8" x14ac:dyDescent="0.25">
      <c r="D599" s="28"/>
      <c r="F599" s="28"/>
      <c r="H599" s="28"/>
    </row>
    <row r="600" spans="4:8" x14ac:dyDescent="0.25">
      <c r="D600" s="28"/>
      <c r="F600" s="28"/>
      <c r="H600" s="28"/>
    </row>
    <row r="601" spans="4:8" x14ac:dyDescent="0.25">
      <c r="D601" s="28"/>
      <c r="F601" s="28"/>
      <c r="H601" s="28"/>
    </row>
    <row r="602" spans="4:8" x14ac:dyDescent="0.25">
      <c r="D602" s="28"/>
      <c r="F602" s="28"/>
      <c r="H602" s="28"/>
    </row>
    <row r="603" spans="4:8" x14ac:dyDescent="0.25">
      <c r="D603" s="28"/>
      <c r="F603" s="28"/>
      <c r="H603" s="28"/>
    </row>
    <row r="604" spans="4:8" x14ac:dyDescent="0.25">
      <c r="D604" s="28"/>
      <c r="F604" s="28"/>
      <c r="H604" s="28"/>
    </row>
    <row r="605" spans="4:8" x14ac:dyDescent="0.25">
      <c r="D605" s="28"/>
      <c r="F605" s="28"/>
      <c r="H605" s="28"/>
    </row>
    <row r="606" spans="4:8" x14ac:dyDescent="0.25">
      <c r="D606" s="28"/>
      <c r="F606" s="28"/>
      <c r="H606" s="28"/>
    </row>
    <row r="607" spans="4:8" x14ac:dyDescent="0.25">
      <c r="D607" s="28"/>
      <c r="F607" s="28"/>
      <c r="H607" s="28"/>
    </row>
    <row r="608" spans="4:8" x14ac:dyDescent="0.25">
      <c r="D608" s="28"/>
      <c r="F608" s="28"/>
      <c r="H608" s="28"/>
    </row>
    <row r="609" spans="4:8" x14ac:dyDescent="0.25">
      <c r="D609" s="28"/>
      <c r="F609" s="28"/>
      <c r="H609" s="28"/>
    </row>
    <row r="610" spans="4:8" x14ac:dyDescent="0.25">
      <c r="D610" s="28"/>
      <c r="F610" s="28"/>
      <c r="H610" s="28"/>
    </row>
    <row r="611" spans="4:8" x14ac:dyDescent="0.25">
      <c r="D611" s="28"/>
      <c r="F611" s="28"/>
      <c r="H611" s="28"/>
    </row>
    <row r="612" spans="4:8" x14ac:dyDescent="0.25">
      <c r="D612" s="28"/>
      <c r="F612" s="28"/>
      <c r="H612" s="28"/>
    </row>
    <row r="613" spans="4:8" x14ac:dyDescent="0.25">
      <c r="D613" s="28"/>
      <c r="F613" s="28"/>
      <c r="H613" s="28"/>
    </row>
    <row r="614" spans="4:8" x14ac:dyDescent="0.25">
      <c r="D614" s="28"/>
      <c r="F614" s="28"/>
      <c r="H614" s="28"/>
    </row>
    <row r="615" spans="4:8" x14ac:dyDescent="0.25">
      <c r="D615" s="28"/>
      <c r="F615" s="28"/>
      <c r="H615" s="28"/>
    </row>
    <row r="616" spans="4:8" x14ac:dyDescent="0.25">
      <c r="D616" s="28"/>
      <c r="F616" s="28"/>
      <c r="H616" s="28"/>
    </row>
    <row r="617" spans="4:8" x14ac:dyDescent="0.25">
      <c r="D617" s="28"/>
      <c r="F617" s="28"/>
      <c r="H617" s="28"/>
    </row>
    <row r="618" spans="4:8" x14ac:dyDescent="0.25">
      <c r="D618" s="28"/>
      <c r="F618" s="28"/>
      <c r="H618" s="28"/>
    </row>
    <row r="619" spans="4:8" x14ac:dyDescent="0.25">
      <c r="D619" s="28"/>
      <c r="F619" s="28"/>
      <c r="H619" s="28"/>
    </row>
    <row r="620" spans="4:8" x14ac:dyDescent="0.25">
      <c r="D620" s="28"/>
      <c r="F620" s="28"/>
      <c r="H620" s="28"/>
    </row>
    <row r="621" spans="4:8" x14ac:dyDescent="0.25">
      <c r="D621" s="28"/>
      <c r="F621" s="28"/>
      <c r="H621" s="28"/>
    </row>
    <row r="622" spans="4:8" x14ac:dyDescent="0.25">
      <c r="D622" s="28"/>
      <c r="F622" s="28"/>
      <c r="H622" s="28"/>
    </row>
    <row r="623" spans="4:8" x14ac:dyDescent="0.25">
      <c r="D623" s="28"/>
      <c r="F623" s="28"/>
      <c r="H623" s="28"/>
    </row>
    <row r="624" spans="4:8" x14ac:dyDescent="0.25">
      <c r="D624" s="28"/>
      <c r="F624" s="28"/>
      <c r="H624" s="28"/>
    </row>
    <row r="625" spans="4:8" x14ac:dyDescent="0.25">
      <c r="D625" s="28"/>
      <c r="F625" s="28"/>
      <c r="H625" s="28"/>
    </row>
    <row r="626" spans="4:8" x14ac:dyDescent="0.25">
      <c r="D626" s="28"/>
      <c r="F626" s="28"/>
      <c r="H626" s="28"/>
    </row>
    <row r="627" spans="4:8" x14ac:dyDescent="0.25">
      <c r="D627" s="28"/>
      <c r="F627" s="28"/>
      <c r="H627" s="28"/>
    </row>
    <row r="628" spans="4:8" x14ac:dyDescent="0.25">
      <c r="D628" s="28"/>
      <c r="F628" s="28"/>
      <c r="H628" s="28"/>
    </row>
    <row r="629" spans="4:8" x14ac:dyDescent="0.25">
      <c r="D629" s="28"/>
      <c r="F629" s="28"/>
      <c r="H629" s="28"/>
    </row>
    <row r="630" spans="4:8" x14ac:dyDescent="0.25">
      <c r="D630" s="28"/>
      <c r="F630" s="28"/>
      <c r="H630" s="28"/>
    </row>
    <row r="631" spans="4:8" x14ac:dyDescent="0.25">
      <c r="D631" s="28"/>
      <c r="F631" s="28"/>
      <c r="H631" s="28"/>
    </row>
    <row r="632" spans="4:8" x14ac:dyDescent="0.25">
      <c r="D632" s="28"/>
      <c r="F632" s="28"/>
      <c r="H632" s="28"/>
    </row>
    <row r="633" spans="4:8" x14ac:dyDescent="0.25">
      <c r="D633" s="28"/>
      <c r="F633" s="28"/>
      <c r="H633" s="28"/>
    </row>
    <row r="634" spans="4:8" x14ac:dyDescent="0.25">
      <c r="D634" s="28"/>
      <c r="F634" s="28"/>
      <c r="H634" s="28"/>
    </row>
    <row r="635" spans="4:8" x14ac:dyDescent="0.25">
      <c r="D635" s="28"/>
      <c r="F635" s="28"/>
      <c r="H635" s="28"/>
    </row>
    <row r="636" spans="4:8" x14ac:dyDescent="0.25">
      <c r="D636" s="28"/>
      <c r="F636" s="28"/>
      <c r="H636" s="28"/>
    </row>
    <row r="637" spans="4:8" x14ac:dyDescent="0.25">
      <c r="D637" s="28"/>
      <c r="F637" s="28"/>
      <c r="H637" s="28"/>
    </row>
    <row r="638" spans="4:8" x14ac:dyDescent="0.25">
      <c r="D638" s="28"/>
      <c r="F638" s="28"/>
      <c r="H638" s="28"/>
    </row>
    <row r="639" spans="4:8" x14ac:dyDescent="0.25">
      <c r="D639" s="28"/>
      <c r="F639" s="28"/>
      <c r="H639" s="28"/>
    </row>
    <row r="640" spans="4:8" x14ac:dyDescent="0.25">
      <c r="D640" s="28"/>
      <c r="F640" s="28"/>
      <c r="H640" s="28"/>
    </row>
    <row r="641" spans="4:8" x14ac:dyDescent="0.25">
      <c r="D641" s="28"/>
      <c r="F641" s="28"/>
      <c r="H641" s="28"/>
    </row>
    <row r="642" spans="4:8" x14ac:dyDescent="0.25">
      <c r="D642" s="28"/>
      <c r="F642" s="28"/>
      <c r="H642" s="28"/>
    </row>
    <row r="643" spans="4:8" x14ac:dyDescent="0.25">
      <c r="D643" s="28"/>
      <c r="F643" s="28"/>
      <c r="H643" s="28"/>
    </row>
    <row r="644" spans="4:8" x14ac:dyDescent="0.25">
      <c r="D644" s="28"/>
      <c r="F644" s="28"/>
      <c r="H644" s="28"/>
    </row>
    <row r="645" spans="4:8" x14ac:dyDescent="0.25">
      <c r="D645" s="28"/>
      <c r="F645" s="28"/>
      <c r="H645" s="28"/>
    </row>
    <row r="646" spans="4:8" x14ac:dyDescent="0.25">
      <c r="D646" s="28"/>
      <c r="F646" s="28"/>
      <c r="H646" s="28"/>
    </row>
    <row r="647" spans="4:8" x14ac:dyDescent="0.25">
      <c r="D647" s="28"/>
      <c r="F647" s="28"/>
      <c r="H647" s="28"/>
    </row>
    <row r="648" spans="4:8" x14ac:dyDescent="0.25">
      <c r="D648" s="28"/>
      <c r="F648" s="28"/>
      <c r="H648" s="28"/>
    </row>
    <row r="649" spans="4:8" x14ac:dyDescent="0.25">
      <c r="D649" s="28"/>
      <c r="F649" s="28"/>
      <c r="H649" s="28"/>
    </row>
    <row r="650" spans="4:8" x14ac:dyDescent="0.25">
      <c r="D650" s="28"/>
      <c r="F650" s="28"/>
      <c r="H650" s="28"/>
    </row>
    <row r="651" spans="4:8" x14ac:dyDescent="0.25">
      <c r="D651" s="28"/>
      <c r="F651" s="28"/>
      <c r="H651" s="28"/>
    </row>
    <row r="652" spans="4:8" x14ac:dyDescent="0.25">
      <c r="D652" s="28"/>
      <c r="F652" s="28"/>
      <c r="H652" s="28"/>
    </row>
    <row r="653" spans="4:8" x14ac:dyDescent="0.25">
      <c r="D653" s="28"/>
      <c r="F653" s="28"/>
      <c r="H653" s="28"/>
    </row>
    <row r="654" spans="4:8" x14ac:dyDescent="0.25">
      <c r="D654" s="28"/>
      <c r="F654" s="28"/>
      <c r="H654" s="28"/>
    </row>
    <row r="655" spans="4:8" x14ac:dyDescent="0.25">
      <c r="D655" s="28"/>
      <c r="F655" s="28"/>
      <c r="H655" s="28"/>
    </row>
    <row r="656" spans="4:8" x14ac:dyDescent="0.25">
      <c r="D656" s="28"/>
      <c r="F656" s="28"/>
      <c r="H656" s="28"/>
    </row>
    <row r="657" spans="4:8" x14ac:dyDescent="0.25">
      <c r="D657" s="28"/>
      <c r="F657" s="28"/>
      <c r="H657" s="28"/>
    </row>
    <row r="658" spans="4:8" x14ac:dyDescent="0.25">
      <c r="D658" s="28"/>
      <c r="F658" s="28"/>
      <c r="H658" s="28"/>
    </row>
    <row r="659" spans="4:8" x14ac:dyDescent="0.25">
      <c r="D659" s="28"/>
      <c r="F659" s="28"/>
      <c r="H659" s="28"/>
    </row>
    <row r="660" spans="4:8" x14ac:dyDescent="0.25">
      <c r="D660" s="28"/>
      <c r="F660" s="28"/>
      <c r="H660" s="28"/>
    </row>
    <row r="661" spans="4:8" x14ac:dyDescent="0.25">
      <c r="D661" s="28"/>
      <c r="F661" s="28"/>
      <c r="H661" s="28"/>
    </row>
    <row r="662" spans="4:8" x14ac:dyDescent="0.25">
      <c r="D662" s="28"/>
      <c r="F662" s="28"/>
      <c r="H662" s="28"/>
    </row>
    <row r="663" spans="4:8" x14ac:dyDescent="0.25">
      <c r="D663" s="28"/>
      <c r="F663" s="28"/>
      <c r="H663" s="28"/>
    </row>
    <row r="664" spans="4:8" x14ac:dyDescent="0.25">
      <c r="D664" s="28"/>
      <c r="F664" s="28"/>
      <c r="H664" s="28"/>
    </row>
    <row r="665" spans="4:8" x14ac:dyDescent="0.25">
      <c r="D665" s="28"/>
      <c r="F665" s="28"/>
      <c r="H665" s="28"/>
    </row>
    <row r="666" spans="4:8" x14ac:dyDescent="0.25">
      <c r="D666" s="28"/>
      <c r="F666" s="28"/>
      <c r="H666" s="28"/>
    </row>
    <row r="667" spans="4:8" x14ac:dyDescent="0.25">
      <c r="D667" s="28"/>
      <c r="F667" s="28"/>
      <c r="H667" s="28"/>
    </row>
    <row r="668" spans="4:8" x14ac:dyDescent="0.25">
      <c r="D668" s="28"/>
      <c r="F668" s="28"/>
      <c r="H668" s="28"/>
    </row>
    <row r="669" spans="4:8" x14ac:dyDescent="0.25">
      <c r="D669" s="28"/>
      <c r="F669" s="28"/>
      <c r="H669" s="28"/>
    </row>
    <row r="670" spans="4:8" x14ac:dyDescent="0.25">
      <c r="D670" s="28"/>
      <c r="F670" s="28"/>
      <c r="H670" s="28"/>
    </row>
    <row r="671" spans="4:8" x14ac:dyDescent="0.25">
      <c r="D671" s="28"/>
      <c r="F671" s="28"/>
      <c r="H671" s="28"/>
    </row>
    <row r="672" spans="4:8" x14ac:dyDescent="0.25">
      <c r="D672" s="28"/>
      <c r="F672" s="28"/>
      <c r="H672" s="28"/>
    </row>
    <row r="673" spans="4:8" x14ac:dyDescent="0.25">
      <c r="D673" s="28"/>
      <c r="F673" s="28"/>
      <c r="H673" s="28"/>
    </row>
    <row r="674" spans="4:8" x14ac:dyDescent="0.25">
      <c r="D674" s="28"/>
      <c r="F674" s="28"/>
      <c r="H674" s="28"/>
    </row>
    <row r="675" spans="4:8" x14ac:dyDescent="0.25">
      <c r="D675" s="28"/>
      <c r="F675" s="28"/>
      <c r="H675" s="28"/>
    </row>
    <row r="676" spans="4:8" x14ac:dyDescent="0.25">
      <c r="D676" s="28"/>
      <c r="F676" s="28"/>
      <c r="H676" s="28"/>
    </row>
    <row r="677" spans="4:8" x14ac:dyDescent="0.25">
      <c r="D677" s="28"/>
      <c r="F677" s="28"/>
      <c r="H677" s="28"/>
    </row>
    <row r="678" spans="4:8" x14ac:dyDescent="0.25">
      <c r="D678" s="28"/>
      <c r="F678" s="28"/>
      <c r="H678" s="28"/>
    </row>
    <row r="679" spans="4:8" x14ac:dyDescent="0.25">
      <c r="D679" s="28"/>
      <c r="F679" s="28"/>
      <c r="H679" s="28"/>
    </row>
    <row r="680" spans="4:8" x14ac:dyDescent="0.25">
      <c r="D680" s="28"/>
      <c r="F680" s="28"/>
      <c r="H680" s="28"/>
    </row>
    <row r="681" spans="4:8" x14ac:dyDescent="0.25">
      <c r="D681" s="28"/>
      <c r="F681" s="28"/>
      <c r="H681" s="28"/>
    </row>
    <row r="682" spans="4:8" x14ac:dyDescent="0.25">
      <c r="D682" s="28"/>
      <c r="F682" s="28"/>
      <c r="H682" s="28"/>
    </row>
    <row r="683" spans="4:8" x14ac:dyDescent="0.25">
      <c r="D683" s="28"/>
      <c r="F683" s="28"/>
      <c r="H683" s="28"/>
    </row>
    <row r="684" spans="4:8" x14ac:dyDescent="0.25">
      <c r="D684" s="28"/>
      <c r="F684" s="28"/>
      <c r="H684" s="28"/>
    </row>
    <row r="685" spans="4:8" x14ac:dyDescent="0.25">
      <c r="D685" s="28"/>
      <c r="F685" s="28"/>
      <c r="H685" s="28"/>
    </row>
    <row r="686" spans="4:8" x14ac:dyDescent="0.25">
      <c r="D686" s="28"/>
      <c r="F686" s="28"/>
      <c r="H686" s="28"/>
    </row>
    <row r="687" spans="4:8" x14ac:dyDescent="0.25">
      <c r="D687" s="28"/>
      <c r="F687" s="28"/>
      <c r="H687" s="28"/>
    </row>
    <row r="688" spans="4:8" x14ac:dyDescent="0.25">
      <c r="D688" s="28"/>
      <c r="F688" s="28"/>
      <c r="H688" s="28"/>
    </row>
    <row r="689" spans="4:8" x14ac:dyDescent="0.25">
      <c r="D689" s="28"/>
      <c r="F689" s="28"/>
      <c r="H689" s="28"/>
    </row>
    <row r="690" spans="4:8" x14ac:dyDescent="0.25">
      <c r="D690" s="28"/>
      <c r="F690" s="28"/>
      <c r="H690" s="28"/>
    </row>
    <row r="691" spans="4:8" x14ac:dyDescent="0.25">
      <c r="D691" s="28"/>
      <c r="F691" s="28"/>
      <c r="H691" s="28"/>
    </row>
    <row r="692" spans="4:8" x14ac:dyDescent="0.25">
      <c r="D692" s="28"/>
      <c r="F692" s="28"/>
      <c r="H692" s="28"/>
    </row>
    <row r="693" spans="4:8" x14ac:dyDescent="0.25">
      <c r="D693" s="28"/>
      <c r="F693" s="28"/>
      <c r="H693" s="28"/>
    </row>
    <row r="694" spans="4:8" x14ac:dyDescent="0.25">
      <c r="D694" s="28"/>
      <c r="F694" s="28"/>
      <c r="H694" s="28"/>
    </row>
    <row r="695" spans="4:8" x14ac:dyDescent="0.25">
      <c r="D695" s="28"/>
      <c r="F695" s="28"/>
      <c r="H695" s="28"/>
    </row>
    <row r="696" spans="4:8" x14ac:dyDescent="0.25">
      <c r="D696" s="28"/>
      <c r="F696" s="28"/>
      <c r="H696" s="28"/>
    </row>
    <row r="697" spans="4:8" x14ac:dyDescent="0.25">
      <c r="D697" s="28"/>
      <c r="F697" s="28"/>
      <c r="H697" s="28"/>
    </row>
    <row r="698" spans="4:8" x14ac:dyDescent="0.25">
      <c r="D698" s="28"/>
      <c r="F698" s="28"/>
      <c r="H698" s="28"/>
    </row>
    <row r="699" spans="4:8" x14ac:dyDescent="0.25">
      <c r="D699" s="28"/>
      <c r="F699" s="28"/>
      <c r="H699" s="28"/>
    </row>
    <row r="700" spans="4:8" x14ac:dyDescent="0.25">
      <c r="D700" s="28"/>
      <c r="F700" s="28"/>
      <c r="H700" s="28"/>
    </row>
    <row r="701" spans="4:8" x14ac:dyDescent="0.25">
      <c r="D701" s="28"/>
      <c r="F701" s="28"/>
      <c r="H701" s="28"/>
    </row>
    <row r="702" spans="4:8" x14ac:dyDescent="0.25">
      <c r="D702" s="28"/>
      <c r="F702" s="28"/>
      <c r="H702" s="28"/>
    </row>
    <row r="703" spans="4:8" x14ac:dyDescent="0.25">
      <c r="D703" s="28"/>
      <c r="F703" s="28"/>
      <c r="H703" s="28"/>
    </row>
    <row r="704" spans="4:8" x14ac:dyDescent="0.25">
      <c r="D704" s="28"/>
      <c r="F704" s="28"/>
      <c r="H704" s="28"/>
    </row>
    <row r="705" spans="4:8" x14ac:dyDescent="0.25">
      <c r="D705" s="28"/>
      <c r="F705" s="28"/>
      <c r="H705" s="28"/>
    </row>
    <row r="706" spans="4:8" x14ac:dyDescent="0.25">
      <c r="D706" s="28"/>
      <c r="F706" s="28"/>
      <c r="H706" s="28"/>
    </row>
    <row r="707" spans="4:8" x14ac:dyDescent="0.25">
      <c r="D707" s="28"/>
      <c r="F707" s="28"/>
      <c r="H707" s="28"/>
    </row>
    <row r="708" spans="4:8" x14ac:dyDescent="0.25">
      <c r="D708" s="28"/>
      <c r="F708" s="28"/>
      <c r="H708" s="28"/>
    </row>
    <row r="709" spans="4:8" x14ac:dyDescent="0.25">
      <c r="D709" s="28"/>
      <c r="F709" s="28"/>
      <c r="H709" s="28"/>
    </row>
    <row r="710" spans="4:8" x14ac:dyDescent="0.25">
      <c r="D710" s="28"/>
      <c r="F710" s="28"/>
      <c r="H710" s="28"/>
    </row>
    <row r="711" spans="4:8" x14ac:dyDescent="0.25">
      <c r="D711" s="28"/>
      <c r="F711" s="28"/>
      <c r="H711" s="28"/>
    </row>
    <row r="712" spans="4:8" x14ac:dyDescent="0.25">
      <c r="D712" s="28"/>
      <c r="F712" s="28"/>
      <c r="H712" s="28"/>
    </row>
    <row r="713" spans="4:8" x14ac:dyDescent="0.25">
      <c r="D713" s="28"/>
      <c r="F713" s="28"/>
      <c r="H713" s="28"/>
    </row>
    <row r="714" spans="4:8" x14ac:dyDescent="0.25">
      <c r="D714" s="28"/>
      <c r="F714" s="28"/>
      <c r="H714" s="28"/>
    </row>
    <row r="715" spans="4:8" x14ac:dyDescent="0.25">
      <c r="D715" s="28"/>
      <c r="F715" s="28"/>
      <c r="H715" s="28"/>
    </row>
    <row r="716" spans="4:8" x14ac:dyDescent="0.25">
      <c r="D716" s="28"/>
      <c r="F716" s="28"/>
      <c r="H716" s="28"/>
    </row>
    <row r="717" spans="4:8" x14ac:dyDescent="0.25">
      <c r="D717" s="28"/>
      <c r="F717" s="28"/>
      <c r="H717" s="28"/>
    </row>
    <row r="718" spans="4:8" x14ac:dyDescent="0.25">
      <c r="D718" s="28"/>
      <c r="F718" s="28"/>
      <c r="H718" s="28"/>
    </row>
    <row r="719" spans="4:8" x14ac:dyDescent="0.25">
      <c r="D719" s="28"/>
      <c r="F719" s="28"/>
      <c r="H719" s="28"/>
    </row>
    <row r="720" spans="4:8" x14ac:dyDescent="0.25">
      <c r="D720" s="28"/>
      <c r="F720" s="28"/>
      <c r="H720" s="28"/>
    </row>
    <row r="721" spans="4:8" x14ac:dyDescent="0.25">
      <c r="D721" s="28"/>
      <c r="F721" s="28"/>
      <c r="H721" s="28"/>
    </row>
    <row r="722" spans="4:8" x14ac:dyDescent="0.25">
      <c r="D722" s="28"/>
      <c r="F722" s="28"/>
      <c r="H722" s="28"/>
    </row>
    <row r="723" spans="4:8" x14ac:dyDescent="0.25">
      <c r="D723" s="28"/>
      <c r="F723" s="28"/>
      <c r="H723" s="28"/>
    </row>
    <row r="724" spans="4:8" x14ac:dyDescent="0.25">
      <c r="D724" s="28"/>
      <c r="F724" s="28"/>
      <c r="H724" s="28"/>
    </row>
    <row r="725" spans="4:8" x14ac:dyDescent="0.25">
      <c r="D725" s="28"/>
      <c r="F725" s="28"/>
      <c r="H725" s="28"/>
    </row>
    <row r="726" spans="4:8" x14ac:dyDescent="0.25">
      <c r="D726" s="28"/>
      <c r="F726" s="28"/>
      <c r="H726" s="28"/>
    </row>
    <row r="727" spans="4:8" x14ac:dyDescent="0.25">
      <c r="D727" s="28"/>
      <c r="F727" s="28"/>
      <c r="H727" s="28"/>
    </row>
    <row r="728" spans="4:8" x14ac:dyDescent="0.25">
      <c r="D728" s="28"/>
      <c r="F728" s="28"/>
      <c r="H728" s="28"/>
    </row>
    <row r="729" spans="4:8" x14ac:dyDescent="0.25">
      <c r="D729" s="28"/>
      <c r="F729" s="28"/>
      <c r="H729" s="28"/>
    </row>
    <row r="730" spans="4:8" x14ac:dyDescent="0.25">
      <c r="D730" s="28"/>
      <c r="F730" s="28"/>
      <c r="H730" s="28"/>
    </row>
    <row r="731" spans="4:8" x14ac:dyDescent="0.25">
      <c r="D731" s="28"/>
      <c r="F731" s="28"/>
      <c r="H731" s="28"/>
    </row>
    <row r="732" spans="4:8" x14ac:dyDescent="0.25">
      <c r="D732" s="28"/>
      <c r="F732" s="28"/>
      <c r="H732" s="28"/>
    </row>
    <row r="733" spans="4:8" x14ac:dyDescent="0.25">
      <c r="D733" s="28"/>
      <c r="F733" s="28"/>
      <c r="H733" s="28"/>
    </row>
    <row r="734" spans="4:8" x14ac:dyDescent="0.25">
      <c r="D734" s="28"/>
      <c r="F734" s="28"/>
      <c r="H734" s="28"/>
    </row>
    <row r="735" spans="4:8" x14ac:dyDescent="0.25">
      <c r="D735" s="28"/>
      <c r="F735" s="28"/>
      <c r="H735" s="28"/>
    </row>
    <row r="736" spans="4:8" x14ac:dyDescent="0.25">
      <c r="D736" s="28"/>
      <c r="F736" s="28"/>
      <c r="H736" s="28"/>
    </row>
    <row r="737" spans="4:8" x14ac:dyDescent="0.25">
      <c r="D737" s="28"/>
      <c r="F737" s="28"/>
      <c r="H737" s="28"/>
    </row>
    <row r="738" spans="4:8" x14ac:dyDescent="0.25">
      <c r="D738" s="28"/>
      <c r="F738" s="28"/>
      <c r="H738" s="28"/>
    </row>
    <row r="739" spans="4:8" x14ac:dyDescent="0.25">
      <c r="D739" s="28"/>
      <c r="F739" s="28"/>
      <c r="H739" s="28"/>
    </row>
    <row r="740" spans="4:8" x14ac:dyDescent="0.25">
      <c r="D740" s="28"/>
      <c r="F740" s="28"/>
      <c r="H740" s="28"/>
    </row>
    <row r="741" spans="4:8" x14ac:dyDescent="0.25">
      <c r="D741" s="28"/>
      <c r="F741" s="28"/>
      <c r="H741" s="28"/>
    </row>
    <row r="742" spans="4:8" x14ac:dyDescent="0.25">
      <c r="D742" s="28"/>
      <c r="F742" s="28"/>
      <c r="H742" s="28"/>
    </row>
    <row r="743" spans="4:8" x14ac:dyDescent="0.25">
      <c r="D743" s="28"/>
      <c r="F743" s="28"/>
      <c r="H743" s="28"/>
    </row>
    <row r="744" spans="4:8" x14ac:dyDescent="0.25">
      <c r="D744" s="28"/>
      <c r="F744" s="28"/>
      <c r="H744" s="28"/>
    </row>
    <row r="745" spans="4:8" x14ac:dyDescent="0.25">
      <c r="D745" s="28"/>
      <c r="F745" s="28"/>
      <c r="H745" s="28"/>
    </row>
    <row r="746" spans="4:8" x14ac:dyDescent="0.25">
      <c r="D746" s="28"/>
      <c r="F746" s="28"/>
      <c r="H746" s="28"/>
    </row>
    <row r="747" spans="4:8" x14ac:dyDescent="0.25">
      <c r="D747" s="28"/>
      <c r="F747" s="28"/>
      <c r="H747" s="28"/>
    </row>
    <row r="748" spans="4:8" x14ac:dyDescent="0.25">
      <c r="D748" s="28"/>
      <c r="F748" s="28"/>
      <c r="H748" s="28"/>
    </row>
    <row r="749" spans="4:8" x14ac:dyDescent="0.25">
      <c r="D749" s="28"/>
      <c r="F749" s="28"/>
      <c r="H749" s="28"/>
    </row>
    <row r="750" spans="4:8" x14ac:dyDescent="0.25">
      <c r="D750" s="28"/>
      <c r="F750" s="28"/>
      <c r="H750" s="28"/>
    </row>
    <row r="751" spans="4:8" x14ac:dyDescent="0.25">
      <c r="D751" s="28"/>
      <c r="F751" s="28"/>
      <c r="H751" s="28"/>
    </row>
    <row r="752" spans="4:8" x14ac:dyDescent="0.25">
      <c r="D752" s="28"/>
      <c r="F752" s="28"/>
      <c r="H752" s="28"/>
    </row>
    <row r="753" spans="4:8" x14ac:dyDescent="0.25">
      <c r="D753" s="28"/>
      <c r="F753" s="28"/>
      <c r="H753" s="28"/>
    </row>
    <row r="754" spans="4:8" x14ac:dyDescent="0.25">
      <c r="D754" s="28"/>
      <c r="F754" s="28"/>
      <c r="H754" s="28"/>
    </row>
    <row r="755" spans="4:8" x14ac:dyDescent="0.25">
      <c r="D755" s="28"/>
      <c r="F755" s="28"/>
      <c r="H755" s="28"/>
    </row>
    <row r="756" spans="4:8" x14ac:dyDescent="0.25">
      <c r="D756" s="28"/>
      <c r="F756" s="28"/>
      <c r="H756" s="28"/>
    </row>
    <row r="757" spans="4:8" x14ac:dyDescent="0.25">
      <c r="D757" s="28"/>
      <c r="F757" s="28"/>
      <c r="H757" s="28"/>
    </row>
    <row r="758" spans="4:8" x14ac:dyDescent="0.25">
      <c r="D758" s="28"/>
      <c r="F758" s="28"/>
      <c r="H758" s="28"/>
    </row>
    <row r="759" spans="4:8" x14ac:dyDescent="0.25">
      <c r="D759" s="28"/>
      <c r="F759" s="28"/>
      <c r="H759" s="28"/>
    </row>
    <row r="760" spans="4:8" x14ac:dyDescent="0.25">
      <c r="D760" s="28"/>
      <c r="F760" s="28"/>
      <c r="H760" s="28"/>
    </row>
    <row r="761" spans="4:8" x14ac:dyDescent="0.25">
      <c r="D761" s="28"/>
      <c r="F761" s="28"/>
      <c r="H761" s="28"/>
    </row>
    <row r="762" spans="4:8" x14ac:dyDescent="0.25">
      <c r="D762" s="28"/>
      <c r="F762" s="28"/>
      <c r="H762" s="28"/>
    </row>
    <row r="763" spans="4:8" x14ac:dyDescent="0.25">
      <c r="D763" s="28"/>
      <c r="F763" s="28"/>
      <c r="H763" s="28"/>
    </row>
    <row r="764" spans="4:8" x14ac:dyDescent="0.25">
      <c r="D764" s="28"/>
      <c r="F764" s="28"/>
      <c r="H764" s="28"/>
    </row>
    <row r="765" spans="4:8" x14ac:dyDescent="0.25">
      <c r="D765" s="28"/>
      <c r="F765" s="28"/>
      <c r="H765" s="28"/>
    </row>
    <row r="766" spans="4:8" x14ac:dyDescent="0.25">
      <c r="D766" s="28"/>
      <c r="F766" s="28"/>
      <c r="H766" s="28"/>
    </row>
    <row r="767" spans="4:8" x14ac:dyDescent="0.25">
      <c r="D767" s="28"/>
      <c r="F767" s="28"/>
      <c r="H767" s="28"/>
    </row>
    <row r="768" spans="4:8" x14ac:dyDescent="0.25">
      <c r="D768" s="28"/>
      <c r="F768" s="28"/>
      <c r="H768" s="28"/>
    </row>
    <row r="769" spans="4:8" x14ac:dyDescent="0.25">
      <c r="D769" s="28"/>
      <c r="F769" s="28"/>
      <c r="H769" s="28"/>
    </row>
    <row r="770" spans="4:8" x14ac:dyDescent="0.25">
      <c r="D770" s="28"/>
      <c r="F770" s="28"/>
      <c r="H770" s="28"/>
    </row>
    <row r="771" spans="4:8" x14ac:dyDescent="0.25">
      <c r="D771" s="28"/>
      <c r="F771" s="28"/>
      <c r="H771" s="28"/>
    </row>
    <row r="772" spans="4:8" x14ac:dyDescent="0.25">
      <c r="D772" s="28"/>
      <c r="F772" s="28"/>
      <c r="H772" s="28"/>
    </row>
    <row r="773" spans="4:8" x14ac:dyDescent="0.25">
      <c r="D773" s="28"/>
      <c r="F773" s="28"/>
      <c r="H773" s="28"/>
    </row>
    <row r="774" spans="4:8" x14ac:dyDescent="0.25">
      <c r="D774" s="28"/>
      <c r="F774" s="28"/>
      <c r="H774" s="28"/>
    </row>
    <row r="775" spans="4:8" x14ac:dyDescent="0.25">
      <c r="D775" s="28"/>
      <c r="F775" s="28"/>
      <c r="H775" s="28"/>
    </row>
    <row r="776" spans="4:8" x14ac:dyDescent="0.25">
      <c r="D776" s="28"/>
      <c r="F776" s="28"/>
      <c r="H776" s="28"/>
    </row>
    <row r="777" spans="4:8" x14ac:dyDescent="0.25">
      <c r="D777" s="28"/>
      <c r="F777" s="28"/>
      <c r="H777" s="28"/>
    </row>
    <row r="778" spans="4:8" x14ac:dyDescent="0.25">
      <c r="D778" s="28"/>
      <c r="F778" s="28"/>
      <c r="H778" s="28"/>
    </row>
    <row r="779" spans="4:8" x14ac:dyDescent="0.25">
      <c r="D779" s="28"/>
      <c r="F779" s="28"/>
      <c r="H779" s="28"/>
    </row>
    <row r="780" spans="4:8" x14ac:dyDescent="0.25">
      <c r="D780" s="28"/>
      <c r="F780" s="28"/>
      <c r="H780" s="28"/>
    </row>
    <row r="781" spans="4:8" x14ac:dyDescent="0.25">
      <c r="D781" s="28"/>
      <c r="F781" s="28"/>
      <c r="H781" s="28"/>
    </row>
    <row r="782" spans="4:8" x14ac:dyDescent="0.25">
      <c r="D782" s="28"/>
      <c r="F782" s="28"/>
      <c r="H782" s="28"/>
    </row>
    <row r="783" spans="4:8" x14ac:dyDescent="0.25">
      <c r="D783" s="28"/>
      <c r="F783" s="28"/>
      <c r="H783" s="28"/>
    </row>
    <row r="784" spans="4:8" x14ac:dyDescent="0.25">
      <c r="D784" s="28"/>
      <c r="F784" s="28"/>
      <c r="H784" s="28"/>
    </row>
    <row r="785" spans="4:8" x14ac:dyDescent="0.25">
      <c r="D785" s="28"/>
      <c r="F785" s="28"/>
      <c r="H785" s="28"/>
    </row>
    <row r="786" spans="4:8" x14ac:dyDescent="0.25">
      <c r="D786" s="28"/>
      <c r="F786" s="28"/>
      <c r="H786" s="28"/>
    </row>
    <row r="787" spans="4:8" x14ac:dyDescent="0.25">
      <c r="D787" s="28"/>
      <c r="F787" s="28"/>
      <c r="H787" s="28"/>
    </row>
    <row r="788" spans="4:8" x14ac:dyDescent="0.25">
      <c r="D788" s="28"/>
      <c r="F788" s="28"/>
      <c r="H788" s="28"/>
    </row>
    <row r="789" spans="4:8" x14ac:dyDescent="0.25">
      <c r="D789" s="28"/>
      <c r="F789" s="28"/>
      <c r="H789" s="28"/>
    </row>
    <row r="790" spans="4:8" x14ac:dyDescent="0.25">
      <c r="D790" s="28"/>
      <c r="F790" s="28"/>
      <c r="H790" s="28"/>
    </row>
    <row r="791" spans="4:8" x14ac:dyDescent="0.25">
      <c r="D791" s="28"/>
      <c r="F791" s="28"/>
      <c r="H791" s="28"/>
    </row>
    <row r="792" spans="4:8" x14ac:dyDescent="0.25">
      <c r="D792" s="28"/>
      <c r="F792" s="28"/>
      <c r="H792" s="28"/>
    </row>
    <row r="793" spans="4:8" x14ac:dyDescent="0.25">
      <c r="D793" s="28"/>
      <c r="F793" s="28"/>
      <c r="H793" s="28"/>
    </row>
    <row r="794" spans="4:8" x14ac:dyDescent="0.25">
      <c r="D794" s="28"/>
      <c r="F794" s="28"/>
      <c r="H794" s="28"/>
    </row>
    <row r="795" spans="4:8" x14ac:dyDescent="0.25">
      <c r="D795" s="28"/>
      <c r="F795" s="28"/>
      <c r="H795" s="28"/>
    </row>
    <row r="796" spans="4:8" x14ac:dyDescent="0.25">
      <c r="D796" s="28"/>
      <c r="F796" s="28"/>
      <c r="H796" s="28"/>
    </row>
    <row r="797" spans="4:8" x14ac:dyDescent="0.25">
      <c r="D797" s="28"/>
      <c r="F797" s="28"/>
      <c r="H797" s="28"/>
    </row>
    <row r="798" spans="4:8" x14ac:dyDescent="0.25">
      <c r="D798" s="28"/>
      <c r="F798" s="28"/>
      <c r="H798" s="28"/>
    </row>
    <row r="799" spans="4:8" x14ac:dyDescent="0.25">
      <c r="D799" s="28"/>
      <c r="F799" s="28"/>
      <c r="H799" s="28"/>
    </row>
    <row r="800" spans="4:8" x14ac:dyDescent="0.25">
      <c r="D800" s="28"/>
      <c r="F800" s="28"/>
      <c r="H800" s="28"/>
    </row>
    <row r="801" spans="4:8" x14ac:dyDescent="0.25">
      <c r="D801" s="28"/>
      <c r="F801" s="28"/>
      <c r="H801" s="28"/>
    </row>
    <row r="802" spans="4:8" x14ac:dyDescent="0.25">
      <c r="D802" s="28"/>
      <c r="F802" s="28"/>
      <c r="H802" s="28"/>
    </row>
    <row r="803" spans="4:8" x14ac:dyDescent="0.25">
      <c r="D803" s="28"/>
      <c r="F803" s="28"/>
      <c r="H803" s="28"/>
    </row>
    <row r="804" spans="4:8" x14ac:dyDescent="0.25">
      <c r="D804" s="28"/>
      <c r="F804" s="28"/>
      <c r="H804" s="28"/>
    </row>
    <row r="805" spans="4:8" x14ac:dyDescent="0.25">
      <c r="D805" s="28"/>
      <c r="F805" s="28"/>
      <c r="H805" s="28"/>
    </row>
    <row r="806" spans="4:8" x14ac:dyDescent="0.25">
      <c r="D806" s="28"/>
      <c r="F806" s="28"/>
      <c r="H806" s="28"/>
    </row>
    <row r="807" spans="4:8" x14ac:dyDescent="0.25">
      <c r="D807" s="28"/>
      <c r="F807" s="28"/>
      <c r="H807" s="28"/>
    </row>
    <row r="808" spans="4:8" x14ac:dyDescent="0.25">
      <c r="D808" s="28"/>
      <c r="F808" s="28"/>
      <c r="H808" s="28"/>
    </row>
    <row r="809" spans="4:8" x14ac:dyDescent="0.25">
      <c r="D809" s="28"/>
      <c r="F809" s="28"/>
      <c r="H809" s="28"/>
    </row>
    <row r="810" spans="4:8" x14ac:dyDescent="0.25">
      <c r="D810" s="28"/>
      <c r="F810" s="28"/>
      <c r="H810" s="28"/>
    </row>
    <row r="811" spans="4:8" x14ac:dyDescent="0.25">
      <c r="D811" s="28"/>
      <c r="F811" s="28"/>
      <c r="H811" s="28"/>
    </row>
    <row r="812" spans="4:8" x14ac:dyDescent="0.25">
      <c r="D812" s="28"/>
      <c r="F812" s="28"/>
      <c r="H812" s="28"/>
    </row>
    <row r="813" spans="4:8" x14ac:dyDescent="0.25">
      <c r="D813" s="28"/>
      <c r="F813" s="28"/>
      <c r="H813" s="28"/>
    </row>
    <row r="814" spans="4:8" x14ac:dyDescent="0.25">
      <c r="D814" s="28"/>
      <c r="F814" s="28"/>
      <c r="H814" s="28"/>
    </row>
    <row r="815" spans="4:8" x14ac:dyDescent="0.25">
      <c r="D815" s="28"/>
      <c r="F815" s="28"/>
      <c r="H815" s="28"/>
    </row>
    <row r="816" spans="4:8" x14ac:dyDescent="0.25">
      <c r="D816" s="28"/>
      <c r="F816" s="28"/>
      <c r="H816" s="28"/>
    </row>
    <row r="817" spans="4:8" x14ac:dyDescent="0.25">
      <c r="D817" s="28"/>
      <c r="F817" s="28"/>
      <c r="H817" s="28"/>
    </row>
    <row r="818" spans="4:8" x14ac:dyDescent="0.25">
      <c r="D818" s="28"/>
      <c r="F818" s="28"/>
      <c r="H818" s="28"/>
    </row>
    <row r="819" spans="4:8" x14ac:dyDescent="0.25">
      <c r="D819" s="28"/>
      <c r="F819" s="28"/>
      <c r="H819" s="28"/>
    </row>
    <row r="820" spans="4:8" x14ac:dyDescent="0.25">
      <c r="D820" s="28"/>
      <c r="F820" s="28"/>
      <c r="H820" s="28"/>
    </row>
    <row r="821" spans="4:8" x14ac:dyDescent="0.25">
      <c r="D821" s="28"/>
      <c r="F821" s="28"/>
      <c r="H821" s="28"/>
    </row>
    <row r="822" spans="4:8" x14ac:dyDescent="0.25">
      <c r="D822" s="28"/>
      <c r="F822" s="28"/>
      <c r="H822" s="28"/>
    </row>
    <row r="823" spans="4:8" x14ac:dyDescent="0.25">
      <c r="D823" s="28"/>
      <c r="F823" s="28"/>
      <c r="H823" s="28"/>
    </row>
    <row r="824" spans="4:8" x14ac:dyDescent="0.25">
      <c r="D824" s="28"/>
      <c r="F824" s="28"/>
      <c r="H824" s="28"/>
    </row>
    <row r="825" spans="4:8" x14ac:dyDescent="0.25">
      <c r="D825" s="28"/>
      <c r="F825" s="28"/>
      <c r="H825" s="28"/>
    </row>
    <row r="826" spans="4:8" x14ac:dyDescent="0.25">
      <c r="D826" s="28"/>
      <c r="F826" s="28"/>
      <c r="H826" s="28"/>
    </row>
    <row r="827" spans="4:8" x14ac:dyDescent="0.25">
      <c r="D827" s="28"/>
      <c r="F827" s="28"/>
      <c r="H827" s="28"/>
    </row>
    <row r="828" spans="4:8" x14ac:dyDescent="0.25">
      <c r="D828" s="28"/>
      <c r="F828" s="28"/>
      <c r="H828" s="28"/>
    </row>
    <row r="829" spans="4:8" x14ac:dyDescent="0.25">
      <c r="D829" s="28"/>
      <c r="F829" s="28"/>
      <c r="H829" s="28"/>
    </row>
    <row r="830" spans="4:8" x14ac:dyDescent="0.25">
      <c r="D830" s="28"/>
      <c r="F830" s="28"/>
      <c r="H830" s="28"/>
    </row>
    <row r="831" spans="4:8" x14ac:dyDescent="0.25">
      <c r="D831" s="28"/>
      <c r="F831" s="28"/>
      <c r="H831" s="28"/>
    </row>
    <row r="832" spans="4:8" x14ac:dyDescent="0.25">
      <c r="D832" s="28"/>
      <c r="F832" s="28"/>
      <c r="H832" s="28"/>
    </row>
    <row r="833" spans="4:8" x14ac:dyDescent="0.25">
      <c r="D833" s="28"/>
      <c r="F833" s="28"/>
      <c r="H833" s="28"/>
    </row>
    <row r="834" spans="4:8" x14ac:dyDescent="0.25">
      <c r="D834" s="28"/>
      <c r="F834" s="28"/>
      <c r="H834" s="28"/>
    </row>
    <row r="835" spans="4:8" x14ac:dyDescent="0.25">
      <c r="D835" s="28"/>
      <c r="F835" s="28"/>
      <c r="H835" s="28"/>
    </row>
    <row r="836" spans="4:8" x14ac:dyDescent="0.25">
      <c r="D836" s="28"/>
      <c r="F836" s="28"/>
      <c r="H836" s="28"/>
    </row>
    <row r="837" spans="4:8" x14ac:dyDescent="0.25">
      <c r="D837" s="28"/>
      <c r="F837" s="28"/>
      <c r="H837" s="28"/>
    </row>
    <row r="838" spans="4:8" x14ac:dyDescent="0.25">
      <c r="D838" s="28"/>
      <c r="F838" s="28"/>
      <c r="H838" s="28"/>
    </row>
    <row r="839" spans="4:8" x14ac:dyDescent="0.25">
      <c r="D839" s="28"/>
      <c r="F839" s="28"/>
      <c r="H839" s="28"/>
    </row>
    <row r="840" spans="4:8" x14ac:dyDescent="0.25">
      <c r="D840" s="28"/>
      <c r="F840" s="28"/>
      <c r="H840" s="28"/>
    </row>
    <row r="841" spans="4:8" x14ac:dyDescent="0.25">
      <c r="D841" s="28"/>
      <c r="F841" s="28"/>
      <c r="H841" s="28"/>
    </row>
    <row r="842" spans="4:8" x14ac:dyDescent="0.25">
      <c r="D842" s="28"/>
      <c r="F842" s="28"/>
      <c r="H842" s="28"/>
    </row>
    <row r="843" spans="4:8" x14ac:dyDescent="0.25">
      <c r="D843" s="28"/>
      <c r="F843" s="28"/>
      <c r="H843" s="28"/>
    </row>
    <row r="844" spans="4:8" x14ac:dyDescent="0.25">
      <c r="D844" s="28"/>
      <c r="F844" s="28"/>
      <c r="H844" s="28"/>
    </row>
    <row r="845" spans="4:8" x14ac:dyDescent="0.25">
      <c r="D845" s="28"/>
      <c r="F845" s="28"/>
      <c r="H845" s="28"/>
    </row>
    <row r="846" spans="4:8" x14ac:dyDescent="0.25">
      <c r="D846" s="28"/>
      <c r="F846" s="28"/>
      <c r="H846" s="28"/>
    </row>
    <row r="847" spans="4:8" x14ac:dyDescent="0.25">
      <c r="D847" s="28"/>
      <c r="F847" s="28"/>
      <c r="H847" s="28"/>
    </row>
    <row r="848" spans="4:8" x14ac:dyDescent="0.25">
      <c r="D848" s="28"/>
      <c r="F848" s="28"/>
      <c r="H848" s="28"/>
    </row>
    <row r="849" spans="4:8" x14ac:dyDescent="0.25">
      <c r="D849" s="28"/>
      <c r="F849" s="28"/>
      <c r="H849" s="28"/>
    </row>
    <row r="850" spans="4:8" x14ac:dyDescent="0.25">
      <c r="D850" s="28"/>
      <c r="F850" s="28"/>
      <c r="H850" s="28"/>
    </row>
    <row r="851" spans="4:8" x14ac:dyDescent="0.25">
      <c r="D851" s="28"/>
      <c r="F851" s="28"/>
      <c r="H851" s="28"/>
    </row>
    <row r="852" spans="4:8" x14ac:dyDescent="0.25">
      <c r="D852" s="28"/>
      <c r="F852" s="28"/>
      <c r="H852" s="28"/>
    </row>
    <row r="853" spans="4:8" x14ac:dyDescent="0.25">
      <c r="D853" s="28"/>
      <c r="F853" s="28"/>
      <c r="H853" s="28"/>
    </row>
    <row r="854" spans="4:8" x14ac:dyDescent="0.25">
      <c r="D854" s="28"/>
      <c r="F854" s="28"/>
      <c r="H854" s="28"/>
    </row>
    <row r="855" spans="4:8" x14ac:dyDescent="0.25">
      <c r="D855" s="28"/>
      <c r="F855" s="28"/>
      <c r="H855" s="28"/>
    </row>
    <row r="856" spans="4:8" x14ac:dyDescent="0.25">
      <c r="D856" s="28"/>
      <c r="F856" s="28"/>
      <c r="H856" s="28"/>
    </row>
    <row r="857" spans="4:8" x14ac:dyDescent="0.25">
      <c r="D857" s="28"/>
      <c r="F857" s="28"/>
      <c r="H857" s="28"/>
    </row>
    <row r="858" spans="4:8" x14ac:dyDescent="0.25">
      <c r="D858" s="28"/>
      <c r="F858" s="28"/>
      <c r="H858" s="28"/>
    </row>
    <row r="859" spans="4:8" x14ac:dyDescent="0.25">
      <c r="D859" s="28"/>
      <c r="F859" s="28"/>
      <c r="H859" s="28"/>
    </row>
    <row r="860" spans="4:8" x14ac:dyDescent="0.25">
      <c r="D860" s="28"/>
      <c r="F860" s="28"/>
      <c r="H860" s="28"/>
    </row>
    <row r="861" spans="4:8" x14ac:dyDescent="0.25">
      <c r="D861" s="28"/>
      <c r="F861" s="28"/>
      <c r="H861" s="28"/>
    </row>
    <row r="862" spans="4:8" x14ac:dyDescent="0.25">
      <c r="D862" s="28"/>
      <c r="F862" s="28"/>
      <c r="H862" s="28"/>
    </row>
    <row r="863" spans="4:8" x14ac:dyDescent="0.25">
      <c r="D863" s="28"/>
      <c r="F863" s="28"/>
      <c r="H863" s="28"/>
    </row>
    <row r="864" spans="4:8" x14ac:dyDescent="0.25">
      <c r="D864" s="28"/>
      <c r="F864" s="28"/>
      <c r="H864" s="28"/>
    </row>
    <row r="865" spans="4:8" x14ac:dyDescent="0.25">
      <c r="D865" s="28"/>
      <c r="F865" s="28"/>
      <c r="H865" s="28"/>
    </row>
    <row r="866" spans="4:8" x14ac:dyDescent="0.25">
      <c r="D866" s="28"/>
      <c r="F866" s="28"/>
      <c r="H866" s="28"/>
    </row>
    <row r="867" spans="4:8" x14ac:dyDescent="0.25">
      <c r="D867" s="28"/>
      <c r="F867" s="28"/>
      <c r="H867" s="28"/>
    </row>
    <row r="868" spans="4:8" x14ac:dyDescent="0.25">
      <c r="D868" s="28"/>
      <c r="F868" s="28"/>
      <c r="H868" s="28"/>
    </row>
    <row r="869" spans="4:8" x14ac:dyDescent="0.25">
      <c r="D869" s="28"/>
      <c r="F869" s="28"/>
      <c r="H869" s="28"/>
    </row>
    <row r="870" spans="4:8" x14ac:dyDescent="0.25">
      <c r="D870" s="28"/>
      <c r="F870" s="28"/>
      <c r="H870" s="28"/>
    </row>
    <row r="871" spans="4:8" x14ac:dyDescent="0.25">
      <c r="D871" s="28"/>
      <c r="F871" s="28"/>
      <c r="H871" s="28"/>
    </row>
    <row r="872" spans="4:8" x14ac:dyDescent="0.25">
      <c r="D872" s="28"/>
      <c r="F872" s="28"/>
      <c r="H872" s="28"/>
    </row>
    <row r="873" spans="4:8" x14ac:dyDescent="0.25">
      <c r="D873" s="28"/>
      <c r="F873" s="28"/>
      <c r="H873" s="28"/>
    </row>
    <row r="874" spans="4:8" x14ac:dyDescent="0.25">
      <c r="D874" s="28"/>
      <c r="F874" s="28"/>
      <c r="H874" s="28"/>
    </row>
    <row r="875" spans="4:8" x14ac:dyDescent="0.25">
      <c r="D875" s="28"/>
      <c r="F875" s="28"/>
      <c r="H875" s="28"/>
    </row>
    <row r="876" spans="4:8" x14ac:dyDescent="0.25">
      <c r="D876" s="28"/>
      <c r="F876" s="28"/>
      <c r="H876" s="28"/>
    </row>
    <row r="877" spans="4:8" x14ac:dyDescent="0.25">
      <c r="D877" s="28"/>
      <c r="F877" s="28"/>
      <c r="H877" s="28"/>
    </row>
    <row r="878" spans="4:8" x14ac:dyDescent="0.25">
      <c r="D878" s="28"/>
      <c r="F878" s="28"/>
      <c r="H878" s="28"/>
    </row>
    <row r="879" spans="4:8" x14ac:dyDescent="0.25">
      <c r="D879" s="28"/>
      <c r="F879" s="28"/>
      <c r="H879" s="28"/>
    </row>
    <row r="880" spans="4:8" x14ac:dyDescent="0.25">
      <c r="D880" s="28"/>
      <c r="F880" s="28"/>
      <c r="H880" s="28"/>
    </row>
    <row r="881" spans="4:8" x14ac:dyDescent="0.25">
      <c r="D881" s="28"/>
      <c r="F881" s="28"/>
      <c r="H881" s="28"/>
    </row>
    <row r="882" spans="4:8" x14ac:dyDescent="0.25">
      <c r="D882" s="28"/>
      <c r="F882" s="28"/>
      <c r="H882" s="28"/>
    </row>
    <row r="883" spans="4:8" x14ac:dyDescent="0.25">
      <c r="D883" s="28"/>
      <c r="F883" s="28"/>
      <c r="H883" s="28"/>
    </row>
    <row r="884" spans="4:8" x14ac:dyDescent="0.25">
      <c r="D884" s="28"/>
      <c r="F884" s="28"/>
      <c r="H884" s="28"/>
    </row>
    <row r="885" spans="4:8" x14ac:dyDescent="0.25">
      <c r="D885" s="28"/>
      <c r="F885" s="28"/>
      <c r="H885" s="28"/>
    </row>
    <row r="886" spans="4:8" x14ac:dyDescent="0.25">
      <c r="D886" s="28"/>
      <c r="F886" s="28"/>
      <c r="H886" s="28"/>
    </row>
    <row r="887" spans="4:8" x14ac:dyDescent="0.25">
      <c r="D887" s="28"/>
      <c r="F887" s="28"/>
      <c r="H887" s="28"/>
    </row>
    <row r="888" spans="4:8" x14ac:dyDescent="0.25">
      <c r="D888" s="28"/>
      <c r="F888" s="28"/>
      <c r="H888" s="28"/>
    </row>
    <row r="889" spans="4:8" x14ac:dyDescent="0.25">
      <c r="D889" s="28"/>
      <c r="F889" s="28"/>
      <c r="H889" s="28"/>
    </row>
    <row r="890" spans="4:8" x14ac:dyDescent="0.25">
      <c r="D890" s="28"/>
      <c r="F890" s="28"/>
      <c r="H890" s="28"/>
    </row>
    <row r="891" spans="4:8" x14ac:dyDescent="0.25">
      <c r="D891" s="28"/>
      <c r="F891" s="28"/>
      <c r="H891" s="28"/>
    </row>
    <row r="892" spans="4:8" x14ac:dyDescent="0.25">
      <c r="D892" s="28"/>
      <c r="F892" s="28"/>
      <c r="H892" s="28"/>
    </row>
    <row r="893" spans="4:8" x14ac:dyDescent="0.25">
      <c r="D893" s="28"/>
      <c r="F893" s="28"/>
      <c r="H893" s="28"/>
    </row>
    <row r="894" spans="4:8" x14ac:dyDescent="0.25">
      <c r="D894" s="28"/>
      <c r="F894" s="28"/>
      <c r="H894" s="28"/>
    </row>
    <row r="895" spans="4:8" x14ac:dyDescent="0.25">
      <c r="D895" s="28"/>
      <c r="F895" s="28"/>
      <c r="H895" s="28"/>
    </row>
    <row r="896" spans="4:8" x14ac:dyDescent="0.25">
      <c r="D896" s="28"/>
      <c r="F896" s="28"/>
      <c r="H896" s="28"/>
    </row>
    <row r="897" spans="4:8" x14ac:dyDescent="0.25">
      <c r="D897" s="28"/>
      <c r="F897" s="28"/>
      <c r="H897" s="28"/>
    </row>
    <row r="898" spans="4:8" x14ac:dyDescent="0.25">
      <c r="D898" s="28"/>
      <c r="F898" s="28"/>
      <c r="H898" s="28"/>
    </row>
    <row r="899" spans="4:8" x14ac:dyDescent="0.25">
      <c r="D899" s="28"/>
      <c r="F899" s="28"/>
      <c r="H899" s="28"/>
    </row>
    <row r="900" spans="4:8" x14ac:dyDescent="0.25">
      <c r="D900" s="28"/>
      <c r="F900" s="28"/>
      <c r="H900" s="28"/>
    </row>
    <row r="901" spans="4:8" x14ac:dyDescent="0.25">
      <c r="D901" s="28"/>
      <c r="F901" s="28"/>
      <c r="H901" s="28"/>
    </row>
    <row r="902" spans="4:8" x14ac:dyDescent="0.25">
      <c r="D902" s="28"/>
      <c r="F902" s="28"/>
      <c r="H902" s="28"/>
    </row>
    <row r="903" spans="4:8" x14ac:dyDescent="0.25">
      <c r="D903" s="28"/>
      <c r="F903" s="28"/>
      <c r="H903" s="28"/>
    </row>
    <row r="904" spans="4:8" x14ac:dyDescent="0.25">
      <c r="D904" s="28"/>
      <c r="F904" s="28"/>
      <c r="H904" s="28"/>
    </row>
    <row r="905" spans="4:8" x14ac:dyDescent="0.25">
      <c r="D905" s="28"/>
      <c r="F905" s="28"/>
      <c r="H905" s="28"/>
    </row>
    <row r="906" spans="4:8" x14ac:dyDescent="0.25">
      <c r="D906" s="28"/>
      <c r="F906" s="28"/>
      <c r="H906" s="28"/>
    </row>
    <row r="907" spans="4:8" x14ac:dyDescent="0.25">
      <c r="D907" s="28"/>
      <c r="F907" s="28"/>
      <c r="H907" s="28"/>
    </row>
    <row r="908" spans="4:8" x14ac:dyDescent="0.25">
      <c r="D908" s="28"/>
      <c r="F908" s="28"/>
      <c r="H908" s="28"/>
    </row>
    <row r="909" spans="4:8" x14ac:dyDescent="0.25">
      <c r="D909" s="28"/>
      <c r="F909" s="28"/>
      <c r="H909" s="28"/>
    </row>
    <row r="910" spans="4:8" x14ac:dyDescent="0.25">
      <c r="D910" s="28"/>
      <c r="F910" s="28"/>
      <c r="H910" s="28"/>
    </row>
    <row r="911" spans="4:8" x14ac:dyDescent="0.25">
      <c r="D911" s="28"/>
      <c r="F911" s="28"/>
      <c r="H911" s="28"/>
    </row>
    <row r="912" spans="4:8" x14ac:dyDescent="0.25">
      <c r="D912" s="28"/>
      <c r="F912" s="28"/>
      <c r="H912" s="28"/>
    </row>
    <row r="913" spans="4:8" x14ac:dyDescent="0.25">
      <c r="D913" s="28"/>
      <c r="F913" s="28"/>
      <c r="H913" s="28"/>
    </row>
    <row r="914" spans="4:8" x14ac:dyDescent="0.25">
      <c r="D914" s="28"/>
      <c r="F914" s="28"/>
      <c r="H914" s="28"/>
    </row>
    <row r="915" spans="4:8" x14ac:dyDescent="0.25">
      <c r="D915" s="28"/>
      <c r="F915" s="28"/>
      <c r="H915" s="28"/>
    </row>
    <row r="916" spans="4:8" x14ac:dyDescent="0.25">
      <c r="D916" s="28"/>
      <c r="F916" s="28"/>
      <c r="H916" s="28"/>
    </row>
    <row r="917" spans="4:8" x14ac:dyDescent="0.25">
      <c r="D917" s="28"/>
      <c r="F917" s="28"/>
      <c r="H917" s="28"/>
    </row>
    <row r="918" spans="4:8" x14ac:dyDescent="0.25">
      <c r="D918" s="28"/>
      <c r="F918" s="28"/>
      <c r="H918" s="28"/>
    </row>
    <row r="919" spans="4:8" x14ac:dyDescent="0.25">
      <c r="D919" s="28"/>
      <c r="F919" s="28"/>
      <c r="H919" s="28"/>
    </row>
    <row r="920" spans="4:8" x14ac:dyDescent="0.25">
      <c r="D920" s="28"/>
      <c r="F920" s="28"/>
      <c r="H920" s="28"/>
    </row>
    <row r="921" spans="4:8" x14ac:dyDescent="0.25">
      <c r="D921" s="28"/>
      <c r="F921" s="28"/>
      <c r="H921" s="28"/>
    </row>
    <row r="922" spans="4:8" x14ac:dyDescent="0.25">
      <c r="D922" s="28"/>
      <c r="F922" s="28"/>
      <c r="H922" s="28"/>
    </row>
    <row r="923" spans="4:8" x14ac:dyDescent="0.25">
      <c r="D923" s="28"/>
      <c r="F923" s="28"/>
      <c r="H923" s="28"/>
    </row>
    <row r="924" spans="4:8" x14ac:dyDescent="0.25">
      <c r="D924" s="28"/>
      <c r="F924" s="28"/>
      <c r="H924" s="28"/>
    </row>
    <row r="925" spans="4:8" x14ac:dyDescent="0.25">
      <c r="D925" s="28"/>
      <c r="F925" s="28"/>
      <c r="H925" s="28"/>
    </row>
    <row r="926" spans="4:8" x14ac:dyDescent="0.25">
      <c r="D926" s="28"/>
      <c r="F926" s="28"/>
      <c r="H926" s="28"/>
    </row>
    <row r="927" spans="4:8" x14ac:dyDescent="0.25">
      <c r="D927" s="28"/>
      <c r="F927" s="28"/>
      <c r="H927" s="28"/>
    </row>
    <row r="928" spans="4:8" x14ac:dyDescent="0.25">
      <c r="D928" s="28"/>
      <c r="F928" s="28"/>
      <c r="H928" s="28"/>
    </row>
    <row r="929" spans="4:8" x14ac:dyDescent="0.25">
      <c r="D929" s="28"/>
      <c r="F929" s="28"/>
      <c r="H929" s="28"/>
    </row>
    <row r="930" spans="4:8" x14ac:dyDescent="0.25">
      <c r="D930" s="28"/>
      <c r="F930" s="28"/>
      <c r="H930" s="28"/>
    </row>
    <row r="931" spans="4:8" x14ac:dyDescent="0.25">
      <c r="D931" s="28"/>
      <c r="F931" s="28"/>
      <c r="H931" s="28"/>
    </row>
    <row r="932" spans="4:8" x14ac:dyDescent="0.25">
      <c r="D932" s="28"/>
      <c r="F932" s="28"/>
      <c r="H932" s="28"/>
    </row>
    <row r="933" spans="4:8" x14ac:dyDescent="0.25">
      <c r="D933" s="28"/>
      <c r="F933" s="28"/>
      <c r="H933" s="28"/>
    </row>
    <row r="934" spans="4:8" x14ac:dyDescent="0.25">
      <c r="D934" s="28"/>
      <c r="F934" s="28"/>
      <c r="H934" s="28"/>
    </row>
    <row r="935" spans="4:8" x14ac:dyDescent="0.25">
      <c r="D935" s="28"/>
      <c r="F935" s="28"/>
      <c r="H935" s="28"/>
    </row>
    <row r="936" spans="4:8" x14ac:dyDescent="0.25">
      <c r="D936" s="28"/>
      <c r="F936" s="28"/>
      <c r="H936" s="28"/>
    </row>
    <row r="937" spans="4:8" x14ac:dyDescent="0.25">
      <c r="D937" s="28"/>
      <c r="F937" s="28"/>
      <c r="H937" s="28"/>
    </row>
    <row r="938" spans="4:8" x14ac:dyDescent="0.25">
      <c r="D938" s="28"/>
      <c r="F938" s="28"/>
      <c r="H938" s="28"/>
    </row>
    <row r="939" spans="4:8" x14ac:dyDescent="0.25">
      <c r="D939" s="28"/>
      <c r="F939" s="28"/>
      <c r="H939" s="28"/>
    </row>
    <row r="940" spans="4:8" x14ac:dyDescent="0.25">
      <c r="D940" s="28"/>
      <c r="F940" s="28"/>
      <c r="H940" s="28"/>
    </row>
    <row r="941" spans="4:8" x14ac:dyDescent="0.25">
      <c r="D941" s="28"/>
      <c r="F941" s="28"/>
      <c r="H941" s="28"/>
    </row>
    <row r="942" spans="4:8" x14ac:dyDescent="0.25">
      <c r="D942" s="28"/>
      <c r="F942" s="28"/>
      <c r="H942" s="28"/>
    </row>
    <row r="943" spans="4:8" x14ac:dyDescent="0.25">
      <c r="D943" s="28"/>
      <c r="F943" s="28"/>
      <c r="H943" s="28"/>
    </row>
    <row r="944" spans="4:8" x14ac:dyDescent="0.25">
      <c r="D944" s="28"/>
      <c r="F944" s="28"/>
      <c r="H944" s="28"/>
    </row>
    <row r="945" spans="4:8" x14ac:dyDescent="0.25">
      <c r="D945" s="28"/>
      <c r="F945" s="28"/>
      <c r="H945" s="28"/>
    </row>
    <row r="946" spans="4:8" x14ac:dyDescent="0.25">
      <c r="D946" s="28"/>
      <c r="F946" s="28"/>
      <c r="H946" s="28"/>
    </row>
    <row r="947" spans="4:8" x14ac:dyDescent="0.25">
      <c r="D947" s="28"/>
      <c r="F947" s="28"/>
      <c r="H947" s="28"/>
    </row>
    <row r="948" spans="4:8" x14ac:dyDescent="0.25">
      <c r="D948" s="28"/>
      <c r="F948" s="28"/>
      <c r="H948" s="28"/>
    </row>
    <row r="949" spans="4:8" x14ac:dyDescent="0.25">
      <c r="D949" s="28"/>
      <c r="F949" s="28"/>
      <c r="H949" s="28"/>
    </row>
    <row r="950" spans="4:8" x14ac:dyDescent="0.25">
      <c r="D950" s="28"/>
      <c r="F950" s="28"/>
      <c r="H950" s="28"/>
    </row>
    <row r="951" spans="4:8" x14ac:dyDescent="0.25">
      <c r="D951" s="28"/>
      <c r="F951" s="28"/>
      <c r="H951" s="28"/>
    </row>
    <row r="952" spans="4:8" x14ac:dyDescent="0.25">
      <c r="D952" s="28"/>
      <c r="F952" s="28"/>
      <c r="H952" s="28"/>
    </row>
    <row r="953" spans="4:8" x14ac:dyDescent="0.25">
      <c r="D953" s="28"/>
      <c r="F953" s="28"/>
      <c r="H953" s="28"/>
    </row>
    <row r="954" spans="4:8" x14ac:dyDescent="0.25">
      <c r="D954" s="28"/>
      <c r="F954" s="28"/>
      <c r="H954" s="28"/>
    </row>
    <row r="955" spans="4:8" x14ac:dyDescent="0.25">
      <c r="D955" s="28"/>
      <c r="F955" s="28"/>
      <c r="H955" s="28"/>
    </row>
    <row r="956" spans="4:8" x14ac:dyDescent="0.25">
      <c r="D956" s="28"/>
      <c r="F956" s="28"/>
      <c r="H956" s="28"/>
    </row>
    <row r="957" spans="4:8" x14ac:dyDescent="0.25">
      <c r="D957" s="28"/>
      <c r="F957" s="28"/>
      <c r="H957" s="28"/>
    </row>
    <row r="958" spans="4:8" x14ac:dyDescent="0.25">
      <c r="D958" s="28"/>
      <c r="F958" s="28"/>
      <c r="H958" s="28"/>
    </row>
    <row r="959" spans="4:8" x14ac:dyDescent="0.25">
      <c r="D959" s="28"/>
      <c r="F959" s="28"/>
      <c r="H959" s="28"/>
    </row>
    <row r="960" spans="4:8" x14ac:dyDescent="0.25">
      <c r="D960" s="28"/>
      <c r="F960" s="28"/>
      <c r="H960" s="28"/>
    </row>
    <row r="961" spans="4:8" x14ac:dyDescent="0.25">
      <c r="D961" s="28"/>
      <c r="F961" s="28"/>
      <c r="H961" s="28"/>
    </row>
    <row r="962" spans="4:8" x14ac:dyDescent="0.25">
      <c r="D962" s="28"/>
      <c r="F962" s="28"/>
      <c r="H962" s="28"/>
    </row>
    <row r="963" spans="4:8" x14ac:dyDescent="0.25">
      <c r="D963" s="28"/>
      <c r="F963" s="28"/>
      <c r="H963" s="28"/>
    </row>
    <row r="964" spans="4:8" x14ac:dyDescent="0.25">
      <c r="D964" s="28"/>
      <c r="F964" s="28"/>
      <c r="H964" s="28"/>
    </row>
    <row r="965" spans="4:8" x14ac:dyDescent="0.25">
      <c r="D965" s="28"/>
      <c r="F965" s="28"/>
      <c r="H965" s="28"/>
    </row>
    <row r="966" spans="4:8" x14ac:dyDescent="0.25">
      <c r="D966" s="28"/>
      <c r="F966" s="28"/>
      <c r="H966" s="28"/>
    </row>
    <row r="967" spans="4:8" x14ac:dyDescent="0.25">
      <c r="D967" s="28"/>
      <c r="F967" s="28"/>
      <c r="H967" s="28"/>
    </row>
    <row r="968" spans="4:8" x14ac:dyDescent="0.25">
      <c r="D968" s="28"/>
      <c r="F968" s="28"/>
      <c r="H968" s="28"/>
    </row>
    <row r="969" spans="4:8" x14ac:dyDescent="0.25">
      <c r="D969" s="28"/>
      <c r="F969" s="28"/>
      <c r="H969" s="28"/>
    </row>
    <row r="970" spans="4:8" x14ac:dyDescent="0.25">
      <c r="D970" s="28"/>
      <c r="F970" s="28"/>
      <c r="H970" s="28"/>
    </row>
    <row r="971" spans="4:8" x14ac:dyDescent="0.25">
      <c r="D971" s="28"/>
      <c r="F971" s="28"/>
      <c r="H971" s="28"/>
    </row>
    <row r="972" spans="4:8" x14ac:dyDescent="0.25">
      <c r="D972" s="28"/>
      <c r="F972" s="28"/>
      <c r="H972" s="28"/>
    </row>
    <row r="973" spans="4:8" x14ac:dyDescent="0.25">
      <c r="D973" s="28"/>
      <c r="F973" s="28"/>
      <c r="H973" s="28"/>
    </row>
    <row r="974" spans="4:8" x14ac:dyDescent="0.25">
      <c r="D974" s="28"/>
      <c r="F974" s="28"/>
      <c r="H974" s="28"/>
    </row>
    <row r="975" spans="4:8" x14ac:dyDescent="0.25">
      <c r="D975" s="28"/>
      <c r="F975" s="28"/>
      <c r="H975" s="28"/>
    </row>
    <row r="976" spans="4:8" x14ac:dyDescent="0.25">
      <c r="D976" s="28"/>
      <c r="F976" s="28"/>
      <c r="H976" s="28"/>
    </row>
    <row r="977" spans="4:8" x14ac:dyDescent="0.25">
      <c r="D977" s="28"/>
      <c r="F977" s="28"/>
      <c r="H977" s="28"/>
    </row>
    <row r="978" spans="4:8" x14ac:dyDescent="0.25">
      <c r="D978" s="28"/>
      <c r="F978" s="28"/>
      <c r="H978" s="28"/>
    </row>
    <row r="979" spans="4:8" x14ac:dyDescent="0.25">
      <c r="D979" s="28"/>
      <c r="F979" s="28"/>
      <c r="H979" s="28"/>
    </row>
    <row r="980" spans="4:8" x14ac:dyDescent="0.25">
      <c r="D980" s="28"/>
      <c r="F980" s="28"/>
      <c r="H980" s="28"/>
    </row>
    <row r="981" spans="4:8" x14ac:dyDescent="0.25">
      <c r="D981" s="28"/>
      <c r="F981" s="28"/>
      <c r="H981" s="28"/>
    </row>
    <row r="982" spans="4:8" x14ac:dyDescent="0.25">
      <c r="D982" s="28"/>
      <c r="F982" s="28"/>
      <c r="H982" s="28"/>
    </row>
    <row r="983" spans="4:8" x14ac:dyDescent="0.25">
      <c r="D983" s="28"/>
      <c r="F983" s="28"/>
      <c r="H983" s="28"/>
    </row>
    <row r="984" spans="4:8" x14ac:dyDescent="0.25">
      <c r="D984" s="28"/>
      <c r="F984" s="28"/>
      <c r="H984" s="28"/>
    </row>
    <row r="985" spans="4:8" x14ac:dyDescent="0.25">
      <c r="D985" s="28"/>
      <c r="F985" s="28"/>
      <c r="H985" s="28"/>
    </row>
    <row r="986" spans="4:8" x14ac:dyDescent="0.25">
      <c r="D986" s="28"/>
      <c r="F986" s="28"/>
      <c r="H986" s="28"/>
    </row>
    <row r="987" spans="4:8" x14ac:dyDescent="0.25">
      <c r="D987" s="28"/>
      <c r="F987" s="28"/>
      <c r="H987" s="28"/>
    </row>
    <row r="988" spans="4:8" x14ac:dyDescent="0.25">
      <c r="D988" s="28"/>
      <c r="F988" s="28"/>
      <c r="H988" s="28"/>
    </row>
    <row r="989" spans="4:8" x14ac:dyDescent="0.25">
      <c r="D989" s="28"/>
      <c r="F989" s="28"/>
      <c r="H989" s="28"/>
    </row>
    <row r="990" spans="4:8" x14ac:dyDescent="0.25">
      <c r="D990" s="28"/>
      <c r="F990" s="28"/>
      <c r="H990" s="28"/>
    </row>
    <row r="991" spans="4:8" x14ac:dyDescent="0.25">
      <c r="D991" s="28"/>
      <c r="F991" s="28"/>
      <c r="H991" s="28"/>
    </row>
    <row r="992" spans="4:8" x14ac:dyDescent="0.25">
      <c r="D992" s="28"/>
      <c r="F992" s="28"/>
      <c r="H992" s="28"/>
    </row>
    <row r="993" spans="4:8" x14ac:dyDescent="0.25">
      <c r="D993" s="28"/>
      <c r="F993" s="28"/>
      <c r="H993" s="28"/>
    </row>
    <row r="994" spans="4:8" x14ac:dyDescent="0.25">
      <c r="D994" s="28"/>
      <c r="F994" s="28"/>
      <c r="H994" s="28"/>
    </row>
    <row r="995" spans="4:8" x14ac:dyDescent="0.25">
      <c r="D995" s="28"/>
      <c r="F995" s="28"/>
      <c r="H995" s="28"/>
    </row>
    <row r="996" spans="4:8" x14ac:dyDescent="0.25">
      <c r="D996" s="28"/>
      <c r="F996" s="28"/>
      <c r="H996" s="28"/>
    </row>
    <row r="997" spans="4:8" x14ac:dyDescent="0.25">
      <c r="D997" s="28"/>
      <c r="F997" s="28"/>
      <c r="H997" s="28"/>
    </row>
    <row r="998" spans="4:8" x14ac:dyDescent="0.25">
      <c r="D998" s="28"/>
      <c r="F998" s="28"/>
      <c r="H998" s="28"/>
    </row>
    <row r="999" spans="4:8" x14ac:dyDescent="0.25">
      <c r="D999" s="28"/>
      <c r="F999" s="28"/>
      <c r="H999" s="28"/>
    </row>
    <row r="1000" spans="4:8" x14ac:dyDescent="0.25">
      <c r="D1000" s="28"/>
      <c r="F1000" s="28"/>
      <c r="H1000" s="28"/>
    </row>
    <row r="1001" spans="4:8" x14ac:dyDescent="0.25">
      <c r="D1001" s="28"/>
      <c r="F1001" s="28"/>
      <c r="H1001" s="28"/>
    </row>
    <row r="1002" spans="4:8" x14ac:dyDescent="0.25">
      <c r="D1002" s="28"/>
      <c r="F1002" s="28"/>
      <c r="H1002" s="28"/>
    </row>
    <row r="1003" spans="4:8" x14ac:dyDescent="0.25">
      <c r="D1003" s="28"/>
      <c r="F1003" s="28"/>
      <c r="H1003" s="28"/>
    </row>
    <row r="1004" spans="4:8" x14ac:dyDescent="0.25">
      <c r="D1004" s="28"/>
      <c r="F1004" s="28"/>
      <c r="H1004" s="28"/>
    </row>
    <row r="1005" spans="4:8" x14ac:dyDescent="0.25">
      <c r="D1005" s="28"/>
      <c r="F1005" s="28"/>
      <c r="H1005" s="28"/>
    </row>
    <row r="1006" spans="4:8" x14ac:dyDescent="0.25">
      <c r="D1006" s="28"/>
      <c r="F1006" s="28"/>
      <c r="H1006" s="28"/>
    </row>
    <row r="1007" spans="4:8" x14ac:dyDescent="0.25">
      <c r="D1007" s="28"/>
      <c r="F1007" s="28"/>
      <c r="H1007" s="28"/>
    </row>
    <row r="1008" spans="4:8" x14ac:dyDescent="0.25">
      <c r="D1008" s="28"/>
      <c r="F1008" s="28"/>
      <c r="H1008" s="28"/>
    </row>
    <row r="1009" spans="4:8" x14ac:dyDescent="0.25">
      <c r="D1009" s="28"/>
      <c r="F1009" s="28"/>
      <c r="H1009" s="28"/>
    </row>
    <row r="1010" spans="4:8" x14ac:dyDescent="0.25">
      <c r="D1010" s="28"/>
      <c r="F1010" s="28"/>
      <c r="H1010" s="28"/>
    </row>
    <row r="1011" spans="4:8" x14ac:dyDescent="0.25">
      <c r="D1011" s="28"/>
      <c r="F1011" s="28"/>
      <c r="H1011" s="28"/>
    </row>
    <row r="1012" spans="4:8" x14ac:dyDescent="0.25">
      <c r="D1012" s="28"/>
      <c r="F1012" s="28"/>
      <c r="H1012" s="28"/>
    </row>
    <row r="1013" spans="4:8" x14ac:dyDescent="0.25">
      <c r="D1013" s="28"/>
      <c r="F1013" s="28"/>
      <c r="H1013" s="28"/>
    </row>
    <row r="1014" spans="4:8" x14ac:dyDescent="0.25">
      <c r="D1014" s="28"/>
      <c r="F1014" s="28"/>
      <c r="H1014" s="28"/>
    </row>
    <row r="1015" spans="4:8" x14ac:dyDescent="0.25">
      <c r="D1015" s="28"/>
      <c r="F1015" s="28"/>
      <c r="H1015" s="28"/>
    </row>
    <row r="1016" spans="4:8" x14ac:dyDescent="0.25">
      <c r="D1016" s="28"/>
      <c r="F1016" s="28"/>
      <c r="H1016" s="28"/>
    </row>
    <row r="1017" spans="4:8" x14ac:dyDescent="0.25">
      <c r="D1017" s="28"/>
      <c r="F1017" s="28"/>
      <c r="H1017" s="28"/>
    </row>
    <row r="1018" spans="4:8" x14ac:dyDescent="0.25">
      <c r="D1018" s="28"/>
      <c r="F1018" s="28"/>
      <c r="H1018" s="28"/>
    </row>
    <row r="1019" spans="4:8" x14ac:dyDescent="0.25">
      <c r="D1019" s="28"/>
      <c r="F1019" s="28"/>
      <c r="H1019" s="28"/>
    </row>
    <row r="1020" spans="4:8" x14ac:dyDescent="0.25">
      <c r="D1020" s="28"/>
      <c r="F1020" s="28"/>
      <c r="H1020" s="28"/>
    </row>
    <row r="1021" spans="4:8" x14ac:dyDescent="0.25">
      <c r="D1021" s="28"/>
      <c r="F1021" s="28"/>
      <c r="H1021" s="28"/>
    </row>
    <row r="1022" spans="4:8" x14ac:dyDescent="0.25">
      <c r="D1022" s="28"/>
      <c r="F1022" s="28"/>
      <c r="H1022" s="28"/>
    </row>
    <row r="1023" spans="4:8" x14ac:dyDescent="0.25">
      <c r="D1023" s="28"/>
      <c r="F1023" s="28"/>
      <c r="H1023" s="28"/>
    </row>
    <row r="1024" spans="4:8" x14ac:dyDescent="0.25">
      <c r="D1024" s="28"/>
      <c r="F1024" s="28"/>
      <c r="H1024" s="28"/>
    </row>
    <row r="1025" spans="4:8" x14ac:dyDescent="0.25">
      <c r="D1025" s="28"/>
      <c r="F1025" s="28"/>
      <c r="H1025" s="28"/>
    </row>
    <row r="1026" spans="4:8" x14ac:dyDescent="0.25">
      <c r="D1026" s="28"/>
      <c r="F1026" s="28"/>
      <c r="H1026" s="28"/>
    </row>
    <row r="1027" spans="4:8" x14ac:dyDescent="0.25">
      <c r="D1027" s="28"/>
      <c r="F1027" s="28"/>
      <c r="H1027" s="28"/>
    </row>
    <row r="1028" spans="4:8" x14ac:dyDescent="0.25">
      <c r="D1028" s="28"/>
      <c r="F1028" s="28"/>
      <c r="H1028" s="28"/>
    </row>
    <row r="1029" spans="4:8" x14ac:dyDescent="0.25">
      <c r="D1029" s="28"/>
      <c r="F1029" s="28"/>
      <c r="H1029" s="28"/>
    </row>
    <row r="1030" spans="4:8" x14ac:dyDescent="0.25">
      <c r="D1030" s="28"/>
      <c r="F1030" s="28"/>
      <c r="H1030" s="28"/>
    </row>
    <row r="1031" spans="4:8" x14ac:dyDescent="0.25">
      <c r="D1031" s="28"/>
      <c r="F1031" s="28"/>
      <c r="H1031" s="28"/>
    </row>
    <row r="1032" spans="4:8" x14ac:dyDescent="0.25">
      <c r="D1032" s="28"/>
      <c r="F1032" s="28"/>
      <c r="H1032" s="28"/>
    </row>
    <row r="1033" spans="4:8" x14ac:dyDescent="0.25">
      <c r="D1033" s="28"/>
      <c r="F1033" s="28"/>
      <c r="H1033" s="28"/>
    </row>
    <row r="1034" spans="4:8" x14ac:dyDescent="0.25">
      <c r="D1034" s="28"/>
      <c r="F1034" s="28"/>
      <c r="H1034" s="28"/>
    </row>
    <row r="1035" spans="4:8" x14ac:dyDescent="0.25">
      <c r="D1035" s="28"/>
      <c r="F1035" s="28"/>
      <c r="H1035" s="28"/>
    </row>
    <row r="1036" spans="4:8" x14ac:dyDescent="0.25">
      <c r="D1036" s="28"/>
      <c r="F1036" s="28"/>
      <c r="H1036" s="28"/>
    </row>
    <row r="1037" spans="4:8" x14ac:dyDescent="0.25">
      <c r="D1037" s="28"/>
      <c r="F1037" s="28"/>
      <c r="H1037" s="28"/>
    </row>
    <row r="1038" spans="4:8" x14ac:dyDescent="0.25">
      <c r="D1038" s="28"/>
      <c r="F1038" s="28"/>
      <c r="H1038" s="28"/>
    </row>
    <row r="1039" spans="4:8" x14ac:dyDescent="0.25">
      <c r="D1039" s="28"/>
      <c r="F1039" s="28"/>
      <c r="H1039" s="28"/>
    </row>
    <row r="1040" spans="4:8" x14ac:dyDescent="0.25">
      <c r="D1040" s="28"/>
      <c r="F1040" s="28"/>
      <c r="H1040" s="28"/>
    </row>
    <row r="1041" spans="4:8" x14ac:dyDescent="0.25">
      <c r="D1041" s="28"/>
      <c r="F1041" s="28"/>
      <c r="H1041" s="28"/>
    </row>
    <row r="1042" spans="4:8" x14ac:dyDescent="0.25">
      <c r="D1042" s="28"/>
      <c r="F1042" s="28"/>
      <c r="H1042" s="28"/>
    </row>
    <row r="1043" spans="4:8" x14ac:dyDescent="0.25">
      <c r="D1043" s="28"/>
      <c r="F1043" s="28"/>
      <c r="H1043" s="28"/>
    </row>
    <row r="1044" spans="4:8" x14ac:dyDescent="0.25">
      <c r="D1044" s="28"/>
      <c r="F1044" s="28"/>
      <c r="H1044" s="28"/>
    </row>
    <row r="1045" spans="4:8" x14ac:dyDescent="0.25">
      <c r="D1045" s="28"/>
      <c r="F1045" s="28"/>
      <c r="H1045" s="28"/>
    </row>
    <row r="1046" spans="4:8" x14ac:dyDescent="0.25">
      <c r="D1046" s="28"/>
      <c r="F1046" s="28"/>
      <c r="H1046" s="28"/>
    </row>
    <row r="1047" spans="4:8" x14ac:dyDescent="0.25">
      <c r="D1047" s="28"/>
      <c r="F1047" s="28"/>
      <c r="H1047" s="28"/>
    </row>
    <row r="1048" spans="4:8" x14ac:dyDescent="0.25">
      <c r="D1048" s="28"/>
      <c r="F1048" s="28"/>
      <c r="H1048" s="28"/>
    </row>
    <row r="1049" spans="4:8" x14ac:dyDescent="0.25">
      <c r="D1049" s="28"/>
      <c r="F1049" s="28"/>
      <c r="H1049" s="28"/>
    </row>
    <row r="1050" spans="4:8" x14ac:dyDescent="0.25">
      <c r="D1050" s="28"/>
      <c r="F1050" s="28"/>
      <c r="H1050" s="28"/>
    </row>
    <row r="1051" spans="4:8" x14ac:dyDescent="0.25">
      <c r="D1051" s="28"/>
      <c r="F1051" s="28"/>
      <c r="H1051" s="28"/>
    </row>
    <row r="1052" spans="4:8" x14ac:dyDescent="0.25">
      <c r="D1052" s="28"/>
      <c r="F1052" s="28"/>
      <c r="H1052" s="28"/>
    </row>
    <row r="1053" spans="4:8" x14ac:dyDescent="0.25">
      <c r="D1053" s="28"/>
      <c r="F1053" s="28"/>
      <c r="H1053" s="28"/>
    </row>
    <row r="1054" spans="4:8" x14ac:dyDescent="0.25">
      <c r="D1054" s="28"/>
      <c r="F1054" s="28"/>
      <c r="H1054" s="28"/>
    </row>
    <row r="1055" spans="4:8" x14ac:dyDescent="0.25">
      <c r="D1055" s="28"/>
      <c r="F1055" s="28"/>
      <c r="H1055" s="28"/>
    </row>
    <row r="1056" spans="4:8" x14ac:dyDescent="0.25">
      <c r="D1056" s="28"/>
      <c r="F1056" s="28"/>
      <c r="H1056" s="28"/>
    </row>
    <row r="1057" spans="4:8" x14ac:dyDescent="0.25">
      <c r="D1057" s="28"/>
      <c r="F1057" s="28"/>
      <c r="H1057" s="28"/>
    </row>
    <row r="1058" spans="4:8" x14ac:dyDescent="0.25">
      <c r="D1058" s="28"/>
      <c r="F1058" s="28"/>
      <c r="H1058" s="28"/>
    </row>
    <row r="1059" spans="4:8" x14ac:dyDescent="0.25">
      <c r="D1059" s="28"/>
      <c r="F1059" s="28"/>
      <c r="H1059" s="28"/>
    </row>
    <row r="1060" spans="4:8" x14ac:dyDescent="0.25">
      <c r="D1060" s="28"/>
      <c r="F1060" s="28"/>
      <c r="H1060" s="28"/>
    </row>
    <row r="1061" spans="4:8" x14ac:dyDescent="0.25">
      <c r="D1061" s="28"/>
      <c r="F1061" s="28"/>
      <c r="H1061" s="28"/>
    </row>
    <row r="1062" spans="4:8" x14ac:dyDescent="0.25">
      <c r="D1062" s="28"/>
      <c r="F1062" s="28"/>
      <c r="H1062" s="28"/>
    </row>
    <row r="1063" spans="4:8" x14ac:dyDescent="0.25">
      <c r="D1063" s="28"/>
      <c r="F1063" s="28"/>
      <c r="H1063" s="28"/>
    </row>
    <row r="1064" spans="4:8" x14ac:dyDescent="0.25">
      <c r="D1064" s="28"/>
      <c r="F1064" s="28"/>
      <c r="H1064" s="28"/>
    </row>
    <row r="1065" spans="4:8" x14ac:dyDescent="0.25">
      <c r="D1065" s="28"/>
      <c r="F1065" s="28"/>
      <c r="H1065" s="28"/>
    </row>
    <row r="1066" spans="4:8" x14ac:dyDescent="0.25">
      <c r="D1066" s="28"/>
      <c r="F1066" s="28"/>
      <c r="H1066" s="28"/>
    </row>
    <row r="1067" spans="4:8" x14ac:dyDescent="0.25">
      <c r="D1067" s="28"/>
      <c r="F1067" s="28"/>
      <c r="H1067" s="28"/>
    </row>
    <row r="1068" spans="4:8" x14ac:dyDescent="0.25">
      <c r="D1068" s="28"/>
      <c r="F1068" s="28"/>
      <c r="H1068" s="28"/>
    </row>
    <row r="1069" spans="4:8" x14ac:dyDescent="0.25">
      <c r="D1069" s="28"/>
      <c r="F1069" s="28"/>
      <c r="H1069" s="28"/>
    </row>
    <row r="1070" spans="4:8" x14ac:dyDescent="0.25">
      <c r="D1070" s="28"/>
      <c r="F1070" s="28"/>
      <c r="H1070" s="28"/>
    </row>
    <row r="1071" spans="4:8" x14ac:dyDescent="0.25">
      <c r="D1071" s="28"/>
      <c r="F1071" s="28"/>
      <c r="H1071" s="28"/>
    </row>
    <row r="1072" spans="4:8" x14ac:dyDescent="0.25">
      <c r="D1072" s="28"/>
      <c r="F1072" s="28"/>
      <c r="H1072" s="28"/>
    </row>
    <row r="1073" spans="4:8" x14ac:dyDescent="0.25">
      <c r="D1073" s="28"/>
      <c r="F1073" s="28"/>
      <c r="H1073" s="28"/>
    </row>
    <row r="1074" spans="4:8" x14ac:dyDescent="0.25">
      <c r="D1074" s="28"/>
      <c r="F1074" s="28"/>
      <c r="H1074" s="28"/>
    </row>
    <row r="1075" spans="4:8" x14ac:dyDescent="0.25">
      <c r="D1075" s="28"/>
      <c r="F1075" s="28"/>
      <c r="H1075" s="28"/>
    </row>
    <row r="1076" spans="4:8" x14ac:dyDescent="0.25">
      <c r="D1076" s="28"/>
      <c r="F1076" s="28"/>
      <c r="H1076" s="28"/>
    </row>
    <row r="1077" spans="4:8" x14ac:dyDescent="0.25">
      <c r="D1077" s="28"/>
      <c r="F1077" s="28"/>
      <c r="H1077" s="28"/>
    </row>
    <row r="1078" spans="4:8" x14ac:dyDescent="0.25">
      <c r="D1078" s="28"/>
      <c r="F1078" s="28"/>
      <c r="H1078" s="28"/>
    </row>
    <row r="1079" spans="4:8" x14ac:dyDescent="0.25">
      <c r="D1079" s="28"/>
      <c r="F1079" s="28"/>
      <c r="H1079" s="28"/>
    </row>
    <row r="1080" spans="4:8" x14ac:dyDescent="0.25">
      <c r="D1080" s="28"/>
      <c r="F1080" s="28"/>
      <c r="H1080" s="28"/>
    </row>
    <row r="1081" spans="4:8" x14ac:dyDescent="0.25">
      <c r="D1081" s="28"/>
      <c r="F1081" s="28"/>
      <c r="H1081" s="28"/>
    </row>
    <row r="1082" spans="4:8" x14ac:dyDescent="0.25">
      <c r="D1082" s="28"/>
      <c r="F1082" s="28"/>
      <c r="H1082" s="28"/>
    </row>
    <row r="1083" spans="4:8" x14ac:dyDescent="0.25">
      <c r="D1083" s="28"/>
      <c r="F1083" s="28"/>
      <c r="H1083" s="28"/>
    </row>
    <row r="1084" spans="4:8" x14ac:dyDescent="0.25">
      <c r="D1084" s="28"/>
      <c r="F1084" s="28"/>
      <c r="H1084" s="28"/>
    </row>
    <row r="1085" spans="4:8" x14ac:dyDescent="0.25">
      <c r="D1085" s="28"/>
      <c r="F1085" s="28"/>
      <c r="H1085" s="28"/>
    </row>
    <row r="1086" spans="4:8" x14ac:dyDescent="0.25">
      <c r="D1086" s="28"/>
      <c r="F1086" s="28"/>
      <c r="H1086" s="28"/>
    </row>
    <row r="1087" spans="4:8" x14ac:dyDescent="0.25">
      <c r="D1087" s="28"/>
      <c r="F1087" s="28"/>
      <c r="H1087" s="28"/>
    </row>
    <row r="1088" spans="4:8" x14ac:dyDescent="0.25">
      <c r="D1088" s="28"/>
      <c r="F1088" s="28"/>
      <c r="H1088" s="28"/>
    </row>
    <row r="1089" spans="4:8" x14ac:dyDescent="0.25">
      <c r="D1089" s="28"/>
      <c r="F1089" s="28"/>
      <c r="H1089" s="28"/>
    </row>
    <row r="1090" spans="4:8" x14ac:dyDescent="0.25">
      <c r="D1090" s="28"/>
      <c r="F1090" s="28"/>
      <c r="H1090" s="28"/>
    </row>
    <row r="1091" spans="4:8" x14ac:dyDescent="0.25">
      <c r="D1091" s="28"/>
      <c r="F1091" s="28"/>
      <c r="H1091" s="28"/>
    </row>
    <row r="1092" spans="4:8" x14ac:dyDescent="0.25">
      <c r="D1092" s="28"/>
      <c r="F1092" s="28"/>
      <c r="H1092" s="28"/>
    </row>
    <row r="1093" spans="4:8" x14ac:dyDescent="0.25">
      <c r="D1093" s="28"/>
      <c r="F1093" s="28"/>
      <c r="H1093" s="28"/>
    </row>
    <row r="1094" spans="4:8" x14ac:dyDescent="0.25">
      <c r="D1094" s="28"/>
      <c r="F1094" s="28"/>
      <c r="H1094" s="28"/>
    </row>
    <row r="1095" spans="4:8" x14ac:dyDescent="0.25">
      <c r="D1095" s="28"/>
      <c r="F1095" s="28"/>
      <c r="H1095" s="28"/>
    </row>
    <row r="1096" spans="4:8" x14ac:dyDescent="0.25">
      <c r="D1096" s="28"/>
      <c r="F1096" s="28"/>
      <c r="H1096" s="28"/>
    </row>
    <row r="1097" spans="4:8" x14ac:dyDescent="0.25">
      <c r="D1097" s="28"/>
      <c r="F1097" s="28"/>
      <c r="H1097" s="28"/>
    </row>
    <row r="1098" spans="4:8" x14ac:dyDescent="0.25">
      <c r="D1098" s="28"/>
      <c r="F1098" s="28"/>
      <c r="H1098" s="28"/>
    </row>
    <row r="1099" spans="4:8" x14ac:dyDescent="0.25">
      <c r="D1099" s="28"/>
      <c r="F1099" s="28"/>
      <c r="H1099" s="28"/>
    </row>
    <row r="1100" spans="4:8" x14ac:dyDescent="0.25">
      <c r="D1100" s="28"/>
      <c r="F1100" s="28"/>
      <c r="H1100" s="28"/>
    </row>
    <row r="1101" spans="4:8" x14ac:dyDescent="0.25">
      <c r="D1101" s="28"/>
      <c r="F1101" s="28"/>
      <c r="H1101" s="28"/>
    </row>
    <row r="1102" spans="4:8" x14ac:dyDescent="0.25">
      <c r="D1102" s="28"/>
      <c r="F1102" s="28"/>
      <c r="H1102" s="28"/>
    </row>
    <row r="1103" spans="4:8" x14ac:dyDescent="0.25">
      <c r="D1103" s="28"/>
      <c r="F1103" s="28"/>
      <c r="H1103" s="28"/>
    </row>
    <row r="1104" spans="4:8" x14ac:dyDescent="0.25">
      <c r="D1104" s="28"/>
      <c r="F1104" s="28"/>
      <c r="H1104" s="28"/>
    </row>
    <row r="1105" spans="4:8" x14ac:dyDescent="0.25">
      <c r="D1105" s="28"/>
      <c r="F1105" s="28"/>
      <c r="H1105" s="28"/>
    </row>
    <row r="1106" spans="4:8" x14ac:dyDescent="0.25">
      <c r="D1106" s="28"/>
      <c r="F1106" s="28"/>
      <c r="H1106" s="28"/>
    </row>
    <row r="1107" spans="4:8" x14ac:dyDescent="0.25">
      <c r="D1107" s="28"/>
      <c r="F1107" s="28"/>
      <c r="H1107" s="28"/>
    </row>
    <row r="1108" spans="4:8" x14ac:dyDescent="0.25">
      <c r="D1108" s="28"/>
      <c r="F1108" s="28"/>
      <c r="H1108" s="28"/>
    </row>
    <row r="1109" spans="4:8" x14ac:dyDescent="0.25">
      <c r="D1109" s="28"/>
      <c r="F1109" s="28"/>
      <c r="H1109" s="28"/>
    </row>
    <row r="1110" spans="4:8" x14ac:dyDescent="0.25">
      <c r="D1110" s="28"/>
      <c r="F1110" s="28"/>
      <c r="H1110" s="28"/>
    </row>
    <row r="1111" spans="4:8" x14ac:dyDescent="0.25">
      <c r="D1111" s="28"/>
      <c r="F1111" s="28"/>
      <c r="H1111" s="28"/>
    </row>
    <row r="1112" spans="4:8" x14ac:dyDescent="0.25">
      <c r="D1112" s="28"/>
      <c r="F1112" s="28"/>
      <c r="H1112" s="28"/>
    </row>
    <row r="1113" spans="4:8" x14ac:dyDescent="0.25">
      <c r="D1113" s="28"/>
      <c r="F1113" s="28"/>
      <c r="H1113" s="28"/>
    </row>
    <row r="1114" spans="4:8" x14ac:dyDescent="0.25">
      <c r="D1114" s="28"/>
      <c r="F1114" s="28"/>
      <c r="H1114" s="28"/>
    </row>
    <row r="1115" spans="4:8" x14ac:dyDescent="0.25">
      <c r="D1115" s="28"/>
      <c r="F1115" s="28"/>
      <c r="H1115" s="28"/>
    </row>
    <row r="1116" spans="4:8" x14ac:dyDescent="0.25">
      <c r="D1116" s="28"/>
      <c r="F1116" s="28"/>
      <c r="H1116" s="28"/>
    </row>
    <row r="1117" spans="4:8" x14ac:dyDescent="0.25">
      <c r="D1117" s="28"/>
      <c r="F1117" s="28"/>
      <c r="H1117" s="28"/>
    </row>
    <row r="1118" spans="4:8" x14ac:dyDescent="0.25">
      <c r="D1118" s="28"/>
      <c r="F1118" s="28"/>
      <c r="H1118" s="28"/>
    </row>
    <row r="1119" spans="4:8" x14ac:dyDescent="0.25">
      <c r="D1119" s="28"/>
      <c r="F1119" s="28"/>
      <c r="H1119" s="28"/>
    </row>
    <row r="1120" spans="4:8" x14ac:dyDescent="0.25">
      <c r="D1120" s="28"/>
      <c r="F1120" s="28"/>
      <c r="H1120" s="28"/>
    </row>
    <row r="1121" spans="4:8" x14ac:dyDescent="0.25">
      <c r="D1121" s="28"/>
      <c r="F1121" s="28"/>
      <c r="H1121" s="28"/>
    </row>
    <row r="1122" spans="4:8" x14ac:dyDescent="0.25">
      <c r="D1122" s="28"/>
      <c r="F1122" s="28"/>
      <c r="H1122" s="28"/>
    </row>
    <row r="1123" spans="4:8" x14ac:dyDescent="0.25">
      <c r="D1123" s="28"/>
      <c r="F1123" s="28"/>
      <c r="H1123" s="28"/>
    </row>
    <row r="1124" spans="4:8" x14ac:dyDescent="0.25">
      <c r="D1124" s="28"/>
      <c r="F1124" s="28"/>
      <c r="H1124" s="28"/>
    </row>
    <row r="1125" spans="4:8" x14ac:dyDescent="0.25">
      <c r="D1125" s="28"/>
      <c r="F1125" s="28"/>
      <c r="H1125" s="28"/>
    </row>
    <row r="1126" spans="4:8" x14ac:dyDescent="0.25">
      <c r="D1126" s="28"/>
      <c r="F1126" s="28"/>
      <c r="H1126" s="28"/>
    </row>
    <row r="1127" spans="4:8" x14ac:dyDescent="0.25">
      <c r="D1127" s="28"/>
      <c r="F1127" s="28"/>
      <c r="H1127" s="28"/>
    </row>
    <row r="1128" spans="4:8" x14ac:dyDescent="0.25">
      <c r="D1128" s="28"/>
      <c r="F1128" s="28"/>
      <c r="H1128" s="28"/>
    </row>
    <row r="1129" spans="4:8" x14ac:dyDescent="0.25">
      <c r="D1129" s="28"/>
      <c r="F1129" s="28"/>
      <c r="H1129" s="28"/>
    </row>
    <row r="1130" spans="4:8" x14ac:dyDescent="0.25">
      <c r="D1130" s="28"/>
      <c r="F1130" s="28"/>
      <c r="H1130" s="28"/>
    </row>
    <row r="1131" spans="4:8" x14ac:dyDescent="0.25">
      <c r="D1131" s="28"/>
      <c r="F1131" s="28"/>
      <c r="H1131" s="28"/>
    </row>
    <row r="1132" spans="4:8" x14ac:dyDescent="0.25">
      <c r="D1132" s="28"/>
      <c r="F1132" s="28"/>
      <c r="H1132" s="28"/>
    </row>
    <row r="1133" spans="4:8" x14ac:dyDescent="0.25">
      <c r="D1133" s="28"/>
      <c r="F1133" s="28"/>
      <c r="H1133" s="28"/>
    </row>
    <row r="1134" spans="4:8" x14ac:dyDescent="0.25">
      <c r="D1134" s="28"/>
      <c r="F1134" s="28"/>
      <c r="H1134" s="28"/>
    </row>
    <row r="1135" spans="4:8" x14ac:dyDescent="0.25">
      <c r="D1135" s="28"/>
      <c r="F1135" s="28"/>
      <c r="H1135" s="28"/>
    </row>
    <row r="1136" spans="4:8" x14ac:dyDescent="0.25">
      <c r="D1136" s="28"/>
      <c r="F1136" s="28"/>
      <c r="H1136" s="28"/>
    </row>
    <row r="1137" spans="4:8" x14ac:dyDescent="0.25">
      <c r="D1137" s="28"/>
      <c r="F1137" s="28"/>
      <c r="H1137" s="28"/>
    </row>
    <row r="1138" spans="4:8" x14ac:dyDescent="0.25">
      <c r="D1138" s="28"/>
      <c r="F1138" s="28"/>
      <c r="H1138" s="28"/>
    </row>
    <row r="1139" spans="4:8" x14ac:dyDescent="0.25">
      <c r="D1139" s="28"/>
      <c r="F1139" s="28"/>
      <c r="H1139" s="28"/>
    </row>
    <row r="1140" spans="4:8" x14ac:dyDescent="0.25">
      <c r="D1140" s="28"/>
      <c r="F1140" s="28"/>
      <c r="H1140" s="28"/>
    </row>
    <row r="1141" spans="4:8" x14ac:dyDescent="0.25">
      <c r="D1141" s="28"/>
      <c r="F1141" s="28"/>
      <c r="H1141" s="28"/>
    </row>
    <row r="1142" spans="4:8" x14ac:dyDescent="0.25">
      <c r="D1142" s="28"/>
      <c r="F1142" s="28"/>
      <c r="H1142" s="28"/>
    </row>
    <row r="1143" spans="4:8" x14ac:dyDescent="0.25">
      <c r="D1143" s="28"/>
      <c r="F1143" s="28"/>
      <c r="H1143" s="28"/>
    </row>
    <row r="1144" spans="4:8" x14ac:dyDescent="0.25">
      <c r="D1144" s="28"/>
      <c r="F1144" s="28"/>
      <c r="H1144" s="28"/>
    </row>
    <row r="1145" spans="4:8" x14ac:dyDescent="0.25">
      <c r="D1145" s="28"/>
      <c r="F1145" s="28"/>
      <c r="H1145" s="28"/>
    </row>
    <row r="1146" spans="4:8" x14ac:dyDescent="0.25">
      <c r="D1146" s="28"/>
      <c r="F1146" s="28"/>
      <c r="H1146" s="28"/>
    </row>
    <row r="1147" spans="4:8" x14ac:dyDescent="0.25">
      <c r="D1147" s="28"/>
      <c r="F1147" s="28"/>
      <c r="H1147" s="28"/>
    </row>
    <row r="1148" spans="4:8" x14ac:dyDescent="0.25">
      <c r="D1148" s="28"/>
      <c r="F1148" s="28"/>
      <c r="H1148" s="28"/>
    </row>
    <row r="1149" spans="4:8" x14ac:dyDescent="0.25">
      <c r="D1149" s="28"/>
      <c r="F1149" s="28"/>
      <c r="H1149" s="28"/>
    </row>
    <row r="1150" spans="4:8" x14ac:dyDescent="0.25">
      <c r="D1150" s="28"/>
      <c r="F1150" s="28"/>
      <c r="H1150" s="28"/>
    </row>
    <row r="1151" spans="4:8" x14ac:dyDescent="0.25">
      <c r="D1151" s="28"/>
      <c r="F1151" s="28"/>
      <c r="H1151" s="28"/>
    </row>
    <row r="1152" spans="4:8" x14ac:dyDescent="0.25">
      <c r="D1152" s="28"/>
      <c r="F1152" s="28"/>
      <c r="H1152" s="28"/>
    </row>
    <row r="1153" spans="4:8" x14ac:dyDescent="0.25">
      <c r="D1153" s="28"/>
      <c r="F1153" s="28"/>
      <c r="H1153" s="28"/>
    </row>
    <row r="1154" spans="4:8" x14ac:dyDescent="0.25">
      <c r="D1154" s="28"/>
      <c r="F1154" s="28"/>
      <c r="H1154" s="28"/>
    </row>
    <row r="1155" spans="4:8" x14ac:dyDescent="0.25">
      <c r="D1155" s="28"/>
      <c r="F1155" s="28"/>
      <c r="H1155" s="28"/>
    </row>
    <row r="1156" spans="4:8" x14ac:dyDescent="0.25">
      <c r="D1156" s="28"/>
      <c r="F1156" s="28"/>
      <c r="H1156" s="28"/>
    </row>
    <row r="1157" spans="4:8" x14ac:dyDescent="0.25">
      <c r="D1157" s="28"/>
      <c r="F1157" s="28"/>
      <c r="H1157" s="28"/>
    </row>
    <row r="1158" spans="4:8" x14ac:dyDescent="0.25">
      <c r="D1158" s="28"/>
      <c r="F1158" s="28"/>
      <c r="H1158" s="28"/>
    </row>
    <row r="1159" spans="4:8" x14ac:dyDescent="0.25">
      <c r="D1159" s="28"/>
      <c r="F1159" s="28"/>
      <c r="H1159" s="28"/>
    </row>
    <row r="1160" spans="4:8" x14ac:dyDescent="0.25">
      <c r="D1160" s="28"/>
      <c r="F1160" s="28"/>
      <c r="H1160" s="28"/>
    </row>
    <row r="1161" spans="4:8" x14ac:dyDescent="0.25">
      <c r="D1161" s="28"/>
      <c r="F1161" s="28"/>
      <c r="H1161" s="28"/>
    </row>
    <row r="1162" spans="4:8" x14ac:dyDescent="0.25">
      <c r="D1162" s="28"/>
      <c r="F1162" s="28"/>
      <c r="H1162" s="28"/>
    </row>
    <row r="1163" spans="4:8" x14ac:dyDescent="0.25">
      <c r="D1163" s="28"/>
      <c r="F1163" s="28"/>
      <c r="H1163" s="28"/>
    </row>
    <row r="1164" spans="4:8" x14ac:dyDescent="0.25">
      <c r="D1164" s="28"/>
      <c r="F1164" s="28"/>
      <c r="H1164" s="28"/>
    </row>
    <row r="1165" spans="4:8" x14ac:dyDescent="0.25">
      <c r="D1165" s="28"/>
      <c r="F1165" s="28"/>
      <c r="H1165" s="28"/>
    </row>
    <row r="1166" spans="4:8" x14ac:dyDescent="0.25">
      <c r="D1166" s="28"/>
      <c r="F1166" s="28"/>
      <c r="H1166" s="28"/>
    </row>
    <row r="1167" spans="4:8" x14ac:dyDescent="0.25">
      <c r="D1167" s="28"/>
      <c r="F1167" s="28"/>
      <c r="H1167" s="28"/>
    </row>
    <row r="1168" spans="4:8" x14ac:dyDescent="0.25">
      <c r="D1168" s="28"/>
      <c r="F1168" s="28"/>
      <c r="H1168" s="28"/>
    </row>
    <row r="1169" spans="4:8" x14ac:dyDescent="0.25">
      <c r="D1169" s="28"/>
      <c r="F1169" s="28"/>
      <c r="H1169" s="28"/>
    </row>
    <row r="1170" spans="4:8" x14ac:dyDescent="0.25">
      <c r="D1170" s="28"/>
      <c r="F1170" s="28"/>
      <c r="H1170" s="28"/>
    </row>
    <row r="1171" spans="4:8" x14ac:dyDescent="0.25">
      <c r="D1171" s="28"/>
      <c r="F1171" s="28"/>
      <c r="H1171" s="28"/>
    </row>
    <row r="1172" spans="4:8" x14ac:dyDescent="0.25">
      <c r="D1172" s="28"/>
      <c r="F1172" s="28"/>
      <c r="H1172" s="28"/>
    </row>
    <row r="1173" spans="4:8" x14ac:dyDescent="0.25">
      <c r="D1173" s="28"/>
      <c r="F1173" s="28"/>
      <c r="H1173" s="28"/>
    </row>
    <row r="1174" spans="4:8" x14ac:dyDescent="0.25">
      <c r="D1174" s="28"/>
      <c r="F1174" s="28"/>
      <c r="H1174" s="28"/>
    </row>
    <row r="1175" spans="4:8" x14ac:dyDescent="0.25">
      <c r="D1175" s="28"/>
      <c r="F1175" s="28"/>
      <c r="H1175" s="28"/>
    </row>
    <row r="1176" spans="4:8" x14ac:dyDescent="0.25">
      <c r="D1176" s="28"/>
      <c r="F1176" s="28"/>
      <c r="H1176" s="28"/>
    </row>
    <row r="1177" spans="4:8" x14ac:dyDescent="0.25">
      <c r="D1177" s="28"/>
      <c r="F1177" s="28"/>
      <c r="H1177" s="28"/>
    </row>
    <row r="1178" spans="4:8" x14ac:dyDescent="0.25">
      <c r="D1178" s="28"/>
      <c r="F1178" s="28"/>
      <c r="H1178" s="28"/>
    </row>
    <row r="1179" spans="4:8" x14ac:dyDescent="0.25">
      <c r="D1179" s="28"/>
      <c r="F1179" s="28"/>
      <c r="H1179" s="28"/>
    </row>
    <row r="1180" spans="4:8" x14ac:dyDescent="0.25">
      <c r="D1180" s="28"/>
      <c r="F1180" s="28"/>
      <c r="H1180" s="28"/>
    </row>
    <row r="1181" spans="4:8" x14ac:dyDescent="0.25">
      <c r="D1181" s="28"/>
      <c r="F1181" s="28"/>
      <c r="H1181" s="28"/>
    </row>
    <row r="1182" spans="4:8" x14ac:dyDescent="0.25">
      <c r="D1182" s="28"/>
      <c r="F1182" s="28"/>
      <c r="H1182" s="28"/>
    </row>
    <row r="1183" spans="4:8" x14ac:dyDescent="0.25">
      <c r="D1183" s="28"/>
      <c r="F1183" s="28"/>
      <c r="H1183" s="28"/>
    </row>
    <row r="1184" spans="4:8" x14ac:dyDescent="0.25">
      <c r="D1184" s="28"/>
      <c r="F1184" s="28"/>
      <c r="H1184" s="28"/>
    </row>
    <row r="1185" spans="4:8" x14ac:dyDescent="0.25">
      <c r="D1185" s="28"/>
      <c r="F1185" s="28"/>
      <c r="H1185" s="28"/>
    </row>
    <row r="1186" spans="4:8" x14ac:dyDescent="0.25">
      <c r="D1186" s="28"/>
      <c r="F1186" s="28"/>
      <c r="H1186" s="28"/>
    </row>
    <row r="1187" spans="4:8" x14ac:dyDescent="0.25">
      <c r="D1187" s="28"/>
      <c r="F1187" s="28"/>
      <c r="H1187" s="28"/>
    </row>
    <row r="1188" spans="4:8" x14ac:dyDescent="0.25">
      <c r="D1188" s="28"/>
      <c r="F1188" s="28"/>
      <c r="H1188" s="28"/>
    </row>
    <row r="1189" spans="4:8" x14ac:dyDescent="0.25">
      <c r="D1189" s="28"/>
      <c r="F1189" s="28"/>
      <c r="H1189" s="28"/>
    </row>
    <row r="1190" spans="4:8" x14ac:dyDescent="0.25">
      <c r="D1190" s="28"/>
      <c r="F1190" s="28"/>
      <c r="H1190" s="28"/>
    </row>
    <row r="1191" spans="4:8" x14ac:dyDescent="0.25">
      <c r="D1191" s="28"/>
      <c r="F1191" s="28"/>
      <c r="H1191" s="28"/>
    </row>
    <row r="1192" spans="4:8" x14ac:dyDescent="0.25">
      <c r="D1192" s="28"/>
      <c r="F1192" s="28"/>
      <c r="H1192" s="28"/>
    </row>
    <row r="1193" spans="4:8" x14ac:dyDescent="0.25">
      <c r="D1193" s="28"/>
      <c r="F1193" s="28"/>
      <c r="H1193" s="28"/>
    </row>
    <row r="1194" spans="4:8" x14ac:dyDescent="0.25">
      <c r="D1194" s="28"/>
      <c r="F1194" s="28"/>
      <c r="H1194" s="28"/>
    </row>
    <row r="1195" spans="4:8" x14ac:dyDescent="0.25">
      <c r="D1195" s="28"/>
      <c r="F1195" s="28"/>
      <c r="H1195" s="28"/>
    </row>
    <row r="1196" spans="4:8" x14ac:dyDescent="0.25">
      <c r="D1196" s="28"/>
      <c r="F1196" s="28"/>
      <c r="H1196" s="28"/>
    </row>
    <row r="1197" spans="4:8" x14ac:dyDescent="0.25">
      <c r="D1197" s="28"/>
      <c r="F1197" s="28"/>
      <c r="H1197" s="28"/>
    </row>
    <row r="1198" spans="4:8" x14ac:dyDescent="0.25">
      <c r="D1198" s="28"/>
      <c r="F1198" s="28"/>
      <c r="H1198" s="28"/>
    </row>
    <row r="1199" spans="4:8" x14ac:dyDescent="0.25">
      <c r="D1199" s="28"/>
      <c r="F1199" s="28"/>
      <c r="H1199" s="28"/>
    </row>
    <row r="1200" spans="4:8" x14ac:dyDescent="0.25">
      <c r="D1200" s="28"/>
      <c r="F1200" s="28"/>
      <c r="H1200" s="28"/>
    </row>
    <row r="1201" spans="4:8" x14ac:dyDescent="0.25">
      <c r="D1201" s="28"/>
      <c r="F1201" s="28"/>
      <c r="H1201" s="28"/>
    </row>
    <row r="1202" spans="4:8" x14ac:dyDescent="0.25">
      <c r="D1202" s="28"/>
      <c r="F1202" s="28"/>
      <c r="H1202" s="28"/>
    </row>
    <row r="1203" spans="4:8" x14ac:dyDescent="0.25">
      <c r="D1203" s="28"/>
      <c r="F1203" s="28"/>
      <c r="H1203" s="28"/>
    </row>
    <row r="1204" spans="4:8" x14ac:dyDescent="0.25">
      <c r="D1204" s="28"/>
      <c r="F1204" s="28"/>
      <c r="H1204" s="28"/>
    </row>
    <row r="1205" spans="4:8" x14ac:dyDescent="0.25">
      <c r="D1205" s="28"/>
      <c r="F1205" s="28"/>
      <c r="H1205" s="28"/>
    </row>
    <row r="1206" spans="4:8" x14ac:dyDescent="0.25">
      <c r="D1206" s="28"/>
      <c r="F1206" s="28"/>
      <c r="H1206" s="28"/>
    </row>
    <row r="1207" spans="4:8" x14ac:dyDescent="0.25">
      <c r="D1207" s="28"/>
      <c r="F1207" s="28"/>
      <c r="H1207" s="28"/>
    </row>
    <row r="1208" spans="4:8" x14ac:dyDescent="0.25">
      <c r="D1208" s="28"/>
      <c r="F1208" s="28"/>
      <c r="H1208" s="28"/>
    </row>
    <row r="1209" spans="4:8" x14ac:dyDescent="0.25">
      <c r="D1209" s="28"/>
      <c r="F1209" s="28"/>
      <c r="H1209" s="28"/>
    </row>
    <row r="1210" spans="4:8" x14ac:dyDescent="0.25">
      <c r="D1210" s="28"/>
      <c r="F1210" s="28"/>
      <c r="H1210" s="28"/>
    </row>
    <row r="1211" spans="4:8" x14ac:dyDescent="0.25">
      <c r="D1211" s="28"/>
      <c r="F1211" s="28"/>
      <c r="H1211" s="28"/>
    </row>
    <row r="1212" spans="4:8" x14ac:dyDescent="0.25">
      <c r="D1212" s="28"/>
      <c r="F1212" s="28"/>
      <c r="H1212" s="28"/>
    </row>
    <row r="1213" spans="4:8" x14ac:dyDescent="0.25">
      <c r="D1213" s="28"/>
      <c r="F1213" s="28"/>
      <c r="H1213" s="28"/>
    </row>
    <row r="1214" spans="4:8" x14ac:dyDescent="0.25">
      <c r="D1214" s="28"/>
      <c r="F1214" s="28"/>
      <c r="H1214" s="28"/>
    </row>
    <row r="1215" spans="4:8" x14ac:dyDescent="0.25">
      <c r="D1215" s="28"/>
      <c r="F1215" s="28"/>
      <c r="H1215" s="28"/>
    </row>
    <row r="1216" spans="4:8" x14ac:dyDescent="0.25">
      <c r="D1216" s="28"/>
      <c r="F1216" s="28"/>
      <c r="H1216" s="28"/>
    </row>
    <row r="1217" spans="4:8" x14ac:dyDescent="0.25">
      <c r="D1217" s="28"/>
      <c r="F1217" s="28"/>
      <c r="H1217" s="28"/>
    </row>
    <row r="1218" spans="4:8" x14ac:dyDescent="0.25">
      <c r="D1218" s="28"/>
      <c r="F1218" s="28"/>
      <c r="H1218" s="28"/>
    </row>
    <row r="1219" spans="4:8" x14ac:dyDescent="0.25">
      <c r="D1219" s="28"/>
      <c r="F1219" s="28"/>
      <c r="H1219" s="28"/>
    </row>
    <row r="1220" spans="4:8" x14ac:dyDescent="0.25">
      <c r="D1220" s="28"/>
      <c r="F1220" s="28"/>
      <c r="H1220" s="28"/>
    </row>
    <row r="1221" spans="4:8" x14ac:dyDescent="0.25">
      <c r="D1221" s="28"/>
      <c r="F1221" s="28"/>
      <c r="H1221" s="28"/>
    </row>
    <row r="1222" spans="4:8" x14ac:dyDescent="0.25">
      <c r="D1222" s="28"/>
      <c r="F1222" s="28"/>
      <c r="H1222" s="28"/>
    </row>
    <row r="1223" spans="4:8" x14ac:dyDescent="0.25">
      <c r="D1223" s="28"/>
      <c r="F1223" s="28"/>
      <c r="H1223" s="28"/>
    </row>
    <row r="1224" spans="4:8" x14ac:dyDescent="0.25">
      <c r="D1224" s="28"/>
      <c r="F1224" s="28"/>
      <c r="H1224" s="28"/>
    </row>
    <row r="1225" spans="4:8" x14ac:dyDescent="0.25">
      <c r="D1225" s="28"/>
      <c r="F1225" s="28"/>
      <c r="H1225" s="28"/>
    </row>
    <row r="1226" spans="4:8" x14ac:dyDescent="0.25">
      <c r="D1226" s="28"/>
      <c r="F1226" s="28"/>
      <c r="H1226" s="28"/>
    </row>
    <row r="1227" spans="4:8" x14ac:dyDescent="0.25">
      <c r="D1227" s="28"/>
      <c r="F1227" s="28"/>
      <c r="H1227" s="28"/>
    </row>
    <row r="1228" spans="4:8" x14ac:dyDescent="0.25">
      <c r="D1228" s="28"/>
      <c r="F1228" s="28"/>
      <c r="H1228" s="28"/>
    </row>
    <row r="1229" spans="4:8" x14ac:dyDescent="0.25">
      <c r="D1229" s="28"/>
      <c r="F1229" s="28"/>
      <c r="H1229" s="28"/>
    </row>
    <row r="1230" spans="4:8" x14ac:dyDescent="0.25">
      <c r="D1230" s="28"/>
      <c r="F1230" s="28"/>
      <c r="H1230" s="28"/>
    </row>
    <row r="1231" spans="4:8" x14ac:dyDescent="0.25">
      <c r="D1231" s="28"/>
      <c r="F1231" s="28"/>
      <c r="H1231" s="28"/>
    </row>
    <row r="1232" spans="4:8" x14ac:dyDescent="0.25">
      <c r="D1232" s="28"/>
      <c r="F1232" s="28"/>
      <c r="H1232" s="28"/>
    </row>
    <row r="1233" spans="4:8" x14ac:dyDescent="0.25">
      <c r="D1233" s="28"/>
      <c r="F1233" s="28"/>
      <c r="H1233" s="28"/>
    </row>
    <row r="1234" spans="4:8" x14ac:dyDescent="0.25">
      <c r="D1234" s="28"/>
      <c r="F1234" s="28"/>
      <c r="H1234" s="28"/>
    </row>
    <row r="1235" spans="4:8" x14ac:dyDescent="0.25">
      <c r="D1235" s="28"/>
      <c r="F1235" s="28"/>
      <c r="H1235" s="28"/>
    </row>
    <row r="1236" spans="4:8" x14ac:dyDescent="0.25">
      <c r="D1236" s="28"/>
      <c r="F1236" s="28"/>
      <c r="H1236" s="28"/>
    </row>
    <row r="1237" spans="4:8" x14ac:dyDescent="0.25">
      <c r="D1237" s="28"/>
      <c r="F1237" s="28"/>
      <c r="H1237" s="28"/>
    </row>
    <row r="1238" spans="4:8" x14ac:dyDescent="0.25">
      <c r="D1238" s="28"/>
      <c r="F1238" s="28"/>
      <c r="H1238" s="28"/>
    </row>
    <row r="1239" spans="4:8" x14ac:dyDescent="0.25">
      <c r="D1239" s="28"/>
      <c r="F1239" s="28"/>
      <c r="H1239" s="28"/>
    </row>
    <row r="1240" spans="4:8" x14ac:dyDescent="0.25">
      <c r="D1240" s="28"/>
      <c r="F1240" s="28"/>
      <c r="H1240" s="28"/>
    </row>
    <row r="1241" spans="4:8" x14ac:dyDescent="0.25">
      <c r="D1241" s="28"/>
      <c r="F1241" s="28"/>
      <c r="H1241" s="28"/>
    </row>
    <row r="1242" spans="4:8" x14ac:dyDescent="0.25">
      <c r="D1242" s="28"/>
      <c r="F1242" s="28"/>
      <c r="H1242" s="28"/>
    </row>
    <row r="1243" spans="4:8" x14ac:dyDescent="0.25">
      <c r="D1243" s="28"/>
      <c r="F1243" s="28"/>
      <c r="H1243" s="28"/>
    </row>
    <row r="1244" spans="4:8" x14ac:dyDescent="0.25">
      <c r="D1244" s="28"/>
      <c r="F1244" s="28"/>
      <c r="H1244" s="28"/>
    </row>
    <row r="1245" spans="4:8" x14ac:dyDescent="0.25">
      <c r="D1245" s="28"/>
      <c r="F1245" s="28"/>
      <c r="H1245" s="28"/>
    </row>
    <row r="1246" spans="4:8" x14ac:dyDescent="0.25">
      <c r="D1246" s="28"/>
      <c r="F1246" s="28"/>
      <c r="H1246" s="28"/>
    </row>
    <row r="1247" spans="4:8" x14ac:dyDescent="0.25">
      <c r="D1247" s="28"/>
      <c r="F1247" s="28"/>
      <c r="H1247" s="28"/>
    </row>
    <row r="1248" spans="4:8" x14ac:dyDescent="0.25">
      <c r="D1248" s="28"/>
      <c r="F1248" s="28"/>
      <c r="H1248" s="28"/>
    </row>
    <row r="1249" spans="4:8" x14ac:dyDescent="0.25">
      <c r="D1249" s="28"/>
      <c r="F1249" s="28"/>
      <c r="H1249" s="28"/>
    </row>
    <row r="1250" spans="4:8" x14ac:dyDescent="0.25">
      <c r="D1250" s="28"/>
      <c r="F1250" s="28"/>
      <c r="H1250" s="28"/>
    </row>
    <row r="1251" spans="4:8" x14ac:dyDescent="0.25">
      <c r="D1251" s="28"/>
      <c r="F1251" s="28"/>
      <c r="H1251" s="28"/>
    </row>
    <row r="1252" spans="4:8" x14ac:dyDescent="0.25">
      <c r="D1252" s="28"/>
      <c r="F1252" s="28"/>
      <c r="H1252" s="28"/>
    </row>
    <row r="1253" spans="4:8" x14ac:dyDescent="0.25">
      <c r="D1253" s="28"/>
      <c r="F1253" s="28"/>
      <c r="H1253" s="28"/>
    </row>
    <row r="1254" spans="4:8" x14ac:dyDescent="0.25">
      <c r="D1254" s="28"/>
      <c r="F1254" s="28"/>
      <c r="H1254" s="28"/>
    </row>
    <row r="1255" spans="4:8" x14ac:dyDescent="0.25">
      <c r="D1255" s="28"/>
      <c r="F1255" s="28"/>
      <c r="H1255" s="28"/>
    </row>
    <row r="1256" spans="4:8" x14ac:dyDescent="0.25">
      <c r="D1256" s="28"/>
      <c r="F1256" s="28"/>
      <c r="H1256" s="28"/>
    </row>
    <row r="1257" spans="4:8" x14ac:dyDescent="0.25">
      <c r="D1257" s="28"/>
      <c r="F1257" s="28"/>
      <c r="H1257" s="28"/>
    </row>
    <row r="1258" spans="4:8" x14ac:dyDescent="0.25">
      <c r="D1258" s="28"/>
      <c r="F1258" s="28"/>
      <c r="H1258" s="28"/>
    </row>
    <row r="1259" spans="4:8" x14ac:dyDescent="0.25">
      <c r="D1259" s="28"/>
      <c r="F1259" s="28"/>
      <c r="H1259" s="28"/>
    </row>
    <row r="1260" spans="4:8" x14ac:dyDescent="0.25">
      <c r="D1260" s="28"/>
      <c r="F1260" s="28"/>
      <c r="H1260" s="28"/>
    </row>
    <row r="1261" spans="4:8" x14ac:dyDescent="0.25">
      <c r="D1261" s="28"/>
      <c r="F1261" s="28"/>
      <c r="H1261" s="28"/>
    </row>
    <row r="1262" spans="4:8" x14ac:dyDescent="0.25">
      <c r="D1262" s="28"/>
      <c r="F1262" s="28"/>
      <c r="H1262" s="28"/>
    </row>
    <row r="1263" spans="4:8" x14ac:dyDescent="0.25">
      <c r="D1263" s="28"/>
      <c r="F1263" s="28"/>
      <c r="H1263" s="28"/>
    </row>
    <row r="1264" spans="4:8" x14ac:dyDescent="0.25">
      <c r="D1264" s="28"/>
      <c r="F1264" s="28"/>
      <c r="H1264" s="28"/>
    </row>
    <row r="1265" spans="4:8" x14ac:dyDescent="0.25">
      <c r="D1265" s="28"/>
      <c r="F1265" s="28"/>
      <c r="H1265" s="28"/>
    </row>
    <row r="1266" spans="4:8" x14ac:dyDescent="0.25">
      <c r="D1266" s="28"/>
      <c r="F1266" s="28"/>
      <c r="H1266" s="28"/>
    </row>
    <row r="1267" spans="4:8" x14ac:dyDescent="0.25">
      <c r="D1267" s="28"/>
      <c r="F1267" s="28"/>
      <c r="H1267" s="28"/>
    </row>
    <row r="1268" spans="4:8" x14ac:dyDescent="0.25">
      <c r="D1268" s="28"/>
      <c r="F1268" s="28"/>
      <c r="H1268" s="28"/>
    </row>
    <row r="1269" spans="4:8" x14ac:dyDescent="0.25">
      <c r="D1269" s="28"/>
      <c r="F1269" s="28"/>
      <c r="H1269" s="28"/>
    </row>
    <row r="1270" spans="4:8" x14ac:dyDescent="0.25">
      <c r="D1270" s="28"/>
      <c r="F1270" s="28"/>
      <c r="H1270" s="28"/>
    </row>
    <row r="1271" spans="4:8" x14ac:dyDescent="0.25">
      <c r="D1271" s="28"/>
      <c r="F1271" s="28"/>
      <c r="H1271" s="28"/>
    </row>
    <row r="1272" spans="4:8" x14ac:dyDescent="0.25">
      <c r="D1272" s="28"/>
      <c r="F1272" s="28"/>
      <c r="H1272" s="28"/>
    </row>
    <row r="1273" spans="4:8" x14ac:dyDescent="0.25">
      <c r="D1273" s="28"/>
      <c r="F1273" s="28"/>
      <c r="H1273" s="28"/>
    </row>
    <row r="1274" spans="4:8" x14ac:dyDescent="0.25">
      <c r="D1274" s="28"/>
      <c r="F1274" s="28"/>
      <c r="H1274" s="28"/>
    </row>
    <row r="1275" spans="4:8" x14ac:dyDescent="0.25">
      <c r="D1275" s="28"/>
      <c r="F1275" s="28"/>
      <c r="H1275" s="28"/>
    </row>
    <row r="1276" spans="4:8" x14ac:dyDescent="0.25">
      <c r="D1276" s="28"/>
      <c r="F1276" s="28"/>
      <c r="H1276" s="28"/>
    </row>
    <row r="1277" spans="4:8" x14ac:dyDescent="0.25">
      <c r="D1277" s="28"/>
      <c r="F1277" s="28"/>
      <c r="H1277" s="28"/>
    </row>
    <row r="1278" spans="4:8" x14ac:dyDescent="0.25">
      <c r="D1278" s="28"/>
      <c r="F1278" s="28"/>
      <c r="H1278" s="28"/>
    </row>
    <row r="1279" spans="4:8" x14ac:dyDescent="0.25">
      <c r="D1279" s="28"/>
      <c r="F1279" s="28"/>
      <c r="H1279" s="28"/>
    </row>
    <row r="1280" spans="4:8" x14ac:dyDescent="0.25">
      <c r="D1280" s="28"/>
      <c r="F1280" s="28"/>
      <c r="H1280" s="28"/>
    </row>
    <row r="1281" spans="4:8" x14ac:dyDescent="0.25">
      <c r="D1281" s="28"/>
      <c r="F1281" s="28"/>
      <c r="H1281" s="28"/>
    </row>
    <row r="1282" spans="4:8" x14ac:dyDescent="0.25">
      <c r="D1282" s="28"/>
      <c r="F1282" s="28"/>
      <c r="H1282" s="28"/>
    </row>
    <row r="1283" spans="4:8" x14ac:dyDescent="0.25">
      <c r="D1283" s="28"/>
      <c r="F1283" s="28"/>
      <c r="H1283" s="28"/>
    </row>
    <row r="1284" spans="4:8" x14ac:dyDescent="0.25">
      <c r="D1284" s="28"/>
      <c r="F1284" s="28"/>
      <c r="H1284" s="28"/>
    </row>
    <row r="1285" spans="4:8" x14ac:dyDescent="0.25">
      <c r="D1285" s="28"/>
      <c r="F1285" s="28"/>
      <c r="H1285" s="28"/>
    </row>
    <row r="1286" spans="4:8" x14ac:dyDescent="0.25">
      <c r="D1286" s="28"/>
      <c r="F1286" s="28"/>
      <c r="H1286" s="28"/>
    </row>
    <row r="1287" spans="4:8" x14ac:dyDescent="0.25">
      <c r="D1287" s="28"/>
      <c r="F1287" s="28"/>
      <c r="H1287" s="28"/>
    </row>
    <row r="1288" spans="4:8" x14ac:dyDescent="0.25">
      <c r="D1288" s="28"/>
      <c r="F1288" s="28"/>
      <c r="H1288" s="28"/>
    </row>
    <row r="1289" spans="4:8" x14ac:dyDescent="0.25">
      <c r="D1289" s="28"/>
      <c r="F1289" s="28"/>
      <c r="H1289" s="28"/>
    </row>
    <row r="1290" spans="4:8" x14ac:dyDescent="0.25">
      <c r="D1290" s="28"/>
      <c r="F1290" s="28"/>
      <c r="H1290" s="28"/>
    </row>
    <row r="1291" spans="4:8" x14ac:dyDescent="0.25">
      <c r="D1291" s="28"/>
      <c r="F1291" s="28"/>
      <c r="H1291" s="28"/>
    </row>
    <row r="1292" spans="4:8" x14ac:dyDescent="0.25">
      <c r="D1292" s="28"/>
      <c r="F1292" s="28"/>
      <c r="H1292" s="28"/>
    </row>
    <row r="1293" spans="4:8" x14ac:dyDescent="0.25">
      <c r="D1293" s="28"/>
      <c r="F1293" s="28"/>
      <c r="H1293" s="28"/>
    </row>
    <row r="1294" spans="4:8" x14ac:dyDescent="0.25">
      <c r="D1294" s="28"/>
      <c r="F1294" s="28"/>
      <c r="H1294" s="28"/>
    </row>
    <row r="1295" spans="4:8" x14ac:dyDescent="0.25">
      <c r="D1295" s="28"/>
      <c r="F1295" s="28"/>
      <c r="H1295" s="28"/>
    </row>
    <row r="1296" spans="4:8" x14ac:dyDescent="0.25">
      <c r="D1296" s="28"/>
      <c r="F1296" s="28"/>
      <c r="H1296" s="28"/>
    </row>
    <row r="1297" spans="4:8" x14ac:dyDescent="0.25">
      <c r="D1297" s="28"/>
      <c r="F1297" s="28"/>
      <c r="H1297" s="28"/>
    </row>
    <row r="1298" spans="4:8" x14ac:dyDescent="0.25">
      <c r="D1298" s="28"/>
      <c r="F1298" s="28"/>
      <c r="H1298" s="28"/>
    </row>
    <row r="1299" spans="4:8" x14ac:dyDescent="0.25">
      <c r="D1299" s="28"/>
      <c r="F1299" s="28"/>
      <c r="H1299" s="28"/>
    </row>
    <row r="1300" spans="4:8" x14ac:dyDescent="0.25">
      <c r="D1300" s="28"/>
      <c r="F1300" s="28"/>
      <c r="H1300" s="28"/>
    </row>
    <row r="1301" spans="4:8" x14ac:dyDescent="0.25">
      <c r="D1301" s="28"/>
      <c r="F1301" s="28"/>
      <c r="H1301" s="28"/>
    </row>
    <row r="1302" spans="4:8" x14ac:dyDescent="0.25">
      <c r="D1302" s="28"/>
      <c r="F1302" s="28"/>
      <c r="H1302" s="28"/>
    </row>
    <row r="1303" spans="4:8" x14ac:dyDescent="0.25">
      <c r="D1303" s="28"/>
      <c r="F1303" s="28"/>
      <c r="H1303" s="28"/>
    </row>
    <row r="1304" spans="4:8" x14ac:dyDescent="0.25">
      <c r="D1304" s="28"/>
      <c r="F1304" s="28"/>
      <c r="H1304" s="28"/>
    </row>
    <row r="1305" spans="4:8" x14ac:dyDescent="0.25">
      <c r="D1305" s="28"/>
      <c r="F1305" s="28"/>
      <c r="H1305" s="28"/>
    </row>
    <row r="1306" spans="4:8" x14ac:dyDescent="0.25">
      <c r="D1306" s="28"/>
      <c r="F1306" s="28"/>
      <c r="H1306" s="28"/>
    </row>
    <row r="1307" spans="4:8" x14ac:dyDescent="0.25">
      <c r="D1307" s="28"/>
      <c r="F1307" s="28"/>
      <c r="H1307" s="28"/>
    </row>
    <row r="1308" spans="4:8" x14ac:dyDescent="0.25">
      <c r="D1308" s="28"/>
      <c r="F1308" s="28"/>
      <c r="H1308" s="28"/>
    </row>
    <row r="1309" spans="4:8" x14ac:dyDescent="0.25">
      <c r="D1309" s="28"/>
      <c r="F1309" s="28"/>
      <c r="H1309" s="28"/>
    </row>
    <row r="1310" spans="4:8" x14ac:dyDescent="0.25">
      <c r="D1310" s="28"/>
      <c r="F1310" s="28"/>
      <c r="H1310" s="28"/>
    </row>
    <row r="1311" spans="4:8" x14ac:dyDescent="0.25">
      <c r="D1311" s="28"/>
      <c r="F1311" s="28"/>
      <c r="H1311" s="28"/>
    </row>
    <row r="1312" spans="4:8" x14ac:dyDescent="0.25">
      <c r="D1312" s="28"/>
      <c r="F1312" s="28"/>
      <c r="H1312" s="28"/>
    </row>
    <row r="1313" spans="4:8" x14ac:dyDescent="0.25">
      <c r="D1313" s="28"/>
      <c r="F1313" s="28"/>
      <c r="H1313" s="28"/>
    </row>
    <row r="1314" spans="4:8" x14ac:dyDescent="0.25">
      <c r="D1314" s="28"/>
      <c r="F1314" s="28"/>
      <c r="H1314" s="28"/>
    </row>
    <row r="1315" spans="4:8" x14ac:dyDescent="0.25">
      <c r="D1315" s="28"/>
      <c r="F1315" s="28"/>
      <c r="H1315" s="28"/>
    </row>
    <row r="1316" spans="4:8" x14ac:dyDescent="0.25">
      <c r="D1316" s="28"/>
      <c r="F1316" s="28"/>
      <c r="H1316" s="28"/>
    </row>
    <row r="1317" spans="4:8" x14ac:dyDescent="0.25">
      <c r="D1317" s="28"/>
      <c r="F1317" s="28"/>
      <c r="H1317" s="28"/>
    </row>
    <row r="1318" spans="4:8" x14ac:dyDescent="0.25">
      <c r="D1318" s="28"/>
      <c r="F1318" s="28"/>
      <c r="H1318" s="28"/>
    </row>
    <row r="1319" spans="4:8" x14ac:dyDescent="0.25">
      <c r="D1319" s="28"/>
      <c r="F1319" s="28"/>
      <c r="H1319" s="28"/>
    </row>
    <row r="1320" spans="4:8" x14ac:dyDescent="0.25">
      <c r="D1320" s="28"/>
      <c r="F1320" s="28"/>
      <c r="H1320" s="28"/>
    </row>
    <row r="1321" spans="4:8" x14ac:dyDescent="0.25">
      <c r="D1321" s="28"/>
      <c r="F1321" s="28"/>
      <c r="H1321" s="28"/>
    </row>
    <row r="1322" spans="4:8" x14ac:dyDescent="0.25">
      <c r="D1322" s="28"/>
      <c r="F1322" s="28"/>
      <c r="H1322" s="28"/>
    </row>
    <row r="1323" spans="4:8" x14ac:dyDescent="0.25">
      <c r="D1323" s="28"/>
      <c r="F1323" s="28"/>
      <c r="H1323" s="28"/>
    </row>
    <row r="1324" spans="4:8" x14ac:dyDescent="0.25">
      <c r="D1324" s="28"/>
      <c r="F1324" s="28"/>
      <c r="H1324" s="28"/>
    </row>
    <row r="1325" spans="4:8" x14ac:dyDescent="0.25">
      <c r="D1325" s="28"/>
      <c r="F1325" s="28"/>
      <c r="H1325" s="28"/>
    </row>
    <row r="1326" spans="4:8" x14ac:dyDescent="0.25">
      <c r="D1326" s="28"/>
      <c r="F1326" s="28"/>
      <c r="H1326" s="28"/>
    </row>
    <row r="1327" spans="4:8" x14ac:dyDescent="0.25">
      <c r="D1327" s="28"/>
      <c r="F1327" s="28"/>
      <c r="H1327" s="28"/>
    </row>
    <row r="1328" spans="4:8" x14ac:dyDescent="0.25">
      <c r="D1328" s="28"/>
      <c r="F1328" s="28"/>
      <c r="H1328" s="28"/>
    </row>
    <row r="1329" spans="4:8" x14ac:dyDescent="0.25">
      <c r="D1329" s="28"/>
      <c r="F1329" s="28"/>
      <c r="H1329" s="28"/>
    </row>
    <row r="1330" spans="4:8" x14ac:dyDescent="0.25">
      <c r="D1330" s="28"/>
      <c r="F1330" s="28"/>
      <c r="H1330" s="28"/>
    </row>
    <row r="1331" spans="4:8" x14ac:dyDescent="0.25">
      <c r="D1331" s="28"/>
      <c r="F1331" s="28"/>
      <c r="H1331" s="28"/>
    </row>
    <row r="1332" spans="4:8" x14ac:dyDescent="0.25">
      <c r="D1332" s="28"/>
      <c r="F1332" s="28"/>
      <c r="H1332" s="28"/>
    </row>
    <row r="1333" spans="4:8" x14ac:dyDescent="0.25">
      <c r="D1333" s="28"/>
      <c r="F1333" s="28"/>
      <c r="H1333" s="28"/>
    </row>
    <row r="1334" spans="4:8" x14ac:dyDescent="0.25">
      <c r="D1334" s="28"/>
      <c r="F1334" s="28"/>
      <c r="H1334" s="28"/>
    </row>
    <row r="1335" spans="4:8" x14ac:dyDescent="0.25">
      <c r="D1335" s="28"/>
      <c r="F1335" s="28"/>
      <c r="H1335" s="28"/>
    </row>
    <row r="1336" spans="4:8" x14ac:dyDescent="0.25">
      <c r="D1336" s="28"/>
      <c r="F1336" s="28"/>
      <c r="H1336" s="28"/>
    </row>
    <row r="1337" spans="4:8" x14ac:dyDescent="0.25">
      <c r="D1337" s="28"/>
      <c r="F1337" s="28"/>
      <c r="H1337" s="28"/>
    </row>
    <row r="1338" spans="4:8" x14ac:dyDescent="0.25">
      <c r="D1338" s="28"/>
      <c r="F1338" s="28"/>
      <c r="H1338" s="28"/>
    </row>
    <row r="1339" spans="4:8" x14ac:dyDescent="0.25">
      <c r="D1339" s="28"/>
      <c r="F1339" s="28"/>
      <c r="H1339" s="28"/>
    </row>
    <row r="1340" spans="4:8" x14ac:dyDescent="0.25">
      <c r="D1340" s="28"/>
      <c r="F1340" s="28"/>
      <c r="H1340" s="28"/>
    </row>
    <row r="1341" spans="4:8" x14ac:dyDescent="0.25">
      <c r="D1341" s="28"/>
      <c r="F1341" s="28"/>
      <c r="H1341" s="28"/>
    </row>
    <row r="1342" spans="4:8" x14ac:dyDescent="0.25">
      <c r="D1342" s="28"/>
      <c r="F1342" s="28"/>
      <c r="H1342" s="28"/>
    </row>
    <row r="1343" spans="4:8" x14ac:dyDescent="0.25">
      <c r="D1343" s="28"/>
      <c r="F1343" s="28"/>
      <c r="H1343" s="28"/>
    </row>
    <row r="1344" spans="4:8" x14ac:dyDescent="0.25">
      <c r="D1344" s="28"/>
      <c r="F1344" s="28"/>
      <c r="H1344" s="28"/>
    </row>
    <row r="1345" spans="4:8" x14ac:dyDescent="0.25">
      <c r="D1345" s="28"/>
      <c r="F1345" s="28"/>
      <c r="H1345" s="28"/>
    </row>
    <row r="1346" spans="4:8" x14ac:dyDescent="0.25">
      <c r="D1346" s="28"/>
      <c r="F1346" s="28"/>
      <c r="H1346" s="28"/>
    </row>
    <row r="1347" spans="4:8" x14ac:dyDescent="0.25">
      <c r="D1347" s="28"/>
      <c r="F1347" s="28"/>
      <c r="H1347" s="28"/>
    </row>
    <row r="1348" spans="4:8" x14ac:dyDescent="0.25">
      <c r="D1348" s="28"/>
      <c r="F1348" s="28"/>
      <c r="H1348" s="28"/>
    </row>
    <row r="1349" spans="4:8" x14ac:dyDescent="0.25">
      <c r="D1349" s="28"/>
      <c r="F1349" s="28"/>
      <c r="H1349" s="28"/>
    </row>
    <row r="1350" spans="4:8" x14ac:dyDescent="0.25">
      <c r="D1350" s="28"/>
      <c r="F1350" s="28"/>
      <c r="H1350" s="28"/>
    </row>
    <row r="1351" spans="4:8" x14ac:dyDescent="0.25">
      <c r="D1351" s="28"/>
      <c r="F1351" s="28"/>
      <c r="H1351" s="28"/>
    </row>
    <row r="1352" spans="4:8" x14ac:dyDescent="0.25">
      <c r="D1352" s="28"/>
      <c r="F1352" s="28"/>
      <c r="H1352" s="28"/>
    </row>
    <row r="1353" spans="4:8" x14ac:dyDescent="0.25">
      <c r="D1353" s="28"/>
      <c r="F1353" s="28"/>
      <c r="H1353" s="28"/>
    </row>
    <row r="1354" spans="4:8" x14ac:dyDescent="0.25">
      <c r="D1354" s="28"/>
      <c r="F1354" s="28"/>
      <c r="H1354" s="28"/>
    </row>
    <row r="1355" spans="4:8" x14ac:dyDescent="0.25">
      <c r="D1355" s="28"/>
      <c r="F1355" s="28"/>
      <c r="H1355" s="28"/>
    </row>
    <row r="1356" spans="4:8" x14ac:dyDescent="0.25">
      <c r="D1356" s="28"/>
      <c r="F1356" s="28"/>
      <c r="H1356" s="28"/>
    </row>
    <row r="1357" spans="4:8" x14ac:dyDescent="0.25">
      <c r="D1357" s="28"/>
      <c r="F1357" s="28"/>
      <c r="H1357" s="28"/>
    </row>
    <row r="1358" spans="4:8" x14ac:dyDescent="0.25">
      <c r="D1358" s="28"/>
      <c r="F1358" s="28"/>
      <c r="H1358" s="28"/>
    </row>
    <row r="1359" spans="4:8" x14ac:dyDescent="0.25">
      <c r="D1359" s="28"/>
      <c r="F1359" s="28"/>
      <c r="H1359" s="28"/>
    </row>
    <row r="1360" spans="4:8" x14ac:dyDescent="0.25">
      <c r="D1360" s="28"/>
      <c r="F1360" s="28"/>
      <c r="H1360" s="28"/>
    </row>
    <row r="1361" spans="4:8" x14ac:dyDescent="0.25">
      <c r="D1361" s="28"/>
      <c r="F1361" s="28"/>
      <c r="H1361" s="28"/>
    </row>
    <row r="1362" spans="4:8" x14ac:dyDescent="0.25">
      <c r="D1362" s="28"/>
      <c r="F1362" s="28"/>
      <c r="H1362" s="28"/>
    </row>
    <row r="1363" spans="4:8" x14ac:dyDescent="0.25">
      <c r="D1363" s="28"/>
      <c r="F1363" s="28"/>
      <c r="H1363" s="28"/>
    </row>
    <row r="1364" spans="4:8" x14ac:dyDescent="0.25">
      <c r="D1364" s="28"/>
      <c r="F1364" s="28"/>
      <c r="H1364" s="28"/>
    </row>
    <row r="1365" spans="4:8" x14ac:dyDescent="0.25">
      <c r="D1365" s="28"/>
      <c r="F1365" s="28"/>
      <c r="H1365" s="28"/>
    </row>
    <row r="1366" spans="4:8" x14ac:dyDescent="0.25">
      <c r="D1366" s="28"/>
      <c r="F1366" s="28"/>
      <c r="H1366" s="28"/>
    </row>
    <row r="1367" spans="4:8" x14ac:dyDescent="0.25">
      <c r="D1367" s="28"/>
      <c r="F1367" s="28"/>
      <c r="H1367" s="28"/>
    </row>
    <row r="1368" spans="4:8" x14ac:dyDescent="0.25">
      <c r="D1368" s="28"/>
      <c r="F1368" s="28"/>
      <c r="H1368" s="28"/>
    </row>
    <row r="1369" spans="4:8" x14ac:dyDescent="0.25">
      <c r="D1369" s="28"/>
      <c r="F1369" s="28"/>
      <c r="H1369" s="28"/>
    </row>
    <row r="1370" spans="4:8" x14ac:dyDescent="0.25">
      <c r="D1370" s="28"/>
      <c r="F1370" s="28"/>
      <c r="H1370" s="28"/>
    </row>
    <row r="1371" spans="4:8" x14ac:dyDescent="0.25">
      <c r="D1371" s="28"/>
      <c r="F1371" s="28"/>
      <c r="H1371" s="28"/>
    </row>
    <row r="1372" spans="4:8" x14ac:dyDescent="0.25">
      <c r="D1372" s="28"/>
      <c r="F1372" s="28"/>
      <c r="H1372" s="28"/>
    </row>
    <row r="1373" spans="4:8" x14ac:dyDescent="0.25">
      <c r="D1373" s="28"/>
      <c r="F1373" s="28"/>
      <c r="H1373" s="28"/>
    </row>
    <row r="1374" spans="4:8" x14ac:dyDescent="0.25">
      <c r="D1374" s="28"/>
      <c r="F1374" s="28"/>
      <c r="H1374" s="28"/>
    </row>
    <row r="1375" spans="4:8" x14ac:dyDescent="0.25">
      <c r="D1375" s="28"/>
      <c r="F1375" s="28"/>
      <c r="H1375" s="28"/>
    </row>
    <row r="1376" spans="4:8" x14ac:dyDescent="0.25">
      <c r="D1376" s="28"/>
      <c r="F1376" s="28"/>
      <c r="H1376" s="28"/>
    </row>
    <row r="1377" spans="4:8" x14ac:dyDescent="0.25">
      <c r="D1377" s="28"/>
      <c r="F1377" s="28"/>
      <c r="H1377" s="28"/>
    </row>
    <row r="1378" spans="4:8" x14ac:dyDescent="0.25">
      <c r="D1378" s="28"/>
      <c r="F1378" s="28"/>
      <c r="H1378" s="28"/>
    </row>
    <row r="1379" spans="4:8" x14ac:dyDescent="0.25">
      <c r="D1379" s="28"/>
      <c r="F1379" s="28"/>
      <c r="H1379" s="28"/>
    </row>
    <row r="1380" spans="4:8" x14ac:dyDescent="0.25">
      <c r="D1380" s="28"/>
      <c r="F1380" s="28"/>
      <c r="H1380" s="28"/>
    </row>
    <row r="1381" spans="4:8" x14ac:dyDescent="0.25">
      <c r="D1381" s="28"/>
      <c r="F1381" s="28"/>
      <c r="H1381" s="28"/>
    </row>
    <row r="1382" spans="4:8" x14ac:dyDescent="0.25">
      <c r="D1382" s="28"/>
      <c r="F1382" s="28"/>
      <c r="H1382" s="28"/>
    </row>
    <row r="1383" spans="4:8" x14ac:dyDescent="0.25">
      <c r="D1383" s="28"/>
      <c r="F1383" s="28"/>
      <c r="H1383" s="28"/>
    </row>
    <row r="1384" spans="4:8" x14ac:dyDescent="0.25">
      <c r="D1384" s="28"/>
      <c r="F1384" s="28"/>
      <c r="H1384" s="28"/>
    </row>
    <row r="1385" spans="4:8" x14ac:dyDescent="0.25">
      <c r="D1385" s="28"/>
      <c r="F1385" s="28"/>
      <c r="H1385" s="28"/>
    </row>
    <row r="1386" spans="4:8" x14ac:dyDescent="0.25">
      <c r="D1386" s="28"/>
      <c r="F1386" s="28"/>
      <c r="H1386" s="28"/>
    </row>
    <row r="1387" spans="4:8" x14ac:dyDescent="0.25">
      <c r="D1387" s="28"/>
      <c r="F1387" s="28"/>
      <c r="H1387" s="28"/>
    </row>
    <row r="1388" spans="4:8" x14ac:dyDescent="0.25">
      <c r="D1388" s="28"/>
      <c r="F1388" s="28"/>
      <c r="H1388" s="28"/>
    </row>
    <row r="1389" spans="4:8" x14ac:dyDescent="0.25">
      <c r="D1389" s="28"/>
      <c r="F1389" s="28"/>
      <c r="H1389" s="28"/>
    </row>
    <row r="1390" spans="4:8" x14ac:dyDescent="0.25">
      <c r="D1390" s="28"/>
      <c r="F1390" s="28"/>
      <c r="H1390" s="28"/>
    </row>
    <row r="1391" spans="4:8" x14ac:dyDescent="0.25">
      <c r="D1391" s="28"/>
      <c r="F1391" s="28"/>
      <c r="H1391" s="28"/>
    </row>
    <row r="1392" spans="4:8" x14ac:dyDescent="0.25">
      <c r="D1392" s="28"/>
      <c r="F1392" s="28"/>
      <c r="H1392" s="28"/>
    </row>
    <row r="1393" spans="4:8" x14ac:dyDescent="0.25">
      <c r="D1393" s="28"/>
      <c r="F1393" s="28"/>
      <c r="H1393" s="28"/>
    </row>
    <row r="1394" spans="4:8" x14ac:dyDescent="0.25">
      <c r="D1394" s="28"/>
      <c r="F1394" s="28"/>
      <c r="H1394" s="28"/>
    </row>
    <row r="1395" spans="4:8" x14ac:dyDescent="0.25">
      <c r="D1395" s="28"/>
      <c r="F1395" s="28"/>
      <c r="H1395" s="28"/>
    </row>
    <row r="1396" spans="4:8" x14ac:dyDescent="0.25">
      <c r="D1396" s="28"/>
      <c r="F1396" s="28"/>
      <c r="H1396" s="28"/>
    </row>
    <row r="1397" spans="4:8" x14ac:dyDescent="0.25">
      <c r="D1397" s="28"/>
      <c r="F1397" s="28"/>
      <c r="H1397" s="28"/>
    </row>
    <row r="1398" spans="4:8" x14ac:dyDescent="0.25">
      <c r="D1398" s="28"/>
      <c r="F1398" s="28"/>
      <c r="H1398" s="28"/>
    </row>
    <row r="1399" spans="4:8" x14ac:dyDescent="0.25">
      <c r="D1399" s="28"/>
      <c r="F1399" s="28"/>
      <c r="H1399" s="28"/>
    </row>
    <row r="1400" spans="4:8" x14ac:dyDescent="0.25">
      <c r="D1400" s="28"/>
      <c r="F1400" s="28"/>
      <c r="H1400" s="28"/>
    </row>
    <row r="1401" spans="4:8" x14ac:dyDescent="0.25">
      <c r="D1401" s="28"/>
      <c r="F1401" s="28"/>
      <c r="H1401" s="28"/>
    </row>
    <row r="1402" spans="4:8" x14ac:dyDescent="0.25">
      <c r="D1402" s="28"/>
      <c r="F1402" s="28"/>
      <c r="H1402" s="28"/>
    </row>
    <row r="1403" spans="4:8" x14ac:dyDescent="0.25">
      <c r="D1403" s="28"/>
      <c r="F1403" s="28"/>
      <c r="H1403" s="28"/>
    </row>
    <row r="1404" spans="4:8" x14ac:dyDescent="0.25">
      <c r="D1404" s="28"/>
      <c r="F1404" s="28"/>
      <c r="H1404" s="28"/>
    </row>
    <row r="1405" spans="4:8" x14ac:dyDescent="0.25">
      <c r="D1405" s="28"/>
      <c r="F1405" s="28"/>
      <c r="H1405" s="28"/>
    </row>
    <row r="1406" spans="4:8" x14ac:dyDescent="0.25">
      <c r="D1406" s="28"/>
      <c r="F1406" s="28"/>
      <c r="H1406" s="28"/>
    </row>
    <row r="1407" spans="4:8" x14ac:dyDescent="0.25">
      <c r="D1407" s="28"/>
      <c r="F1407" s="28"/>
      <c r="H1407" s="28"/>
    </row>
    <row r="1408" spans="4:8" x14ac:dyDescent="0.25">
      <c r="D1408" s="28"/>
      <c r="F1408" s="28"/>
      <c r="H1408" s="28"/>
    </row>
    <row r="1409" spans="4:8" x14ac:dyDescent="0.25">
      <c r="D1409" s="28"/>
      <c r="F1409" s="28"/>
      <c r="H1409" s="28"/>
    </row>
    <row r="1410" spans="4:8" x14ac:dyDescent="0.25">
      <c r="D1410" s="28"/>
      <c r="F1410" s="28"/>
      <c r="H1410" s="28"/>
    </row>
    <row r="1411" spans="4:8" x14ac:dyDescent="0.25">
      <c r="D1411" s="28"/>
      <c r="F1411" s="28"/>
      <c r="H1411" s="28"/>
    </row>
    <row r="1412" spans="4:8" x14ac:dyDescent="0.25">
      <c r="D1412" s="28"/>
      <c r="F1412" s="28"/>
      <c r="H1412" s="28"/>
    </row>
    <row r="1413" spans="4:8" x14ac:dyDescent="0.25">
      <c r="D1413" s="28"/>
      <c r="F1413" s="28"/>
      <c r="H1413" s="28"/>
    </row>
    <row r="1414" spans="4:8" x14ac:dyDescent="0.25">
      <c r="D1414" s="28"/>
      <c r="F1414" s="28"/>
      <c r="H1414" s="28"/>
    </row>
    <row r="1415" spans="4:8" x14ac:dyDescent="0.25">
      <c r="D1415" s="28"/>
      <c r="F1415" s="28"/>
      <c r="H1415" s="28"/>
    </row>
    <row r="1416" spans="4:8" x14ac:dyDescent="0.25">
      <c r="D1416" s="28"/>
      <c r="F1416" s="28"/>
      <c r="H1416" s="28"/>
    </row>
    <row r="1417" spans="4:8" x14ac:dyDescent="0.25">
      <c r="D1417" s="28"/>
      <c r="F1417" s="28"/>
      <c r="H1417" s="28"/>
    </row>
    <row r="1418" spans="4:8" x14ac:dyDescent="0.25">
      <c r="D1418" s="28"/>
      <c r="F1418" s="28"/>
      <c r="H1418" s="28"/>
    </row>
    <row r="1419" spans="4:8" x14ac:dyDescent="0.25">
      <c r="D1419" s="28"/>
      <c r="F1419" s="28"/>
      <c r="H1419" s="28"/>
    </row>
    <row r="1420" spans="4:8" x14ac:dyDescent="0.25">
      <c r="D1420" s="28"/>
      <c r="F1420" s="28"/>
      <c r="H1420" s="28"/>
    </row>
    <row r="1421" spans="4:8" x14ac:dyDescent="0.25">
      <c r="D1421" s="28"/>
      <c r="F1421" s="28"/>
      <c r="H1421" s="28"/>
    </row>
    <row r="1422" spans="4:8" x14ac:dyDescent="0.25">
      <c r="D1422" s="28"/>
      <c r="F1422" s="28"/>
      <c r="H1422" s="28"/>
    </row>
    <row r="1423" spans="4:8" x14ac:dyDescent="0.25">
      <c r="D1423" s="28"/>
      <c r="F1423" s="28"/>
      <c r="H1423" s="28"/>
    </row>
    <row r="1424" spans="4:8" x14ac:dyDescent="0.25">
      <c r="D1424" s="28"/>
      <c r="F1424" s="28"/>
      <c r="H1424" s="28"/>
    </row>
    <row r="1425" spans="4:8" x14ac:dyDescent="0.25">
      <c r="D1425" s="28"/>
      <c r="F1425" s="28"/>
      <c r="H1425" s="28"/>
    </row>
    <row r="1426" spans="4:8" x14ac:dyDescent="0.25">
      <c r="D1426" s="28"/>
      <c r="F1426" s="28"/>
      <c r="H1426" s="28"/>
    </row>
    <row r="1427" spans="4:8" x14ac:dyDescent="0.25">
      <c r="D1427" s="28"/>
      <c r="F1427" s="28"/>
      <c r="H1427" s="28"/>
    </row>
    <row r="1428" spans="4:8" x14ac:dyDescent="0.25">
      <c r="D1428" s="28"/>
      <c r="F1428" s="28"/>
      <c r="H1428" s="28"/>
    </row>
    <row r="1429" spans="4:8" x14ac:dyDescent="0.25">
      <c r="D1429" s="28"/>
      <c r="F1429" s="28"/>
      <c r="H1429" s="28"/>
    </row>
    <row r="1430" spans="4:8" x14ac:dyDescent="0.25">
      <c r="D1430" s="28"/>
      <c r="F1430" s="28"/>
      <c r="H1430" s="28"/>
    </row>
    <row r="1431" spans="4:8" x14ac:dyDescent="0.25">
      <c r="D1431" s="28"/>
      <c r="F1431" s="28"/>
      <c r="H1431" s="28"/>
    </row>
    <row r="1432" spans="4:8" x14ac:dyDescent="0.25">
      <c r="D1432" s="28"/>
      <c r="F1432" s="28"/>
      <c r="H1432" s="28"/>
    </row>
    <row r="1433" spans="4:8" x14ac:dyDescent="0.25">
      <c r="D1433" s="28"/>
      <c r="F1433" s="28"/>
      <c r="H1433" s="28"/>
    </row>
    <row r="1434" spans="4:8" x14ac:dyDescent="0.25">
      <c r="D1434" s="28"/>
      <c r="F1434" s="28"/>
      <c r="H1434" s="28"/>
    </row>
    <row r="1435" spans="4:8" x14ac:dyDescent="0.25">
      <c r="D1435" s="28"/>
      <c r="F1435" s="28"/>
      <c r="H1435" s="28"/>
    </row>
    <row r="1436" spans="4:8" x14ac:dyDescent="0.25">
      <c r="D1436" s="28"/>
      <c r="F1436" s="28"/>
      <c r="H1436" s="28"/>
    </row>
    <row r="1437" spans="4:8" x14ac:dyDescent="0.25">
      <c r="D1437" s="28"/>
      <c r="F1437" s="28"/>
      <c r="H1437" s="28"/>
    </row>
    <row r="1438" spans="4:8" x14ac:dyDescent="0.25">
      <c r="D1438" s="28"/>
      <c r="F1438" s="28"/>
      <c r="H1438" s="28"/>
    </row>
    <row r="1439" spans="4:8" x14ac:dyDescent="0.25">
      <c r="D1439" s="28"/>
      <c r="F1439" s="28"/>
      <c r="H1439" s="28"/>
    </row>
    <row r="1440" spans="4:8" x14ac:dyDescent="0.25">
      <c r="D1440" s="28"/>
      <c r="F1440" s="28"/>
      <c r="H1440" s="28"/>
    </row>
    <row r="1441" spans="4:8" x14ac:dyDescent="0.25">
      <c r="D1441" s="28"/>
      <c r="F1441" s="28"/>
      <c r="H1441" s="28"/>
    </row>
    <row r="1442" spans="4:8" x14ac:dyDescent="0.25">
      <c r="D1442" s="28"/>
      <c r="F1442" s="28"/>
      <c r="H1442" s="28"/>
    </row>
    <row r="1443" spans="4:8" x14ac:dyDescent="0.25">
      <c r="D1443" s="28"/>
      <c r="F1443" s="28"/>
      <c r="H1443" s="28"/>
    </row>
    <row r="1444" spans="4:8" x14ac:dyDescent="0.25">
      <c r="D1444" s="28"/>
      <c r="F1444" s="28"/>
      <c r="H1444" s="28"/>
    </row>
    <row r="1445" spans="4:8" x14ac:dyDescent="0.25">
      <c r="D1445" s="28"/>
      <c r="F1445" s="28"/>
      <c r="H1445" s="28"/>
    </row>
    <row r="1446" spans="4:8" x14ac:dyDescent="0.25">
      <c r="D1446" s="28"/>
      <c r="F1446" s="28"/>
      <c r="H1446" s="28"/>
    </row>
    <row r="1447" spans="4:8" x14ac:dyDescent="0.25">
      <c r="D1447" s="28"/>
      <c r="F1447" s="28"/>
      <c r="H1447" s="28"/>
    </row>
    <row r="1448" spans="4:8" x14ac:dyDescent="0.25">
      <c r="D1448" s="28"/>
      <c r="F1448" s="28"/>
      <c r="H1448" s="28"/>
    </row>
    <row r="1449" spans="4:8" x14ac:dyDescent="0.25">
      <c r="D1449" s="28"/>
      <c r="F1449" s="28"/>
      <c r="H1449" s="28"/>
    </row>
    <row r="1450" spans="4:8" x14ac:dyDescent="0.25">
      <c r="D1450" s="28"/>
      <c r="F1450" s="28"/>
      <c r="H1450" s="28"/>
    </row>
    <row r="1451" spans="4:8" x14ac:dyDescent="0.25">
      <c r="D1451" s="28"/>
      <c r="F1451" s="28"/>
      <c r="H1451" s="28"/>
    </row>
    <row r="1452" spans="4:8" x14ac:dyDescent="0.25">
      <c r="D1452" s="28"/>
      <c r="F1452" s="28"/>
      <c r="H1452" s="28"/>
    </row>
    <row r="1453" spans="4:8" x14ac:dyDescent="0.25">
      <c r="D1453" s="28"/>
      <c r="F1453" s="28"/>
      <c r="H1453" s="28"/>
    </row>
    <row r="1454" spans="4:8" x14ac:dyDescent="0.25">
      <c r="D1454" s="28"/>
      <c r="F1454" s="28"/>
      <c r="H1454" s="28"/>
    </row>
    <row r="1455" spans="4:8" x14ac:dyDescent="0.25">
      <c r="D1455" s="28"/>
      <c r="F1455" s="28"/>
      <c r="H1455" s="28"/>
    </row>
    <row r="1456" spans="4:8" x14ac:dyDescent="0.25">
      <c r="D1456" s="28"/>
      <c r="F1456" s="28"/>
      <c r="H1456" s="28"/>
    </row>
    <row r="1457" spans="4:8" x14ac:dyDescent="0.25">
      <c r="D1457" s="28"/>
      <c r="F1457" s="28"/>
      <c r="H1457" s="28"/>
    </row>
    <row r="1458" spans="4:8" x14ac:dyDescent="0.25">
      <c r="D1458" s="28"/>
      <c r="F1458" s="28"/>
      <c r="H1458" s="28"/>
    </row>
    <row r="1459" spans="4:8" x14ac:dyDescent="0.25">
      <c r="D1459" s="28"/>
      <c r="F1459" s="28"/>
      <c r="H1459" s="28"/>
    </row>
    <row r="1460" spans="4:8" x14ac:dyDescent="0.25">
      <c r="D1460" s="28"/>
      <c r="F1460" s="28"/>
      <c r="H1460" s="28"/>
    </row>
    <row r="1461" spans="4:8" x14ac:dyDescent="0.25">
      <c r="D1461" s="28"/>
      <c r="F1461" s="28"/>
      <c r="H1461" s="28"/>
    </row>
    <row r="1462" spans="4:8" x14ac:dyDescent="0.25">
      <c r="D1462" s="28"/>
      <c r="F1462" s="28"/>
      <c r="H1462" s="28"/>
    </row>
    <row r="1463" spans="4:8" x14ac:dyDescent="0.25">
      <c r="D1463" s="28"/>
      <c r="F1463" s="28"/>
      <c r="H1463" s="28"/>
    </row>
    <row r="1464" spans="4:8" x14ac:dyDescent="0.25">
      <c r="D1464" s="28"/>
      <c r="F1464" s="28"/>
      <c r="H1464" s="28"/>
    </row>
    <row r="1465" spans="4:8" x14ac:dyDescent="0.25">
      <c r="D1465" s="28"/>
      <c r="F1465" s="28"/>
      <c r="H1465" s="28"/>
    </row>
    <row r="1466" spans="4:8" x14ac:dyDescent="0.25">
      <c r="D1466" s="28"/>
      <c r="F1466" s="28"/>
      <c r="H1466" s="28"/>
    </row>
    <row r="1467" spans="4:8" x14ac:dyDescent="0.25">
      <c r="D1467" s="28"/>
      <c r="F1467" s="28"/>
      <c r="H1467" s="28"/>
    </row>
    <row r="1468" spans="4:8" x14ac:dyDescent="0.25">
      <c r="D1468" s="28"/>
      <c r="F1468" s="28"/>
      <c r="H1468" s="28"/>
    </row>
    <row r="1469" spans="4:8" x14ac:dyDescent="0.25">
      <c r="D1469" s="28"/>
      <c r="F1469" s="28"/>
      <c r="H1469" s="28"/>
    </row>
    <row r="1470" spans="4:8" x14ac:dyDescent="0.25">
      <c r="D1470" s="28"/>
      <c r="F1470" s="28"/>
      <c r="H1470" s="28"/>
    </row>
    <row r="1471" spans="4:8" x14ac:dyDescent="0.25">
      <c r="D1471" s="28"/>
      <c r="F1471" s="28"/>
      <c r="H1471" s="28"/>
    </row>
    <row r="1472" spans="4:8" x14ac:dyDescent="0.25">
      <c r="D1472" s="28"/>
      <c r="F1472" s="28"/>
      <c r="H1472" s="28"/>
    </row>
    <row r="1473" spans="4:8" x14ac:dyDescent="0.25">
      <c r="D1473" s="28"/>
      <c r="F1473" s="28"/>
      <c r="H1473" s="28"/>
    </row>
    <row r="1474" spans="4:8" x14ac:dyDescent="0.25">
      <c r="D1474" s="28"/>
      <c r="F1474" s="28"/>
      <c r="H1474" s="28"/>
    </row>
    <row r="1475" spans="4:8" x14ac:dyDescent="0.25">
      <c r="D1475" s="28"/>
      <c r="F1475" s="28"/>
      <c r="H1475" s="28"/>
    </row>
    <row r="1476" spans="4:8" x14ac:dyDescent="0.25">
      <c r="D1476" s="28"/>
      <c r="F1476" s="28"/>
      <c r="H1476" s="28"/>
    </row>
    <row r="1477" spans="4:8" x14ac:dyDescent="0.25">
      <c r="D1477" s="28"/>
      <c r="F1477" s="28"/>
      <c r="H1477" s="28"/>
    </row>
    <row r="1478" spans="4:8" x14ac:dyDescent="0.25">
      <c r="D1478" s="28"/>
      <c r="F1478" s="28"/>
      <c r="H1478" s="28"/>
    </row>
    <row r="1479" spans="4:8" x14ac:dyDescent="0.25">
      <c r="D1479" s="28"/>
      <c r="F1479" s="28"/>
      <c r="H1479" s="28"/>
    </row>
    <row r="1480" spans="4:8" x14ac:dyDescent="0.25">
      <c r="D1480" s="28"/>
      <c r="F1480" s="28"/>
      <c r="H1480" s="28"/>
    </row>
    <row r="1481" spans="4:8" x14ac:dyDescent="0.25">
      <c r="D1481" s="28"/>
      <c r="F1481" s="28"/>
      <c r="H1481" s="28"/>
    </row>
    <row r="1482" spans="4:8" x14ac:dyDescent="0.25">
      <c r="D1482" s="28"/>
      <c r="F1482" s="28"/>
      <c r="H1482" s="28"/>
    </row>
    <row r="1483" spans="4:8" x14ac:dyDescent="0.25">
      <c r="D1483" s="28"/>
      <c r="F1483" s="28"/>
      <c r="H1483" s="28"/>
    </row>
    <row r="1484" spans="4:8" x14ac:dyDescent="0.25">
      <c r="D1484" s="28"/>
      <c r="F1484" s="28"/>
      <c r="H1484" s="28"/>
    </row>
    <row r="1485" spans="4:8" x14ac:dyDescent="0.25">
      <c r="D1485" s="28"/>
      <c r="F1485" s="28"/>
      <c r="H1485" s="28"/>
    </row>
    <row r="1486" spans="4:8" x14ac:dyDescent="0.25">
      <c r="D1486" s="28"/>
      <c r="F1486" s="28"/>
      <c r="H1486" s="28"/>
    </row>
    <row r="1487" spans="4:8" x14ac:dyDescent="0.25">
      <c r="D1487" s="28"/>
      <c r="F1487" s="28"/>
      <c r="H1487" s="28"/>
    </row>
    <row r="1488" spans="4:8" x14ac:dyDescent="0.25">
      <c r="D1488" s="28"/>
      <c r="F1488" s="28"/>
      <c r="H1488" s="28"/>
    </row>
    <row r="1489" spans="4:8" x14ac:dyDescent="0.25">
      <c r="D1489" s="28"/>
      <c r="F1489" s="28"/>
      <c r="H1489" s="28"/>
    </row>
    <row r="1490" spans="4:8" x14ac:dyDescent="0.25">
      <c r="D1490" s="28"/>
      <c r="F1490" s="28"/>
      <c r="H1490" s="28"/>
    </row>
    <row r="1491" spans="4:8" x14ac:dyDescent="0.25">
      <c r="D1491" s="28"/>
      <c r="F1491" s="28"/>
      <c r="H1491" s="28"/>
    </row>
    <row r="1492" spans="4:8" x14ac:dyDescent="0.25">
      <c r="D1492" s="28"/>
      <c r="F1492" s="28"/>
      <c r="H1492" s="28"/>
    </row>
    <row r="1493" spans="4:8" x14ac:dyDescent="0.25">
      <c r="D1493" s="28"/>
      <c r="F1493" s="28"/>
      <c r="H1493" s="28"/>
    </row>
    <row r="1494" spans="4:8" x14ac:dyDescent="0.25">
      <c r="D1494" s="28"/>
      <c r="F1494" s="28"/>
      <c r="H1494" s="28"/>
    </row>
    <row r="1495" spans="4:8" x14ac:dyDescent="0.25">
      <c r="D1495" s="28"/>
      <c r="F1495" s="28"/>
      <c r="H1495" s="28"/>
    </row>
    <row r="1496" spans="4:8" x14ac:dyDescent="0.25">
      <c r="D1496" s="28"/>
      <c r="F1496" s="28"/>
      <c r="H1496" s="28"/>
    </row>
    <row r="1497" spans="4:8" x14ac:dyDescent="0.25">
      <c r="D1497" s="28"/>
      <c r="F1497" s="28"/>
      <c r="H1497" s="28"/>
    </row>
    <row r="1498" spans="4:8" x14ac:dyDescent="0.25">
      <c r="D1498" s="28"/>
      <c r="F1498" s="28"/>
      <c r="H1498" s="28"/>
    </row>
    <row r="1499" spans="4:8" x14ac:dyDescent="0.25">
      <c r="D1499" s="28"/>
      <c r="F1499" s="28"/>
      <c r="H1499" s="28"/>
    </row>
    <row r="1500" spans="4:8" x14ac:dyDescent="0.25">
      <c r="D1500" s="28"/>
      <c r="F1500" s="28"/>
      <c r="H1500" s="28"/>
    </row>
    <row r="1501" spans="4:8" x14ac:dyDescent="0.25">
      <c r="D1501" s="28"/>
      <c r="F1501" s="28"/>
      <c r="H1501" s="28"/>
    </row>
    <row r="1502" spans="4:8" x14ac:dyDescent="0.25">
      <c r="D1502" s="28"/>
      <c r="F1502" s="28"/>
      <c r="H1502" s="28"/>
    </row>
    <row r="1503" spans="4:8" x14ac:dyDescent="0.25">
      <c r="D1503" s="28"/>
      <c r="F1503" s="28"/>
      <c r="H1503" s="28"/>
    </row>
    <row r="1504" spans="4:8" x14ac:dyDescent="0.25">
      <c r="D1504" s="28"/>
      <c r="F1504" s="28"/>
      <c r="H1504" s="28"/>
    </row>
    <row r="1505" spans="4:8" x14ac:dyDescent="0.25">
      <c r="D1505" s="28"/>
      <c r="F1505" s="28"/>
      <c r="H1505" s="28"/>
    </row>
    <row r="1506" spans="4:8" x14ac:dyDescent="0.25">
      <c r="D1506" s="28"/>
      <c r="F1506" s="28"/>
      <c r="H1506" s="28"/>
    </row>
    <row r="1507" spans="4:8" x14ac:dyDescent="0.25">
      <c r="D1507" s="28"/>
      <c r="F1507" s="28"/>
      <c r="H1507" s="28"/>
    </row>
    <row r="1508" spans="4:8" x14ac:dyDescent="0.25">
      <c r="D1508" s="28"/>
      <c r="F1508" s="28"/>
      <c r="H1508" s="28"/>
    </row>
    <row r="1509" spans="4:8" x14ac:dyDescent="0.25">
      <c r="D1509" s="28"/>
      <c r="F1509" s="28"/>
      <c r="H1509" s="28"/>
    </row>
    <row r="1510" spans="4:8" x14ac:dyDescent="0.25">
      <c r="D1510" s="28"/>
      <c r="F1510" s="28"/>
      <c r="H1510" s="28"/>
    </row>
    <row r="1511" spans="4:8" x14ac:dyDescent="0.25">
      <c r="D1511" s="28"/>
      <c r="F1511" s="28"/>
      <c r="H1511" s="28"/>
    </row>
    <row r="1512" spans="4:8" x14ac:dyDescent="0.25">
      <c r="D1512" s="28"/>
      <c r="F1512" s="28"/>
      <c r="H1512" s="28"/>
    </row>
    <row r="1513" spans="4:8" x14ac:dyDescent="0.25">
      <c r="D1513" s="28"/>
      <c r="F1513" s="28"/>
      <c r="H1513" s="28"/>
    </row>
    <row r="1514" spans="4:8" x14ac:dyDescent="0.25">
      <c r="D1514" s="28"/>
      <c r="F1514" s="28"/>
      <c r="H1514" s="28"/>
    </row>
    <row r="1515" spans="4:8" x14ac:dyDescent="0.25">
      <c r="D1515" s="28"/>
      <c r="F1515" s="28"/>
      <c r="H1515" s="28"/>
    </row>
    <row r="1516" spans="4:8" x14ac:dyDescent="0.25">
      <c r="D1516" s="28"/>
      <c r="F1516" s="28"/>
      <c r="H1516" s="28"/>
    </row>
    <row r="1517" spans="4:8" x14ac:dyDescent="0.25">
      <c r="D1517" s="28"/>
      <c r="F1517" s="28"/>
      <c r="H1517" s="28"/>
    </row>
    <row r="1518" spans="4:8" x14ac:dyDescent="0.25">
      <c r="D1518" s="28"/>
      <c r="F1518" s="28"/>
      <c r="H1518" s="28"/>
    </row>
    <row r="1519" spans="4:8" x14ac:dyDescent="0.25">
      <c r="D1519" s="28"/>
      <c r="F1519" s="28"/>
      <c r="H1519" s="28"/>
    </row>
    <row r="1520" spans="4:8" x14ac:dyDescent="0.25">
      <c r="D1520" s="28"/>
      <c r="F1520" s="28"/>
      <c r="H1520" s="28"/>
    </row>
    <row r="1521" spans="4:8" x14ac:dyDescent="0.25">
      <c r="D1521" s="28"/>
      <c r="F1521" s="28"/>
      <c r="H1521" s="28"/>
    </row>
    <row r="1522" spans="4:8" x14ac:dyDescent="0.25">
      <c r="D1522" s="28"/>
      <c r="F1522" s="28"/>
      <c r="H1522" s="28"/>
    </row>
    <row r="1523" spans="4:8" x14ac:dyDescent="0.25">
      <c r="D1523" s="28"/>
      <c r="F1523" s="28"/>
      <c r="H1523" s="28"/>
    </row>
    <row r="1524" spans="4:8" x14ac:dyDescent="0.25">
      <c r="D1524" s="28"/>
      <c r="F1524" s="28"/>
      <c r="H1524" s="28"/>
    </row>
    <row r="1525" spans="4:8" x14ac:dyDescent="0.25">
      <c r="D1525" s="28"/>
      <c r="F1525" s="28"/>
      <c r="H1525" s="28"/>
    </row>
    <row r="1526" spans="4:8" x14ac:dyDescent="0.25">
      <c r="D1526" s="28"/>
      <c r="F1526" s="28"/>
      <c r="H1526" s="28"/>
    </row>
    <row r="1527" spans="4:8" x14ac:dyDescent="0.25">
      <c r="D1527" s="28"/>
      <c r="F1527" s="28"/>
      <c r="H1527" s="28"/>
    </row>
    <row r="1528" spans="4:8" x14ac:dyDescent="0.25">
      <c r="D1528" s="28"/>
      <c r="F1528" s="28"/>
      <c r="H1528" s="28"/>
    </row>
    <row r="1529" spans="4:8" x14ac:dyDescent="0.25">
      <c r="D1529" s="28"/>
      <c r="F1529" s="28"/>
      <c r="H1529" s="28"/>
    </row>
    <row r="1530" spans="4:8" x14ac:dyDescent="0.25">
      <c r="D1530" s="28"/>
      <c r="F1530" s="28"/>
      <c r="H1530" s="28"/>
    </row>
    <row r="1531" spans="4:8" x14ac:dyDescent="0.25">
      <c r="D1531" s="28"/>
      <c r="F1531" s="28"/>
      <c r="H1531" s="28"/>
    </row>
    <row r="1532" spans="4:8" x14ac:dyDescent="0.25">
      <c r="D1532" s="28"/>
      <c r="F1532" s="28"/>
      <c r="H1532" s="28"/>
    </row>
    <row r="1533" spans="4:8" x14ac:dyDescent="0.25">
      <c r="D1533" s="28"/>
      <c r="F1533" s="28"/>
      <c r="H1533" s="28"/>
    </row>
    <row r="1534" spans="4:8" x14ac:dyDescent="0.25">
      <c r="D1534" s="28"/>
      <c r="F1534" s="28"/>
      <c r="H1534" s="28"/>
    </row>
    <row r="1535" spans="4:8" x14ac:dyDescent="0.25">
      <c r="D1535" s="28"/>
      <c r="F1535" s="28"/>
      <c r="H1535" s="28"/>
    </row>
    <row r="1536" spans="4:8" x14ac:dyDescent="0.25">
      <c r="D1536" s="28"/>
      <c r="F1536" s="28"/>
      <c r="H1536" s="28"/>
    </row>
    <row r="1537" spans="4:8" x14ac:dyDescent="0.25">
      <c r="D1537" s="28"/>
      <c r="F1537" s="28"/>
      <c r="H1537" s="28"/>
    </row>
    <row r="1538" spans="4:8" x14ac:dyDescent="0.25">
      <c r="D1538" s="28"/>
      <c r="F1538" s="28"/>
      <c r="H1538" s="28"/>
    </row>
    <row r="1539" spans="4:8" x14ac:dyDescent="0.25">
      <c r="D1539" s="28"/>
      <c r="F1539" s="28"/>
      <c r="H1539" s="28"/>
    </row>
    <row r="1540" spans="4:8" x14ac:dyDescent="0.25">
      <c r="D1540" s="28"/>
      <c r="F1540" s="28"/>
      <c r="H1540" s="28"/>
    </row>
    <row r="1541" spans="4:8" x14ac:dyDescent="0.25">
      <c r="D1541" s="28"/>
      <c r="F1541" s="28"/>
      <c r="H1541" s="28"/>
    </row>
    <row r="1542" spans="4:8" x14ac:dyDescent="0.25">
      <c r="D1542" s="28"/>
      <c r="F1542" s="28"/>
      <c r="H1542" s="28"/>
    </row>
    <row r="1543" spans="4:8" x14ac:dyDescent="0.25">
      <c r="D1543" s="28"/>
      <c r="F1543" s="28"/>
      <c r="H1543" s="28"/>
    </row>
    <row r="1544" spans="4:8" x14ac:dyDescent="0.25">
      <c r="D1544" s="28"/>
      <c r="F1544" s="28"/>
      <c r="H1544" s="28"/>
    </row>
    <row r="1545" spans="4:8" x14ac:dyDescent="0.25">
      <c r="D1545" s="28"/>
      <c r="F1545" s="28"/>
      <c r="H1545" s="28"/>
    </row>
    <row r="1546" spans="4:8" x14ac:dyDescent="0.25">
      <c r="D1546" s="28"/>
      <c r="F1546" s="28"/>
      <c r="H1546" s="28"/>
    </row>
    <row r="1547" spans="4:8" x14ac:dyDescent="0.25">
      <c r="D1547" s="28"/>
      <c r="F1547" s="28"/>
      <c r="H1547" s="28"/>
    </row>
    <row r="1548" spans="4:8" x14ac:dyDescent="0.25">
      <c r="D1548" s="28"/>
      <c r="F1548" s="28"/>
      <c r="H1548" s="28"/>
    </row>
    <row r="1549" spans="4:8" x14ac:dyDescent="0.25">
      <c r="D1549" s="28"/>
      <c r="F1549" s="28"/>
      <c r="H1549" s="28"/>
    </row>
    <row r="1550" spans="4:8" x14ac:dyDescent="0.25">
      <c r="D1550" s="28"/>
      <c r="F1550" s="28"/>
      <c r="H1550" s="28"/>
    </row>
    <row r="1551" spans="4:8" x14ac:dyDescent="0.25">
      <c r="D1551" s="28"/>
      <c r="F1551" s="28"/>
      <c r="H1551" s="28"/>
    </row>
    <row r="1552" spans="4:8" x14ac:dyDescent="0.25">
      <c r="D1552" s="28"/>
      <c r="F1552" s="28"/>
      <c r="H1552" s="28"/>
    </row>
    <row r="1553" spans="4:8" x14ac:dyDescent="0.25">
      <c r="D1553" s="28"/>
      <c r="F1553" s="28"/>
      <c r="H1553" s="28"/>
    </row>
    <row r="1554" spans="4:8" x14ac:dyDescent="0.25">
      <c r="D1554" s="28"/>
      <c r="F1554" s="28"/>
      <c r="H1554" s="28"/>
    </row>
    <row r="1555" spans="4:8" x14ac:dyDescent="0.25">
      <c r="D1555" s="28"/>
      <c r="F1555" s="28"/>
      <c r="H1555" s="28"/>
    </row>
    <row r="1556" spans="4:8" x14ac:dyDescent="0.25">
      <c r="D1556" s="28"/>
      <c r="F1556" s="28"/>
      <c r="H1556" s="28"/>
    </row>
    <row r="1557" spans="4:8" x14ac:dyDescent="0.25">
      <c r="D1557" s="28"/>
      <c r="F1557" s="28"/>
      <c r="H1557" s="28"/>
    </row>
    <row r="1558" spans="4:8" x14ac:dyDescent="0.25">
      <c r="D1558" s="28"/>
      <c r="F1558" s="28"/>
      <c r="H1558" s="28"/>
    </row>
    <row r="1559" spans="4:8" x14ac:dyDescent="0.25">
      <c r="D1559" s="28"/>
      <c r="F1559" s="28"/>
      <c r="H1559" s="28"/>
    </row>
    <row r="1560" spans="4:8" x14ac:dyDescent="0.25">
      <c r="D1560" s="28"/>
      <c r="F1560" s="28"/>
      <c r="H1560" s="28"/>
    </row>
    <row r="1561" spans="4:8" x14ac:dyDescent="0.25">
      <c r="D1561" s="28"/>
      <c r="F1561" s="28"/>
      <c r="H1561" s="28"/>
    </row>
    <row r="1562" spans="4:8" x14ac:dyDescent="0.25">
      <c r="D1562" s="28"/>
      <c r="F1562" s="28"/>
      <c r="H1562" s="28"/>
    </row>
    <row r="1563" spans="4:8" x14ac:dyDescent="0.25">
      <c r="D1563" s="28"/>
      <c r="F1563" s="28"/>
      <c r="H1563" s="28"/>
    </row>
    <row r="1564" spans="4:8" x14ac:dyDescent="0.25">
      <c r="D1564" s="28"/>
      <c r="F1564" s="28"/>
      <c r="H1564" s="28"/>
    </row>
    <row r="1565" spans="4:8" x14ac:dyDescent="0.25">
      <c r="D1565" s="28"/>
      <c r="F1565" s="28"/>
      <c r="H1565" s="28"/>
    </row>
    <row r="1566" spans="4:8" x14ac:dyDescent="0.25">
      <c r="D1566" s="28"/>
      <c r="F1566" s="28"/>
      <c r="H1566" s="28"/>
    </row>
    <row r="1567" spans="4:8" x14ac:dyDescent="0.25">
      <c r="D1567" s="28"/>
      <c r="F1567" s="28"/>
      <c r="H1567" s="28"/>
    </row>
    <row r="1568" spans="4:8" x14ac:dyDescent="0.25">
      <c r="D1568" s="28"/>
      <c r="F1568" s="28"/>
      <c r="H1568" s="28"/>
    </row>
    <row r="1569" spans="4:8" x14ac:dyDescent="0.25">
      <c r="D1569" s="28"/>
      <c r="F1569" s="28"/>
      <c r="H1569" s="28"/>
    </row>
    <row r="1570" spans="4:8" x14ac:dyDescent="0.25">
      <c r="D1570" s="28"/>
      <c r="F1570" s="28"/>
      <c r="H1570" s="28"/>
    </row>
    <row r="1571" spans="4:8" x14ac:dyDescent="0.25">
      <c r="D1571" s="28"/>
      <c r="F1571" s="28"/>
      <c r="H1571" s="28"/>
    </row>
    <row r="1572" spans="4:8" x14ac:dyDescent="0.25">
      <c r="D1572" s="28"/>
      <c r="F1572" s="28"/>
      <c r="H1572" s="28"/>
    </row>
    <row r="1573" spans="4:8" x14ac:dyDescent="0.25">
      <c r="D1573" s="28"/>
      <c r="F1573" s="28"/>
      <c r="H1573" s="28"/>
    </row>
    <row r="1574" spans="4:8" x14ac:dyDescent="0.25">
      <c r="D1574" s="28"/>
      <c r="F1574" s="28"/>
      <c r="H1574" s="28"/>
    </row>
    <row r="1575" spans="4:8" x14ac:dyDescent="0.25">
      <c r="D1575" s="28"/>
      <c r="F1575" s="28"/>
      <c r="H1575" s="28"/>
    </row>
    <row r="1576" spans="4:8" x14ac:dyDescent="0.25">
      <c r="D1576" s="28"/>
      <c r="F1576" s="28"/>
      <c r="H1576" s="28"/>
    </row>
    <row r="1577" spans="4:8" x14ac:dyDescent="0.25">
      <c r="D1577" s="28"/>
      <c r="F1577" s="28"/>
      <c r="H1577" s="28"/>
    </row>
    <row r="1578" spans="4:8" x14ac:dyDescent="0.25">
      <c r="D1578" s="28"/>
      <c r="F1578" s="28"/>
      <c r="H1578" s="28"/>
    </row>
    <row r="1579" spans="4:8" x14ac:dyDescent="0.25">
      <c r="D1579" s="28"/>
      <c r="F1579" s="28"/>
      <c r="H1579" s="28"/>
    </row>
    <row r="1580" spans="4:8" x14ac:dyDescent="0.25">
      <c r="D1580" s="28"/>
      <c r="F1580" s="28"/>
      <c r="H1580" s="28"/>
    </row>
    <row r="1581" spans="4:8" x14ac:dyDescent="0.25">
      <c r="D1581" s="28"/>
      <c r="F1581" s="28"/>
      <c r="H1581" s="28"/>
    </row>
    <row r="1582" spans="4:8" x14ac:dyDescent="0.25">
      <c r="D1582" s="28"/>
      <c r="F1582" s="28"/>
      <c r="H1582" s="28"/>
    </row>
    <row r="1583" spans="4:8" x14ac:dyDescent="0.25">
      <c r="D1583" s="28"/>
      <c r="F1583" s="28"/>
      <c r="H1583" s="28"/>
    </row>
    <row r="1584" spans="4:8" x14ac:dyDescent="0.25">
      <c r="D1584" s="28"/>
      <c r="F1584" s="28"/>
      <c r="H1584" s="28"/>
    </row>
    <row r="1585" spans="4:8" x14ac:dyDescent="0.25">
      <c r="D1585" s="28"/>
      <c r="F1585" s="28"/>
      <c r="H1585" s="28"/>
    </row>
    <row r="1586" spans="4:8" x14ac:dyDescent="0.25">
      <c r="D1586" s="28"/>
      <c r="F1586" s="28"/>
      <c r="H1586" s="28"/>
    </row>
    <row r="1587" spans="4:8" x14ac:dyDescent="0.25">
      <c r="D1587" s="28"/>
      <c r="F1587" s="28"/>
      <c r="H1587" s="28"/>
    </row>
    <row r="1588" spans="4:8" x14ac:dyDescent="0.25">
      <c r="D1588" s="28"/>
      <c r="F1588" s="28"/>
      <c r="H1588" s="28"/>
    </row>
    <row r="1589" spans="4:8" x14ac:dyDescent="0.25">
      <c r="D1589" s="28"/>
      <c r="F1589" s="28"/>
      <c r="H1589" s="28"/>
    </row>
    <row r="1590" spans="4:8" x14ac:dyDescent="0.25">
      <c r="D1590" s="28"/>
      <c r="F1590" s="28"/>
      <c r="H1590" s="28"/>
    </row>
    <row r="1591" spans="4:8" x14ac:dyDescent="0.25">
      <c r="D1591" s="28"/>
      <c r="F1591" s="28"/>
      <c r="H1591" s="28"/>
    </row>
    <row r="1592" spans="4:8" x14ac:dyDescent="0.25">
      <c r="D1592" s="28"/>
      <c r="F1592" s="28"/>
      <c r="H1592" s="28"/>
    </row>
    <row r="1593" spans="4:8" x14ac:dyDescent="0.25">
      <c r="D1593" s="28"/>
      <c r="F1593" s="28"/>
      <c r="H1593" s="28"/>
    </row>
    <row r="1594" spans="4:8" x14ac:dyDescent="0.25">
      <c r="D1594" s="28"/>
      <c r="F1594" s="28"/>
      <c r="H1594" s="28"/>
    </row>
    <row r="1595" spans="4:8" x14ac:dyDescent="0.25">
      <c r="D1595" s="28"/>
      <c r="F1595" s="28"/>
      <c r="H1595" s="28"/>
    </row>
    <row r="1596" spans="4:8" x14ac:dyDescent="0.25">
      <c r="D1596" s="28"/>
      <c r="F1596" s="28"/>
      <c r="H1596" s="28"/>
    </row>
    <row r="1597" spans="4:8" x14ac:dyDescent="0.25">
      <c r="D1597" s="28"/>
      <c r="F1597" s="28"/>
      <c r="H1597" s="28"/>
    </row>
    <row r="1598" spans="4:8" x14ac:dyDescent="0.25">
      <c r="D1598" s="28"/>
      <c r="F1598" s="28"/>
      <c r="H1598" s="28"/>
    </row>
    <row r="1599" spans="4:8" x14ac:dyDescent="0.25">
      <c r="D1599" s="28"/>
      <c r="F1599" s="28"/>
      <c r="H1599" s="28"/>
    </row>
    <row r="1600" spans="4:8" x14ac:dyDescent="0.25">
      <c r="D1600" s="28"/>
      <c r="F1600" s="28"/>
      <c r="H1600" s="28"/>
    </row>
    <row r="1601" spans="4:8" x14ac:dyDescent="0.25">
      <c r="D1601" s="28"/>
      <c r="F1601" s="28"/>
      <c r="H1601" s="28"/>
    </row>
    <row r="1602" spans="4:8" x14ac:dyDescent="0.25">
      <c r="D1602" s="28"/>
      <c r="F1602" s="28"/>
      <c r="H1602" s="28"/>
    </row>
    <row r="1603" spans="4:8" x14ac:dyDescent="0.25">
      <c r="D1603" s="28"/>
      <c r="F1603" s="28"/>
      <c r="H1603" s="28"/>
    </row>
    <row r="1604" spans="4:8" x14ac:dyDescent="0.25">
      <c r="D1604" s="28"/>
      <c r="F1604" s="28"/>
      <c r="H1604" s="28"/>
    </row>
    <row r="1605" spans="4:8" x14ac:dyDescent="0.25">
      <c r="D1605" s="28"/>
      <c r="F1605" s="28"/>
      <c r="H1605" s="28"/>
    </row>
    <row r="1606" spans="4:8" x14ac:dyDescent="0.25">
      <c r="D1606" s="28"/>
      <c r="F1606" s="28"/>
      <c r="H1606" s="28"/>
    </row>
    <row r="1607" spans="4:8" x14ac:dyDescent="0.25">
      <c r="D1607" s="28"/>
      <c r="F1607" s="28"/>
      <c r="H1607" s="28"/>
    </row>
    <row r="1608" spans="4:8" x14ac:dyDescent="0.25">
      <c r="D1608" s="28"/>
      <c r="F1608" s="28"/>
      <c r="H1608" s="28"/>
    </row>
    <row r="1609" spans="4:8" x14ac:dyDescent="0.25">
      <c r="D1609" s="28"/>
      <c r="F1609" s="28"/>
      <c r="H1609" s="28"/>
    </row>
    <row r="1610" spans="4:8" x14ac:dyDescent="0.25">
      <c r="D1610" s="28"/>
      <c r="F1610" s="28"/>
      <c r="H1610" s="28"/>
    </row>
    <row r="1611" spans="4:8" x14ac:dyDescent="0.25">
      <c r="D1611" s="28"/>
      <c r="F1611" s="28"/>
      <c r="H1611" s="28"/>
    </row>
    <row r="1612" spans="4:8" x14ac:dyDescent="0.25">
      <c r="D1612" s="28"/>
      <c r="F1612" s="28"/>
      <c r="H1612" s="28"/>
    </row>
    <row r="1613" spans="4:8" x14ac:dyDescent="0.25">
      <c r="D1613" s="28"/>
      <c r="F1613" s="28"/>
      <c r="H1613" s="28"/>
    </row>
    <row r="1614" spans="4:8" x14ac:dyDescent="0.25">
      <c r="D1614" s="28"/>
      <c r="F1614" s="28"/>
      <c r="H1614" s="28"/>
    </row>
    <row r="1615" spans="4:8" x14ac:dyDescent="0.25">
      <c r="D1615" s="28"/>
      <c r="F1615" s="28"/>
      <c r="H1615" s="28"/>
    </row>
    <row r="1616" spans="4:8" x14ac:dyDescent="0.25">
      <c r="D1616" s="28"/>
      <c r="F1616" s="28"/>
      <c r="H1616" s="28"/>
    </row>
    <row r="1617" spans="4:8" x14ac:dyDescent="0.25">
      <c r="D1617" s="28"/>
      <c r="F1617" s="28"/>
      <c r="H1617" s="28"/>
    </row>
    <row r="1618" spans="4:8" x14ac:dyDescent="0.25">
      <c r="D1618" s="28"/>
      <c r="F1618" s="28"/>
      <c r="H1618" s="28"/>
    </row>
    <row r="1619" spans="4:8" x14ac:dyDescent="0.25">
      <c r="D1619" s="28"/>
      <c r="F1619" s="28"/>
      <c r="H1619" s="28"/>
    </row>
    <row r="1620" spans="4:8" x14ac:dyDescent="0.25">
      <c r="D1620" s="28"/>
      <c r="F1620" s="28"/>
      <c r="H1620" s="28"/>
    </row>
    <row r="1621" spans="4:8" x14ac:dyDescent="0.25">
      <c r="D1621" s="28"/>
      <c r="F1621" s="28"/>
      <c r="H1621" s="28"/>
    </row>
    <row r="1622" spans="4:8" x14ac:dyDescent="0.25">
      <c r="D1622" s="28"/>
      <c r="F1622" s="28"/>
      <c r="H1622" s="28"/>
    </row>
    <row r="1623" spans="4:8" x14ac:dyDescent="0.25">
      <c r="D1623" s="28"/>
      <c r="F1623" s="28"/>
      <c r="H1623" s="28"/>
    </row>
    <row r="1624" spans="4:8" x14ac:dyDescent="0.25">
      <c r="D1624" s="28"/>
      <c r="F1624" s="28"/>
      <c r="H1624" s="28"/>
    </row>
    <row r="1625" spans="4:8" x14ac:dyDescent="0.25">
      <c r="D1625" s="28"/>
      <c r="F1625" s="28"/>
      <c r="H1625" s="28"/>
    </row>
    <row r="1626" spans="4:8" x14ac:dyDescent="0.25">
      <c r="D1626" s="28"/>
      <c r="F1626" s="28"/>
      <c r="H1626" s="28"/>
    </row>
    <row r="1627" spans="4:8" x14ac:dyDescent="0.25">
      <c r="D1627" s="28"/>
      <c r="F1627" s="28"/>
      <c r="H1627" s="28"/>
    </row>
    <row r="1628" spans="4:8" x14ac:dyDescent="0.25">
      <c r="D1628" s="28"/>
      <c r="F1628" s="28"/>
      <c r="H1628" s="28"/>
    </row>
    <row r="1629" spans="4:8" x14ac:dyDescent="0.25">
      <c r="D1629" s="28"/>
      <c r="F1629" s="28"/>
      <c r="H1629" s="28"/>
    </row>
    <row r="1630" spans="4:8" x14ac:dyDescent="0.25">
      <c r="D1630" s="28"/>
      <c r="F1630" s="28"/>
      <c r="H1630" s="28"/>
    </row>
    <row r="1631" spans="4:8" x14ac:dyDescent="0.25">
      <c r="D1631" s="28"/>
      <c r="F1631" s="28"/>
      <c r="H1631" s="28"/>
    </row>
    <row r="1632" spans="4:8" x14ac:dyDescent="0.25">
      <c r="D1632" s="28"/>
      <c r="F1632" s="28"/>
      <c r="H1632" s="28"/>
    </row>
    <row r="1633" spans="4:8" x14ac:dyDescent="0.25">
      <c r="D1633" s="28"/>
      <c r="F1633" s="28"/>
      <c r="H1633" s="28"/>
    </row>
    <row r="1634" spans="4:8" x14ac:dyDescent="0.25">
      <c r="D1634" s="28"/>
      <c r="F1634" s="28"/>
      <c r="H1634" s="28"/>
    </row>
    <row r="1635" spans="4:8" x14ac:dyDescent="0.25">
      <c r="D1635" s="28"/>
      <c r="F1635" s="28"/>
      <c r="H1635" s="28"/>
    </row>
    <row r="1636" spans="4:8" x14ac:dyDescent="0.25">
      <c r="D1636" s="28"/>
      <c r="F1636" s="28"/>
      <c r="H1636" s="28"/>
    </row>
    <row r="1637" spans="4:8" x14ac:dyDescent="0.25">
      <c r="D1637" s="28"/>
      <c r="F1637" s="28"/>
      <c r="H1637" s="28"/>
    </row>
    <row r="1638" spans="4:8" x14ac:dyDescent="0.25">
      <c r="D1638" s="28"/>
      <c r="F1638" s="28"/>
      <c r="H1638" s="28"/>
    </row>
    <row r="1639" spans="4:8" x14ac:dyDescent="0.25">
      <c r="D1639" s="28"/>
      <c r="F1639" s="28"/>
      <c r="H1639" s="28"/>
    </row>
    <row r="1640" spans="4:8" x14ac:dyDescent="0.25">
      <c r="D1640" s="28"/>
      <c r="F1640" s="28"/>
      <c r="H1640" s="28"/>
    </row>
    <row r="1641" spans="4:8" x14ac:dyDescent="0.25">
      <c r="D1641" s="28"/>
      <c r="F1641" s="28"/>
      <c r="H1641" s="28"/>
    </row>
    <row r="1642" spans="4:8" x14ac:dyDescent="0.25">
      <c r="D1642" s="28"/>
      <c r="F1642" s="28"/>
      <c r="H1642" s="28"/>
    </row>
    <row r="1643" spans="4:8" x14ac:dyDescent="0.25">
      <c r="D1643" s="28"/>
      <c r="F1643" s="28"/>
      <c r="H1643" s="28"/>
    </row>
    <row r="1644" spans="4:8" x14ac:dyDescent="0.25">
      <c r="D1644" s="28"/>
      <c r="F1644" s="28"/>
      <c r="H1644" s="28"/>
    </row>
    <row r="1645" spans="4:8" x14ac:dyDescent="0.25">
      <c r="D1645" s="28"/>
      <c r="F1645" s="28"/>
      <c r="H1645" s="28"/>
    </row>
    <row r="1646" spans="4:8" x14ac:dyDescent="0.25">
      <c r="D1646" s="28"/>
      <c r="F1646" s="28"/>
      <c r="H1646" s="28"/>
    </row>
    <row r="1647" spans="4:8" x14ac:dyDescent="0.25">
      <c r="D1647" s="28"/>
      <c r="F1647" s="28"/>
      <c r="H1647" s="28"/>
    </row>
    <row r="1648" spans="4:8" x14ac:dyDescent="0.25">
      <c r="D1648" s="28"/>
      <c r="F1648" s="28"/>
      <c r="H1648" s="28"/>
    </row>
    <row r="1649" spans="4:8" x14ac:dyDescent="0.25">
      <c r="D1649" s="28"/>
      <c r="F1649" s="28"/>
      <c r="H1649" s="28"/>
    </row>
    <row r="1650" spans="4:8" x14ac:dyDescent="0.25">
      <c r="D1650" s="28"/>
      <c r="F1650" s="28"/>
      <c r="H1650" s="28"/>
    </row>
    <row r="1651" spans="4:8" x14ac:dyDescent="0.25">
      <c r="D1651" s="28"/>
      <c r="F1651" s="28"/>
      <c r="H1651" s="28"/>
    </row>
    <row r="1652" spans="4:8" x14ac:dyDescent="0.25">
      <c r="D1652" s="28"/>
      <c r="F1652" s="28"/>
      <c r="H1652" s="28"/>
    </row>
    <row r="1653" spans="4:8" x14ac:dyDescent="0.25">
      <c r="D1653" s="28"/>
      <c r="F1653" s="28"/>
      <c r="H1653" s="28"/>
    </row>
    <row r="1654" spans="4:8" x14ac:dyDescent="0.25">
      <c r="D1654" s="28"/>
      <c r="F1654" s="28"/>
      <c r="H1654" s="28"/>
    </row>
    <row r="1655" spans="4:8" x14ac:dyDescent="0.25">
      <c r="D1655" s="28"/>
      <c r="F1655" s="28"/>
      <c r="H1655" s="28"/>
    </row>
    <row r="1656" spans="4:8" x14ac:dyDescent="0.25">
      <c r="D1656" s="28"/>
      <c r="F1656" s="28"/>
      <c r="H1656" s="28"/>
    </row>
    <row r="1657" spans="4:8" x14ac:dyDescent="0.25">
      <c r="D1657" s="28"/>
      <c r="F1657" s="28"/>
      <c r="H1657" s="28"/>
    </row>
    <row r="1658" spans="4:8" x14ac:dyDescent="0.25">
      <c r="D1658" s="28"/>
      <c r="F1658" s="28"/>
      <c r="H1658" s="28"/>
    </row>
    <row r="1659" spans="4:8" x14ac:dyDescent="0.25">
      <c r="D1659" s="28"/>
      <c r="F1659" s="28"/>
      <c r="H1659" s="28"/>
    </row>
    <row r="1660" spans="4:8" x14ac:dyDescent="0.25">
      <c r="D1660" s="28"/>
      <c r="F1660" s="28"/>
      <c r="H1660" s="28"/>
    </row>
    <row r="1661" spans="4:8" x14ac:dyDescent="0.25">
      <c r="D1661" s="28"/>
      <c r="F1661" s="28"/>
      <c r="H1661" s="28"/>
    </row>
    <row r="1662" spans="4:8" x14ac:dyDescent="0.25">
      <c r="D1662" s="28"/>
      <c r="F1662" s="28"/>
      <c r="H1662" s="28"/>
    </row>
    <row r="1663" spans="4:8" x14ac:dyDescent="0.25">
      <c r="D1663" s="28"/>
      <c r="F1663" s="28"/>
      <c r="H1663" s="28"/>
    </row>
    <row r="1664" spans="4:8" x14ac:dyDescent="0.25">
      <c r="D1664" s="28"/>
      <c r="F1664" s="28"/>
      <c r="H1664" s="28"/>
    </row>
    <row r="1665" spans="4:8" x14ac:dyDescent="0.25">
      <c r="D1665" s="28"/>
      <c r="F1665" s="28"/>
      <c r="H1665" s="28"/>
    </row>
    <row r="1666" spans="4:8" x14ac:dyDescent="0.25">
      <c r="D1666" s="28"/>
      <c r="F1666" s="28"/>
      <c r="H1666" s="28"/>
    </row>
    <row r="1667" spans="4:8" x14ac:dyDescent="0.25">
      <c r="D1667" s="28"/>
      <c r="F1667" s="28"/>
      <c r="H1667" s="28"/>
    </row>
    <row r="1668" spans="4:8" x14ac:dyDescent="0.25">
      <c r="D1668" s="28"/>
      <c r="F1668" s="28"/>
      <c r="H1668" s="28"/>
    </row>
    <row r="1669" spans="4:8" x14ac:dyDescent="0.25">
      <c r="D1669" s="28"/>
      <c r="F1669" s="28"/>
      <c r="H1669" s="28"/>
    </row>
    <row r="1670" spans="4:8" x14ac:dyDescent="0.25">
      <c r="D1670" s="28"/>
      <c r="F1670" s="28"/>
      <c r="H1670" s="28"/>
    </row>
    <row r="1671" spans="4:8" x14ac:dyDescent="0.25">
      <c r="D1671" s="28"/>
      <c r="F1671" s="28"/>
      <c r="H1671" s="28"/>
    </row>
    <row r="1672" spans="4:8" x14ac:dyDescent="0.25">
      <c r="D1672" s="28"/>
      <c r="F1672" s="28"/>
      <c r="H1672" s="28"/>
    </row>
    <row r="1673" spans="4:8" x14ac:dyDescent="0.25">
      <c r="D1673" s="28"/>
      <c r="F1673" s="28"/>
      <c r="H1673" s="28"/>
    </row>
    <row r="1674" spans="4:8" x14ac:dyDescent="0.25">
      <c r="D1674" s="28"/>
      <c r="F1674" s="28"/>
      <c r="H1674" s="28"/>
    </row>
    <row r="1675" spans="4:8" x14ac:dyDescent="0.25">
      <c r="D1675" s="28"/>
      <c r="F1675" s="28"/>
      <c r="H1675" s="28"/>
    </row>
    <row r="1676" spans="4:8" x14ac:dyDescent="0.25">
      <c r="D1676" s="28"/>
      <c r="F1676" s="28"/>
      <c r="H1676" s="28"/>
    </row>
    <row r="1677" spans="4:8" x14ac:dyDescent="0.25">
      <c r="D1677" s="28"/>
      <c r="F1677" s="28"/>
      <c r="H1677" s="28"/>
    </row>
    <row r="1678" spans="4:8" x14ac:dyDescent="0.25">
      <c r="D1678" s="28"/>
      <c r="F1678" s="28"/>
      <c r="H1678" s="28"/>
    </row>
    <row r="1679" spans="4:8" x14ac:dyDescent="0.25">
      <c r="D1679" s="28"/>
      <c r="F1679" s="28"/>
      <c r="H1679" s="28"/>
    </row>
    <row r="1680" spans="4:8" x14ac:dyDescent="0.25">
      <c r="D1680" s="28"/>
      <c r="F1680" s="28"/>
      <c r="H1680" s="28"/>
    </row>
    <row r="1681" spans="4:8" x14ac:dyDescent="0.25">
      <c r="D1681" s="28"/>
      <c r="F1681" s="28"/>
      <c r="H1681" s="28"/>
    </row>
    <row r="1682" spans="4:8" x14ac:dyDescent="0.25">
      <c r="D1682" s="28"/>
      <c r="F1682" s="28"/>
      <c r="H1682" s="28"/>
    </row>
    <row r="1683" spans="4:8" x14ac:dyDescent="0.25">
      <c r="D1683" s="28"/>
      <c r="F1683" s="28"/>
      <c r="H1683" s="28"/>
    </row>
    <row r="1684" spans="4:8" x14ac:dyDescent="0.25">
      <c r="D1684" s="28"/>
      <c r="F1684" s="28"/>
      <c r="H1684" s="28"/>
    </row>
    <row r="1685" spans="4:8" x14ac:dyDescent="0.25">
      <c r="D1685" s="28"/>
      <c r="F1685" s="28"/>
      <c r="H1685" s="28"/>
    </row>
    <row r="1686" spans="4:8" x14ac:dyDescent="0.25">
      <c r="D1686" s="28"/>
      <c r="F1686" s="28"/>
      <c r="H1686" s="28"/>
    </row>
    <row r="1687" spans="4:8" x14ac:dyDescent="0.25">
      <c r="D1687" s="28"/>
      <c r="F1687" s="28"/>
      <c r="H1687" s="28"/>
    </row>
    <row r="1688" spans="4:8" x14ac:dyDescent="0.25">
      <c r="D1688" s="28"/>
      <c r="F1688" s="28"/>
      <c r="H1688" s="28"/>
    </row>
    <row r="1689" spans="4:8" x14ac:dyDescent="0.25">
      <c r="D1689" s="28"/>
      <c r="F1689" s="28"/>
      <c r="H1689" s="28"/>
    </row>
    <row r="1690" spans="4:8" x14ac:dyDescent="0.25">
      <c r="D1690" s="28"/>
      <c r="F1690" s="28"/>
      <c r="H1690" s="28"/>
    </row>
    <row r="1691" spans="4:8" x14ac:dyDescent="0.25">
      <c r="D1691" s="28"/>
      <c r="F1691" s="28"/>
      <c r="H1691" s="28"/>
    </row>
    <row r="1692" spans="4:8" x14ac:dyDescent="0.25">
      <c r="D1692" s="28"/>
      <c r="F1692" s="28"/>
      <c r="H1692" s="28"/>
    </row>
    <row r="1693" spans="4:8" x14ac:dyDescent="0.25">
      <c r="D1693" s="28"/>
      <c r="F1693" s="28"/>
      <c r="H1693" s="28"/>
    </row>
    <row r="1694" spans="4:8" x14ac:dyDescent="0.25">
      <c r="D1694" s="28"/>
      <c r="F1694" s="28"/>
      <c r="H1694" s="28"/>
    </row>
    <row r="1695" spans="4:8" x14ac:dyDescent="0.25">
      <c r="D1695" s="28"/>
      <c r="F1695" s="28"/>
      <c r="H1695" s="28"/>
    </row>
    <row r="1696" spans="4:8" x14ac:dyDescent="0.25">
      <c r="D1696" s="28"/>
      <c r="F1696" s="28"/>
      <c r="H1696" s="28"/>
    </row>
    <row r="1697" spans="4:8" x14ac:dyDescent="0.25">
      <c r="D1697" s="28"/>
      <c r="F1697" s="28"/>
      <c r="H1697" s="28"/>
    </row>
    <row r="1698" spans="4:8" x14ac:dyDescent="0.25">
      <c r="D1698" s="28"/>
      <c r="F1698" s="28"/>
      <c r="H1698" s="28"/>
    </row>
    <row r="1699" spans="4:8" x14ac:dyDescent="0.25">
      <c r="D1699" s="28"/>
      <c r="F1699" s="28"/>
      <c r="H1699" s="28"/>
    </row>
    <row r="1700" spans="4:8" x14ac:dyDescent="0.25">
      <c r="D1700" s="28"/>
      <c r="F1700" s="28"/>
      <c r="H1700" s="28"/>
    </row>
    <row r="1701" spans="4:8" x14ac:dyDescent="0.25">
      <c r="D1701" s="28"/>
      <c r="F1701" s="28"/>
      <c r="H1701" s="28"/>
    </row>
    <row r="1702" spans="4:8" x14ac:dyDescent="0.25">
      <c r="D1702" s="28"/>
      <c r="F1702" s="28"/>
      <c r="H1702" s="28"/>
    </row>
    <row r="1703" spans="4:8" x14ac:dyDescent="0.25">
      <c r="D1703" s="28"/>
      <c r="F1703" s="28"/>
      <c r="H1703" s="28"/>
    </row>
    <row r="1704" spans="4:8" x14ac:dyDescent="0.25">
      <c r="D1704" s="28"/>
      <c r="F1704" s="28"/>
      <c r="H1704" s="28"/>
    </row>
    <row r="1705" spans="4:8" x14ac:dyDescent="0.25">
      <c r="D1705" s="28"/>
      <c r="F1705" s="28"/>
      <c r="H1705" s="28"/>
    </row>
    <row r="1706" spans="4:8" x14ac:dyDescent="0.25">
      <c r="D1706" s="28"/>
      <c r="F1706" s="28"/>
      <c r="H1706" s="28"/>
    </row>
    <row r="1707" spans="4:8" x14ac:dyDescent="0.25">
      <c r="D1707" s="28"/>
      <c r="F1707" s="28"/>
      <c r="H1707" s="28"/>
    </row>
    <row r="1708" spans="4:8" x14ac:dyDescent="0.25">
      <c r="D1708" s="28"/>
      <c r="F1708" s="28"/>
      <c r="H1708" s="28"/>
    </row>
    <row r="1709" spans="4:8" x14ac:dyDescent="0.25">
      <c r="D1709" s="28"/>
      <c r="F1709" s="28"/>
      <c r="H1709" s="28"/>
    </row>
    <row r="1710" spans="4:8" x14ac:dyDescent="0.25">
      <c r="D1710" s="28"/>
      <c r="F1710" s="28"/>
      <c r="H1710" s="28"/>
    </row>
    <row r="1711" spans="4:8" x14ac:dyDescent="0.25">
      <c r="D1711" s="28"/>
      <c r="F1711" s="28"/>
      <c r="H1711" s="28"/>
    </row>
    <row r="1712" spans="4:8" x14ac:dyDescent="0.25">
      <c r="D1712" s="28"/>
      <c r="F1712" s="28"/>
      <c r="H1712" s="28"/>
    </row>
    <row r="1713" spans="4:8" x14ac:dyDescent="0.25">
      <c r="D1713" s="28"/>
      <c r="F1713" s="28"/>
      <c r="H1713" s="28"/>
    </row>
    <row r="1714" spans="4:8" x14ac:dyDescent="0.25">
      <c r="D1714" s="28"/>
      <c r="F1714" s="28"/>
      <c r="H1714" s="28"/>
    </row>
    <row r="1715" spans="4:8" x14ac:dyDescent="0.25">
      <c r="D1715" s="28"/>
      <c r="F1715" s="28"/>
      <c r="H1715" s="28"/>
    </row>
    <row r="1716" spans="4:8" x14ac:dyDescent="0.25">
      <c r="D1716" s="28"/>
      <c r="F1716" s="28"/>
      <c r="H1716" s="28"/>
    </row>
    <row r="1717" spans="4:8" x14ac:dyDescent="0.25">
      <c r="D1717" s="28"/>
      <c r="F1717" s="28"/>
      <c r="H1717" s="28"/>
    </row>
    <row r="1718" spans="4:8" x14ac:dyDescent="0.25">
      <c r="D1718" s="28"/>
      <c r="F1718" s="28"/>
      <c r="H1718" s="28"/>
    </row>
    <row r="1719" spans="4:8" x14ac:dyDescent="0.25">
      <c r="D1719" s="28"/>
      <c r="F1719" s="28"/>
      <c r="H1719" s="28"/>
    </row>
    <row r="1720" spans="4:8" x14ac:dyDescent="0.25">
      <c r="D1720" s="28"/>
      <c r="F1720" s="28"/>
      <c r="H1720" s="28"/>
    </row>
    <row r="1721" spans="4:8" x14ac:dyDescent="0.25">
      <c r="D1721" s="28"/>
      <c r="F1721" s="28"/>
      <c r="H1721" s="28"/>
    </row>
    <row r="1722" spans="4:8" x14ac:dyDescent="0.25">
      <c r="D1722" s="28"/>
      <c r="F1722" s="28"/>
      <c r="H1722" s="28"/>
    </row>
    <row r="1723" spans="4:8" x14ac:dyDescent="0.25">
      <c r="D1723" s="28"/>
      <c r="F1723" s="28"/>
      <c r="H1723" s="28"/>
    </row>
    <row r="1724" spans="4:8" x14ac:dyDescent="0.25">
      <c r="D1724" s="28"/>
      <c r="F1724" s="28"/>
      <c r="H1724" s="28"/>
    </row>
    <row r="1725" spans="4:8" x14ac:dyDescent="0.25">
      <c r="D1725" s="28"/>
      <c r="F1725" s="28"/>
      <c r="H1725" s="28"/>
    </row>
    <row r="1726" spans="4:8" x14ac:dyDescent="0.25">
      <c r="D1726" s="28"/>
      <c r="F1726" s="28"/>
      <c r="H1726" s="28"/>
    </row>
    <row r="1727" spans="4:8" x14ac:dyDescent="0.25">
      <c r="D1727" s="28"/>
      <c r="F1727" s="28"/>
      <c r="H1727" s="28"/>
    </row>
    <row r="1728" spans="4:8" x14ac:dyDescent="0.25">
      <c r="D1728" s="28"/>
      <c r="F1728" s="28"/>
      <c r="H1728" s="28"/>
    </row>
    <row r="1729" spans="4:8" x14ac:dyDescent="0.25">
      <c r="D1729" s="28"/>
      <c r="F1729" s="28"/>
      <c r="H1729" s="28"/>
    </row>
    <row r="1730" spans="4:8" x14ac:dyDescent="0.25">
      <c r="D1730" s="28"/>
      <c r="F1730" s="28"/>
      <c r="H1730" s="28"/>
    </row>
    <row r="1731" spans="4:8" x14ac:dyDescent="0.25">
      <c r="D1731" s="28"/>
      <c r="F1731" s="28"/>
      <c r="H1731" s="28"/>
    </row>
    <row r="1732" spans="4:8" x14ac:dyDescent="0.25">
      <c r="D1732" s="28"/>
      <c r="F1732" s="28"/>
      <c r="H1732" s="28"/>
    </row>
    <row r="1733" spans="4:8" x14ac:dyDescent="0.25">
      <c r="D1733" s="28"/>
      <c r="F1733" s="28"/>
      <c r="H1733" s="28"/>
    </row>
    <row r="1734" spans="4:8" x14ac:dyDescent="0.25">
      <c r="D1734" s="28"/>
      <c r="F1734" s="28"/>
      <c r="H1734" s="28"/>
    </row>
    <row r="1735" spans="4:8" x14ac:dyDescent="0.25">
      <c r="D1735" s="28"/>
      <c r="F1735" s="28"/>
      <c r="H1735" s="28"/>
    </row>
    <row r="1736" spans="4:8" x14ac:dyDescent="0.25">
      <c r="D1736" s="28"/>
      <c r="F1736" s="28"/>
      <c r="H1736" s="28"/>
    </row>
    <row r="1737" spans="4:8" x14ac:dyDescent="0.25">
      <c r="D1737" s="28"/>
      <c r="F1737" s="28"/>
      <c r="H1737" s="28"/>
    </row>
    <row r="1738" spans="4:8" x14ac:dyDescent="0.25">
      <c r="D1738" s="28"/>
      <c r="F1738" s="28"/>
      <c r="H1738" s="28"/>
    </row>
    <row r="1739" spans="4:8" x14ac:dyDescent="0.25">
      <c r="D1739" s="28"/>
      <c r="F1739" s="28"/>
      <c r="H1739" s="28"/>
    </row>
    <row r="1740" spans="4:8" x14ac:dyDescent="0.25">
      <c r="D1740" s="28"/>
      <c r="F1740" s="28"/>
      <c r="H1740" s="28"/>
    </row>
    <row r="1741" spans="4:8" x14ac:dyDescent="0.25">
      <c r="D1741" s="28"/>
      <c r="F1741" s="28"/>
      <c r="H1741" s="28"/>
    </row>
    <row r="1742" spans="4:8" x14ac:dyDescent="0.25">
      <c r="D1742" s="28"/>
      <c r="F1742" s="28"/>
      <c r="H1742" s="28"/>
    </row>
    <row r="1743" spans="4:8" x14ac:dyDescent="0.25">
      <c r="D1743" s="28"/>
      <c r="F1743" s="28"/>
      <c r="H1743" s="28"/>
    </row>
    <row r="1744" spans="4:8" x14ac:dyDescent="0.25">
      <c r="D1744" s="28"/>
      <c r="F1744" s="28"/>
      <c r="H1744" s="28"/>
    </row>
    <row r="1745" spans="4:8" x14ac:dyDescent="0.25">
      <c r="D1745" s="28"/>
      <c r="F1745" s="28"/>
      <c r="H1745" s="28"/>
    </row>
    <row r="1746" spans="4:8" x14ac:dyDescent="0.25">
      <c r="D1746" s="28"/>
      <c r="F1746" s="28"/>
      <c r="H1746" s="28"/>
    </row>
    <row r="1747" spans="4:8" x14ac:dyDescent="0.25">
      <c r="D1747" s="28"/>
      <c r="F1747" s="28"/>
      <c r="H1747" s="28"/>
    </row>
    <row r="1748" spans="4:8" x14ac:dyDescent="0.25">
      <c r="D1748" s="28"/>
      <c r="F1748" s="28"/>
      <c r="H1748" s="28"/>
    </row>
    <row r="1749" spans="4:8" x14ac:dyDescent="0.25">
      <c r="D1749" s="28"/>
      <c r="F1749" s="28"/>
      <c r="H1749" s="28"/>
    </row>
    <row r="1750" spans="4:8" x14ac:dyDescent="0.25">
      <c r="D1750" s="28"/>
      <c r="F1750" s="28"/>
      <c r="H1750" s="28"/>
    </row>
    <row r="1751" spans="4:8" x14ac:dyDescent="0.25">
      <c r="D1751" s="28"/>
      <c r="F1751" s="28"/>
      <c r="H1751" s="28"/>
    </row>
    <row r="1752" spans="4:8" x14ac:dyDescent="0.25">
      <c r="D1752" s="28"/>
      <c r="F1752" s="28"/>
      <c r="H1752" s="28"/>
    </row>
    <row r="1753" spans="4:8" x14ac:dyDescent="0.25">
      <c r="D1753" s="28"/>
      <c r="F1753" s="28"/>
      <c r="H1753" s="28"/>
    </row>
    <row r="1754" spans="4:8" x14ac:dyDescent="0.25">
      <c r="D1754" s="28"/>
      <c r="F1754" s="28"/>
      <c r="H1754" s="28"/>
    </row>
    <row r="1755" spans="4:8" x14ac:dyDescent="0.25">
      <c r="D1755" s="28"/>
      <c r="F1755" s="28"/>
      <c r="H1755" s="28"/>
    </row>
    <row r="1756" spans="4:8" x14ac:dyDescent="0.25">
      <c r="D1756" s="28"/>
      <c r="F1756" s="28"/>
      <c r="H1756" s="28"/>
    </row>
    <row r="1757" spans="4:8" x14ac:dyDescent="0.25">
      <c r="D1757" s="28"/>
      <c r="F1757" s="28"/>
      <c r="H1757" s="28"/>
    </row>
    <row r="1758" spans="4:8" x14ac:dyDescent="0.25">
      <c r="D1758" s="28"/>
      <c r="F1758" s="28"/>
      <c r="H1758" s="28"/>
    </row>
    <row r="1759" spans="4:8" x14ac:dyDescent="0.25">
      <c r="D1759" s="28"/>
      <c r="F1759" s="28"/>
      <c r="H1759" s="28"/>
    </row>
    <row r="1760" spans="4:8" x14ac:dyDescent="0.25">
      <c r="D1760" s="28"/>
      <c r="F1760" s="28"/>
      <c r="H1760" s="28"/>
    </row>
    <row r="1761" spans="4:8" x14ac:dyDescent="0.25">
      <c r="D1761" s="28"/>
      <c r="F1761" s="28"/>
      <c r="H1761" s="28"/>
    </row>
    <row r="1762" spans="4:8" x14ac:dyDescent="0.25">
      <c r="D1762" s="28"/>
      <c r="F1762" s="28"/>
      <c r="H1762" s="28"/>
    </row>
    <row r="1763" spans="4:8" x14ac:dyDescent="0.25">
      <c r="D1763" s="28"/>
      <c r="F1763" s="28"/>
      <c r="H1763" s="28"/>
    </row>
    <row r="1764" spans="4:8" x14ac:dyDescent="0.25">
      <c r="D1764" s="28"/>
      <c r="F1764" s="28"/>
      <c r="H1764" s="28"/>
    </row>
    <row r="1765" spans="4:8" x14ac:dyDescent="0.25">
      <c r="D1765" s="28"/>
      <c r="F1765" s="28"/>
      <c r="H1765" s="28"/>
    </row>
    <row r="1766" spans="4:8" x14ac:dyDescent="0.25">
      <c r="D1766" s="28"/>
      <c r="F1766" s="28"/>
      <c r="H1766" s="28"/>
    </row>
    <row r="1767" spans="4:8" x14ac:dyDescent="0.25">
      <c r="D1767" s="28"/>
      <c r="F1767" s="28"/>
      <c r="H1767" s="28"/>
    </row>
    <row r="1768" spans="4:8" x14ac:dyDescent="0.25">
      <c r="D1768" s="28"/>
      <c r="F1768" s="28"/>
      <c r="H1768" s="28"/>
    </row>
    <row r="1769" spans="4:8" x14ac:dyDescent="0.25">
      <c r="D1769" s="28"/>
      <c r="F1769" s="28"/>
      <c r="H1769" s="28"/>
    </row>
    <row r="1770" spans="4:8" x14ac:dyDescent="0.25">
      <c r="D1770" s="28"/>
      <c r="F1770" s="28"/>
      <c r="H1770" s="28"/>
    </row>
    <row r="1771" spans="4:8" x14ac:dyDescent="0.25">
      <c r="D1771" s="28"/>
      <c r="F1771" s="28"/>
      <c r="H1771" s="28"/>
    </row>
    <row r="1772" spans="4:8" x14ac:dyDescent="0.25">
      <c r="D1772" s="28"/>
      <c r="F1772" s="28"/>
      <c r="H1772" s="28"/>
    </row>
    <row r="1773" spans="4:8" x14ac:dyDescent="0.25">
      <c r="D1773" s="28"/>
      <c r="F1773" s="28"/>
      <c r="H1773" s="28"/>
    </row>
    <row r="1774" spans="4:8" x14ac:dyDescent="0.25">
      <c r="D1774" s="28"/>
      <c r="F1774" s="28"/>
      <c r="H1774" s="28"/>
    </row>
    <row r="1775" spans="4:8" x14ac:dyDescent="0.25">
      <c r="D1775" s="28"/>
      <c r="F1775" s="28"/>
      <c r="H1775" s="28"/>
    </row>
    <row r="1776" spans="4:8" x14ac:dyDescent="0.25">
      <c r="D1776" s="28"/>
      <c r="F1776" s="28"/>
      <c r="H1776" s="28"/>
    </row>
    <row r="1777" spans="4:8" x14ac:dyDescent="0.25">
      <c r="D1777" s="28"/>
      <c r="F1777" s="28"/>
      <c r="H1777" s="28"/>
    </row>
    <row r="1778" spans="4:8" x14ac:dyDescent="0.25">
      <c r="D1778" s="28"/>
      <c r="F1778" s="28"/>
      <c r="H1778" s="28"/>
    </row>
    <row r="1779" spans="4:8" x14ac:dyDescent="0.25">
      <c r="D1779" s="28"/>
      <c r="F1779" s="28"/>
      <c r="H1779" s="28"/>
    </row>
    <row r="1780" spans="4:8" x14ac:dyDescent="0.25">
      <c r="D1780" s="28"/>
      <c r="F1780" s="28"/>
      <c r="H1780" s="28"/>
    </row>
    <row r="1781" spans="4:8" x14ac:dyDescent="0.25">
      <c r="D1781" s="28"/>
      <c r="F1781" s="28"/>
      <c r="H1781" s="28"/>
    </row>
    <row r="1782" spans="4:8" x14ac:dyDescent="0.25">
      <c r="D1782" s="28"/>
      <c r="F1782" s="28"/>
      <c r="H1782" s="28"/>
    </row>
    <row r="1783" spans="4:8" x14ac:dyDescent="0.25">
      <c r="D1783" s="28"/>
      <c r="F1783" s="28"/>
      <c r="H1783" s="28"/>
    </row>
    <row r="1784" spans="4:8" x14ac:dyDescent="0.25">
      <c r="D1784" s="28"/>
      <c r="F1784" s="28"/>
      <c r="H1784" s="28"/>
    </row>
    <row r="1785" spans="4:8" x14ac:dyDescent="0.25">
      <c r="D1785" s="28"/>
      <c r="F1785" s="28"/>
      <c r="H1785" s="28"/>
    </row>
    <row r="1786" spans="4:8" x14ac:dyDescent="0.25">
      <c r="D1786" s="28"/>
      <c r="F1786" s="28"/>
      <c r="H1786" s="28"/>
    </row>
    <row r="1787" spans="4:8" x14ac:dyDescent="0.25">
      <c r="D1787" s="28"/>
      <c r="F1787" s="28"/>
      <c r="H1787" s="28"/>
    </row>
    <row r="1788" spans="4:8" x14ac:dyDescent="0.25">
      <c r="D1788" s="28"/>
      <c r="F1788" s="28"/>
      <c r="H1788" s="28"/>
    </row>
    <row r="1789" spans="4:8" x14ac:dyDescent="0.25">
      <c r="D1789" s="28"/>
      <c r="F1789" s="28"/>
      <c r="H1789" s="28"/>
    </row>
    <row r="1790" spans="4:8" x14ac:dyDescent="0.25">
      <c r="D1790" s="28"/>
      <c r="F1790" s="28"/>
      <c r="H1790" s="28"/>
    </row>
    <row r="1791" spans="4:8" x14ac:dyDescent="0.25">
      <c r="D1791" s="28"/>
      <c r="F1791" s="28"/>
      <c r="H1791" s="28"/>
    </row>
    <row r="1792" spans="4:8" x14ac:dyDescent="0.25">
      <c r="D1792" s="28"/>
      <c r="F1792" s="28"/>
      <c r="H1792" s="28"/>
    </row>
    <row r="1793" spans="4:8" x14ac:dyDescent="0.25">
      <c r="D1793" s="28"/>
      <c r="F1793" s="28"/>
      <c r="H1793" s="28"/>
    </row>
    <row r="1794" spans="4:8" x14ac:dyDescent="0.25">
      <c r="D1794" s="28"/>
      <c r="F1794" s="28"/>
      <c r="H1794" s="28"/>
    </row>
    <row r="1795" spans="4:8" x14ac:dyDescent="0.25">
      <c r="D1795" s="28"/>
      <c r="F1795" s="28"/>
      <c r="H1795" s="28"/>
    </row>
    <row r="1796" spans="4:8" x14ac:dyDescent="0.25">
      <c r="D1796" s="28"/>
      <c r="F1796" s="28"/>
      <c r="H1796" s="28"/>
    </row>
    <row r="1797" spans="4:8" x14ac:dyDescent="0.25">
      <c r="D1797" s="28"/>
      <c r="F1797" s="28"/>
      <c r="H1797" s="28"/>
    </row>
    <row r="1798" spans="4:8" x14ac:dyDescent="0.25">
      <c r="D1798" s="28"/>
      <c r="F1798" s="28"/>
      <c r="H1798" s="28"/>
    </row>
    <row r="1799" spans="4:8" x14ac:dyDescent="0.25">
      <c r="D1799" s="28"/>
      <c r="F1799" s="28"/>
      <c r="H1799" s="28"/>
    </row>
    <row r="1800" spans="4:8" x14ac:dyDescent="0.25">
      <c r="D1800" s="28"/>
      <c r="F1800" s="28"/>
      <c r="H1800" s="28"/>
    </row>
    <row r="1801" spans="4:8" x14ac:dyDescent="0.25">
      <c r="D1801" s="28"/>
      <c r="F1801" s="28"/>
      <c r="H1801" s="28"/>
    </row>
    <row r="1802" spans="4:8" x14ac:dyDescent="0.25">
      <c r="D1802" s="28"/>
      <c r="F1802" s="28"/>
      <c r="H1802" s="28"/>
    </row>
    <row r="1803" spans="4:8" x14ac:dyDescent="0.25">
      <c r="D1803" s="28"/>
      <c r="F1803" s="28"/>
      <c r="H1803" s="28"/>
    </row>
    <row r="1804" spans="4:8" x14ac:dyDescent="0.25">
      <c r="D1804" s="28"/>
      <c r="F1804" s="28"/>
      <c r="H1804" s="28"/>
    </row>
    <row r="1805" spans="4:8" x14ac:dyDescent="0.25">
      <c r="D1805" s="28"/>
      <c r="F1805" s="28"/>
      <c r="H1805" s="28"/>
    </row>
    <row r="1806" spans="4:8" x14ac:dyDescent="0.25">
      <c r="D1806" s="28"/>
      <c r="F1806" s="28"/>
      <c r="H1806" s="28"/>
    </row>
    <row r="1807" spans="4:8" x14ac:dyDescent="0.25">
      <c r="D1807" s="28"/>
      <c r="F1807" s="28"/>
      <c r="H1807" s="28"/>
    </row>
    <row r="1808" spans="4:8" x14ac:dyDescent="0.25">
      <c r="D1808" s="28"/>
      <c r="F1808" s="28"/>
      <c r="H1808" s="28"/>
    </row>
    <row r="1809" spans="4:8" x14ac:dyDescent="0.25">
      <c r="D1809" s="28"/>
      <c r="F1809" s="28"/>
      <c r="H1809" s="28"/>
    </row>
    <row r="1810" spans="4:8" x14ac:dyDescent="0.25">
      <c r="D1810" s="28"/>
      <c r="F1810" s="28"/>
      <c r="H1810" s="28"/>
    </row>
    <row r="1811" spans="4:8" x14ac:dyDescent="0.25">
      <c r="D1811" s="28"/>
      <c r="F1811" s="28"/>
      <c r="H1811" s="28"/>
    </row>
    <row r="1812" spans="4:8" x14ac:dyDescent="0.25">
      <c r="D1812" s="28"/>
      <c r="F1812" s="28"/>
      <c r="H1812" s="28"/>
    </row>
    <row r="1813" spans="4:8" x14ac:dyDescent="0.25">
      <c r="D1813" s="28"/>
      <c r="F1813" s="28"/>
      <c r="H1813" s="28"/>
    </row>
    <row r="1814" spans="4:8" x14ac:dyDescent="0.25">
      <c r="D1814" s="28"/>
      <c r="F1814" s="28"/>
      <c r="H1814" s="28"/>
    </row>
    <row r="1815" spans="4:8" x14ac:dyDescent="0.25">
      <c r="D1815" s="28"/>
      <c r="F1815" s="28"/>
      <c r="H1815" s="28"/>
    </row>
    <row r="1816" spans="4:8" x14ac:dyDescent="0.25">
      <c r="D1816" s="28"/>
      <c r="F1816" s="28"/>
      <c r="H1816" s="28"/>
    </row>
    <row r="1817" spans="4:8" x14ac:dyDescent="0.25">
      <c r="D1817" s="28"/>
      <c r="F1817" s="28"/>
      <c r="H1817" s="28"/>
    </row>
    <row r="1818" spans="4:8" x14ac:dyDescent="0.25">
      <c r="D1818" s="28"/>
      <c r="F1818" s="28"/>
      <c r="H1818" s="28"/>
    </row>
    <row r="1819" spans="4:8" x14ac:dyDescent="0.25">
      <c r="D1819" s="28"/>
      <c r="F1819" s="28"/>
      <c r="H1819" s="28"/>
    </row>
    <row r="1820" spans="4:8" x14ac:dyDescent="0.25">
      <c r="D1820" s="28"/>
      <c r="F1820" s="28"/>
      <c r="H1820" s="28"/>
    </row>
    <row r="1821" spans="4:8" x14ac:dyDescent="0.25">
      <c r="D1821" s="28"/>
      <c r="F1821" s="28"/>
      <c r="H1821" s="28"/>
    </row>
    <row r="1822" spans="4:8" x14ac:dyDescent="0.25">
      <c r="D1822" s="28"/>
      <c r="F1822" s="28"/>
      <c r="H1822" s="28"/>
    </row>
    <row r="1823" spans="4:8" x14ac:dyDescent="0.25">
      <c r="D1823" s="28"/>
      <c r="F1823" s="28"/>
      <c r="H1823" s="28"/>
    </row>
    <row r="1824" spans="4:8" x14ac:dyDescent="0.25">
      <c r="D1824" s="28"/>
      <c r="F1824" s="28"/>
      <c r="H1824" s="28"/>
    </row>
    <row r="1825" spans="4:8" x14ac:dyDescent="0.25">
      <c r="D1825" s="28"/>
      <c r="F1825" s="28"/>
      <c r="H1825" s="28"/>
    </row>
    <row r="1826" spans="4:8" x14ac:dyDescent="0.25">
      <c r="D1826" s="28"/>
      <c r="F1826" s="28"/>
      <c r="H1826" s="28"/>
    </row>
    <row r="1827" spans="4:8" x14ac:dyDescent="0.25">
      <c r="D1827" s="28"/>
      <c r="F1827" s="28"/>
      <c r="H1827" s="28"/>
    </row>
    <row r="1828" spans="4:8" x14ac:dyDescent="0.25">
      <c r="D1828" s="28"/>
      <c r="F1828" s="28"/>
      <c r="H1828" s="28"/>
    </row>
    <row r="1829" spans="4:8" x14ac:dyDescent="0.25">
      <c r="D1829" s="28"/>
      <c r="F1829" s="28"/>
      <c r="H1829" s="28"/>
    </row>
    <row r="1830" spans="4:8" x14ac:dyDescent="0.25">
      <c r="D1830" s="28"/>
      <c r="F1830" s="28"/>
      <c r="H1830" s="28"/>
    </row>
    <row r="1831" spans="4:8" x14ac:dyDescent="0.25">
      <c r="D1831" s="28"/>
      <c r="F1831" s="28"/>
      <c r="H1831" s="28"/>
    </row>
    <row r="1832" spans="4:8" x14ac:dyDescent="0.25">
      <c r="D1832" s="28"/>
      <c r="F1832" s="28"/>
      <c r="H1832" s="28"/>
    </row>
    <row r="1833" spans="4:8" x14ac:dyDescent="0.25">
      <c r="D1833" s="28"/>
      <c r="F1833" s="28"/>
      <c r="H1833" s="28"/>
    </row>
    <row r="1834" spans="4:8" x14ac:dyDescent="0.25">
      <c r="D1834" s="28"/>
      <c r="F1834" s="28"/>
      <c r="H1834" s="28"/>
    </row>
    <row r="1835" spans="4:8" x14ac:dyDescent="0.25">
      <c r="D1835" s="28"/>
      <c r="F1835" s="28"/>
      <c r="H1835" s="28"/>
    </row>
    <row r="1836" spans="4:8" x14ac:dyDescent="0.25">
      <c r="D1836" s="28"/>
      <c r="F1836" s="28"/>
      <c r="H1836" s="28"/>
    </row>
    <row r="1837" spans="4:8" x14ac:dyDescent="0.25">
      <c r="D1837" s="28"/>
      <c r="F1837" s="28"/>
      <c r="H1837" s="28"/>
    </row>
    <row r="1838" spans="4:8" x14ac:dyDescent="0.25">
      <c r="D1838" s="28"/>
      <c r="F1838" s="28"/>
      <c r="H1838" s="28"/>
    </row>
    <row r="1839" spans="4:8" x14ac:dyDescent="0.25">
      <c r="D1839" s="28"/>
      <c r="F1839" s="28"/>
      <c r="H1839" s="28"/>
    </row>
    <row r="1840" spans="4:8" x14ac:dyDescent="0.25">
      <c r="D1840" s="28"/>
      <c r="F1840" s="28"/>
      <c r="H1840" s="28"/>
    </row>
    <row r="1841" spans="4:8" x14ac:dyDescent="0.25">
      <c r="D1841" s="28"/>
      <c r="F1841" s="28"/>
      <c r="H1841" s="28"/>
    </row>
    <row r="1842" spans="4:8" x14ac:dyDescent="0.25">
      <c r="D1842" s="28"/>
      <c r="F1842" s="28"/>
      <c r="H1842" s="28"/>
    </row>
    <row r="1843" spans="4:8" x14ac:dyDescent="0.25">
      <c r="D1843" s="28"/>
      <c r="F1843" s="28"/>
      <c r="H1843" s="28"/>
    </row>
    <row r="1844" spans="4:8" x14ac:dyDescent="0.25">
      <c r="D1844" s="28"/>
      <c r="F1844" s="28"/>
      <c r="H1844" s="28"/>
    </row>
    <row r="1845" spans="4:8" x14ac:dyDescent="0.25">
      <c r="D1845" s="28"/>
      <c r="F1845" s="28"/>
      <c r="H1845" s="28"/>
    </row>
    <row r="1846" spans="4:8" x14ac:dyDescent="0.25">
      <c r="D1846" s="28"/>
      <c r="F1846" s="28"/>
      <c r="H1846" s="28"/>
    </row>
    <row r="1847" spans="4:8" x14ac:dyDescent="0.25">
      <c r="D1847" s="28"/>
      <c r="F1847" s="28"/>
      <c r="H1847" s="28"/>
    </row>
    <row r="1848" spans="4:8" x14ac:dyDescent="0.25">
      <c r="D1848" s="28"/>
      <c r="F1848" s="28"/>
      <c r="H1848" s="28"/>
    </row>
    <row r="1849" spans="4:8" x14ac:dyDescent="0.25">
      <c r="D1849" s="28"/>
      <c r="F1849" s="28"/>
      <c r="H1849" s="28"/>
    </row>
    <row r="1850" spans="4:8" x14ac:dyDescent="0.25">
      <c r="D1850" s="28"/>
      <c r="F1850" s="28"/>
      <c r="H1850" s="28"/>
    </row>
    <row r="1851" spans="4:8" x14ac:dyDescent="0.25">
      <c r="D1851" s="28"/>
      <c r="F1851" s="28"/>
      <c r="H1851" s="28"/>
    </row>
    <row r="1852" spans="4:8" x14ac:dyDescent="0.25">
      <c r="D1852" s="28"/>
      <c r="F1852" s="28"/>
      <c r="H1852" s="28"/>
    </row>
    <row r="1853" spans="4:8" x14ac:dyDescent="0.25">
      <c r="D1853" s="28"/>
      <c r="F1853" s="28"/>
      <c r="H1853" s="28"/>
    </row>
    <row r="1854" spans="4:8" x14ac:dyDescent="0.25">
      <c r="D1854" s="28"/>
      <c r="F1854" s="28"/>
      <c r="H1854" s="28"/>
    </row>
    <row r="1855" spans="4:8" x14ac:dyDescent="0.25">
      <c r="D1855" s="28"/>
      <c r="F1855" s="28"/>
      <c r="H1855" s="28"/>
    </row>
    <row r="1856" spans="4:8" x14ac:dyDescent="0.25">
      <c r="D1856" s="28"/>
      <c r="F1856" s="28"/>
      <c r="H1856" s="28"/>
    </row>
    <row r="1857" spans="4:8" x14ac:dyDescent="0.25">
      <c r="D1857" s="28"/>
      <c r="F1857" s="28"/>
      <c r="H1857" s="28"/>
    </row>
    <row r="1858" spans="4:8" x14ac:dyDescent="0.25">
      <c r="D1858" s="28"/>
      <c r="F1858" s="28"/>
      <c r="H1858" s="28"/>
    </row>
    <row r="1859" spans="4:8" x14ac:dyDescent="0.25">
      <c r="D1859" s="28"/>
      <c r="F1859" s="28"/>
      <c r="H1859" s="28"/>
    </row>
    <row r="1860" spans="4:8" x14ac:dyDescent="0.25">
      <c r="D1860" s="28"/>
      <c r="F1860" s="28"/>
      <c r="H1860" s="28"/>
    </row>
    <row r="1861" spans="4:8" x14ac:dyDescent="0.25">
      <c r="D1861" s="28"/>
      <c r="F1861" s="28"/>
      <c r="H1861" s="28"/>
    </row>
    <row r="1862" spans="4:8" x14ac:dyDescent="0.25">
      <c r="D1862" s="28"/>
      <c r="F1862" s="28"/>
      <c r="H1862" s="28"/>
    </row>
    <row r="1863" spans="4:8" x14ac:dyDescent="0.25">
      <c r="D1863" s="28"/>
      <c r="F1863" s="28"/>
      <c r="H1863" s="28"/>
    </row>
    <row r="1864" spans="4:8" x14ac:dyDescent="0.25">
      <c r="D1864" s="28"/>
      <c r="F1864" s="28"/>
      <c r="H1864" s="28"/>
    </row>
    <row r="1865" spans="4:8" x14ac:dyDescent="0.25">
      <c r="D1865" s="28"/>
      <c r="F1865" s="28"/>
      <c r="H1865" s="28"/>
    </row>
    <row r="1866" spans="4:8" x14ac:dyDescent="0.25">
      <c r="D1866" s="28"/>
      <c r="F1866" s="28"/>
      <c r="H1866" s="28"/>
    </row>
    <row r="1867" spans="4:8" x14ac:dyDescent="0.25">
      <c r="D1867" s="28"/>
      <c r="F1867" s="28"/>
      <c r="H1867" s="28"/>
    </row>
    <row r="1868" spans="4:8" x14ac:dyDescent="0.25">
      <c r="D1868" s="28"/>
      <c r="F1868" s="28"/>
      <c r="H1868" s="28"/>
    </row>
    <row r="1869" spans="4:8" x14ac:dyDescent="0.25">
      <c r="D1869" s="28"/>
      <c r="F1869" s="28"/>
      <c r="H1869" s="28"/>
    </row>
    <row r="1870" spans="4:8" x14ac:dyDescent="0.25">
      <c r="D1870" s="28"/>
      <c r="F1870" s="28"/>
      <c r="H1870" s="28"/>
    </row>
    <row r="1871" spans="4:8" x14ac:dyDescent="0.25">
      <c r="D1871" s="28"/>
      <c r="F1871" s="28"/>
      <c r="H1871" s="28"/>
    </row>
    <row r="1872" spans="4:8" x14ac:dyDescent="0.25">
      <c r="D1872" s="28"/>
      <c r="F1872" s="28"/>
      <c r="H1872" s="28"/>
    </row>
    <row r="1873" spans="4:8" x14ac:dyDescent="0.25">
      <c r="D1873" s="28"/>
      <c r="F1873" s="28"/>
      <c r="H1873" s="28"/>
    </row>
    <row r="1874" spans="4:8" x14ac:dyDescent="0.25">
      <c r="D1874" s="28"/>
      <c r="F1874" s="28"/>
      <c r="H1874" s="28"/>
    </row>
    <row r="1875" spans="4:8" x14ac:dyDescent="0.25">
      <c r="D1875" s="28"/>
      <c r="F1875" s="28"/>
      <c r="H1875" s="28"/>
    </row>
    <row r="1876" spans="4:8" x14ac:dyDescent="0.25">
      <c r="D1876" s="28"/>
      <c r="F1876" s="28"/>
      <c r="H1876" s="28"/>
    </row>
    <row r="1877" spans="4:8" x14ac:dyDescent="0.25">
      <c r="D1877" s="28"/>
      <c r="F1877" s="28"/>
      <c r="H1877" s="28"/>
    </row>
    <row r="1878" spans="4:8" x14ac:dyDescent="0.25">
      <c r="D1878" s="28"/>
      <c r="F1878" s="28"/>
      <c r="H1878" s="28"/>
    </row>
    <row r="1879" spans="4:8" x14ac:dyDescent="0.25">
      <c r="D1879" s="28"/>
      <c r="F1879" s="28"/>
      <c r="H1879" s="28"/>
    </row>
    <row r="1880" spans="4:8" x14ac:dyDescent="0.25">
      <c r="D1880" s="28"/>
      <c r="F1880" s="28"/>
      <c r="H1880" s="28"/>
    </row>
    <row r="1881" spans="4:8" x14ac:dyDescent="0.25">
      <c r="D1881" s="28"/>
      <c r="F1881" s="28"/>
      <c r="H1881" s="28"/>
    </row>
    <row r="1882" spans="4:8" x14ac:dyDescent="0.25">
      <c r="D1882" s="28"/>
      <c r="F1882" s="28"/>
      <c r="H1882" s="28"/>
    </row>
    <row r="1883" spans="4:8" x14ac:dyDescent="0.25">
      <c r="D1883" s="28"/>
      <c r="F1883" s="28"/>
      <c r="H1883" s="28"/>
    </row>
    <row r="1884" spans="4:8" x14ac:dyDescent="0.25">
      <c r="D1884" s="28"/>
      <c r="F1884" s="28"/>
      <c r="H1884" s="28"/>
    </row>
    <row r="1885" spans="4:8" x14ac:dyDescent="0.25">
      <c r="D1885" s="28"/>
      <c r="F1885" s="28"/>
      <c r="H1885" s="28"/>
    </row>
    <row r="1886" spans="4:8" x14ac:dyDescent="0.25">
      <c r="D1886" s="28"/>
      <c r="F1886" s="28"/>
      <c r="H1886" s="28"/>
    </row>
    <row r="1887" spans="4:8" x14ac:dyDescent="0.25">
      <c r="D1887" s="28"/>
      <c r="F1887" s="28"/>
      <c r="H1887" s="28"/>
    </row>
    <row r="1888" spans="4:8" x14ac:dyDescent="0.25">
      <c r="D1888" s="28"/>
      <c r="F1888" s="28"/>
      <c r="H1888" s="28"/>
    </row>
    <row r="1889" spans="4:8" x14ac:dyDescent="0.25">
      <c r="D1889" s="28"/>
      <c r="F1889" s="28"/>
      <c r="H1889" s="28"/>
    </row>
    <row r="1890" spans="4:8" x14ac:dyDescent="0.25">
      <c r="D1890" s="28"/>
      <c r="F1890" s="28"/>
      <c r="H1890" s="28"/>
    </row>
    <row r="1891" spans="4:8" x14ac:dyDescent="0.25">
      <c r="D1891" s="28"/>
      <c r="F1891" s="28"/>
      <c r="H1891" s="28"/>
    </row>
    <row r="1892" spans="4:8" x14ac:dyDescent="0.25">
      <c r="D1892" s="28"/>
      <c r="F1892" s="28"/>
      <c r="H1892" s="28"/>
    </row>
    <row r="1893" spans="4:8" x14ac:dyDescent="0.25">
      <c r="D1893" s="28"/>
      <c r="F1893" s="28"/>
      <c r="H1893" s="28"/>
    </row>
    <row r="1894" spans="4:8" x14ac:dyDescent="0.25">
      <c r="D1894" s="28"/>
      <c r="F1894" s="28"/>
      <c r="H1894" s="28"/>
    </row>
    <row r="1895" spans="4:8" x14ac:dyDescent="0.25">
      <c r="D1895" s="28"/>
      <c r="F1895" s="28"/>
      <c r="H1895" s="28"/>
    </row>
    <row r="1896" spans="4:8" x14ac:dyDescent="0.25">
      <c r="D1896" s="28"/>
      <c r="F1896" s="28"/>
      <c r="H1896" s="28"/>
    </row>
    <row r="1897" spans="4:8" x14ac:dyDescent="0.25">
      <c r="D1897" s="28"/>
      <c r="F1897" s="28"/>
      <c r="H1897" s="28"/>
    </row>
    <row r="1898" spans="4:8" x14ac:dyDescent="0.25">
      <c r="D1898" s="28"/>
      <c r="F1898" s="28"/>
      <c r="H1898" s="28"/>
    </row>
    <row r="1899" spans="4:8" x14ac:dyDescent="0.25">
      <c r="D1899" s="28"/>
      <c r="F1899" s="28"/>
      <c r="H1899" s="28"/>
    </row>
    <row r="1900" spans="4:8" x14ac:dyDescent="0.25">
      <c r="D1900" s="28"/>
      <c r="F1900" s="28"/>
      <c r="H1900" s="28"/>
    </row>
    <row r="1901" spans="4:8" x14ac:dyDescent="0.25">
      <c r="D1901" s="28"/>
      <c r="F1901" s="28"/>
      <c r="H1901" s="28"/>
    </row>
    <row r="1902" spans="4:8" x14ac:dyDescent="0.25">
      <c r="D1902" s="28"/>
      <c r="F1902" s="28"/>
      <c r="H1902" s="28"/>
    </row>
    <row r="1903" spans="4:8" x14ac:dyDescent="0.25">
      <c r="D1903" s="28"/>
      <c r="F1903" s="28"/>
      <c r="H1903" s="28"/>
    </row>
    <row r="1904" spans="4:8" x14ac:dyDescent="0.25">
      <c r="D1904" s="28"/>
      <c r="F1904" s="28"/>
      <c r="H1904" s="28"/>
    </row>
    <row r="1905" spans="4:8" x14ac:dyDescent="0.25">
      <c r="D1905" s="28"/>
      <c r="F1905" s="28"/>
      <c r="H1905" s="28"/>
    </row>
    <row r="1906" spans="4:8" x14ac:dyDescent="0.25">
      <c r="D1906" s="28"/>
      <c r="F1906" s="28"/>
      <c r="H1906" s="28"/>
    </row>
    <row r="1907" spans="4:8" x14ac:dyDescent="0.25">
      <c r="D1907" s="28"/>
      <c r="F1907" s="28"/>
      <c r="H1907" s="28"/>
    </row>
    <row r="1908" spans="4:8" x14ac:dyDescent="0.25">
      <c r="D1908" s="28"/>
      <c r="F1908" s="28"/>
      <c r="H1908" s="28"/>
    </row>
    <row r="1909" spans="4:8" x14ac:dyDescent="0.25">
      <c r="D1909" s="28"/>
      <c r="F1909" s="28"/>
      <c r="H1909" s="28"/>
    </row>
    <row r="1910" spans="4:8" x14ac:dyDescent="0.25">
      <c r="D1910" s="28"/>
      <c r="F1910" s="28"/>
      <c r="H1910" s="28"/>
    </row>
    <row r="1911" spans="4:8" x14ac:dyDescent="0.25">
      <c r="D1911" s="28"/>
      <c r="F1911" s="28"/>
      <c r="H1911" s="28"/>
    </row>
    <row r="1912" spans="4:8" x14ac:dyDescent="0.25">
      <c r="D1912" s="28"/>
      <c r="F1912" s="28"/>
      <c r="H1912" s="28"/>
    </row>
    <row r="1913" spans="4:8" x14ac:dyDescent="0.25">
      <c r="D1913" s="28"/>
      <c r="F1913" s="28"/>
      <c r="H1913" s="28"/>
    </row>
    <row r="1914" spans="4:8" x14ac:dyDescent="0.25">
      <c r="D1914" s="28"/>
      <c r="F1914" s="28"/>
      <c r="H1914" s="28"/>
    </row>
    <row r="1915" spans="4:8" x14ac:dyDescent="0.25">
      <c r="D1915" s="28"/>
      <c r="F1915" s="28"/>
      <c r="H1915" s="28"/>
    </row>
    <row r="1916" spans="4:8" x14ac:dyDescent="0.25">
      <c r="D1916" s="28"/>
      <c r="F1916" s="28"/>
      <c r="H1916" s="28"/>
    </row>
    <row r="1917" spans="4:8" x14ac:dyDescent="0.25">
      <c r="D1917" s="28"/>
      <c r="F1917" s="28"/>
      <c r="H1917" s="28"/>
    </row>
    <row r="1918" spans="4:8" x14ac:dyDescent="0.25">
      <c r="D1918" s="28"/>
      <c r="F1918" s="28"/>
      <c r="H1918" s="28"/>
    </row>
    <row r="1919" spans="4:8" x14ac:dyDescent="0.25">
      <c r="D1919" s="28"/>
      <c r="F1919" s="28"/>
      <c r="H1919" s="28"/>
    </row>
    <row r="1920" spans="4:8" x14ac:dyDescent="0.25">
      <c r="D1920" s="28"/>
      <c r="F1920" s="28"/>
      <c r="H1920" s="28"/>
    </row>
    <row r="1921" spans="4:8" x14ac:dyDescent="0.25">
      <c r="D1921" s="28"/>
      <c r="F1921" s="28"/>
      <c r="H1921" s="28"/>
    </row>
    <row r="1922" spans="4:8" x14ac:dyDescent="0.25">
      <c r="D1922" s="28"/>
      <c r="F1922" s="28"/>
      <c r="H1922" s="28"/>
    </row>
    <row r="1923" spans="4:8" x14ac:dyDescent="0.25">
      <c r="D1923" s="28"/>
      <c r="F1923" s="28"/>
      <c r="H1923" s="28"/>
    </row>
    <row r="1924" spans="4:8" x14ac:dyDescent="0.25">
      <c r="D1924" s="28"/>
      <c r="F1924" s="28"/>
      <c r="H1924" s="28"/>
    </row>
    <row r="1925" spans="4:8" x14ac:dyDescent="0.25">
      <c r="D1925" s="28"/>
      <c r="F1925" s="28"/>
      <c r="H1925" s="28"/>
    </row>
    <row r="1926" spans="4:8" x14ac:dyDescent="0.25">
      <c r="D1926" s="28"/>
      <c r="F1926" s="28"/>
      <c r="H1926" s="28"/>
    </row>
    <row r="1927" spans="4:8" x14ac:dyDescent="0.25">
      <c r="D1927" s="28"/>
      <c r="F1927" s="28"/>
      <c r="H1927" s="28"/>
    </row>
    <row r="1928" spans="4:8" x14ac:dyDescent="0.25">
      <c r="D1928" s="28"/>
      <c r="F1928" s="28"/>
      <c r="H1928" s="28"/>
    </row>
    <row r="1929" spans="4:8" x14ac:dyDescent="0.25">
      <c r="D1929" s="28"/>
      <c r="F1929" s="28"/>
      <c r="H1929" s="28"/>
    </row>
    <row r="1930" spans="4:8" x14ac:dyDescent="0.25">
      <c r="D1930" s="28"/>
      <c r="F1930" s="28"/>
      <c r="H1930" s="28"/>
    </row>
    <row r="1931" spans="4:8" x14ac:dyDescent="0.25">
      <c r="D1931" s="28"/>
      <c r="F1931" s="28"/>
      <c r="H1931" s="28"/>
    </row>
    <row r="1932" spans="4:8" x14ac:dyDescent="0.25">
      <c r="D1932" s="28"/>
      <c r="F1932" s="28"/>
      <c r="H1932" s="28"/>
    </row>
    <row r="1933" spans="4:8" x14ac:dyDescent="0.25">
      <c r="D1933" s="28"/>
      <c r="F1933" s="28"/>
      <c r="H1933" s="28"/>
    </row>
    <row r="1934" spans="4:8" x14ac:dyDescent="0.25">
      <c r="D1934" s="28"/>
      <c r="F1934" s="28"/>
      <c r="H1934" s="28"/>
    </row>
    <row r="1935" spans="4:8" x14ac:dyDescent="0.25">
      <c r="D1935" s="28"/>
      <c r="F1935" s="28"/>
      <c r="H1935" s="28"/>
    </row>
    <row r="1936" spans="4:8" x14ac:dyDescent="0.25">
      <c r="D1936" s="28"/>
      <c r="F1936" s="28"/>
      <c r="H1936" s="28"/>
    </row>
    <row r="1937" spans="4:8" x14ac:dyDescent="0.25">
      <c r="D1937" s="28"/>
      <c r="F1937" s="28"/>
      <c r="H1937" s="28"/>
    </row>
    <row r="1938" spans="4:8" x14ac:dyDescent="0.25">
      <c r="D1938" s="28"/>
      <c r="F1938" s="28"/>
      <c r="H1938" s="28"/>
    </row>
    <row r="1939" spans="4:8" x14ac:dyDescent="0.25">
      <c r="D1939" s="28"/>
      <c r="F1939" s="28"/>
      <c r="H1939" s="28"/>
    </row>
    <row r="1940" spans="4:8" x14ac:dyDescent="0.25">
      <c r="D1940" s="28"/>
      <c r="F1940" s="28"/>
      <c r="H1940" s="28"/>
    </row>
    <row r="1941" spans="4:8" x14ac:dyDescent="0.25">
      <c r="D1941" s="28"/>
      <c r="F1941" s="28"/>
      <c r="H1941" s="28"/>
    </row>
    <row r="1942" spans="4:8" x14ac:dyDescent="0.25">
      <c r="D1942" s="28"/>
      <c r="F1942" s="28"/>
      <c r="H1942" s="28"/>
    </row>
    <row r="1943" spans="4:8" x14ac:dyDescent="0.25">
      <c r="D1943" s="28"/>
      <c r="F1943" s="28"/>
      <c r="H1943" s="28"/>
    </row>
    <row r="1944" spans="4:8" x14ac:dyDescent="0.25">
      <c r="D1944" s="28"/>
      <c r="F1944" s="28"/>
      <c r="H1944" s="28"/>
    </row>
    <row r="1945" spans="4:8" x14ac:dyDescent="0.25">
      <c r="D1945" s="28"/>
      <c r="F1945" s="28"/>
      <c r="H1945" s="28"/>
    </row>
    <row r="1946" spans="4:8" x14ac:dyDescent="0.25">
      <c r="D1946" s="28"/>
      <c r="F1946" s="28"/>
      <c r="H1946" s="28"/>
    </row>
    <row r="1947" spans="4:8" x14ac:dyDescent="0.25">
      <c r="D1947" s="28"/>
      <c r="F1947" s="28"/>
      <c r="H1947" s="28"/>
    </row>
    <row r="1948" spans="4:8" x14ac:dyDescent="0.25">
      <c r="D1948" s="28"/>
      <c r="F1948" s="28"/>
      <c r="H1948" s="28"/>
    </row>
    <row r="1949" spans="4:8" x14ac:dyDescent="0.25">
      <c r="D1949" s="28"/>
      <c r="F1949" s="28"/>
      <c r="H1949" s="28"/>
    </row>
    <row r="1950" spans="4:8" x14ac:dyDescent="0.25">
      <c r="D1950" s="28"/>
      <c r="F1950" s="28"/>
      <c r="H1950" s="28"/>
    </row>
    <row r="1951" spans="4:8" x14ac:dyDescent="0.25">
      <c r="D1951" s="28"/>
      <c r="F1951" s="28"/>
      <c r="H1951" s="28"/>
    </row>
    <row r="1952" spans="4:8" x14ac:dyDescent="0.25">
      <c r="D1952" s="28"/>
      <c r="F1952" s="28"/>
      <c r="H1952" s="28"/>
    </row>
    <row r="1953" spans="4:8" x14ac:dyDescent="0.25">
      <c r="D1953" s="28"/>
      <c r="F1953" s="28"/>
      <c r="H1953" s="28"/>
    </row>
    <row r="1954" spans="4:8" x14ac:dyDescent="0.25">
      <c r="D1954" s="28"/>
      <c r="F1954" s="28"/>
      <c r="H1954" s="28"/>
    </row>
    <row r="1955" spans="4:8" x14ac:dyDescent="0.25">
      <c r="D1955" s="28"/>
      <c r="F1955" s="28"/>
      <c r="H1955" s="28"/>
    </row>
    <row r="1956" spans="4:8" x14ac:dyDescent="0.25">
      <c r="D1956" s="28"/>
      <c r="F1956" s="28"/>
      <c r="H1956" s="28"/>
    </row>
    <row r="1957" spans="4:8" x14ac:dyDescent="0.25">
      <c r="D1957" s="28"/>
      <c r="F1957" s="28"/>
      <c r="H1957" s="28"/>
    </row>
    <row r="1958" spans="4:8" x14ac:dyDescent="0.25">
      <c r="D1958" s="28"/>
      <c r="F1958" s="28"/>
      <c r="H1958" s="28"/>
    </row>
    <row r="1959" spans="4:8" x14ac:dyDescent="0.25">
      <c r="D1959" s="28"/>
      <c r="F1959" s="28"/>
      <c r="H1959" s="28"/>
    </row>
    <row r="1960" spans="4:8" x14ac:dyDescent="0.25">
      <c r="D1960" s="28"/>
      <c r="F1960" s="28"/>
      <c r="H1960" s="28"/>
    </row>
    <row r="1961" spans="4:8" x14ac:dyDescent="0.25">
      <c r="D1961" s="28"/>
      <c r="F1961" s="28"/>
      <c r="H1961" s="28"/>
    </row>
    <row r="1962" spans="4:8" x14ac:dyDescent="0.25">
      <c r="D1962" s="28"/>
      <c r="F1962" s="28"/>
      <c r="H1962" s="28"/>
    </row>
    <row r="1963" spans="4:8" x14ac:dyDescent="0.25">
      <c r="D1963" s="28"/>
      <c r="F1963" s="28"/>
      <c r="H1963" s="28"/>
    </row>
    <row r="1964" spans="4:8" x14ac:dyDescent="0.25">
      <c r="D1964" s="28"/>
      <c r="F1964" s="28"/>
      <c r="H1964" s="28"/>
    </row>
    <row r="1965" spans="4:8" x14ac:dyDescent="0.25">
      <c r="D1965" s="28"/>
      <c r="F1965" s="28"/>
      <c r="H1965" s="28"/>
    </row>
    <row r="1966" spans="4:8" x14ac:dyDescent="0.25">
      <c r="D1966" s="28"/>
      <c r="F1966" s="28"/>
      <c r="H1966" s="28"/>
    </row>
    <row r="1967" spans="4:8" x14ac:dyDescent="0.25">
      <c r="D1967" s="28"/>
      <c r="F1967" s="28"/>
      <c r="H1967" s="28"/>
    </row>
    <row r="1968" spans="4:8" x14ac:dyDescent="0.25">
      <c r="D1968" s="28"/>
      <c r="F1968" s="28"/>
      <c r="H1968" s="28"/>
    </row>
    <row r="1969" spans="4:8" x14ac:dyDescent="0.25">
      <c r="D1969" s="28"/>
      <c r="F1969" s="28"/>
      <c r="H1969" s="28"/>
    </row>
    <row r="1970" spans="4:8" x14ac:dyDescent="0.25">
      <c r="D1970" s="28"/>
      <c r="F1970" s="28"/>
      <c r="H1970" s="28"/>
    </row>
    <row r="1971" spans="4:8" x14ac:dyDescent="0.25">
      <c r="D1971" s="28"/>
      <c r="F1971" s="28"/>
      <c r="H1971" s="28"/>
    </row>
    <row r="1972" spans="4:8" x14ac:dyDescent="0.25">
      <c r="D1972" s="28"/>
      <c r="F1972" s="28"/>
      <c r="H1972" s="28"/>
    </row>
    <row r="1973" spans="4:8" x14ac:dyDescent="0.25">
      <c r="D1973" s="28"/>
      <c r="F1973" s="28"/>
      <c r="H1973" s="28"/>
    </row>
    <row r="1974" spans="4:8" x14ac:dyDescent="0.25">
      <c r="D1974" s="28"/>
      <c r="F1974" s="28"/>
      <c r="H1974" s="28"/>
    </row>
    <row r="1975" spans="4:8" x14ac:dyDescent="0.25">
      <c r="D1975" s="28"/>
      <c r="F1975" s="28"/>
      <c r="H1975" s="28"/>
    </row>
    <row r="1976" spans="4:8" x14ac:dyDescent="0.25">
      <c r="D1976" s="28"/>
      <c r="F1976" s="28"/>
      <c r="H1976" s="28"/>
    </row>
    <row r="1977" spans="4:8" x14ac:dyDescent="0.25">
      <c r="D1977" s="28"/>
      <c r="F1977" s="28"/>
      <c r="H1977" s="28"/>
    </row>
    <row r="1978" spans="4:8" x14ac:dyDescent="0.25">
      <c r="D1978" s="28"/>
      <c r="F1978" s="28"/>
      <c r="H1978" s="28"/>
    </row>
    <row r="1979" spans="4:8" x14ac:dyDescent="0.25">
      <c r="D1979" s="28"/>
      <c r="F1979" s="28"/>
      <c r="H1979" s="28"/>
    </row>
    <row r="1980" spans="4:8" x14ac:dyDescent="0.25">
      <c r="D1980" s="28"/>
      <c r="F1980" s="28"/>
      <c r="H1980" s="28"/>
    </row>
    <row r="1981" spans="4:8" x14ac:dyDescent="0.25">
      <c r="D1981" s="28"/>
      <c r="F1981" s="28"/>
      <c r="H1981" s="28"/>
    </row>
    <row r="1982" spans="4:8" x14ac:dyDescent="0.25">
      <c r="D1982" s="28"/>
      <c r="F1982" s="28"/>
      <c r="H1982" s="28"/>
    </row>
    <row r="1983" spans="4:8" x14ac:dyDescent="0.25">
      <c r="D1983" s="28"/>
      <c r="F1983" s="28"/>
      <c r="H1983" s="28"/>
    </row>
    <row r="1984" spans="4:8" x14ac:dyDescent="0.25">
      <c r="D1984" s="28"/>
      <c r="F1984" s="28"/>
      <c r="H1984" s="28"/>
    </row>
    <row r="1985" spans="4:8" x14ac:dyDescent="0.25">
      <c r="D1985" s="28"/>
      <c r="F1985" s="28"/>
      <c r="H1985" s="28"/>
    </row>
    <row r="1986" spans="4:8" x14ac:dyDescent="0.25">
      <c r="D1986" s="28"/>
      <c r="F1986" s="28"/>
      <c r="H1986" s="28"/>
    </row>
    <row r="1987" spans="4:8" x14ac:dyDescent="0.25">
      <c r="D1987" s="28"/>
      <c r="F1987" s="28"/>
      <c r="H1987" s="28"/>
    </row>
    <row r="1988" spans="4:8" x14ac:dyDescent="0.25">
      <c r="D1988" s="28"/>
      <c r="F1988" s="28"/>
      <c r="H1988" s="28"/>
    </row>
    <row r="1989" spans="4:8" x14ac:dyDescent="0.25">
      <c r="D1989" s="28"/>
      <c r="F1989" s="28"/>
      <c r="H1989" s="28"/>
    </row>
    <row r="1990" spans="4:8" x14ac:dyDescent="0.25">
      <c r="D1990" s="28"/>
      <c r="F1990" s="28"/>
      <c r="H1990" s="28"/>
    </row>
    <row r="1991" spans="4:8" x14ac:dyDescent="0.25">
      <c r="D1991" s="28"/>
      <c r="F1991" s="28"/>
      <c r="H1991" s="28"/>
    </row>
    <row r="1992" spans="4:8" x14ac:dyDescent="0.25">
      <c r="D1992" s="28"/>
      <c r="F1992" s="28"/>
      <c r="H1992" s="28"/>
    </row>
    <row r="1993" spans="4:8" x14ac:dyDescent="0.25">
      <c r="D1993" s="28"/>
      <c r="F1993" s="28"/>
      <c r="H1993" s="28"/>
    </row>
    <row r="1994" spans="4:8" x14ac:dyDescent="0.25">
      <c r="D1994" s="28"/>
      <c r="F1994" s="28"/>
      <c r="H1994" s="28"/>
    </row>
    <row r="1995" spans="4:8" x14ac:dyDescent="0.25">
      <c r="D1995" s="28"/>
      <c r="F1995" s="28"/>
      <c r="H1995" s="28"/>
    </row>
    <row r="1996" spans="4:8" x14ac:dyDescent="0.25">
      <c r="D1996" s="28"/>
      <c r="F1996" s="28"/>
      <c r="H1996" s="28"/>
    </row>
    <row r="1997" spans="4:8" x14ac:dyDescent="0.25">
      <c r="D1997" s="28"/>
      <c r="F1997" s="28"/>
      <c r="H1997" s="28"/>
    </row>
    <row r="1998" spans="4:8" x14ac:dyDescent="0.25">
      <c r="D1998" s="28"/>
      <c r="F1998" s="28"/>
      <c r="H1998" s="28"/>
    </row>
    <row r="1999" spans="4:8" x14ac:dyDescent="0.25">
      <c r="D1999" s="28"/>
      <c r="F1999" s="28"/>
      <c r="H1999" s="28"/>
    </row>
    <row r="2000" spans="4:8" x14ac:dyDescent="0.25">
      <c r="D2000" s="28"/>
      <c r="F2000" s="28"/>
      <c r="H2000" s="28"/>
    </row>
    <row r="2001" spans="4:8" x14ac:dyDescent="0.25">
      <c r="D2001" s="28"/>
      <c r="F2001" s="28"/>
      <c r="H2001" s="28"/>
    </row>
    <row r="2002" spans="4:8" x14ac:dyDescent="0.25">
      <c r="D2002" s="28"/>
      <c r="F2002" s="28"/>
      <c r="H2002" s="28"/>
    </row>
    <row r="2003" spans="4:8" x14ac:dyDescent="0.25">
      <c r="D2003" s="28"/>
      <c r="F2003" s="28"/>
      <c r="H2003" s="28"/>
    </row>
    <row r="2004" spans="4:8" x14ac:dyDescent="0.25">
      <c r="D2004" s="28"/>
      <c r="F2004" s="28"/>
      <c r="H2004" s="28"/>
    </row>
    <row r="2005" spans="4:8" x14ac:dyDescent="0.25">
      <c r="D2005" s="28"/>
      <c r="F2005" s="28"/>
      <c r="H2005" s="28"/>
    </row>
    <row r="2006" spans="4:8" x14ac:dyDescent="0.25">
      <c r="D2006" s="28"/>
      <c r="F2006" s="28"/>
      <c r="H2006" s="28"/>
    </row>
    <row r="2007" spans="4:8" x14ac:dyDescent="0.25">
      <c r="D2007" s="28"/>
      <c r="F2007" s="28"/>
      <c r="H2007" s="28"/>
    </row>
    <row r="2008" spans="4:8" x14ac:dyDescent="0.25">
      <c r="D2008" s="28"/>
      <c r="F2008" s="28"/>
      <c r="H2008" s="28"/>
    </row>
    <row r="2009" spans="4:8" x14ac:dyDescent="0.25">
      <c r="D2009" s="28"/>
      <c r="F2009" s="28"/>
      <c r="H2009" s="28"/>
    </row>
    <row r="2010" spans="4:8" x14ac:dyDescent="0.25">
      <c r="D2010" s="28"/>
      <c r="F2010" s="28"/>
      <c r="H2010" s="28"/>
    </row>
    <row r="2011" spans="4:8" x14ac:dyDescent="0.25">
      <c r="D2011" s="28"/>
      <c r="F2011" s="28"/>
      <c r="H2011" s="28"/>
    </row>
    <row r="2012" spans="4:8" x14ac:dyDescent="0.25">
      <c r="D2012" s="28"/>
      <c r="F2012" s="28"/>
      <c r="H2012" s="28"/>
    </row>
    <row r="2013" spans="4:8" x14ac:dyDescent="0.25">
      <c r="D2013" s="28"/>
      <c r="F2013" s="28"/>
      <c r="H2013" s="28"/>
    </row>
    <row r="2014" spans="4:8" x14ac:dyDescent="0.25">
      <c r="D2014" s="28"/>
      <c r="F2014" s="28"/>
      <c r="H2014" s="28"/>
    </row>
    <row r="2015" spans="4:8" x14ac:dyDescent="0.25">
      <c r="D2015" s="28"/>
      <c r="F2015" s="28"/>
      <c r="H2015" s="28"/>
    </row>
    <row r="2016" spans="4:8" x14ac:dyDescent="0.25">
      <c r="D2016" s="28"/>
      <c r="F2016" s="28"/>
      <c r="H2016" s="28"/>
    </row>
    <row r="2017" spans="4:8" x14ac:dyDescent="0.25">
      <c r="D2017" s="28"/>
      <c r="F2017" s="28"/>
      <c r="H2017" s="28"/>
    </row>
    <row r="2018" spans="4:8" x14ac:dyDescent="0.25">
      <c r="D2018" s="28"/>
      <c r="F2018" s="28"/>
      <c r="H2018" s="28"/>
    </row>
    <row r="2019" spans="4:8" x14ac:dyDescent="0.25">
      <c r="D2019" s="28"/>
      <c r="F2019" s="28"/>
      <c r="H2019" s="28"/>
    </row>
    <row r="2020" spans="4:8" x14ac:dyDescent="0.25">
      <c r="D2020" s="28"/>
      <c r="F2020" s="28"/>
      <c r="H2020" s="28"/>
    </row>
    <row r="2021" spans="4:8" x14ac:dyDescent="0.25">
      <c r="D2021" s="28"/>
      <c r="F2021" s="28"/>
      <c r="H2021" s="28"/>
    </row>
    <row r="2022" spans="4:8" x14ac:dyDescent="0.25">
      <c r="D2022" s="28"/>
      <c r="F2022" s="28"/>
      <c r="H2022" s="28"/>
    </row>
    <row r="2023" spans="4:8" x14ac:dyDescent="0.25">
      <c r="D2023" s="28"/>
      <c r="F2023" s="28"/>
      <c r="H2023" s="28"/>
    </row>
    <row r="2024" spans="4:8" x14ac:dyDescent="0.25">
      <c r="D2024" s="28"/>
      <c r="F2024" s="28"/>
      <c r="H2024" s="28"/>
    </row>
    <row r="2025" spans="4:8" x14ac:dyDescent="0.25">
      <c r="D2025" s="28"/>
      <c r="F2025" s="28"/>
      <c r="H2025" s="28"/>
    </row>
    <row r="2026" spans="4:8" x14ac:dyDescent="0.25">
      <c r="D2026" s="28"/>
      <c r="F2026" s="28"/>
      <c r="H2026" s="28"/>
    </row>
    <row r="2027" spans="4:8" x14ac:dyDescent="0.25">
      <c r="D2027" s="28"/>
      <c r="F2027" s="28"/>
      <c r="H2027" s="28"/>
    </row>
    <row r="2028" spans="4:8" x14ac:dyDescent="0.25">
      <c r="D2028" s="28"/>
      <c r="F2028" s="28"/>
      <c r="H2028" s="28"/>
    </row>
    <row r="2029" spans="4:8" x14ac:dyDescent="0.25">
      <c r="D2029" s="28"/>
      <c r="F2029" s="28"/>
      <c r="H2029" s="28"/>
    </row>
    <row r="2030" spans="4:8" x14ac:dyDescent="0.25">
      <c r="D2030" s="28"/>
      <c r="F2030" s="28"/>
      <c r="H2030" s="28"/>
    </row>
    <row r="2031" spans="4:8" x14ac:dyDescent="0.25">
      <c r="D2031" s="28"/>
      <c r="F2031" s="28"/>
      <c r="H2031" s="28"/>
    </row>
    <row r="2032" spans="4:8" x14ac:dyDescent="0.25">
      <c r="D2032" s="28"/>
      <c r="F2032" s="28"/>
      <c r="H2032" s="28"/>
    </row>
    <row r="2033" spans="4:8" x14ac:dyDescent="0.25">
      <c r="D2033" s="28"/>
      <c r="F2033" s="28"/>
      <c r="H2033" s="28"/>
    </row>
    <row r="2034" spans="4:8" x14ac:dyDescent="0.25">
      <c r="D2034" s="28"/>
      <c r="F2034" s="28"/>
      <c r="H2034" s="28"/>
    </row>
    <row r="2035" spans="4:8" x14ac:dyDescent="0.25">
      <c r="D2035" s="28"/>
      <c r="F2035" s="28"/>
      <c r="H2035" s="28"/>
    </row>
    <row r="2036" spans="4:8" x14ac:dyDescent="0.25">
      <c r="D2036" s="28"/>
      <c r="F2036" s="28"/>
      <c r="H2036" s="28"/>
    </row>
    <row r="2037" spans="4:8" x14ac:dyDescent="0.25">
      <c r="D2037" s="28"/>
      <c r="F2037" s="28"/>
      <c r="H2037" s="28"/>
    </row>
    <row r="2038" spans="4:8" x14ac:dyDescent="0.25">
      <c r="D2038" s="28"/>
      <c r="F2038" s="28"/>
      <c r="H2038" s="28"/>
    </row>
    <row r="2039" spans="4:8" x14ac:dyDescent="0.25">
      <c r="D2039" s="28"/>
      <c r="F2039" s="28"/>
      <c r="H2039" s="28"/>
    </row>
    <row r="2040" spans="4:8" x14ac:dyDescent="0.25">
      <c r="D2040" s="28"/>
      <c r="F2040" s="28"/>
      <c r="H2040" s="28"/>
    </row>
    <row r="2041" spans="4:8" x14ac:dyDescent="0.25">
      <c r="D2041" s="28"/>
      <c r="F2041" s="28"/>
      <c r="H2041" s="28"/>
    </row>
    <row r="2042" spans="4:8" x14ac:dyDescent="0.25">
      <c r="D2042" s="28"/>
      <c r="F2042" s="28"/>
      <c r="H2042" s="28"/>
    </row>
    <row r="2043" spans="4:8" x14ac:dyDescent="0.25">
      <c r="D2043" s="28"/>
      <c r="F2043" s="28"/>
      <c r="H2043" s="28"/>
    </row>
    <row r="2044" spans="4:8" x14ac:dyDescent="0.25">
      <c r="D2044" s="28"/>
      <c r="F2044" s="28"/>
      <c r="H2044" s="28"/>
    </row>
    <row r="2045" spans="4:8" x14ac:dyDescent="0.25">
      <c r="D2045" s="28"/>
      <c r="F2045" s="28"/>
      <c r="H2045" s="28"/>
    </row>
    <row r="2046" spans="4:8" x14ac:dyDescent="0.25">
      <c r="D2046" s="28"/>
      <c r="F2046" s="28"/>
      <c r="H2046" s="28"/>
    </row>
    <row r="2047" spans="4:8" x14ac:dyDescent="0.25">
      <c r="D2047" s="28"/>
      <c r="F2047" s="28"/>
      <c r="H2047" s="28"/>
    </row>
    <row r="2048" spans="4:8" x14ac:dyDescent="0.25">
      <c r="D2048" s="28"/>
      <c r="F2048" s="28"/>
      <c r="H2048" s="28"/>
    </row>
    <row r="2049" spans="4:8" x14ac:dyDescent="0.25">
      <c r="D2049" s="28"/>
      <c r="F2049" s="28"/>
      <c r="H2049" s="28"/>
    </row>
    <row r="2050" spans="4:8" x14ac:dyDescent="0.25">
      <c r="D2050" s="28"/>
      <c r="F2050" s="28"/>
      <c r="H2050" s="28"/>
    </row>
    <row r="2051" spans="4:8" x14ac:dyDescent="0.25">
      <c r="D2051" s="28"/>
      <c r="F2051" s="28"/>
      <c r="H2051" s="28"/>
    </row>
    <row r="2052" spans="4:8" x14ac:dyDescent="0.25">
      <c r="D2052" s="28"/>
      <c r="F2052" s="28"/>
      <c r="H2052" s="28"/>
    </row>
    <row r="2053" spans="4:8" x14ac:dyDescent="0.25">
      <c r="D2053" s="28"/>
      <c r="F2053" s="28"/>
      <c r="H2053" s="28"/>
    </row>
    <row r="2054" spans="4:8" x14ac:dyDescent="0.25">
      <c r="D2054" s="28"/>
      <c r="F2054" s="28"/>
      <c r="H2054" s="28"/>
    </row>
    <row r="2055" spans="4:8" x14ac:dyDescent="0.25">
      <c r="D2055" s="28"/>
      <c r="F2055" s="28"/>
      <c r="H2055" s="28"/>
    </row>
    <row r="2056" spans="4:8" x14ac:dyDescent="0.25">
      <c r="D2056" s="28"/>
      <c r="F2056" s="28"/>
      <c r="H2056" s="28"/>
    </row>
    <row r="2057" spans="4:8" x14ac:dyDescent="0.25">
      <c r="D2057" s="28"/>
      <c r="F2057" s="28"/>
      <c r="H2057" s="28"/>
    </row>
    <row r="2058" spans="4:8" x14ac:dyDescent="0.25">
      <c r="D2058" s="28"/>
      <c r="F2058" s="28"/>
      <c r="H2058" s="28"/>
    </row>
    <row r="2059" spans="4:8" x14ac:dyDescent="0.25">
      <c r="D2059" s="28"/>
      <c r="F2059" s="28"/>
      <c r="H2059" s="28"/>
    </row>
    <row r="2060" spans="4:8" x14ac:dyDescent="0.25">
      <c r="D2060" s="28"/>
      <c r="F2060" s="28"/>
      <c r="H2060" s="28"/>
    </row>
    <row r="2061" spans="4:8" x14ac:dyDescent="0.25">
      <c r="D2061" s="28"/>
      <c r="F2061" s="28"/>
      <c r="H2061" s="28"/>
    </row>
    <row r="2062" spans="4:8" x14ac:dyDescent="0.25">
      <c r="D2062" s="28"/>
      <c r="F2062" s="28"/>
      <c r="H2062" s="28"/>
    </row>
    <row r="2063" spans="4:8" x14ac:dyDescent="0.25">
      <c r="D2063" s="28"/>
      <c r="F2063" s="28"/>
      <c r="H2063" s="28"/>
    </row>
    <row r="2064" spans="4:8" x14ac:dyDescent="0.25">
      <c r="D2064" s="28"/>
      <c r="F2064" s="28"/>
      <c r="H2064" s="28"/>
    </row>
    <row r="2065" spans="4:8" x14ac:dyDescent="0.25">
      <c r="D2065" s="28"/>
      <c r="F2065" s="28"/>
      <c r="H2065" s="28"/>
    </row>
    <row r="2066" spans="4:8" x14ac:dyDescent="0.25">
      <c r="D2066" s="28"/>
      <c r="F2066" s="28"/>
      <c r="H2066" s="28"/>
    </row>
    <row r="2067" spans="4:8" x14ac:dyDescent="0.25">
      <c r="D2067" s="28"/>
      <c r="F2067" s="28"/>
      <c r="H2067" s="28"/>
    </row>
    <row r="2068" spans="4:8" x14ac:dyDescent="0.25">
      <c r="D2068" s="28"/>
      <c r="F2068" s="28"/>
      <c r="H2068" s="28"/>
    </row>
    <row r="2069" spans="4:8" x14ac:dyDescent="0.25">
      <c r="D2069" s="28"/>
      <c r="F2069" s="28"/>
      <c r="H2069" s="28"/>
    </row>
    <row r="2070" spans="4:8" x14ac:dyDescent="0.25">
      <c r="D2070" s="28"/>
      <c r="F2070" s="28"/>
      <c r="H2070" s="28"/>
    </row>
    <row r="2071" spans="4:8" x14ac:dyDescent="0.25">
      <c r="D2071" s="28"/>
      <c r="F2071" s="28"/>
      <c r="H2071" s="28"/>
    </row>
    <row r="2072" spans="4:8" x14ac:dyDescent="0.25">
      <c r="D2072" s="28"/>
      <c r="F2072" s="28"/>
      <c r="H2072" s="28"/>
    </row>
    <row r="2073" spans="4:8" x14ac:dyDescent="0.25">
      <c r="D2073" s="28"/>
      <c r="F2073" s="28"/>
      <c r="H2073" s="28"/>
    </row>
    <row r="2074" spans="4:8" x14ac:dyDescent="0.25">
      <c r="D2074" s="28"/>
      <c r="F2074" s="28"/>
      <c r="H2074" s="28"/>
    </row>
    <row r="2075" spans="4:8" x14ac:dyDescent="0.25">
      <c r="D2075" s="28"/>
      <c r="F2075" s="28"/>
      <c r="H2075" s="28"/>
    </row>
    <row r="2076" spans="4:8" x14ac:dyDescent="0.25">
      <c r="D2076" s="28"/>
      <c r="F2076" s="28"/>
      <c r="H2076" s="28"/>
    </row>
    <row r="2077" spans="4:8" x14ac:dyDescent="0.25">
      <c r="D2077" s="28"/>
      <c r="F2077" s="28"/>
      <c r="H2077" s="28"/>
    </row>
    <row r="2078" spans="4:8" x14ac:dyDescent="0.25">
      <c r="D2078" s="28"/>
      <c r="F2078" s="28"/>
      <c r="H2078" s="28"/>
    </row>
    <row r="2079" spans="4:8" x14ac:dyDescent="0.25">
      <c r="D2079" s="28"/>
      <c r="F2079" s="28"/>
      <c r="H2079" s="28"/>
    </row>
    <row r="2080" spans="4:8" x14ac:dyDescent="0.25">
      <c r="D2080" s="28"/>
      <c r="F2080" s="28"/>
      <c r="H2080" s="28"/>
    </row>
    <row r="2081" spans="4:8" x14ac:dyDescent="0.25">
      <c r="D2081" s="28"/>
      <c r="F2081" s="28"/>
      <c r="H2081" s="28"/>
    </row>
    <row r="2082" spans="4:8" x14ac:dyDescent="0.25">
      <c r="D2082" s="28"/>
      <c r="F2082" s="28"/>
      <c r="H2082" s="28"/>
    </row>
    <row r="2083" spans="4:8" x14ac:dyDescent="0.25">
      <c r="D2083" s="28"/>
      <c r="F2083" s="28"/>
      <c r="H2083" s="28"/>
    </row>
    <row r="2084" spans="4:8" x14ac:dyDescent="0.25">
      <c r="D2084" s="28"/>
      <c r="F2084" s="28"/>
      <c r="H2084" s="28"/>
    </row>
    <row r="2085" spans="4:8" x14ac:dyDescent="0.25">
      <c r="D2085" s="28"/>
      <c r="F2085" s="28"/>
      <c r="H2085" s="28"/>
    </row>
    <row r="2086" spans="4:8" x14ac:dyDescent="0.25">
      <c r="D2086" s="28"/>
      <c r="F2086" s="28"/>
      <c r="H2086" s="28"/>
    </row>
    <row r="2087" spans="4:8" x14ac:dyDescent="0.25">
      <c r="D2087" s="28"/>
      <c r="F2087" s="28"/>
      <c r="H2087" s="28"/>
    </row>
    <row r="2088" spans="4:8" x14ac:dyDescent="0.25">
      <c r="D2088" s="28"/>
      <c r="F2088" s="28"/>
      <c r="H2088" s="28"/>
    </row>
    <row r="2089" spans="4:8" x14ac:dyDescent="0.25">
      <c r="D2089" s="28"/>
      <c r="F2089" s="28"/>
      <c r="H2089" s="28"/>
    </row>
    <row r="2090" spans="4:8" x14ac:dyDescent="0.25">
      <c r="D2090" s="28"/>
      <c r="F2090" s="28"/>
      <c r="H2090" s="28"/>
    </row>
    <row r="2091" spans="4:8" x14ac:dyDescent="0.25">
      <c r="D2091" s="28"/>
      <c r="F2091" s="28"/>
      <c r="H2091" s="28"/>
    </row>
    <row r="2092" spans="4:8" x14ac:dyDescent="0.25">
      <c r="D2092" s="28"/>
      <c r="F2092" s="28"/>
      <c r="H2092" s="28"/>
    </row>
    <row r="2093" spans="4:8" x14ac:dyDescent="0.25">
      <c r="D2093" s="28"/>
      <c r="F2093" s="28"/>
      <c r="H2093" s="28"/>
    </row>
    <row r="2094" spans="4:8" x14ac:dyDescent="0.25">
      <c r="D2094" s="28"/>
      <c r="F2094" s="28"/>
      <c r="H2094" s="28"/>
    </row>
    <row r="2095" spans="4:8" x14ac:dyDescent="0.25">
      <c r="D2095" s="28"/>
      <c r="F2095" s="28"/>
      <c r="H2095" s="28"/>
    </row>
    <row r="2096" spans="4:8" x14ac:dyDescent="0.25">
      <c r="D2096" s="28"/>
      <c r="F2096" s="28"/>
      <c r="H2096" s="28"/>
    </row>
    <row r="2097" spans="4:8" x14ac:dyDescent="0.25">
      <c r="D2097" s="28"/>
      <c r="F2097" s="28"/>
      <c r="H2097" s="28"/>
    </row>
    <row r="2098" spans="4:8" x14ac:dyDescent="0.25">
      <c r="D2098" s="28"/>
      <c r="F2098" s="28"/>
      <c r="H2098" s="28"/>
    </row>
    <row r="2099" spans="4:8" x14ac:dyDescent="0.25">
      <c r="D2099" s="28"/>
      <c r="F2099" s="28"/>
      <c r="H2099" s="28"/>
    </row>
    <row r="2100" spans="4:8" x14ac:dyDescent="0.25">
      <c r="D2100" s="28"/>
      <c r="F2100" s="28"/>
      <c r="H2100" s="28"/>
    </row>
    <row r="2101" spans="4:8" x14ac:dyDescent="0.25">
      <c r="D2101" s="28"/>
      <c r="F2101" s="28"/>
      <c r="H2101" s="28"/>
    </row>
    <row r="2102" spans="4:8" x14ac:dyDescent="0.25">
      <c r="D2102" s="28"/>
      <c r="F2102" s="28"/>
      <c r="H2102" s="28"/>
    </row>
    <row r="2103" spans="4:8" x14ac:dyDescent="0.25">
      <c r="D2103" s="28"/>
      <c r="F2103" s="28"/>
      <c r="H2103" s="28"/>
    </row>
    <row r="2104" spans="4:8" x14ac:dyDescent="0.25">
      <c r="D2104" s="28"/>
      <c r="F2104" s="28"/>
      <c r="H2104" s="28"/>
    </row>
    <row r="2105" spans="4:8" x14ac:dyDescent="0.25">
      <c r="D2105" s="28"/>
      <c r="F2105" s="28"/>
      <c r="H2105" s="28"/>
    </row>
    <row r="2106" spans="4:8" x14ac:dyDescent="0.25">
      <c r="D2106" s="28"/>
      <c r="F2106" s="28"/>
      <c r="H2106" s="28"/>
    </row>
    <row r="2107" spans="4:8" x14ac:dyDescent="0.25">
      <c r="D2107" s="28"/>
      <c r="F2107" s="28"/>
      <c r="H2107" s="28"/>
    </row>
    <row r="2108" spans="4:8" x14ac:dyDescent="0.25">
      <c r="D2108" s="28"/>
      <c r="F2108" s="28"/>
      <c r="H2108" s="28"/>
    </row>
    <row r="2109" spans="4:8" x14ac:dyDescent="0.25">
      <c r="D2109" s="28"/>
      <c r="F2109" s="28"/>
      <c r="H2109" s="28"/>
    </row>
    <row r="2110" spans="4:8" x14ac:dyDescent="0.25">
      <c r="D2110" s="28"/>
      <c r="F2110" s="28"/>
      <c r="H2110" s="28"/>
    </row>
    <row r="2111" spans="4:8" x14ac:dyDescent="0.25">
      <c r="D2111" s="28"/>
      <c r="F2111" s="28"/>
      <c r="H2111" s="28"/>
    </row>
    <row r="2112" spans="4:8" x14ac:dyDescent="0.25">
      <c r="D2112" s="28"/>
      <c r="F2112" s="28"/>
      <c r="H2112" s="28"/>
    </row>
    <row r="2113" spans="4:8" x14ac:dyDescent="0.25">
      <c r="D2113" s="28"/>
      <c r="F2113" s="28"/>
      <c r="H2113" s="28"/>
    </row>
    <row r="2114" spans="4:8" x14ac:dyDescent="0.25">
      <c r="D2114" s="28"/>
      <c r="F2114" s="28"/>
      <c r="H2114" s="28"/>
    </row>
    <row r="2115" spans="4:8" x14ac:dyDescent="0.25">
      <c r="D2115" s="28"/>
      <c r="F2115" s="28"/>
      <c r="H2115" s="28"/>
    </row>
    <row r="2116" spans="4:8" x14ac:dyDescent="0.25">
      <c r="D2116" s="28"/>
      <c r="F2116" s="28"/>
      <c r="H2116" s="28"/>
    </row>
    <row r="2117" spans="4:8" x14ac:dyDescent="0.25">
      <c r="D2117" s="28"/>
      <c r="F2117" s="28"/>
      <c r="H2117" s="28"/>
    </row>
    <row r="2118" spans="4:8" x14ac:dyDescent="0.25">
      <c r="D2118" s="28"/>
      <c r="F2118" s="28"/>
      <c r="H2118" s="28"/>
    </row>
    <row r="2119" spans="4:8" x14ac:dyDescent="0.25">
      <c r="D2119" s="28"/>
      <c r="F2119" s="28"/>
      <c r="H2119" s="28"/>
    </row>
    <row r="2120" spans="4:8" x14ac:dyDescent="0.25">
      <c r="D2120" s="28"/>
      <c r="F2120" s="28"/>
      <c r="H2120" s="28"/>
    </row>
    <row r="2121" spans="4:8" x14ac:dyDescent="0.25">
      <c r="D2121" s="28"/>
      <c r="F2121" s="28"/>
      <c r="H2121" s="28"/>
    </row>
    <row r="2122" spans="4:8" x14ac:dyDescent="0.25">
      <c r="D2122" s="28"/>
      <c r="F2122" s="28"/>
      <c r="H2122" s="28"/>
    </row>
    <row r="2123" spans="4:8" x14ac:dyDescent="0.25">
      <c r="D2123" s="28"/>
      <c r="F2123" s="28"/>
      <c r="H2123" s="28"/>
    </row>
    <row r="2124" spans="4:8" x14ac:dyDescent="0.25">
      <c r="D2124" s="28"/>
      <c r="F2124" s="28"/>
      <c r="H2124" s="28"/>
    </row>
    <row r="2125" spans="4:8" x14ac:dyDescent="0.25">
      <c r="D2125" s="28"/>
      <c r="F2125" s="28"/>
      <c r="H2125" s="28"/>
    </row>
    <row r="2126" spans="4:8" x14ac:dyDescent="0.25">
      <c r="D2126" s="28"/>
      <c r="F2126" s="28"/>
      <c r="H2126" s="28"/>
    </row>
    <row r="2127" spans="4:8" x14ac:dyDescent="0.25">
      <c r="D2127" s="28"/>
      <c r="F2127" s="28"/>
      <c r="H2127" s="28"/>
    </row>
    <row r="2128" spans="4:8" x14ac:dyDescent="0.25">
      <c r="D2128" s="28"/>
      <c r="F2128" s="28"/>
      <c r="H2128" s="28"/>
    </row>
    <row r="2129" spans="4:8" x14ac:dyDescent="0.25">
      <c r="D2129" s="28"/>
      <c r="F2129" s="28"/>
      <c r="H2129" s="28"/>
    </row>
    <row r="2130" spans="4:8" x14ac:dyDescent="0.25">
      <c r="D2130" s="28"/>
      <c r="F2130" s="28"/>
      <c r="H2130" s="28"/>
    </row>
    <row r="2131" spans="4:8" x14ac:dyDescent="0.25">
      <c r="D2131" s="28"/>
      <c r="F2131" s="28"/>
      <c r="H2131" s="28"/>
    </row>
    <row r="2132" spans="4:8" x14ac:dyDescent="0.25">
      <c r="D2132" s="28"/>
      <c r="F2132" s="28"/>
      <c r="H2132" s="28"/>
    </row>
    <row r="2133" spans="4:8" x14ac:dyDescent="0.25">
      <c r="D2133" s="28"/>
      <c r="F2133" s="28"/>
      <c r="H2133" s="28"/>
    </row>
    <row r="2134" spans="4:8" x14ac:dyDescent="0.25">
      <c r="D2134" s="28"/>
      <c r="F2134" s="28"/>
      <c r="H2134" s="28"/>
    </row>
    <row r="2135" spans="4:8" x14ac:dyDescent="0.25">
      <c r="D2135" s="28"/>
      <c r="F2135" s="28"/>
      <c r="H2135" s="28"/>
    </row>
    <row r="2136" spans="4:8" x14ac:dyDescent="0.25">
      <c r="D2136" s="28"/>
      <c r="F2136" s="28"/>
      <c r="H2136" s="28"/>
    </row>
    <row r="2137" spans="4:8" x14ac:dyDescent="0.25">
      <c r="D2137" s="28"/>
      <c r="F2137" s="28"/>
      <c r="H2137" s="28"/>
    </row>
    <row r="2138" spans="4:8" x14ac:dyDescent="0.25">
      <c r="D2138" s="28"/>
      <c r="F2138" s="28"/>
      <c r="H2138" s="28"/>
    </row>
    <row r="2139" spans="4:8" x14ac:dyDescent="0.25">
      <c r="D2139" s="28"/>
      <c r="F2139" s="28"/>
      <c r="H2139" s="28"/>
    </row>
    <row r="2140" spans="4:8" x14ac:dyDescent="0.25">
      <c r="D2140" s="28"/>
      <c r="F2140" s="28"/>
      <c r="H2140" s="28"/>
    </row>
    <row r="2141" spans="4:8" x14ac:dyDescent="0.25">
      <c r="D2141" s="28"/>
      <c r="F2141" s="28"/>
      <c r="H2141" s="28"/>
    </row>
    <row r="2142" spans="4:8" x14ac:dyDescent="0.25">
      <c r="D2142" s="28"/>
      <c r="F2142" s="28"/>
      <c r="H2142" s="28"/>
    </row>
    <row r="2143" spans="4:8" x14ac:dyDescent="0.25">
      <c r="D2143" s="28"/>
      <c r="F2143" s="28"/>
      <c r="H2143" s="28"/>
    </row>
    <row r="2144" spans="4:8" x14ac:dyDescent="0.25">
      <c r="D2144" s="28"/>
      <c r="F2144" s="28"/>
      <c r="H2144" s="28"/>
    </row>
    <row r="2145" spans="4:8" x14ac:dyDescent="0.25">
      <c r="D2145" s="28"/>
      <c r="F2145" s="28"/>
      <c r="H2145" s="28"/>
    </row>
    <row r="2146" spans="4:8" x14ac:dyDescent="0.25">
      <c r="D2146" s="28"/>
      <c r="F2146" s="28"/>
      <c r="H2146" s="28"/>
    </row>
    <row r="2147" spans="4:8" x14ac:dyDescent="0.25">
      <c r="D2147" s="28"/>
      <c r="F2147" s="28"/>
      <c r="H2147" s="28"/>
    </row>
    <row r="2148" spans="4:8" x14ac:dyDescent="0.25">
      <c r="D2148" s="28"/>
      <c r="F2148" s="28"/>
      <c r="H2148" s="28"/>
    </row>
    <row r="2149" spans="4:8" x14ac:dyDescent="0.25">
      <c r="D2149" s="28"/>
      <c r="F2149" s="28"/>
      <c r="H2149" s="28"/>
    </row>
    <row r="2150" spans="4:8" x14ac:dyDescent="0.25">
      <c r="D2150" s="28"/>
      <c r="F2150" s="28"/>
      <c r="H2150" s="28"/>
    </row>
    <row r="2151" spans="4:8" x14ac:dyDescent="0.25">
      <c r="D2151" s="28"/>
      <c r="F2151" s="28"/>
      <c r="H2151" s="28"/>
    </row>
    <row r="2152" spans="4:8" x14ac:dyDescent="0.25">
      <c r="D2152" s="28"/>
      <c r="F2152" s="28"/>
      <c r="H2152" s="28"/>
    </row>
    <row r="2153" spans="4:8" x14ac:dyDescent="0.25">
      <c r="D2153" s="28"/>
      <c r="F2153" s="28"/>
      <c r="H2153" s="28"/>
    </row>
    <row r="2154" spans="4:8" x14ac:dyDescent="0.25">
      <c r="D2154" s="28"/>
      <c r="F2154" s="28"/>
      <c r="H2154" s="28"/>
    </row>
    <row r="2155" spans="4:8" x14ac:dyDescent="0.25">
      <c r="D2155" s="28"/>
      <c r="F2155" s="28"/>
      <c r="H2155" s="28"/>
    </row>
    <row r="2156" spans="4:8" x14ac:dyDescent="0.25">
      <c r="D2156" s="28"/>
      <c r="F2156" s="28"/>
      <c r="H2156" s="28"/>
    </row>
    <row r="2157" spans="4:8" x14ac:dyDescent="0.25">
      <c r="D2157" s="28"/>
      <c r="F2157" s="28"/>
      <c r="H2157" s="28"/>
    </row>
    <row r="2158" spans="4:8" x14ac:dyDescent="0.25">
      <c r="D2158" s="28"/>
      <c r="F2158" s="28"/>
      <c r="H2158" s="28"/>
    </row>
    <row r="2159" spans="4:8" x14ac:dyDescent="0.25">
      <c r="D2159" s="28"/>
      <c r="F2159" s="28"/>
      <c r="H2159" s="28"/>
    </row>
    <row r="2160" spans="4:8" x14ac:dyDescent="0.25">
      <c r="D2160" s="28"/>
      <c r="F2160" s="28"/>
      <c r="H2160" s="28"/>
    </row>
    <row r="2161" spans="4:8" x14ac:dyDescent="0.25">
      <c r="D2161" s="28"/>
      <c r="F2161" s="28"/>
      <c r="H2161" s="28"/>
    </row>
    <row r="2162" spans="4:8" x14ac:dyDescent="0.25">
      <c r="D2162" s="28"/>
      <c r="F2162" s="28"/>
      <c r="H2162" s="28"/>
    </row>
    <row r="2163" spans="4:8" x14ac:dyDescent="0.25">
      <c r="D2163" s="28"/>
      <c r="F2163" s="28"/>
      <c r="H2163" s="28"/>
    </row>
    <row r="2164" spans="4:8" x14ac:dyDescent="0.25">
      <c r="D2164" s="28"/>
      <c r="F2164" s="28"/>
      <c r="H2164" s="28"/>
    </row>
    <row r="2165" spans="4:8" x14ac:dyDescent="0.25">
      <c r="D2165" s="28"/>
      <c r="F2165" s="28"/>
      <c r="H2165" s="28"/>
    </row>
    <row r="2166" spans="4:8" x14ac:dyDescent="0.25">
      <c r="D2166" s="28"/>
      <c r="F2166" s="28"/>
      <c r="H2166" s="28"/>
    </row>
    <row r="2167" spans="4:8" x14ac:dyDescent="0.25">
      <c r="D2167" s="28"/>
      <c r="F2167" s="28"/>
      <c r="H2167" s="28"/>
    </row>
    <row r="2168" spans="4:8" x14ac:dyDescent="0.25">
      <c r="D2168" s="28"/>
      <c r="F2168" s="28"/>
      <c r="H2168" s="28"/>
    </row>
    <row r="2169" spans="4:8" x14ac:dyDescent="0.25">
      <c r="D2169" s="28"/>
      <c r="F2169" s="28"/>
      <c r="H2169" s="28"/>
    </row>
    <row r="2170" spans="4:8" x14ac:dyDescent="0.25">
      <c r="D2170" s="28"/>
      <c r="F2170" s="28"/>
      <c r="H2170" s="28"/>
    </row>
    <row r="2171" spans="4:8" x14ac:dyDescent="0.25">
      <c r="D2171" s="28"/>
      <c r="F2171" s="28"/>
      <c r="H2171" s="28"/>
    </row>
    <row r="2172" spans="4:8" x14ac:dyDescent="0.25">
      <c r="D2172" s="28"/>
      <c r="F2172" s="28"/>
      <c r="H2172" s="28"/>
    </row>
    <row r="2173" spans="4:8" x14ac:dyDescent="0.25">
      <c r="D2173" s="28"/>
      <c r="F2173" s="28"/>
      <c r="H2173" s="28"/>
    </row>
    <row r="2174" spans="4:8" x14ac:dyDescent="0.25">
      <c r="D2174" s="28"/>
      <c r="F2174" s="28"/>
      <c r="H2174" s="28"/>
    </row>
    <row r="2175" spans="4:8" x14ac:dyDescent="0.25">
      <c r="D2175" s="28"/>
      <c r="F2175" s="28"/>
      <c r="H2175" s="28"/>
    </row>
    <row r="2176" spans="4:8" x14ac:dyDescent="0.25">
      <c r="D2176" s="28"/>
      <c r="F2176" s="28"/>
      <c r="H2176" s="28"/>
    </row>
    <row r="2177" spans="4:8" x14ac:dyDescent="0.25">
      <c r="D2177" s="28"/>
      <c r="F2177" s="28"/>
      <c r="H2177" s="28"/>
    </row>
    <row r="2178" spans="4:8" x14ac:dyDescent="0.25">
      <c r="D2178" s="28"/>
      <c r="F2178" s="28"/>
      <c r="H2178" s="28"/>
    </row>
    <row r="2179" spans="4:8" x14ac:dyDescent="0.25">
      <c r="D2179" s="28"/>
      <c r="F2179" s="28"/>
      <c r="H2179" s="28"/>
    </row>
    <row r="2180" spans="4:8" x14ac:dyDescent="0.25">
      <c r="D2180" s="28"/>
      <c r="F2180" s="28"/>
      <c r="H2180" s="28"/>
    </row>
    <row r="2181" spans="4:8" x14ac:dyDescent="0.25">
      <c r="D2181" s="28"/>
      <c r="F2181" s="28"/>
      <c r="H2181" s="28"/>
    </row>
    <row r="2182" spans="4:8" x14ac:dyDescent="0.25">
      <c r="D2182" s="28"/>
      <c r="F2182" s="28"/>
      <c r="H2182" s="28"/>
    </row>
    <row r="2183" spans="4:8" x14ac:dyDescent="0.25">
      <c r="D2183" s="28"/>
      <c r="F2183" s="28"/>
      <c r="H2183" s="28"/>
    </row>
    <row r="2184" spans="4:8" x14ac:dyDescent="0.25">
      <c r="D2184" s="28"/>
      <c r="F2184" s="28"/>
      <c r="H2184" s="28"/>
    </row>
    <row r="2185" spans="4:8" x14ac:dyDescent="0.25">
      <c r="D2185" s="28"/>
      <c r="F2185" s="28"/>
      <c r="H2185" s="28"/>
    </row>
    <row r="2186" spans="4:8" x14ac:dyDescent="0.25">
      <c r="D2186" s="28"/>
      <c r="F2186" s="28"/>
      <c r="H2186" s="28"/>
    </row>
    <row r="2187" spans="4:8" x14ac:dyDescent="0.25">
      <c r="D2187" s="28"/>
      <c r="F2187" s="28"/>
      <c r="H2187" s="28"/>
    </row>
    <row r="2188" spans="4:8" x14ac:dyDescent="0.25">
      <c r="D2188" s="28"/>
      <c r="F2188" s="28"/>
      <c r="H2188" s="28"/>
    </row>
    <row r="2189" spans="4:8" x14ac:dyDescent="0.25">
      <c r="D2189" s="28"/>
      <c r="F2189" s="28"/>
      <c r="H2189" s="28"/>
    </row>
    <row r="2190" spans="4:8" x14ac:dyDescent="0.25">
      <c r="D2190" s="28"/>
      <c r="F2190" s="28"/>
      <c r="H2190" s="28"/>
    </row>
    <row r="2191" spans="4:8" x14ac:dyDescent="0.25">
      <c r="D2191" s="28"/>
      <c r="F2191" s="28"/>
      <c r="H2191" s="28"/>
    </row>
    <row r="2192" spans="4:8" x14ac:dyDescent="0.25">
      <c r="D2192" s="28"/>
      <c r="F2192" s="28"/>
      <c r="H2192" s="28"/>
    </row>
    <row r="2193" spans="4:8" x14ac:dyDescent="0.25">
      <c r="D2193" s="28"/>
      <c r="F2193" s="28"/>
      <c r="H2193" s="28"/>
    </row>
    <row r="2194" spans="4:8" x14ac:dyDescent="0.25">
      <c r="D2194" s="28"/>
      <c r="F2194" s="28"/>
      <c r="H2194" s="28"/>
    </row>
    <row r="2195" spans="4:8" x14ac:dyDescent="0.25">
      <c r="D2195" s="28"/>
      <c r="F2195" s="28"/>
      <c r="H2195" s="28"/>
    </row>
    <row r="2196" spans="4:8" x14ac:dyDescent="0.25">
      <c r="D2196" s="28"/>
      <c r="F2196" s="28"/>
      <c r="H2196" s="28"/>
    </row>
    <row r="2197" spans="4:8" x14ac:dyDescent="0.25">
      <c r="D2197" s="28"/>
      <c r="F2197" s="28"/>
      <c r="H2197" s="28"/>
    </row>
    <row r="2198" spans="4:8" x14ac:dyDescent="0.25">
      <c r="D2198" s="28"/>
      <c r="F2198" s="28"/>
      <c r="H2198" s="28"/>
    </row>
    <row r="2199" spans="4:8" x14ac:dyDescent="0.25">
      <c r="D2199" s="28"/>
      <c r="F2199" s="28"/>
      <c r="H2199" s="28"/>
    </row>
    <row r="2200" spans="4:8" x14ac:dyDescent="0.25">
      <c r="D2200" s="28"/>
      <c r="F2200" s="28"/>
      <c r="H2200" s="28"/>
    </row>
    <row r="2201" spans="4:8" x14ac:dyDescent="0.25">
      <c r="D2201" s="28"/>
      <c r="F2201" s="28"/>
      <c r="H2201" s="28"/>
    </row>
    <row r="2202" spans="4:8" x14ac:dyDescent="0.25">
      <c r="D2202" s="28"/>
      <c r="F2202" s="28"/>
      <c r="H2202" s="28"/>
    </row>
    <row r="2203" spans="4:8" x14ac:dyDescent="0.25">
      <c r="D2203" s="28"/>
      <c r="F2203" s="28"/>
      <c r="H2203" s="28"/>
    </row>
    <row r="2204" spans="4:8" x14ac:dyDescent="0.25">
      <c r="D2204" s="28"/>
      <c r="F2204" s="28"/>
      <c r="H2204" s="28"/>
    </row>
    <row r="2205" spans="4:8" x14ac:dyDescent="0.25">
      <c r="D2205" s="28"/>
      <c r="F2205" s="28"/>
      <c r="H2205" s="28"/>
    </row>
    <row r="2206" spans="4:8" x14ac:dyDescent="0.25">
      <c r="D2206" s="28"/>
      <c r="F2206" s="28"/>
      <c r="H2206" s="28"/>
    </row>
    <row r="2207" spans="4:8" x14ac:dyDescent="0.25">
      <c r="D2207" s="28"/>
      <c r="F2207" s="28"/>
      <c r="H2207" s="28"/>
    </row>
    <row r="2208" spans="4:8" x14ac:dyDescent="0.25">
      <c r="D2208" s="28"/>
      <c r="F2208" s="28"/>
      <c r="H2208" s="28"/>
    </row>
    <row r="2209" spans="4:8" x14ac:dyDescent="0.25">
      <c r="D2209" s="28"/>
      <c r="F2209" s="28"/>
      <c r="H2209" s="28"/>
    </row>
    <row r="2210" spans="4:8" x14ac:dyDescent="0.25">
      <c r="D2210" s="28"/>
      <c r="F2210" s="28"/>
      <c r="H2210" s="28"/>
    </row>
    <row r="2211" spans="4:8" x14ac:dyDescent="0.25">
      <c r="D2211" s="28"/>
      <c r="F2211" s="28"/>
      <c r="H2211" s="28"/>
    </row>
    <row r="2212" spans="4:8" x14ac:dyDescent="0.25">
      <c r="D2212" s="28"/>
      <c r="F2212" s="28"/>
      <c r="H2212" s="28"/>
    </row>
    <row r="2213" spans="4:8" x14ac:dyDescent="0.25">
      <c r="D2213" s="28"/>
      <c r="F2213" s="28"/>
      <c r="H2213" s="28"/>
    </row>
    <row r="2214" spans="4:8" x14ac:dyDescent="0.25">
      <c r="D2214" s="28"/>
      <c r="F2214" s="28"/>
      <c r="H2214" s="28"/>
    </row>
    <row r="2215" spans="4:8" x14ac:dyDescent="0.25">
      <c r="D2215" s="28"/>
      <c r="F2215" s="28"/>
      <c r="H2215" s="28"/>
    </row>
    <row r="2216" spans="4:8" x14ac:dyDescent="0.25">
      <c r="D2216" s="28"/>
      <c r="F2216" s="28"/>
      <c r="H2216" s="28"/>
    </row>
    <row r="2217" spans="4:8" x14ac:dyDescent="0.25">
      <c r="D2217" s="28"/>
      <c r="F2217" s="28"/>
      <c r="H2217" s="28"/>
    </row>
    <row r="2218" spans="4:8" x14ac:dyDescent="0.25">
      <c r="D2218" s="28"/>
      <c r="F2218" s="28"/>
      <c r="H2218" s="28"/>
    </row>
    <row r="2219" spans="4:8" x14ac:dyDescent="0.25">
      <c r="D2219" s="28"/>
      <c r="F2219" s="28"/>
      <c r="H2219" s="28"/>
    </row>
    <row r="2220" spans="4:8" x14ac:dyDescent="0.25">
      <c r="D2220" s="28"/>
      <c r="F2220" s="28"/>
      <c r="H2220" s="28"/>
    </row>
    <row r="2221" spans="4:8" x14ac:dyDescent="0.25">
      <c r="D2221" s="28"/>
      <c r="F2221" s="28"/>
      <c r="H2221" s="28"/>
    </row>
    <row r="2222" spans="4:8" x14ac:dyDescent="0.25">
      <c r="D2222" s="28"/>
      <c r="F2222" s="28"/>
      <c r="H2222" s="28"/>
    </row>
    <row r="2223" spans="4:8" x14ac:dyDescent="0.25">
      <c r="D2223" s="28"/>
      <c r="F2223" s="28"/>
      <c r="H2223" s="28"/>
    </row>
    <row r="2224" spans="4:8" x14ac:dyDescent="0.25">
      <c r="D2224" s="28"/>
      <c r="F2224" s="28"/>
      <c r="H2224" s="28"/>
    </row>
    <row r="2225" spans="4:8" x14ac:dyDescent="0.25">
      <c r="D2225" s="28"/>
      <c r="F2225" s="28"/>
      <c r="H2225" s="28"/>
    </row>
    <row r="2226" spans="4:8" x14ac:dyDescent="0.25">
      <c r="D2226" s="28"/>
      <c r="F2226" s="28"/>
      <c r="H2226" s="28"/>
    </row>
    <row r="2227" spans="4:8" x14ac:dyDescent="0.25">
      <c r="D2227" s="28"/>
      <c r="F2227" s="28"/>
      <c r="H2227" s="28"/>
    </row>
    <row r="2228" spans="4:8" x14ac:dyDescent="0.25">
      <c r="D2228" s="28"/>
      <c r="F2228" s="28"/>
      <c r="H2228" s="28"/>
    </row>
    <row r="2229" spans="4:8" x14ac:dyDescent="0.25">
      <c r="D2229" s="28"/>
      <c r="F2229" s="28"/>
      <c r="H2229" s="28"/>
    </row>
    <row r="2230" spans="4:8" x14ac:dyDescent="0.25">
      <c r="D2230" s="28"/>
      <c r="F2230" s="28"/>
      <c r="H2230" s="28"/>
    </row>
    <row r="2231" spans="4:8" x14ac:dyDescent="0.25">
      <c r="D2231" s="28"/>
      <c r="F2231" s="28"/>
      <c r="H2231" s="28"/>
    </row>
    <row r="2232" spans="4:8" x14ac:dyDescent="0.25">
      <c r="D2232" s="28"/>
      <c r="F2232" s="28"/>
      <c r="H2232" s="28"/>
    </row>
    <row r="2233" spans="4:8" x14ac:dyDescent="0.25">
      <c r="D2233" s="28"/>
      <c r="F2233" s="28"/>
      <c r="H2233" s="28"/>
    </row>
    <row r="2234" spans="4:8" x14ac:dyDescent="0.25">
      <c r="D2234" s="28"/>
      <c r="F2234" s="28"/>
      <c r="H2234" s="28"/>
    </row>
    <row r="2235" spans="4:8" x14ac:dyDescent="0.25">
      <c r="D2235" s="28"/>
      <c r="F2235" s="28"/>
      <c r="H2235" s="28"/>
    </row>
    <row r="2236" spans="4:8" x14ac:dyDescent="0.25">
      <c r="D2236" s="28"/>
      <c r="F2236" s="28"/>
      <c r="H2236" s="28"/>
    </row>
    <row r="2237" spans="4:8" x14ac:dyDescent="0.25">
      <c r="D2237" s="28"/>
      <c r="F2237" s="28"/>
      <c r="H2237" s="28"/>
    </row>
    <row r="2238" spans="4:8" x14ac:dyDescent="0.25">
      <c r="D2238" s="28"/>
      <c r="F2238" s="28"/>
      <c r="H2238" s="28"/>
    </row>
    <row r="2239" spans="4:8" x14ac:dyDescent="0.25">
      <c r="D2239" s="28"/>
      <c r="F2239" s="28"/>
      <c r="H2239" s="28"/>
    </row>
    <row r="2240" spans="4:8" x14ac:dyDescent="0.25">
      <c r="D2240" s="28"/>
      <c r="F2240" s="28"/>
      <c r="H2240" s="28"/>
    </row>
    <row r="2241" spans="4:8" x14ac:dyDescent="0.25">
      <c r="D2241" s="28"/>
      <c r="F2241" s="28"/>
      <c r="H2241" s="28"/>
    </row>
    <row r="2242" spans="4:8" x14ac:dyDescent="0.25">
      <c r="D2242" s="28"/>
      <c r="F2242" s="28"/>
      <c r="H2242" s="28"/>
    </row>
    <row r="2243" spans="4:8" x14ac:dyDescent="0.25">
      <c r="D2243" s="28"/>
      <c r="F2243" s="28"/>
      <c r="H2243" s="28"/>
    </row>
    <row r="2244" spans="4:8" x14ac:dyDescent="0.25">
      <c r="D2244" s="28"/>
      <c r="F2244" s="28"/>
      <c r="H2244" s="28"/>
    </row>
    <row r="2245" spans="4:8" x14ac:dyDescent="0.25">
      <c r="D2245" s="28"/>
      <c r="F2245" s="28"/>
      <c r="H2245" s="28"/>
    </row>
    <row r="2246" spans="4:8" x14ac:dyDescent="0.25">
      <c r="D2246" s="28"/>
      <c r="F2246" s="28"/>
      <c r="H2246" s="28"/>
    </row>
    <row r="2247" spans="4:8" x14ac:dyDescent="0.25">
      <c r="D2247" s="28"/>
      <c r="F2247" s="28"/>
      <c r="H2247" s="28"/>
    </row>
    <row r="2248" spans="4:8" x14ac:dyDescent="0.25">
      <c r="D2248" s="28"/>
      <c r="F2248" s="28"/>
      <c r="H2248" s="28"/>
    </row>
    <row r="2249" spans="4:8" x14ac:dyDescent="0.25">
      <c r="D2249" s="28"/>
      <c r="F2249" s="28"/>
      <c r="H2249" s="28"/>
    </row>
    <row r="2250" spans="4:8" x14ac:dyDescent="0.25">
      <c r="D2250" s="28"/>
      <c r="F2250" s="28"/>
      <c r="H2250" s="28"/>
    </row>
    <row r="2251" spans="4:8" x14ac:dyDescent="0.25">
      <c r="D2251" s="28"/>
      <c r="F2251" s="28"/>
      <c r="H2251" s="28"/>
    </row>
    <row r="2252" spans="4:8" x14ac:dyDescent="0.25">
      <c r="D2252" s="28"/>
      <c r="F2252" s="28"/>
      <c r="H2252" s="28"/>
    </row>
    <row r="2253" spans="4:8" x14ac:dyDescent="0.25">
      <c r="D2253" s="28"/>
      <c r="F2253" s="28"/>
      <c r="H2253" s="28"/>
    </row>
    <row r="2254" spans="4:8" x14ac:dyDescent="0.25">
      <c r="D2254" s="28"/>
      <c r="F2254" s="28"/>
      <c r="H2254" s="28"/>
    </row>
    <row r="2255" spans="4:8" x14ac:dyDescent="0.25">
      <c r="D2255" s="28"/>
      <c r="F2255" s="28"/>
      <c r="H2255" s="28"/>
    </row>
    <row r="2256" spans="4:8" x14ac:dyDescent="0.25">
      <c r="D2256" s="28"/>
      <c r="F2256" s="28"/>
      <c r="H2256" s="28"/>
    </row>
    <row r="2257" spans="4:8" x14ac:dyDescent="0.25">
      <c r="D2257" s="28"/>
      <c r="F2257" s="28"/>
      <c r="H2257" s="28"/>
    </row>
    <row r="2258" spans="4:8" x14ac:dyDescent="0.25">
      <c r="D2258" s="28"/>
      <c r="F2258" s="28"/>
      <c r="H2258" s="28"/>
    </row>
    <row r="2259" spans="4:8" x14ac:dyDescent="0.25">
      <c r="D2259" s="28"/>
      <c r="F2259" s="28"/>
      <c r="H2259" s="28"/>
    </row>
    <row r="2260" spans="4:8" x14ac:dyDescent="0.25">
      <c r="D2260" s="28"/>
      <c r="F2260" s="28"/>
      <c r="H2260" s="28"/>
    </row>
    <row r="2261" spans="4:8" x14ac:dyDescent="0.25">
      <c r="D2261" s="28"/>
      <c r="F2261" s="28"/>
      <c r="H2261" s="28"/>
    </row>
    <row r="2262" spans="4:8" x14ac:dyDescent="0.25">
      <c r="D2262" s="28"/>
      <c r="F2262" s="28"/>
      <c r="H2262" s="28"/>
    </row>
    <row r="2263" spans="4:8" x14ac:dyDescent="0.25">
      <c r="D2263" s="28"/>
      <c r="F2263" s="28"/>
      <c r="H2263" s="28"/>
    </row>
    <row r="2264" spans="4:8" x14ac:dyDescent="0.25">
      <c r="D2264" s="28"/>
      <c r="F2264" s="28"/>
      <c r="H2264" s="28"/>
    </row>
    <row r="2265" spans="4:8" x14ac:dyDescent="0.25">
      <c r="D2265" s="28"/>
      <c r="F2265" s="28"/>
      <c r="H2265" s="28"/>
    </row>
    <row r="2266" spans="4:8" x14ac:dyDescent="0.25">
      <c r="D2266" s="28"/>
      <c r="F2266" s="28"/>
      <c r="H2266" s="28"/>
    </row>
    <row r="2267" spans="4:8" x14ac:dyDescent="0.25">
      <c r="D2267" s="28"/>
      <c r="F2267" s="28"/>
      <c r="H2267" s="28"/>
    </row>
    <row r="2268" spans="4:8" x14ac:dyDescent="0.25">
      <c r="D2268" s="28"/>
      <c r="F2268" s="28"/>
      <c r="H2268" s="28"/>
    </row>
    <row r="2269" spans="4:8" x14ac:dyDescent="0.25">
      <c r="D2269" s="28"/>
      <c r="F2269" s="28"/>
      <c r="H2269" s="28"/>
    </row>
    <row r="2270" spans="4:8" x14ac:dyDescent="0.25">
      <c r="D2270" s="28"/>
      <c r="F2270" s="28"/>
      <c r="H2270" s="28"/>
    </row>
    <row r="2271" spans="4:8" x14ac:dyDescent="0.25">
      <c r="D2271" s="28"/>
      <c r="F2271" s="28"/>
      <c r="H2271" s="28"/>
    </row>
    <row r="2272" spans="4:8" x14ac:dyDescent="0.25">
      <c r="D2272" s="28"/>
      <c r="F2272" s="28"/>
      <c r="H2272" s="28"/>
    </row>
    <row r="2273" spans="4:8" x14ac:dyDescent="0.25">
      <c r="D2273" s="28"/>
      <c r="F2273" s="28"/>
      <c r="H2273" s="28"/>
    </row>
    <row r="2274" spans="4:8" x14ac:dyDescent="0.25">
      <c r="D2274" s="28"/>
      <c r="F2274" s="28"/>
      <c r="H2274" s="28"/>
    </row>
    <row r="2275" spans="4:8" x14ac:dyDescent="0.25">
      <c r="D2275" s="28"/>
      <c r="F2275" s="28"/>
      <c r="H2275" s="28"/>
    </row>
    <row r="2276" spans="4:8" x14ac:dyDescent="0.25">
      <c r="D2276" s="28"/>
      <c r="F2276" s="28"/>
      <c r="H2276" s="28"/>
    </row>
    <row r="2277" spans="4:8" x14ac:dyDescent="0.25">
      <c r="D2277" s="28"/>
      <c r="F2277" s="28"/>
      <c r="H2277" s="28"/>
    </row>
    <row r="2278" spans="4:8" x14ac:dyDescent="0.25">
      <c r="D2278" s="28"/>
      <c r="F2278" s="28"/>
      <c r="H2278" s="28"/>
    </row>
    <row r="2279" spans="4:8" x14ac:dyDescent="0.25">
      <c r="D2279" s="28"/>
      <c r="F2279" s="28"/>
      <c r="H2279" s="28"/>
    </row>
    <row r="2280" spans="4:8" x14ac:dyDescent="0.25">
      <c r="D2280" s="28"/>
      <c r="F2280" s="28"/>
      <c r="H2280" s="28"/>
    </row>
    <row r="2281" spans="4:8" x14ac:dyDescent="0.25">
      <c r="D2281" s="28"/>
      <c r="F2281" s="28"/>
      <c r="H2281" s="28"/>
    </row>
    <row r="2282" spans="4:8" x14ac:dyDescent="0.25">
      <c r="D2282" s="28"/>
      <c r="F2282" s="28"/>
      <c r="H2282" s="28"/>
    </row>
    <row r="2283" spans="4:8" x14ac:dyDescent="0.25">
      <c r="D2283" s="28"/>
      <c r="F2283" s="28"/>
      <c r="H2283" s="28"/>
    </row>
    <row r="2284" spans="4:8" x14ac:dyDescent="0.25">
      <c r="D2284" s="28"/>
      <c r="F2284" s="28"/>
      <c r="H2284" s="28"/>
    </row>
    <row r="2285" spans="4:8" x14ac:dyDescent="0.25">
      <c r="D2285" s="28"/>
      <c r="F2285" s="28"/>
      <c r="H2285" s="28"/>
    </row>
    <row r="2286" spans="4:8" x14ac:dyDescent="0.25">
      <c r="D2286" s="28"/>
      <c r="F2286" s="28"/>
      <c r="H2286" s="28"/>
    </row>
    <row r="2287" spans="4:8" x14ac:dyDescent="0.25">
      <c r="D2287" s="28"/>
      <c r="F2287" s="28"/>
      <c r="H2287" s="28"/>
    </row>
    <row r="2288" spans="4:8" x14ac:dyDescent="0.25">
      <c r="D2288" s="28"/>
      <c r="F2288" s="28"/>
      <c r="H2288" s="28"/>
    </row>
    <row r="2289" spans="4:8" x14ac:dyDescent="0.25">
      <c r="D2289" s="28"/>
      <c r="F2289" s="28"/>
      <c r="H2289" s="28"/>
    </row>
    <row r="2290" spans="4:8" x14ac:dyDescent="0.25">
      <c r="D2290" s="28"/>
      <c r="F2290" s="28"/>
      <c r="H2290" s="28"/>
    </row>
    <row r="2291" spans="4:8" x14ac:dyDescent="0.25">
      <c r="D2291" s="28"/>
      <c r="F2291" s="28"/>
      <c r="H2291" s="28"/>
    </row>
    <row r="2292" spans="4:8" x14ac:dyDescent="0.25">
      <c r="D2292" s="28"/>
      <c r="F2292" s="28"/>
      <c r="H2292" s="28"/>
    </row>
    <row r="2293" spans="4:8" x14ac:dyDescent="0.25">
      <c r="D2293" s="28"/>
      <c r="F2293" s="28"/>
      <c r="H2293" s="28"/>
    </row>
    <row r="2294" spans="4:8" x14ac:dyDescent="0.25">
      <c r="D2294" s="28"/>
      <c r="F2294" s="28"/>
      <c r="H2294" s="28"/>
    </row>
    <row r="2295" spans="4:8" x14ac:dyDescent="0.25">
      <c r="D2295" s="28"/>
      <c r="F2295" s="28"/>
      <c r="H2295" s="28"/>
    </row>
    <row r="2296" spans="4:8" x14ac:dyDescent="0.25">
      <c r="D2296" s="28"/>
      <c r="F2296" s="28"/>
      <c r="H2296" s="28"/>
    </row>
    <row r="2297" spans="4:8" x14ac:dyDescent="0.25">
      <c r="D2297" s="28"/>
      <c r="F2297" s="28"/>
      <c r="H2297" s="28"/>
    </row>
    <row r="2298" spans="4:8" x14ac:dyDescent="0.25">
      <c r="D2298" s="28"/>
      <c r="F2298" s="28"/>
      <c r="H2298" s="28"/>
    </row>
    <row r="2299" spans="4:8" x14ac:dyDescent="0.25">
      <c r="D2299" s="28"/>
      <c r="F2299" s="28"/>
      <c r="H2299" s="28"/>
    </row>
    <row r="2300" spans="4:8" x14ac:dyDescent="0.25">
      <c r="D2300" s="28"/>
      <c r="F2300" s="28"/>
      <c r="H2300" s="28"/>
    </row>
    <row r="2301" spans="4:8" x14ac:dyDescent="0.25">
      <c r="D2301" s="28"/>
      <c r="F2301" s="28"/>
      <c r="H2301" s="28"/>
    </row>
    <row r="2302" spans="4:8" x14ac:dyDescent="0.25">
      <c r="D2302" s="28"/>
      <c r="F2302" s="28"/>
      <c r="H2302" s="28"/>
    </row>
    <row r="2303" spans="4:8" x14ac:dyDescent="0.25">
      <c r="D2303" s="28"/>
      <c r="F2303" s="28"/>
      <c r="H2303" s="28"/>
    </row>
    <row r="2304" spans="4:8" x14ac:dyDescent="0.25">
      <c r="D2304" s="28"/>
      <c r="F2304" s="28"/>
      <c r="H2304" s="28"/>
    </row>
    <row r="2305" spans="4:8" x14ac:dyDescent="0.25">
      <c r="D2305" s="28"/>
      <c r="F2305" s="28"/>
      <c r="H2305" s="28"/>
    </row>
    <row r="2306" spans="4:8" x14ac:dyDescent="0.25">
      <c r="D2306" s="28"/>
      <c r="F2306" s="28"/>
      <c r="H2306" s="28"/>
    </row>
    <row r="2307" spans="4:8" x14ac:dyDescent="0.25">
      <c r="D2307" s="28"/>
      <c r="F2307" s="28"/>
      <c r="H2307" s="28"/>
    </row>
    <row r="2308" spans="4:8" x14ac:dyDescent="0.25">
      <c r="D2308" s="28"/>
      <c r="F2308" s="28"/>
      <c r="H2308" s="28"/>
    </row>
    <row r="2309" spans="4:8" x14ac:dyDescent="0.25">
      <c r="D2309" s="28"/>
      <c r="F2309" s="28"/>
      <c r="H2309" s="28"/>
    </row>
    <row r="2310" spans="4:8" x14ac:dyDescent="0.25">
      <c r="D2310" s="28"/>
      <c r="F2310" s="28"/>
      <c r="H2310" s="28"/>
    </row>
    <row r="2311" spans="4:8" x14ac:dyDescent="0.25">
      <c r="D2311" s="28"/>
      <c r="F2311" s="28"/>
      <c r="H2311" s="28"/>
    </row>
    <row r="2312" spans="4:8" x14ac:dyDescent="0.25">
      <c r="D2312" s="28"/>
      <c r="F2312" s="28"/>
      <c r="H2312" s="28"/>
    </row>
    <row r="2313" spans="4:8" x14ac:dyDescent="0.25">
      <c r="D2313" s="28"/>
      <c r="F2313" s="28"/>
      <c r="H2313" s="28"/>
    </row>
    <row r="2314" spans="4:8" x14ac:dyDescent="0.25">
      <c r="D2314" s="28"/>
      <c r="F2314" s="28"/>
      <c r="H2314" s="28"/>
    </row>
    <row r="2315" spans="4:8" x14ac:dyDescent="0.25">
      <c r="D2315" s="28"/>
      <c r="F2315" s="28"/>
      <c r="H2315" s="28"/>
    </row>
    <row r="2316" spans="4:8" x14ac:dyDescent="0.25">
      <c r="D2316" s="28"/>
      <c r="F2316" s="28"/>
      <c r="H2316" s="28"/>
    </row>
    <row r="2317" spans="4:8" x14ac:dyDescent="0.25">
      <c r="D2317" s="28"/>
      <c r="F2317" s="28"/>
      <c r="H2317" s="28"/>
    </row>
    <row r="2318" spans="4:8" x14ac:dyDescent="0.25">
      <c r="D2318" s="28"/>
      <c r="F2318" s="28"/>
      <c r="H2318" s="28"/>
    </row>
    <row r="2319" spans="4:8" x14ac:dyDescent="0.25">
      <c r="D2319" s="28"/>
      <c r="F2319" s="28"/>
      <c r="H2319" s="28"/>
    </row>
    <row r="2320" spans="4:8" x14ac:dyDescent="0.25">
      <c r="D2320" s="28"/>
      <c r="F2320" s="28"/>
      <c r="H2320" s="28"/>
    </row>
    <row r="2321" spans="4:8" x14ac:dyDescent="0.25">
      <c r="D2321" s="28"/>
      <c r="F2321" s="28"/>
      <c r="H2321" s="28"/>
    </row>
    <row r="2322" spans="4:8" x14ac:dyDescent="0.25">
      <c r="D2322" s="28"/>
      <c r="F2322" s="28"/>
      <c r="H2322" s="28"/>
    </row>
    <row r="2323" spans="4:8" x14ac:dyDescent="0.25">
      <c r="D2323" s="28"/>
      <c r="F2323" s="28"/>
      <c r="H2323" s="28"/>
    </row>
    <row r="2324" spans="4:8" x14ac:dyDescent="0.25">
      <c r="D2324" s="28"/>
      <c r="F2324" s="28"/>
      <c r="H2324" s="28"/>
    </row>
    <row r="2325" spans="4:8" x14ac:dyDescent="0.25">
      <c r="D2325" s="28"/>
      <c r="F2325" s="28"/>
      <c r="H2325" s="28"/>
    </row>
    <row r="2326" spans="4:8" x14ac:dyDescent="0.25">
      <c r="D2326" s="28"/>
      <c r="F2326" s="28"/>
      <c r="H2326" s="28"/>
    </row>
    <row r="2327" spans="4:8" x14ac:dyDescent="0.25">
      <c r="D2327" s="28"/>
      <c r="F2327" s="28"/>
      <c r="H2327" s="28"/>
    </row>
    <row r="2328" spans="4:8" x14ac:dyDescent="0.25">
      <c r="D2328" s="28"/>
      <c r="F2328" s="28"/>
      <c r="H2328" s="28"/>
    </row>
    <row r="2329" spans="4:8" x14ac:dyDescent="0.25">
      <c r="D2329" s="28"/>
      <c r="F2329" s="28"/>
      <c r="H2329" s="28"/>
    </row>
    <row r="2330" spans="4:8" x14ac:dyDescent="0.25">
      <c r="D2330" s="28"/>
      <c r="F2330" s="28"/>
      <c r="H2330" s="28"/>
    </row>
    <row r="2331" spans="4:8" x14ac:dyDescent="0.25">
      <c r="D2331" s="28"/>
      <c r="F2331" s="28"/>
      <c r="H2331" s="28"/>
    </row>
    <row r="2332" spans="4:8" x14ac:dyDescent="0.25">
      <c r="D2332" s="28"/>
      <c r="F2332" s="28"/>
      <c r="H2332" s="28"/>
    </row>
    <row r="2333" spans="4:8" x14ac:dyDescent="0.25">
      <c r="D2333" s="28"/>
      <c r="F2333" s="28"/>
      <c r="H2333" s="28"/>
    </row>
    <row r="2334" spans="4:8" x14ac:dyDescent="0.25">
      <c r="D2334" s="28"/>
      <c r="F2334" s="28"/>
      <c r="H2334" s="28"/>
    </row>
    <row r="2335" spans="4:8" x14ac:dyDescent="0.25">
      <c r="D2335" s="28"/>
      <c r="F2335" s="28"/>
      <c r="H2335" s="28"/>
    </row>
    <row r="2336" spans="4:8" x14ac:dyDescent="0.25">
      <c r="D2336" s="28"/>
      <c r="F2336" s="28"/>
      <c r="H2336" s="28"/>
    </row>
    <row r="2337" spans="4:8" x14ac:dyDescent="0.25">
      <c r="D2337" s="28"/>
      <c r="F2337" s="28"/>
      <c r="H2337" s="28"/>
    </row>
    <row r="2338" spans="4:8" x14ac:dyDescent="0.25">
      <c r="D2338" s="28"/>
      <c r="F2338" s="28"/>
      <c r="H2338" s="28"/>
    </row>
    <row r="2339" spans="4:8" x14ac:dyDescent="0.25">
      <c r="D2339" s="28"/>
      <c r="F2339" s="28"/>
      <c r="H2339" s="28"/>
    </row>
    <row r="2340" spans="4:8" x14ac:dyDescent="0.25">
      <c r="D2340" s="28"/>
      <c r="F2340" s="28"/>
      <c r="H2340" s="28"/>
    </row>
    <row r="2341" spans="4:8" x14ac:dyDescent="0.25">
      <c r="D2341" s="28"/>
      <c r="F2341" s="28"/>
      <c r="H2341" s="28"/>
    </row>
    <row r="2342" spans="4:8" x14ac:dyDescent="0.25">
      <c r="D2342" s="28"/>
      <c r="F2342" s="28"/>
      <c r="H2342" s="28"/>
    </row>
    <row r="2343" spans="4:8" x14ac:dyDescent="0.25">
      <c r="D2343" s="28"/>
      <c r="F2343" s="28"/>
      <c r="H2343" s="28"/>
    </row>
    <row r="2344" spans="4:8" x14ac:dyDescent="0.25">
      <c r="D2344" s="28"/>
      <c r="F2344" s="28"/>
      <c r="H2344" s="28"/>
    </row>
    <row r="2345" spans="4:8" x14ac:dyDescent="0.25">
      <c r="D2345" s="28"/>
      <c r="F2345" s="28"/>
      <c r="H2345" s="28"/>
    </row>
    <row r="2346" spans="4:8" x14ac:dyDescent="0.25">
      <c r="D2346" s="28"/>
      <c r="F2346" s="28"/>
      <c r="H2346" s="28"/>
    </row>
    <row r="2347" spans="4:8" x14ac:dyDescent="0.25">
      <c r="D2347" s="28"/>
      <c r="F2347" s="28"/>
      <c r="H2347" s="28"/>
    </row>
    <row r="2348" spans="4:8" x14ac:dyDescent="0.25">
      <c r="D2348" s="28"/>
      <c r="F2348" s="28"/>
      <c r="H2348" s="28"/>
    </row>
    <row r="2349" spans="4:8" x14ac:dyDescent="0.25">
      <c r="D2349" s="28"/>
      <c r="F2349" s="28"/>
      <c r="H2349" s="28"/>
    </row>
    <row r="2350" spans="4:8" x14ac:dyDescent="0.25">
      <c r="D2350" s="28"/>
      <c r="F2350" s="28"/>
      <c r="H2350" s="28"/>
    </row>
    <row r="2351" spans="4:8" x14ac:dyDescent="0.25">
      <c r="D2351" s="28"/>
      <c r="F2351" s="28"/>
      <c r="H2351" s="28"/>
    </row>
    <row r="2352" spans="4:8" x14ac:dyDescent="0.25">
      <c r="D2352" s="28"/>
      <c r="F2352" s="28"/>
      <c r="H2352" s="28"/>
    </row>
    <row r="2353" spans="4:8" x14ac:dyDescent="0.25">
      <c r="D2353" s="28"/>
      <c r="F2353" s="28"/>
      <c r="H2353" s="28"/>
    </row>
    <row r="2354" spans="4:8" x14ac:dyDescent="0.25">
      <c r="D2354" s="28"/>
      <c r="F2354" s="28"/>
      <c r="H2354" s="28"/>
    </row>
    <row r="2355" spans="4:8" x14ac:dyDescent="0.25">
      <c r="D2355" s="28"/>
      <c r="F2355" s="28"/>
      <c r="H2355" s="28"/>
    </row>
    <row r="2356" spans="4:8" x14ac:dyDescent="0.25">
      <c r="D2356" s="28"/>
      <c r="F2356" s="28"/>
      <c r="H2356" s="28"/>
    </row>
    <row r="2357" spans="4:8" x14ac:dyDescent="0.25">
      <c r="D2357" s="28"/>
      <c r="F2357" s="28"/>
      <c r="H2357" s="28"/>
    </row>
    <row r="2358" spans="4:8" x14ac:dyDescent="0.25">
      <c r="D2358" s="28"/>
      <c r="F2358" s="28"/>
      <c r="H2358" s="28"/>
    </row>
    <row r="2359" spans="4:8" x14ac:dyDescent="0.25">
      <c r="D2359" s="28"/>
      <c r="F2359" s="28"/>
      <c r="H2359" s="28"/>
    </row>
    <row r="2360" spans="4:8" x14ac:dyDescent="0.25">
      <c r="D2360" s="28"/>
      <c r="F2360" s="28"/>
      <c r="H2360" s="28"/>
    </row>
    <row r="2361" spans="4:8" x14ac:dyDescent="0.25">
      <c r="D2361" s="28"/>
      <c r="F2361" s="28"/>
      <c r="H2361" s="28"/>
    </row>
    <row r="2362" spans="4:8" x14ac:dyDescent="0.25">
      <c r="D2362" s="28"/>
      <c r="F2362" s="28"/>
      <c r="H2362" s="28"/>
    </row>
    <row r="2363" spans="4:8" x14ac:dyDescent="0.25">
      <c r="D2363" s="28"/>
      <c r="F2363" s="28"/>
      <c r="H2363" s="28"/>
    </row>
    <row r="2364" spans="4:8" x14ac:dyDescent="0.25">
      <c r="D2364" s="28"/>
      <c r="F2364" s="28"/>
      <c r="H2364" s="28"/>
    </row>
    <row r="2365" spans="4:8" x14ac:dyDescent="0.25">
      <c r="D2365" s="28"/>
      <c r="F2365" s="28"/>
      <c r="H2365" s="28"/>
    </row>
    <row r="2366" spans="4:8" x14ac:dyDescent="0.25">
      <c r="D2366" s="28"/>
      <c r="F2366" s="28"/>
      <c r="H2366" s="28"/>
    </row>
    <row r="2367" spans="4:8" x14ac:dyDescent="0.25">
      <c r="D2367" s="28"/>
      <c r="F2367" s="28"/>
      <c r="H2367" s="28"/>
    </row>
    <row r="2368" spans="4:8" x14ac:dyDescent="0.25">
      <c r="D2368" s="28"/>
      <c r="F2368" s="28"/>
      <c r="H2368" s="28"/>
    </row>
    <row r="2369" spans="4:8" x14ac:dyDescent="0.25">
      <c r="D2369" s="28"/>
      <c r="F2369" s="28"/>
      <c r="H2369" s="28"/>
    </row>
    <row r="2370" spans="4:8" x14ac:dyDescent="0.25">
      <c r="D2370" s="28"/>
      <c r="F2370" s="28"/>
      <c r="H2370" s="28"/>
    </row>
    <row r="2371" spans="4:8" x14ac:dyDescent="0.25">
      <c r="D2371" s="28"/>
      <c r="F2371" s="28"/>
      <c r="H2371" s="28"/>
    </row>
    <row r="2372" spans="4:8" x14ac:dyDescent="0.25">
      <c r="D2372" s="28"/>
      <c r="F2372" s="28"/>
      <c r="H2372" s="28"/>
    </row>
    <row r="2373" spans="4:8" x14ac:dyDescent="0.25">
      <c r="D2373" s="28"/>
      <c r="F2373" s="28"/>
      <c r="H2373" s="28"/>
    </row>
    <row r="2374" spans="4:8" x14ac:dyDescent="0.25">
      <c r="D2374" s="28"/>
      <c r="F2374" s="28"/>
      <c r="H2374" s="28"/>
    </row>
    <row r="2375" spans="4:8" x14ac:dyDescent="0.25">
      <c r="D2375" s="28"/>
      <c r="F2375" s="28"/>
      <c r="H2375" s="28"/>
    </row>
    <row r="2376" spans="4:8" x14ac:dyDescent="0.25">
      <c r="D2376" s="28"/>
      <c r="F2376" s="28"/>
      <c r="H2376" s="28"/>
    </row>
    <row r="2377" spans="4:8" x14ac:dyDescent="0.25">
      <c r="D2377" s="28"/>
      <c r="F2377" s="28"/>
      <c r="H2377" s="28"/>
    </row>
    <row r="2378" spans="4:8" x14ac:dyDescent="0.25">
      <c r="D2378" s="28"/>
      <c r="F2378" s="28"/>
      <c r="H2378" s="28"/>
    </row>
    <row r="2379" spans="4:8" x14ac:dyDescent="0.25">
      <c r="D2379" s="28"/>
      <c r="F2379" s="28"/>
      <c r="H2379" s="28"/>
    </row>
    <row r="2380" spans="4:8" x14ac:dyDescent="0.25">
      <c r="D2380" s="28"/>
      <c r="F2380" s="28"/>
      <c r="H2380" s="28"/>
    </row>
    <row r="2381" spans="4:8" x14ac:dyDescent="0.25">
      <c r="D2381" s="28"/>
      <c r="F2381" s="28"/>
      <c r="H2381" s="28"/>
    </row>
    <row r="2382" spans="4:8" x14ac:dyDescent="0.25">
      <c r="D2382" s="28"/>
      <c r="F2382" s="28"/>
      <c r="H2382" s="28"/>
    </row>
    <row r="2383" spans="4:8" x14ac:dyDescent="0.25">
      <c r="D2383" s="28"/>
      <c r="F2383" s="28"/>
      <c r="H2383" s="28"/>
    </row>
    <row r="2384" spans="4:8" x14ac:dyDescent="0.25">
      <c r="D2384" s="28"/>
      <c r="F2384" s="28"/>
      <c r="H2384" s="28"/>
    </row>
    <row r="2385" spans="4:8" x14ac:dyDescent="0.25">
      <c r="D2385" s="28"/>
      <c r="F2385" s="28"/>
      <c r="H2385" s="28"/>
    </row>
    <row r="2386" spans="4:8" x14ac:dyDescent="0.25">
      <c r="D2386" s="28"/>
      <c r="F2386" s="28"/>
      <c r="H2386" s="28"/>
    </row>
    <row r="2387" spans="4:8" x14ac:dyDescent="0.25">
      <c r="D2387" s="28"/>
      <c r="F2387" s="28"/>
      <c r="H2387" s="28"/>
    </row>
    <row r="2388" spans="4:8" x14ac:dyDescent="0.25">
      <c r="D2388" s="28"/>
      <c r="F2388" s="28"/>
      <c r="H2388" s="28"/>
    </row>
    <row r="2389" spans="4:8" x14ac:dyDescent="0.25">
      <c r="D2389" s="28"/>
      <c r="F2389" s="28"/>
      <c r="H2389" s="28"/>
    </row>
    <row r="2390" spans="4:8" x14ac:dyDescent="0.25">
      <c r="D2390" s="28"/>
      <c r="F2390" s="28"/>
      <c r="H2390" s="28"/>
    </row>
    <row r="2391" spans="4:8" x14ac:dyDescent="0.25">
      <c r="D2391" s="28"/>
      <c r="F2391" s="28"/>
      <c r="H2391" s="28"/>
    </row>
    <row r="2392" spans="4:8" x14ac:dyDescent="0.25">
      <c r="D2392" s="28"/>
      <c r="F2392" s="28"/>
      <c r="H2392" s="28"/>
    </row>
    <row r="2393" spans="4:8" x14ac:dyDescent="0.25">
      <c r="D2393" s="28"/>
      <c r="F2393" s="28"/>
      <c r="H2393" s="28"/>
    </row>
    <row r="2394" spans="4:8" x14ac:dyDescent="0.25">
      <c r="D2394" s="28"/>
      <c r="F2394" s="28"/>
      <c r="H2394" s="28"/>
    </row>
    <row r="2395" spans="4:8" x14ac:dyDescent="0.25">
      <c r="D2395" s="28"/>
      <c r="F2395" s="28"/>
      <c r="H2395" s="28"/>
    </row>
    <row r="2396" spans="4:8" x14ac:dyDescent="0.25">
      <c r="D2396" s="28"/>
      <c r="F2396" s="28"/>
      <c r="H2396" s="28"/>
    </row>
    <row r="2397" spans="4:8" x14ac:dyDescent="0.25">
      <c r="D2397" s="28"/>
      <c r="F2397" s="28"/>
      <c r="H2397" s="28"/>
    </row>
    <row r="2398" spans="4:8" x14ac:dyDescent="0.25">
      <c r="D2398" s="28"/>
      <c r="F2398" s="28"/>
      <c r="H2398" s="28"/>
    </row>
    <row r="2399" spans="4:8" x14ac:dyDescent="0.25">
      <c r="D2399" s="28"/>
      <c r="F2399" s="28"/>
      <c r="H2399" s="28"/>
    </row>
    <row r="2400" spans="4:8" x14ac:dyDescent="0.25">
      <c r="D2400" s="28"/>
      <c r="F2400" s="28"/>
      <c r="H2400" s="28"/>
    </row>
    <row r="2401" spans="4:8" x14ac:dyDescent="0.25">
      <c r="D2401" s="28"/>
      <c r="F2401" s="28"/>
      <c r="H2401" s="28"/>
    </row>
    <row r="2402" spans="4:8" x14ac:dyDescent="0.25">
      <c r="D2402" s="28"/>
      <c r="F2402" s="28"/>
      <c r="H2402" s="28"/>
    </row>
    <row r="2403" spans="4:8" x14ac:dyDescent="0.25">
      <c r="D2403" s="28"/>
      <c r="F2403" s="28"/>
      <c r="H2403" s="28"/>
    </row>
    <row r="2404" spans="4:8" x14ac:dyDescent="0.25">
      <c r="D2404" s="28"/>
      <c r="F2404" s="28"/>
      <c r="H2404" s="28"/>
    </row>
    <row r="2405" spans="4:8" x14ac:dyDescent="0.25">
      <c r="D2405" s="28"/>
      <c r="F2405" s="28"/>
      <c r="H2405" s="28"/>
    </row>
    <row r="2406" spans="4:8" x14ac:dyDescent="0.25">
      <c r="D2406" s="28"/>
      <c r="F2406" s="28"/>
      <c r="H2406" s="28"/>
    </row>
    <row r="2407" spans="4:8" x14ac:dyDescent="0.25">
      <c r="D2407" s="28"/>
      <c r="F2407" s="28"/>
      <c r="H2407" s="28"/>
    </row>
    <row r="2408" spans="4:8" x14ac:dyDescent="0.25">
      <c r="D2408" s="28"/>
      <c r="F2408" s="28"/>
      <c r="H2408" s="28"/>
    </row>
    <row r="2409" spans="4:8" x14ac:dyDescent="0.25">
      <c r="D2409" s="28"/>
      <c r="F2409" s="28"/>
      <c r="H2409" s="28"/>
    </row>
    <row r="2410" spans="4:8" x14ac:dyDescent="0.25">
      <c r="D2410" s="28"/>
      <c r="F2410" s="28"/>
      <c r="H2410" s="28"/>
    </row>
    <row r="2411" spans="4:8" x14ac:dyDescent="0.25">
      <c r="D2411" s="28"/>
      <c r="F2411" s="28"/>
      <c r="H2411" s="28"/>
    </row>
    <row r="2412" spans="4:8" x14ac:dyDescent="0.25">
      <c r="D2412" s="28"/>
      <c r="F2412" s="28"/>
      <c r="H2412" s="28"/>
    </row>
    <row r="2413" spans="4:8" x14ac:dyDescent="0.25">
      <c r="D2413" s="28"/>
      <c r="F2413" s="28"/>
      <c r="H2413" s="28"/>
    </row>
    <row r="2414" spans="4:8" x14ac:dyDescent="0.25">
      <c r="D2414" s="28"/>
      <c r="F2414" s="28"/>
      <c r="H2414" s="28"/>
    </row>
    <row r="2415" spans="4:8" x14ac:dyDescent="0.25">
      <c r="D2415" s="28"/>
      <c r="F2415" s="28"/>
      <c r="H2415" s="28"/>
    </row>
    <row r="2416" spans="4:8" x14ac:dyDescent="0.25">
      <c r="D2416" s="28"/>
      <c r="F2416" s="28"/>
      <c r="H2416" s="28"/>
    </row>
    <row r="2417" spans="4:8" x14ac:dyDescent="0.25">
      <c r="D2417" s="28"/>
      <c r="F2417" s="28"/>
      <c r="H2417" s="28"/>
    </row>
    <row r="2418" spans="4:8" x14ac:dyDescent="0.25">
      <c r="D2418" s="28"/>
      <c r="F2418" s="28"/>
      <c r="H2418" s="28"/>
    </row>
    <row r="2419" spans="4:8" x14ac:dyDescent="0.25">
      <c r="D2419" s="28"/>
      <c r="F2419" s="28"/>
      <c r="H2419" s="28"/>
    </row>
    <row r="2420" spans="4:8" x14ac:dyDescent="0.25">
      <c r="D2420" s="28"/>
      <c r="F2420" s="28"/>
      <c r="H2420" s="28"/>
    </row>
    <row r="2421" spans="4:8" x14ac:dyDescent="0.25">
      <c r="D2421" s="28"/>
      <c r="F2421" s="28"/>
      <c r="H2421" s="28"/>
    </row>
    <row r="2422" spans="4:8" x14ac:dyDescent="0.25">
      <c r="D2422" s="28"/>
      <c r="F2422" s="28"/>
      <c r="H2422" s="28"/>
    </row>
    <row r="2423" spans="4:8" x14ac:dyDescent="0.25">
      <c r="D2423" s="28"/>
      <c r="F2423" s="28"/>
      <c r="H2423" s="28"/>
    </row>
    <row r="2424" spans="4:8" x14ac:dyDescent="0.25">
      <c r="D2424" s="28"/>
      <c r="F2424" s="28"/>
      <c r="H2424" s="28"/>
    </row>
    <row r="2425" spans="4:8" x14ac:dyDescent="0.25">
      <c r="D2425" s="28"/>
      <c r="F2425" s="28"/>
      <c r="H2425" s="28"/>
    </row>
    <row r="2426" spans="4:8" x14ac:dyDescent="0.25">
      <c r="D2426" s="28"/>
      <c r="F2426" s="28"/>
      <c r="H2426" s="28"/>
    </row>
    <row r="2427" spans="4:8" x14ac:dyDescent="0.25">
      <c r="D2427" s="28"/>
      <c r="F2427" s="28"/>
      <c r="H2427" s="28"/>
    </row>
    <row r="2428" spans="4:8" x14ac:dyDescent="0.25">
      <c r="D2428" s="28"/>
      <c r="F2428" s="28"/>
      <c r="H2428" s="28"/>
    </row>
    <row r="2429" spans="4:8" x14ac:dyDescent="0.25">
      <c r="D2429" s="28"/>
      <c r="F2429" s="28"/>
      <c r="H2429" s="28"/>
    </row>
    <row r="2430" spans="4:8" x14ac:dyDescent="0.25">
      <c r="D2430" s="28"/>
      <c r="F2430" s="28"/>
      <c r="H2430" s="28"/>
    </row>
    <row r="2431" spans="4:8" x14ac:dyDescent="0.25">
      <c r="D2431" s="28"/>
      <c r="F2431" s="28"/>
      <c r="H2431" s="28"/>
    </row>
    <row r="2432" spans="4:8" x14ac:dyDescent="0.25">
      <c r="D2432" s="28"/>
      <c r="F2432" s="28"/>
      <c r="H2432" s="28"/>
    </row>
    <row r="2433" spans="4:8" x14ac:dyDescent="0.25">
      <c r="D2433" s="28"/>
      <c r="F2433" s="28"/>
      <c r="H2433" s="28"/>
    </row>
    <row r="2434" spans="4:8" x14ac:dyDescent="0.25">
      <c r="D2434" s="28"/>
      <c r="F2434" s="28"/>
      <c r="H2434" s="28"/>
    </row>
    <row r="2435" spans="4:8" x14ac:dyDescent="0.25">
      <c r="D2435" s="28"/>
      <c r="F2435" s="28"/>
      <c r="H2435" s="28"/>
    </row>
    <row r="2436" spans="4:8" x14ac:dyDescent="0.25">
      <c r="D2436" s="28"/>
      <c r="F2436" s="28"/>
      <c r="H2436" s="28"/>
    </row>
    <row r="2437" spans="4:8" x14ac:dyDescent="0.25">
      <c r="D2437" s="28"/>
      <c r="F2437" s="28"/>
      <c r="H2437" s="28"/>
    </row>
    <row r="2438" spans="4:8" x14ac:dyDescent="0.25">
      <c r="D2438" s="28"/>
      <c r="F2438" s="28"/>
      <c r="H2438" s="28"/>
    </row>
    <row r="2439" spans="4:8" x14ac:dyDescent="0.25">
      <c r="D2439" s="28"/>
      <c r="F2439" s="28"/>
      <c r="H2439" s="28"/>
    </row>
    <row r="2440" spans="4:8" x14ac:dyDescent="0.25">
      <c r="D2440" s="28"/>
      <c r="F2440" s="28"/>
      <c r="H2440" s="28"/>
    </row>
    <row r="2441" spans="4:8" x14ac:dyDescent="0.25">
      <c r="D2441" s="28"/>
      <c r="F2441" s="28"/>
      <c r="H2441" s="28"/>
    </row>
    <row r="2442" spans="4:8" x14ac:dyDescent="0.25">
      <c r="D2442" s="28"/>
      <c r="F2442" s="28"/>
      <c r="H2442" s="28"/>
    </row>
    <row r="2443" spans="4:8" x14ac:dyDescent="0.25">
      <c r="D2443" s="28"/>
      <c r="F2443" s="28"/>
      <c r="H2443" s="28"/>
    </row>
    <row r="2444" spans="4:8" x14ac:dyDescent="0.25">
      <c r="D2444" s="28"/>
      <c r="F2444" s="28"/>
      <c r="H2444" s="28"/>
    </row>
    <row r="2445" spans="4:8" x14ac:dyDescent="0.25">
      <c r="D2445" s="28"/>
      <c r="F2445" s="28"/>
      <c r="H2445" s="28"/>
    </row>
    <row r="2446" spans="4:8" x14ac:dyDescent="0.25">
      <c r="D2446" s="28"/>
      <c r="F2446" s="28"/>
      <c r="H2446" s="28"/>
    </row>
    <row r="2447" spans="4:8" x14ac:dyDescent="0.25">
      <c r="D2447" s="28"/>
      <c r="F2447" s="28"/>
      <c r="H2447" s="28"/>
    </row>
    <row r="2448" spans="4:8" x14ac:dyDescent="0.25">
      <c r="D2448" s="28"/>
      <c r="F2448" s="28"/>
      <c r="H2448" s="28"/>
    </row>
    <row r="2449" spans="4:8" x14ac:dyDescent="0.25">
      <c r="D2449" s="28"/>
      <c r="F2449" s="28"/>
      <c r="H2449" s="28"/>
    </row>
    <row r="2450" spans="4:8" x14ac:dyDescent="0.25">
      <c r="D2450" s="28"/>
      <c r="F2450" s="28"/>
      <c r="H2450" s="28"/>
    </row>
    <row r="2451" spans="4:8" x14ac:dyDescent="0.25">
      <c r="D2451" s="28"/>
      <c r="F2451" s="28"/>
      <c r="H2451" s="28"/>
    </row>
    <row r="2452" spans="4:8" x14ac:dyDescent="0.25">
      <c r="D2452" s="28"/>
      <c r="F2452" s="28"/>
      <c r="H2452" s="28"/>
    </row>
    <row r="2453" spans="4:8" x14ac:dyDescent="0.25">
      <c r="D2453" s="28"/>
      <c r="F2453" s="28"/>
      <c r="H2453" s="28"/>
    </row>
    <row r="2454" spans="4:8" x14ac:dyDescent="0.25">
      <c r="D2454" s="28"/>
      <c r="F2454" s="28"/>
      <c r="H2454" s="28"/>
    </row>
    <row r="2455" spans="4:8" x14ac:dyDescent="0.25">
      <c r="D2455" s="28"/>
      <c r="F2455" s="28"/>
      <c r="H2455" s="28"/>
    </row>
    <row r="2456" spans="4:8" x14ac:dyDescent="0.25">
      <c r="D2456" s="28"/>
      <c r="F2456" s="28"/>
      <c r="H2456" s="28"/>
    </row>
    <row r="2457" spans="4:8" x14ac:dyDescent="0.25">
      <c r="D2457" s="28"/>
      <c r="F2457" s="28"/>
      <c r="H2457" s="28"/>
    </row>
    <row r="2458" spans="4:8" x14ac:dyDescent="0.25">
      <c r="D2458" s="28"/>
      <c r="F2458" s="28"/>
      <c r="H2458" s="28"/>
    </row>
    <row r="2459" spans="4:8" x14ac:dyDescent="0.25">
      <c r="D2459" s="28"/>
      <c r="F2459" s="28"/>
      <c r="H2459" s="28"/>
    </row>
    <row r="2460" spans="4:8" x14ac:dyDescent="0.25">
      <c r="D2460" s="28"/>
      <c r="F2460" s="28"/>
      <c r="H2460" s="28"/>
    </row>
    <row r="2461" spans="4:8" x14ac:dyDescent="0.25">
      <c r="D2461" s="28"/>
      <c r="F2461" s="28"/>
      <c r="H2461" s="28"/>
    </row>
    <row r="2462" spans="4:8" x14ac:dyDescent="0.25">
      <c r="D2462" s="28"/>
      <c r="F2462" s="28"/>
      <c r="H2462" s="28"/>
    </row>
    <row r="2463" spans="4:8" x14ac:dyDescent="0.25">
      <c r="D2463" s="28"/>
      <c r="F2463" s="28"/>
      <c r="H2463" s="28"/>
    </row>
    <row r="2464" spans="4:8" x14ac:dyDescent="0.25">
      <c r="D2464" s="28"/>
      <c r="F2464" s="28"/>
      <c r="H2464" s="28"/>
    </row>
    <row r="2465" spans="4:8" x14ac:dyDescent="0.25">
      <c r="D2465" s="28"/>
      <c r="F2465" s="28"/>
      <c r="H2465" s="28"/>
    </row>
    <row r="2466" spans="4:8" x14ac:dyDescent="0.25">
      <c r="D2466" s="28"/>
      <c r="F2466" s="28"/>
      <c r="H2466" s="28"/>
    </row>
    <row r="2467" spans="4:8" x14ac:dyDescent="0.25">
      <c r="D2467" s="28"/>
      <c r="F2467" s="28"/>
      <c r="H2467" s="28"/>
    </row>
    <row r="2468" spans="4:8" x14ac:dyDescent="0.25">
      <c r="D2468" s="28"/>
      <c r="F2468" s="28"/>
      <c r="H2468" s="28"/>
    </row>
    <row r="2469" spans="4:8" x14ac:dyDescent="0.25">
      <c r="D2469" s="28"/>
      <c r="F2469" s="28"/>
      <c r="H2469" s="28"/>
    </row>
    <row r="2470" spans="4:8" x14ac:dyDescent="0.25">
      <c r="D2470" s="28"/>
      <c r="F2470" s="28"/>
      <c r="H2470" s="28"/>
    </row>
    <row r="2471" spans="4:8" x14ac:dyDescent="0.25">
      <c r="D2471" s="28"/>
      <c r="F2471" s="28"/>
      <c r="H2471" s="28"/>
    </row>
    <row r="2472" spans="4:8" x14ac:dyDescent="0.25">
      <c r="D2472" s="28"/>
      <c r="F2472" s="28"/>
      <c r="H2472" s="28"/>
    </row>
    <row r="2473" spans="4:8" x14ac:dyDescent="0.25">
      <c r="D2473" s="28"/>
      <c r="F2473" s="28"/>
      <c r="H2473" s="28"/>
    </row>
    <row r="2474" spans="4:8" x14ac:dyDescent="0.25">
      <c r="D2474" s="28"/>
      <c r="F2474" s="28"/>
      <c r="H2474" s="28"/>
    </row>
    <row r="2475" spans="4:8" x14ac:dyDescent="0.25">
      <c r="D2475" s="28"/>
      <c r="F2475" s="28"/>
      <c r="H2475" s="28"/>
    </row>
    <row r="2476" spans="4:8" x14ac:dyDescent="0.25">
      <c r="D2476" s="28"/>
      <c r="F2476" s="28"/>
      <c r="H2476" s="28"/>
    </row>
    <row r="2477" spans="4:8" x14ac:dyDescent="0.25">
      <c r="D2477" s="28"/>
      <c r="F2477" s="28"/>
      <c r="H2477" s="28"/>
    </row>
    <row r="2478" spans="4:8" x14ac:dyDescent="0.25">
      <c r="D2478" s="28"/>
      <c r="F2478" s="28"/>
      <c r="H2478" s="28"/>
    </row>
    <row r="2479" spans="4:8" x14ac:dyDescent="0.25">
      <c r="D2479" s="28"/>
      <c r="F2479" s="28"/>
      <c r="H2479" s="28"/>
    </row>
    <row r="2480" spans="4:8" x14ac:dyDescent="0.25">
      <c r="D2480" s="28"/>
      <c r="F2480" s="28"/>
      <c r="H2480" s="28"/>
    </row>
    <row r="2481" spans="4:8" x14ac:dyDescent="0.25">
      <c r="D2481" s="28"/>
      <c r="F2481" s="28"/>
      <c r="H2481" s="28"/>
    </row>
    <row r="2482" spans="4:8" x14ac:dyDescent="0.25">
      <c r="D2482" s="28"/>
      <c r="F2482" s="28"/>
      <c r="H2482" s="28"/>
    </row>
    <row r="2483" spans="4:8" x14ac:dyDescent="0.25">
      <c r="D2483" s="28"/>
      <c r="F2483" s="28"/>
      <c r="H2483" s="28"/>
    </row>
    <row r="2484" spans="4:8" x14ac:dyDescent="0.25">
      <c r="D2484" s="28"/>
      <c r="F2484" s="28"/>
      <c r="H2484" s="28"/>
    </row>
    <row r="2485" spans="4:8" x14ac:dyDescent="0.25">
      <c r="D2485" s="28"/>
      <c r="F2485" s="28"/>
      <c r="H2485" s="28"/>
    </row>
    <row r="2486" spans="4:8" x14ac:dyDescent="0.25">
      <c r="D2486" s="28"/>
      <c r="F2486" s="28"/>
      <c r="H2486" s="28"/>
    </row>
    <row r="2487" spans="4:8" x14ac:dyDescent="0.25">
      <c r="D2487" s="28"/>
      <c r="F2487" s="28"/>
      <c r="H2487" s="28"/>
    </row>
    <row r="2488" spans="4:8" x14ac:dyDescent="0.25">
      <c r="D2488" s="28"/>
      <c r="F2488" s="28"/>
      <c r="H2488" s="28"/>
    </row>
    <row r="2489" spans="4:8" x14ac:dyDescent="0.25">
      <c r="D2489" s="28"/>
      <c r="F2489" s="28"/>
      <c r="H2489" s="28"/>
    </row>
    <row r="2490" spans="4:8" x14ac:dyDescent="0.25">
      <c r="D2490" s="28"/>
      <c r="F2490" s="28"/>
      <c r="H2490" s="28"/>
    </row>
    <row r="2491" spans="4:8" x14ac:dyDescent="0.25">
      <c r="D2491" s="28"/>
      <c r="F2491" s="28"/>
      <c r="H2491" s="28"/>
    </row>
    <row r="2492" spans="4:8" x14ac:dyDescent="0.25">
      <c r="D2492" s="28"/>
      <c r="F2492" s="28"/>
      <c r="H2492" s="28"/>
    </row>
    <row r="2493" spans="4:8" x14ac:dyDescent="0.25">
      <c r="D2493" s="28"/>
      <c r="F2493" s="28"/>
      <c r="H2493" s="28"/>
    </row>
    <row r="2494" spans="4:8" x14ac:dyDescent="0.25">
      <c r="D2494" s="28"/>
      <c r="F2494" s="28"/>
      <c r="H2494" s="28"/>
    </row>
    <row r="2495" spans="4:8" x14ac:dyDescent="0.25">
      <c r="D2495" s="28"/>
      <c r="F2495" s="28"/>
      <c r="H2495" s="28"/>
    </row>
    <row r="2496" spans="4:8" x14ac:dyDescent="0.25">
      <c r="D2496" s="28"/>
      <c r="F2496" s="28"/>
      <c r="H2496" s="28"/>
    </row>
    <row r="2497" spans="4:8" x14ac:dyDescent="0.25">
      <c r="D2497" s="28"/>
      <c r="F2497" s="28"/>
      <c r="H2497" s="28"/>
    </row>
    <row r="2498" spans="4:8" x14ac:dyDescent="0.25">
      <c r="D2498" s="28"/>
      <c r="F2498" s="28"/>
      <c r="H2498" s="28"/>
    </row>
    <row r="2499" spans="4:8" x14ac:dyDescent="0.25">
      <c r="D2499" s="28"/>
      <c r="F2499" s="28"/>
      <c r="H2499" s="28"/>
    </row>
    <row r="2500" spans="4:8" x14ac:dyDescent="0.25">
      <c r="D2500" s="28"/>
      <c r="F2500" s="28"/>
      <c r="H2500" s="28"/>
    </row>
    <row r="2501" spans="4:8" x14ac:dyDescent="0.25">
      <c r="D2501" s="28"/>
      <c r="F2501" s="28"/>
      <c r="H2501" s="28"/>
    </row>
    <row r="2502" spans="4:8" x14ac:dyDescent="0.25">
      <c r="D2502" s="28"/>
      <c r="F2502" s="28"/>
      <c r="H2502" s="28"/>
    </row>
    <row r="2503" spans="4:8" x14ac:dyDescent="0.25">
      <c r="D2503" s="28"/>
      <c r="F2503" s="28"/>
      <c r="H2503" s="28"/>
    </row>
    <row r="2504" spans="4:8" x14ac:dyDescent="0.25">
      <c r="D2504" s="28"/>
      <c r="F2504" s="28"/>
      <c r="H2504" s="28"/>
    </row>
    <row r="2505" spans="4:8" x14ac:dyDescent="0.25">
      <c r="D2505" s="28"/>
      <c r="F2505" s="28"/>
      <c r="H2505" s="28"/>
    </row>
    <row r="2506" spans="4:8" x14ac:dyDescent="0.25">
      <c r="D2506" s="28"/>
      <c r="F2506" s="28"/>
      <c r="H2506" s="28"/>
    </row>
    <row r="2507" spans="4:8" x14ac:dyDescent="0.25">
      <c r="D2507" s="28"/>
      <c r="F2507" s="28"/>
      <c r="H2507" s="28"/>
    </row>
    <row r="2508" spans="4:8" x14ac:dyDescent="0.25">
      <c r="D2508" s="28"/>
      <c r="F2508" s="28"/>
      <c r="H2508" s="28"/>
    </row>
    <row r="2509" spans="4:8" x14ac:dyDescent="0.25">
      <c r="D2509" s="28"/>
      <c r="F2509" s="28"/>
      <c r="H2509" s="28"/>
    </row>
    <row r="2510" spans="4:8" x14ac:dyDescent="0.25">
      <c r="D2510" s="28"/>
      <c r="F2510" s="28"/>
      <c r="H2510" s="28"/>
    </row>
    <row r="2511" spans="4:8" x14ac:dyDescent="0.25">
      <c r="D2511" s="28"/>
      <c r="F2511" s="28"/>
      <c r="H2511" s="28"/>
    </row>
    <row r="2512" spans="4:8" x14ac:dyDescent="0.25">
      <c r="D2512" s="28"/>
      <c r="F2512" s="28"/>
      <c r="H2512" s="28"/>
    </row>
    <row r="2513" spans="4:8" x14ac:dyDescent="0.25">
      <c r="D2513" s="28"/>
      <c r="F2513" s="28"/>
      <c r="H2513" s="28"/>
    </row>
    <row r="2514" spans="4:8" x14ac:dyDescent="0.25">
      <c r="D2514" s="28"/>
      <c r="F2514" s="28"/>
      <c r="H2514" s="28"/>
    </row>
    <row r="2515" spans="4:8" x14ac:dyDescent="0.25">
      <c r="D2515" s="28"/>
      <c r="F2515" s="28"/>
      <c r="H2515" s="28"/>
    </row>
    <row r="2516" spans="4:8" x14ac:dyDescent="0.25">
      <c r="D2516" s="28"/>
      <c r="F2516" s="28"/>
      <c r="H2516" s="28"/>
    </row>
    <row r="2517" spans="4:8" x14ac:dyDescent="0.25">
      <c r="D2517" s="28"/>
      <c r="F2517" s="28"/>
      <c r="H2517" s="28"/>
    </row>
    <row r="2518" spans="4:8" x14ac:dyDescent="0.25">
      <c r="D2518" s="28"/>
      <c r="F2518" s="28"/>
      <c r="H2518" s="28"/>
    </row>
    <row r="2519" spans="4:8" x14ac:dyDescent="0.25">
      <c r="D2519" s="28"/>
      <c r="F2519" s="28"/>
      <c r="H2519" s="28"/>
    </row>
    <row r="2520" spans="4:8" x14ac:dyDescent="0.25">
      <c r="D2520" s="28"/>
      <c r="F2520" s="28"/>
      <c r="H2520" s="28"/>
    </row>
    <row r="2521" spans="4:8" x14ac:dyDescent="0.25">
      <c r="D2521" s="28"/>
      <c r="F2521" s="28"/>
      <c r="H2521" s="28"/>
    </row>
    <row r="2522" spans="4:8" x14ac:dyDescent="0.25">
      <c r="D2522" s="28"/>
      <c r="F2522" s="28"/>
      <c r="H2522" s="28"/>
    </row>
    <row r="2523" spans="4:8" x14ac:dyDescent="0.25">
      <c r="D2523" s="28"/>
      <c r="F2523" s="28"/>
      <c r="H2523" s="28"/>
    </row>
    <row r="2524" spans="4:8" x14ac:dyDescent="0.25">
      <c r="D2524" s="28"/>
      <c r="F2524" s="28"/>
      <c r="H2524" s="28"/>
    </row>
    <row r="2525" spans="4:8" x14ac:dyDescent="0.25">
      <c r="D2525" s="28"/>
      <c r="F2525" s="28"/>
      <c r="H2525" s="28"/>
    </row>
    <row r="2526" spans="4:8" x14ac:dyDescent="0.25">
      <c r="D2526" s="28"/>
      <c r="F2526" s="28"/>
      <c r="H2526" s="28"/>
    </row>
    <row r="2527" spans="4:8" x14ac:dyDescent="0.25">
      <c r="D2527" s="28"/>
      <c r="F2527" s="28"/>
      <c r="H2527" s="28"/>
    </row>
    <row r="2528" spans="4:8" x14ac:dyDescent="0.25">
      <c r="D2528" s="28"/>
      <c r="F2528" s="28"/>
      <c r="H2528" s="28"/>
    </row>
    <row r="2529" spans="4:8" x14ac:dyDescent="0.25">
      <c r="D2529" s="28"/>
      <c r="F2529" s="28"/>
      <c r="H2529" s="28"/>
    </row>
    <row r="2530" spans="4:8" x14ac:dyDescent="0.25">
      <c r="D2530" s="28"/>
      <c r="F2530" s="28"/>
      <c r="H2530" s="28"/>
    </row>
    <row r="2531" spans="4:8" x14ac:dyDescent="0.25">
      <c r="D2531" s="28"/>
      <c r="F2531" s="28"/>
      <c r="H2531" s="28"/>
    </row>
    <row r="2532" spans="4:8" x14ac:dyDescent="0.25">
      <c r="D2532" s="28"/>
      <c r="F2532" s="28"/>
      <c r="H2532" s="28"/>
    </row>
    <row r="2533" spans="4:8" x14ac:dyDescent="0.25">
      <c r="D2533" s="28"/>
      <c r="F2533" s="28"/>
      <c r="H2533" s="28"/>
    </row>
    <row r="2534" spans="4:8" x14ac:dyDescent="0.25">
      <c r="D2534" s="28"/>
      <c r="F2534" s="28"/>
      <c r="H2534" s="28"/>
    </row>
    <row r="2535" spans="4:8" x14ac:dyDescent="0.25">
      <c r="D2535" s="28"/>
      <c r="F2535" s="28"/>
      <c r="H2535" s="28"/>
    </row>
    <row r="2536" spans="4:8" x14ac:dyDescent="0.25">
      <c r="D2536" s="28"/>
      <c r="F2536" s="28"/>
      <c r="H2536" s="28"/>
    </row>
    <row r="2537" spans="4:8" x14ac:dyDescent="0.25">
      <c r="D2537" s="28"/>
      <c r="F2537" s="28"/>
      <c r="H2537" s="28"/>
    </row>
    <row r="2538" spans="4:8" x14ac:dyDescent="0.25">
      <c r="D2538" s="28"/>
      <c r="F2538" s="28"/>
      <c r="H2538" s="28"/>
    </row>
    <row r="2539" spans="4:8" x14ac:dyDescent="0.25">
      <c r="D2539" s="28"/>
      <c r="F2539" s="28"/>
      <c r="H2539" s="28"/>
    </row>
    <row r="2540" spans="4:8" x14ac:dyDescent="0.25">
      <c r="D2540" s="28"/>
      <c r="F2540" s="28"/>
      <c r="H2540" s="28"/>
    </row>
    <row r="2541" spans="4:8" x14ac:dyDescent="0.25">
      <c r="D2541" s="28"/>
      <c r="F2541" s="28"/>
      <c r="H2541" s="28"/>
    </row>
    <row r="2542" spans="4:8" x14ac:dyDescent="0.25">
      <c r="D2542" s="28"/>
      <c r="F2542" s="28"/>
      <c r="H2542" s="28"/>
    </row>
    <row r="2543" spans="4:8" x14ac:dyDescent="0.25">
      <c r="D2543" s="28"/>
      <c r="F2543" s="28"/>
      <c r="H2543" s="28"/>
    </row>
    <row r="2544" spans="4:8" x14ac:dyDescent="0.25">
      <c r="D2544" s="28"/>
      <c r="F2544" s="28"/>
      <c r="H2544" s="28"/>
    </row>
    <row r="2545" spans="4:8" x14ac:dyDescent="0.25">
      <c r="D2545" s="28"/>
      <c r="F2545" s="28"/>
      <c r="H2545" s="28"/>
    </row>
    <row r="2546" spans="4:8" x14ac:dyDescent="0.25">
      <c r="D2546" s="28"/>
      <c r="F2546" s="28"/>
      <c r="H2546" s="28"/>
    </row>
    <row r="2547" spans="4:8" x14ac:dyDescent="0.25">
      <c r="D2547" s="28"/>
      <c r="F2547" s="28"/>
      <c r="H2547" s="28"/>
    </row>
    <row r="2548" spans="4:8" x14ac:dyDescent="0.25">
      <c r="D2548" s="28"/>
      <c r="F2548" s="28"/>
      <c r="H2548" s="28"/>
    </row>
    <row r="2549" spans="4:8" x14ac:dyDescent="0.25">
      <c r="D2549" s="28"/>
      <c r="F2549" s="28"/>
      <c r="H2549" s="28"/>
    </row>
    <row r="2550" spans="4:8" x14ac:dyDescent="0.25">
      <c r="D2550" s="28"/>
      <c r="F2550" s="28"/>
      <c r="H2550" s="28"/>
    </row>
    <row r="2551" spans="4:8" x14ac:dyDescent="0.25">
      <c r="D2551" s="28"/>
      <c r="F2551" s="28"/>
      <c r="H2551" s="28"/>
    </row>
    <row r="2552" spans="4:8" x14ac:dyDescent="0.25">
      <c r="D2552" s="28"/>
      <c r="F2552" s="28"/>
      <c r="H2552" s="28"/>
    </row>
    <row r="2553" spans="4:8" x14ac:dyDescent="0.25">
      <c r="D2553" s="28"/>
      <c r="F2553" s="28"/>
      <c r="H2553" s="28"/>
    </row>
    <row r="2554" spans="4:8" x14ac:dyDescent="0.25">
      <c r="D2554" s="28"/>
      <c r="F2554" s="28"/>
      <c r="H2554" s="28"/>
    </row>
    <row r="2555" spans="4:8" x14ac:dyDescent="0.25">
      <c r="D2555" s="28"/>
      <c r="F2555" s="28"/>
      <c r="H2555" s="28"/>
    </row>
    <row r="2556" spans="4:8" x14ac:dyDescent="0.25">
      <c r="D2556" s="28"/>
      <c r="F2556" s="28"/>
      <c r="H2556" s="28"/>
    </row>
    <row r="2557" spans="4:8" x14ac:dyDescent="0.25">
      <c r="D2557" s="28"/>
      <c r="F2557" s="28"/>
      <c r="H2557" s="28"/>
    </row>
    <row r="2558" spans="4:8" x14ac:dyDescent="0.25">
      <c r="D2558" s="28"/>
      <c r="F2558" s="28"/>
      <c r="H2558" s="28"/>
    </row>
    <row r="2559" spans="4:8" x14ac:dyDescent="0.25">
      <c r="D2559" s="28"/>
      <c r="F2559" s="28"/>
      <c r="H2559" s="28"/>
    </row>
    <row r="2560" spans="4:8" x14ac:dyDescent="0.25">
      <c r="D2560" s="28"/>
      <c r="F2560" s="28"/>
      <c r="H2560" s="28"/>
    </row>
    <row r="2561" spans="4:8" x14ac:dyDescent="0.25">
      <c r="D2561" s="28"/>
      <c r="F2561" s="28"/>
      <c r="H2561" s="28"/>
    </row>
    <row r="2562" spans="4:8" x14ac:dyDescent="0.25">
      <c r="D2562" s="28"/>
      <c r="F2562" s="28"/>
      <c r="H2562" s="28"/>
    </row>
    <row r="2563" spans="4:8" x14ac:dyDescent="0.25">
      <c r="D2563" s="28"/>
      <c r="F2563" s="28"/>
      <c r="H2563" s="28"/>
    </row>
    <row r="2564" spans="4:8" x14ac:dyDescent="0.25">
      <c r="D2564" s="28"/>
      <c r="F2564" s="28"/>
      <c r="H2564" s="28"/>
    </row>
    <row r="2565" spans="4:8" x14ac:dyDescent="0.25">
      <c r="D2565" s="28"/>
      <c r="F2565" s="28"/>
      <c r="H2565" s="28"/>
    </row>
    <row r="2566" spans="4:8" x14ac:dyDescent="0.25">
      <c r="D2566" s="28"/>
      <c r="F2566" s="28"/>
      <c r="H2566" s="28"/>
    </row>
    <row r="2567" spans="4:8" x14ac:dyDescent="0.25">
      <c r="D2567" s="28"/>
      <c r="F2567" s="28"/>
      <c r="H2567" s="28"/>
    </row>
    <row r="2568" spans="4:8" x14ac:dyDescent="0.25">
      <c r="D2568" s="28"/>
      <c r="F2568" s="28"/>
      <c r="H2568" s="28"/>
    </row>
    <row r="2569" spans="4:8" x14ac:dyDescent="0.25">
      <c r="D2569" s="28"/>
      <c r="F2569" s="28"/>
      <c r="H2569" s="28"/>
    </row>
    <row r="2570" spans="4:8" x14ac:dyDescent="0.25">
      <c r="D2570" s="28"/>
      <c r="F2570" s="28"/>
      <c r="H2570" s="28"/>
    </row>
    <row r="2571" spans="4:8" x14ac:dyDescent="0.25">
      <c r="D2571" s="28"/>
      <c r="F2571" s="28"/>
      <c r="H2571" s="28"/>
    </row>
    <row r="2572" spans="4:8" x14ac:dyDescent="0.25">
      <c r="D2572" s="28"/>
      <c r="F2572" s="28"/>
      <c r="H2572" s="28"/>
    </row>
    <row r="2573" spans="4:8" x14ac:dyDescent="0.25">
      <c r="D2573" s="28"/>
      <c r="F2573" s="28"/>
      <c r="H2573" s="28"/>
    </row>
    <row r="2574" spans="4:8" x14ac:dyDescent="0.25">
      <c r="D2574" s="28"/>
      <c r="F2574" s="28"/>
      <c r="H2574" s="28"/>
    </row>
    <row r="2575" spans="4:8" x14ac:dyDescent="0.25">
      <c r="D2575" s="28"/>
      <c r="F2575" s="28"/>
      <c r="H2575" s="28"/>
    </row>
    <row r="2576" spans="4:8" x14ac:dyDescent="0.25">
      <c r="D2576" s="28"/>
      <c r="F2576" s="28"/>
      <c r="H2576" s="28"/>
    </row>
    <row r="2577" spans="4:8" x14ac:dyDescent="0.25">
      <c r="D2577" s="28"/>
      <c r="F2577" s="28"/>
      <c r="H2577" s="28"/>
    </row>
    <row r="2578" spans="4:8" x14ac:dyDescent="0.25">
      <c r="D2578" s="28"/>
      <c r="F2578" s="28"/>
      <c r="H2578" s="28"/>
    </row>
    <row r="2579" spans="4:8" x14ac:dyDescent="0.25">
      <c r="D2579" s="28"/>
      <c r="F2579" s="28"/>
      <c r="H2579" s="28"/>
    </row>
    <row r="2580" spans="4:8" x14ac:dyDescent="0.25">
      <c r="D2580" s="28"/>
      <c r="F2580" s="28"/>
      <c r="H2580" s="28"/>
    </row>
    <row r="2581" spans="4:8" x14ac:dyDescent="0.25">
      <c r="D2581" s="28"/>
      <c r="F2581" s="28"/>
      <c r="H2581" s="28"/>
    </row>
    <row r="2582" spans="4:8" x14ac:dyDescent="0.25">
      <c r="D2582" s="28"/>
      <c r="F2582" s="28"/>
      <c r="H2582" s="28"/>
    </row>
    <row r="2583" spans="4:8" x14ac:dyDescent="0.25">
      <c r="D2583" s="28"/>
      <c r="F2583" s="28"/>
      <c r="H2583" s="28"/>
    </row>
    <row r="2584" spans="4:8" x14ac:dyDescent="0.25">
      <c r="D2584" s="28"/>
      <c r="F2584" s="28"/>
      <c r="H2584" s="28"/>
    </row>
    <row r="2585" spans="4:8" x14ac:dyDescent="0.25">
      <c r="D2585" s="28"/>
      <c r="F2585" s="28"/>
      <c r="H2585" s="28"/>
    </row>
    <row r="2586" spans="4:8" x14ac:dyDescent="0.25">
      <c r="D2586" s="28"/>
      <c r="F2586" s="28"/>
      <c r="H2586" s="28"/>
    </row>
    <row r="2587" spans="4:8" x14ac:dyDescent="0.25">
      <c r="D2587" s="28"/>
      <c r="F2587" s="28"/>
      <c r="H2587" s="28"/>
    </row>
    <row r="2588" spans="4:8" x14ac:dyDescent="0.25">
      <c r="D2588" s="28"/>
      <c r="F2588" s="28"/>
      <c r="H2588" s="28"/>
    </row>
    <row r="2589" spans="4:8" x14ac:dyDescent="0.25">
      <c r="D2589" s="28"/>
      <c r="F2589" s="28"/>
      <c r="H2589" s="28"/>
    </row>
    <row r="2590" spans="4:8" x14ac:dyDescent="0.25">
      <c r="D2590" s="28"/>
      <c r="F2590" s="28"/>
      <c r="H2590" s="28"/>
    </row>
    <row r="2591" spans="4:8" x14ac:dyDescent="0.25">
      <c r="D2591" s="28"/>
      <c r="F2591" s="28"/>
      <c r="H2591" s="28"/>
    </row>
    <row r="2592" spans="4:8" x14ac:dyDescent="0.25">
      <c r="D2592" s="28"/>
      <c r="F2592" s="28"/>
      <c r="H2592" s="28"/>
    </row>
    <row r="2593" spans="4:8" x14ac:dyDescent="0.25">
      <c r="D2593" s="28"/>
      <c r="F2593" s="28"/>
      <c r="H2593" s="28"/>
    </row>
    <row r="2594" spans="4:8" x14ac:dyDescent="0.25">
      <c r="D2594" s="28"/>
      <c r="F2594" s="28"/>
      <c r="H2594" s="28"/>
    </row>
    <row r="2595" spans="4:8" x14ac:dyDescent="0.25">
      <c r="D2595" s="28"/>
      <c r="F2595" s="28"/>
      <c r="H2595" s="28"/>
    </row>
    <row r="2596" spans="4:8" x14ac:dyDescent="0.25">
      <c r="D2596" s="28"/>
      <c r="F2596" s="28"/>
      <c r="H2596" s="28"/>
    </row>
    <row r="2597" spans="4:8" x14ac:dyDescent="0.25">
      <c r="D2597" s="28"/>
      <c r="F2597" s="28"/>
      <c r="H2597" s="28"/>
    </row>
    <row r="2598" spans="4:8" x14ac:dyDescent="0.25">
      <c r="D2598" s="28"/>
      <c r="F2598" s="28"/>
      <c r="H2598" s="28"/>
    </row>
    <row r="2599" spans="4:8" x14ac:dyDescent="0.25">
      <c r="D2599" s="28"/>
      <c r="F2599" s="28"/>
      <c r="H2599" s="28"/>
    </row>
    <row r="2600" spans="4:8" x14ac:dyDescent="0.25">
      <c r="D2600" s="28"/>
      <c r="F2600" s="28"/>
      <c r="H2600" s="28"/>
    </row>
    <row r="2601" spans="4:8" x14ac:dyDescent="0.25">
      <c r="D2601" s="28"/>
      <c r="F2601" s="28"/>
      <c r="H2601" s="28"/>
    </row>
    <row r="2602" spans="4:8" x14ac:dyDescent="0.25">
      <c r="D2602" s="28"/>
      <c r="F2602" s="28"/>
      <c r="H2602" s="28"/>
    </row>
    <row r="2603" spans="4:8" x14ac:dyDescent="0.25">
      <c r="D2603" s="28"/>
      <c r="F2603" s="28"/>
      <c r="H2603" s="28"/>
    </row>
    <row r="2604" spans="4:8" x14ac:dyDescent="0.25">
      <c r="D2604" s="28"/>
      <c r="F2604" s="28"/>
      <c r="H2604" s="28"/>
    </row>
    <row r="2605" spans="4:8" x14ac:dyDescent="0.25">
      <c r="D2605" s="28"/>
      <c r="F2605" s="28"/>
      <c r="H2605" s="28"/>
    </row>
    <row r="2606" spans="4:8" x14ac:dyDescent="0.25">
      <c r="D2606" s="28"/>
      <c r="F2606" s="28"/>
      <c r="H2606" s="28"/>
    </row>
    <row r="2607" spans="4:8" x14ac:dyDescent="0.25">
      <c r="D2607" s="28"/>
      <c r="F2607" s="28"/>
      <c r="H2607" s="28"/>
    </row>
    <row r="2608" spans="4:8" x14ac:dyDescent="0.25">
      <c r="D2608" s="28"/>
      <c r="F2608" s="28"/>
      <c r="H2608" s="28"/>
    </row>
    <row r="2609" spans="4:8" x14ac:dyDescent="0.25">
      <c r="D2609" s="28"/>
      <c r="F2609" s="28"/>
      <c r="H2609" s="28"/>
    </row>
    <row r="2610" spans="4:8" x14ac:dyDescent="0.25">
      <c r="D2610" s="28"/>
      <c r="F2610" s="28"/>
      <c r="H2610" s="28"/>
    </row>
    <row r="2611" spans="4:8" x14ac:dyDescent="0.25">
      <c r="D2611" s="28"/>
      <c r="F2611" s="28"/>
      <c r="H2611" s="28"/>
    </row>
    <row r="2612" spans="4:8" x14ac:dyDescent="0.25">
      <c r="D2612" s="28"/>
      <c r="F2612" s="28"/>
      <c r="H2612" s="28"/>
    </row>
    <row r="2613" spans="4:8" x14ac:dyDescent="0.25">
      <c r="D2613" s="28"/>
      <c r="F2613" s="28"/>
      <c r="H2613" s="28"/>
    </row>
    <row r="2614" spans="4:8" x14ac:dyDescent="0.25">
      <c r="D2614" s="28"/>
      <c r="F2614" s="28"/>
      <c r="H2614" s="28"/>
    </row>
    <row r="2615" spans="4:8" x14ac:dyDescent="0.25">
      <c r="D2615" s="28"/>
      <c r="F2615" s="28"/>
      <c r="H2615" s="28"/>
    </row>
    <row r="2616" spans="4:8" x14ac:dyDescent="0.25">
      <c r="D2616" s="28"/>
      <c r="F2616" s="28"/>
      <c r="H2616" s="28"/>
    </row>
    <row r="2617" spans="4:8" x14ac:dyDescent="0.25">
      <c r="D2617" s="28"/>
      <c r="F2617" s="28"/>
      <c r="H2617" s="28"/>
    </row>
    <row r="2618" spans="4:8" x14ac:dyDescent="0.25">
      <c r="D2618" s="28"/>
      <c r="F2618" s="28"/>
      <c r="H2618" s="28"/>
    </row>
    <row r="2619" spans="4:8" x14ac:dyDescent="0.25">
      <c r="D2619" s="28"/>
      <c r="F2619" s="28"/>
      <c r="H2619" s="28"/>
    </row>
    <row r="2620" spans="4:8" x14ac:dyDescent="0.25">
      <c r="D2620" s="28"/>
      <c r="F2620" s="28"/>
      <c r="H2620" s="28"/>
    </row>
    <row r="2621" spans="4:8" x14ac:dyDescent="0.25">
      <c r="D2621" s="28"/>
      <c r="F2621" s="28"/>
      <c r="H2621" s="28"/>
    </row>
    <row r="2622" spans="4:8" x14ac:dyDescent="0.25">
      <c r="D2622" s="28"/>
      <c r="F2622" s="28"/>
      <c r="H2622" s="28"/>
    </row>
    <row r="2623" spans="4:8" x14ac:dyDescent="0.25">
      <c r="D2623" s="28"/>
      <c r="F2623" s="28"/>
      <c r="H2623" s="28"/>
    </row>
    <row r="2624" spans="4:8" x14ac:dyDescent="0.25">
      <c r="D2624" s="28"/>
      <c r="F2624" s="28"/>
      <c r="H2624" s="28"/>
    </row>
    <row r="2625" spans="4:8" x14ac:dyDescent="0.25">
      <c r="D2625" s="28"/>
      <c r="F2625" s="28"/>
      <c r="H2625" s="28"/>
    </row>
    <row r="2626" spans="4:8" x14ac:dyDescent="0.25">
      <c r="D2626" s="28"/>
      <c r="F2626" s="28"/>
      <c r="H2626" s="28"/>
    </row>
    <row r="2627" spans="4:8" x14ac:dyDescent="0.25">
      <c r="D2627" s="28"/>
      <c r="F2627" s="28"/>
      <c r="H2627" s="28"/>
    </row>
    <row r="2628" spans="4:8" x14ac:dyDescent="0.25">
      <c r="D2628" s="28"/>
      <c r="F2628" s="28"/>
      <c r="H2628" s="28"/>
    </row>
    <row r="2629" spans="4:8" x14ac:dyDescent="0.25">
      <c r="D2629" s="28"/>
      <c r="F2629" s="28"/>
      <c r="H2629" s="28"/>
    </row>
    <row r="2630" spans="4:8" x14ac:dyDescent="0.25">
      <c r="D2630" s="28"/>
      <c r="F2630" s="28"/>
      <c r="H2630" s="28"/>
    </row>
    <row r="2631" spans="4:8" x14ac:dyDescent="0.25">
      <c r="D2631" s="28"/>
      <c r="F2631" s="28"/>
      <c r="H2631" s="28"/>
    </row>
    <row r="2632" spans="4:8" x14ac:dyDescent="0.25">
      <c r="D2632" s="28"/>
      <c r="F2632" s="28"/>
      <c r="H2632" s="28"/>
    </row>
    <row r="2633" spans="4:8" x14ac:dyDescent="0.25">
      <c r="D2633" s="28"/>
      <c r="F2633" s="28"/>
      <c r="H2633" s="28"/>
    </row>
    <row r="2634" spans="4:8" x14ac:dyDescent="0.25">
      <c r="D2634" s="28"/>
      <c r="F2634" s="28"/>
      <c r="H2634" s="28"/>
    </row>
    <row r="2635" spans="4:8" x14ac:dyDescent="0.25">
      <c r="D2635" s="28"/>
      <c r="F2635" s="28"/>
      <c r="H2635" s="28"/>
    </row>
    <row r="2636" spans="4:8" x14ac:dyDescent="0.25">
      <c r="D2636" s="28"/>
      <c r="F2636" s="28"/>
      <c r="H2636" s="28"/>
    </row>
    <row r="2637" spans="4:8" x14ac:dyDescent="0.25">
      <c r="D2637" s="28"/>
      <c r="F2637" s="28"/>
      <c r="H2637" s="28"/>
    </row>
    <row r="2638" spans="4:8" x14ac:dyDescent="0.25">
      <c r="D2638" s="28"/>
      <c r="F2638" s="28"/>
      <c r="H2638" s="28"/>
    </row>
    <row r="2639" spans="4:8" x14ac:dyDescent="0.25">
      <c r="D2639" s="28"/>
      <c r="F2639" s="28"/>
      <c r="H2639" s="28"/>
    </row>
    <row r="2640" spans="4:8" x14ac:dyDescent="0.25">
      <c r="D2640" s="28"/>
      <c r="F2640" s="28"/>
      <c r="H2640" s="28"/>
    </row>
    <row r="2641" spans="4:8" x14ac:dyDescent="0.25">
      <c r="D2641" s="28"/>
      <c r="F2641" s="28"/>
      <c r="H2641" s="28"/>
    </row>
    <row r="2642" spans="4:8" x14ac:dyDescent="0.25">
      <c r="D2642" s="28"/>
      <c r="F2642" s="28"/>
      <c r="H2642" s="28"/>
    </row>
    <row r="2643" spans="4:8" x14ac:dyDescent="0.25">
      <c r="D2643" s="28"/>
      <c r="F2643" s="28"/>
      <c r="H2643" s="28"/>
    </row>
    <row r="2644" spans="4:8" x14ac:dyDescent="0.25">
      <c r="D2644" s="28"/>
      <c r="F2644" s="28"/>
      <c r="H2644" s="28"/>
    </row>
    <row r="2645" spans="4:8" x14ac:dyDescent="0.25">
      <c r="D2645" s="28"/>
      <c r="F2645" s="28"/>
      <c r="H2645" s="28"/>
    </row>
    <row r="2646" spans="4:8" x14ac:dyDescent="0.25">
      <c r="D2646" s="28"/>
      <c r="F2646" s="28"/>
      <c r="H2646" s="28"/>
    </row>
    <row r="2647" spans="4:8" x14ac:dyDescent="0.25">
      <c r="D2647" s="28"/>
      <c r="F2647" s="28"/>
      <c r="H2647" s="28"/>
    </row>
    <row r="2648" spans="4:8" x14ac:dyDescent="0.25">
      <c r="D2648" s="28"/>
      <c r="F2648" s="28"/>
      <c r="H2648" s="28"/>
    </row>
    <row r="2649" spans="4:8" x14ac:dyDescent="0.25">
      <c r="D2649" s="28"/>
      <c r="F2649" s="28"/>
      <c r="H2649" s="28"/>
    </row>
    <row r="2650" spans="4:8" x14ac:dyDescent="0.25">
      <c r="D2650" s="28"/>
      <c r="F2650" s="28"/>
      <c r="H2650" s="28"/>
    </row>
    <row r="2651" spans="4:8" x14ac:dyDescent="0.25">
      <c r="D2651" s="28"/>
      <c r="F2651" s="28"/>
      <c r="H2651" s="28"/>
    </row>
    <row r="2652" spans="4:8" x14ac:dyDescent="0.25">
      <c r="D2652" s="28"/>
      <c r="F2652" s="28"/>
      <c r="H2652" s="28"/>
    </row>
    <row r="2653" spans="4:8" x14ac:dyDescent="0.25">
      <c r="D2653" s="28"/>
      <c r="F2653" s="28"/>
      <c r="H2653" s="28"/>
    </row>
    <row r="2654" spans="4:8" x14ac:dyDescent="0.25">
      <c r="D2654" s="28"/>
      <c r="F2654" s="28"/>
      <c r="H2654" s="28"/>
    </row>
    <row r="2655" spans="4:8" x14ac:dyDescent="0.25">
      <c r="D2655" s="28"/>
      <c r="F2655" s="28"/>
      <c r="H2655" s="28"/>
    </row>
    <row r="2656" spans="4:8" x14ac:dyDescent="0.25">
      <c r="D2656" s="28"/>
      <c r="F2656" s="28"/>
      <c r="H2656" s="28"/>
    </row>
    <row r="2657" spans="4:8" x14ac:dyDescent="0.25">
      <c r="D2657" s="28"/>
      <c r="F2657" s="28"/>
      <c r="H2657" s="28"/>
    </row>
    <row r="2658" spans="4:8" x14ac:dyDescent="0.25">
      <c r="D2658" s="28"/>
      <c r="F2658" s="28"/>
      <c r="H2658" s="28"/>
    </row>
    <row r="2659" spans="4:8" x14ac:dyDescent="0.25">
      <c r="D2659" s="28"/>
      <c r="F2659" s="28"/>
      <c r="H2659" s="28"/>
    </row>
    <row r="2660" spans="4:8" x14ac:dyDescent="0.25">
      <c r="D2660" s="28"/>
      <c r="F2660" s="28"/>
      <c r="H2660" s="28"/>
    </row>
    <row r="2661" spans="4:8" x14ac:dyDescent="0.25">
      <c r="D2661" s="28"/>
      <c r="F2661" s="28"/>
      <c r="H2661" s="28"/>
    </row>
    <row r="2662" spans="4:8" x14ac:dyDescent="0.25">
      <c r="D2662" s="28"/>
      <c r="F2662" s="28"/>
      <c r="H2662" s="28"/>
    </row>
    <row r="2663" spans="4:8" x14ac:dyDescent="0.25">
      <c r="D2663" s="28"/>
      <c r="F2663" s="28"/>
      <c r="H2663" s="28"/>
    </row>
    <row r="2664" spans="4:8" x14ac:dyDescent="0.25">
      <c r="D2664" s="28"/>
      <c r="F2664" s="28"/>
      <c r="H2664" s="28"/>
    </row>
    <row r="2665" spans="4:8" x14ac:dyDescent="0.25">
      <c r="D2665" s="28"/>
      <c r="F2665" s="28"/>
      <c r="H2665" s="28"/>
    </row>
    <row r="2666" spans="4:8" x14ac:dyDescent="0.25">
      <c r="D2666" s="28"/>
      <c r="F2666" s="28"/>
      <c r="H2666" s="28"/>
    </row>
    <row r="2667" spans="4:8" x14ac:dyDescent="0.25">
      <c r="D2667" s="28"/>
      <c r="F2667" s="28"/>
      <c r="H2667" s="28"/>
    </row>
    <row r="2668" spans="4:8" x14ac:dyDescent="0.25">
      <c r="D2668" s="28"/>
      <c r="F2668" s="28"/>
      <c r="H2668" s="28"/>
    </row>
    <row r="2669" spans="4:8" x14ac:dyDescent="0.25">
      <c r="D2669" s="28"/>
      <c r="F2669" s="28"/>
      <c r="H2669" s="28"/>
    </row>
    <row r="2670" spans="4:8" x14ac:dyDescent="0.25">
      <c r="D2670" s="28"/>
      <c r="F2670" s="28"/>
      <c r="H2670" s="28"/>
    </row>
    <row r="2671" spans="4:8" x14ac:dyDescent="0.25">
      <c r="D2671" s="28"/>
      <c r="F2671" s="28"/>
      <c r="H2671" s="28"/>
    </row>
    <row r="2672" spans="4:8" x14ac:dyDescent="0.25">
      <c r="D2672" s="28"/>
      <c r="F2672" s="28"/>
      <c r="H2672" s="28"/>
    </row>
    <row r="2673" spans="4:8" x14ac:dyDescent="0.25">
      <c r="D2673" s="28"/>
      <c r="F2673" s="28"/>
      <c r="H2673" s="28"/>
    </row>
    <row r="2674" spans="4:8" x14ac:dyDescent="0.25">
      <c r="D2674" s="28"/>
      <c r="F2674" s="28"/>
      <c r="H2674" s="28"/>
    </row>
    <row r="2675" spans="4:8" x14ac:dyDescent="0.25">
      <c r="D2675" s="28"/>
      <c r="F2675" s="28"/>
      <c r="H2675" s="28"/>
    </row>
    <row r="2676" spans="4:8" x14ac:dyDescent="0.25">
      <c r="D2676" s="28"/>
      <c r="F2676" s="28"/>
      <c r="H2676" s="28"/>
    </row>
    <row r="2677" spans="4:8" x14ac:dyDescent="0.25">
      <c r="D2677" s="28"/>
      <c r="F2677" s="28"/>
      <c r="H2677" s="28"/>
    </row>
    <row r="2678" spans="4:8" x14ac:dyDescent="0.25">
      <c r="D2678" s="28"/>
      <c r="F2678" s="28"/>
      <c r="H2678" s="28"/>
    </row>
    <row r="2679" spans="4:8" x14ac:dyDescent="0.25">
      <c r="D2679" s="28"/>
      <c r="F2679" s="28"/>
      <c r="H2679" s="28"/>
    </row>
    <row r="2680" spans="4:8" x14ac:dyDescent="0.25">
      <c r="D2680" s="28"/>
      <c r="F2680" s="28"/>
      <c r="H2680" s="28"/>
    </row>
    <row r="2681" spans="4:8" x14ac:dyDescent="0.25">
      <c r="D2681" s="28"/>
      <c r="F2681" s="28"/>
      <c r="H2681" s="28"/>
    </row>
    <row r="2682" spans="4:8" x14ac:dyDescent="0.25">
      <c r="D2682" s="28"/>
      <c r="F2682" s="28"/>
      <c r="H2682" s="28"/>
    </row>
    <row r="2683" spans="4:8" x14ac:dyDescent="0.25">
      <c r="D2683" s="28"/>
      <c r="F2683" s="28"/>
      <c r="H2683" s="28"/>
    </row>
    <row r="2684" spans="4:8" x14ac:dyDescent="0.25">
      <c r="D2684" s="28"/>
      <c r="F2684" s="28"/>
      <c r="H2684" s="28"/>
    </row>
    <row r="2685" spans="4:8" x14ac:dyDescent="0.25">
      <c r="D2685" s="28"/>
      <c r="F2685" s="28"/>
      <c r="H2685" s="28"/>
    </row>
    <row r="2686" spans="4:8" x14ac:dyDescent="0.25">
      <c r="D2686" s="28"/>
      <c r="F2686" s="28"/>
      <c r="H2686" s="28"/>
    </row>
    <row r="2687" spans="4:8" x14ac:dyDescent="0.25">
      <c r="D2687" s="28"/>
      <c r="F2687" s="28"/>
      <c r="H2687" s="28"/>
    </row>
    <row r="2688" spans="4:8" x14ac:dyDescent="0.25">
      <c r="D2688" s="28"/>
      <c r="F2688" s="28"/>
      <c r="H2688" s="28"/>
    </row>
    <row r="2689" spans="4:8" x14ac:dyDescent="0.25">
      <c r="D2689" s="28"/>
      <c r="F2689" s="28"/>
      <c r="H2689" s="28"/>
    </row>
    <row r="2690" spans="4:8" x14ac:dyDescent="0.25">
      <c r="D2690" s="28"/>
      <c r="F2690" s="28"/>
      <c r="H2690" s="28"/>
    </row>
    <row r="2691" spans="4:8" x14ac:dyDescent="0.25">
      <c r="D2691" s="28"/>
      <c r="F2691" s="28"/>
      <c r="H2691" s="28"/>
    </row>
    <row r="2692" spans="4:8" x14ac:dyDescent="0.25">
      <c r="D2692" s="28"/>
      <c r="F2692" s="28"/>
      <c r="H2692" s="28"/>
    </row>
    <row r="2693" spans="4:8" x14ac:dyDescent="0.25">
      <c r="D2693" s="28"/>
      <c r="F2693" s="28"/>
      <c r="H2693" s="28"/>
    </row>
    <row r="2694" spans="4:8" x14ac:dyDescent="0.25">
      <c r="D2694" s="28"/>
      <c r="F2694" s="28"/>
      <c r="H2694" s="28"/>
    </row>
    <row r="2695" spans="4:8" x14ac:dyDescent="0.25">
      <c r="D2695" s="28"/>
      <c r="F2695" s="28"/>
      <c r="H2695" s="28"/>
    </row>
    <row r="2696" spans="4:8" x14ac:dyDescent="0.25">
      <c r="D2696" s="28"/>
      <c r="F2696" s="28"/>
      <c r="H2696" s="28"/>
    </row>
    <row r="2697" spans="4:8" x14ac:dyDescent="0.25">
      <c r="D2697" s="28"/>
      <c r="F2697" s="28"/>
      <c r="H2697" s="28"/>
    </row>
    <row r="2698" spans="4:8" x14ac:dyDescent="0.25">
      <c r="D2698" s="28"/>
      <c r="F2698" s="28"/>
      <c r="H2698" s="28"/>
    </row>
    <row r="2699" spans="4:8" x14ac:dyDescent="0.25">
      <c r="D2699" s="28"/>
      <c r="F2699" s="28"/>
      <c r="H2699" s="28"/>
    </row>
    <row r="2700" spans="4:8" x14ac:dyDescent="0.25">
      <c r="D2700" s="28"/>
      <c r="F2700" s="28"/>
      <c r="H2700" s="28"/>
    </row>
    <row r="2701" spans="4:8" x14ac:dyDescent="0.25">
      <c r="D2701" s="28"/>
      <c r="F2701" s="28"/>
      <c r="H2701" s="28"/>
    </row>
    <row r="2702" spans="4:8" x14ac:dyDescent="0.25">
      <c r="D2702" s="28"/>
      <c r="F2702" s="28"/>
      <c r="H2702" s="28"/>
    </row>
    <row r="2703" spans="4:8" x14ac:dyDescent="0.25">
      <c r="D2703" s="28"/>
      <c r="F2703" s="28"/>
      <c r="H2703" s="28"/>
    </row>
    <row r="2704" spans="4:8" x14ac:dyDescent="0.25">
      <c r="D2704" s="28"/>
      <c r="F2704" s="28"/>
      <c r="H2704" s="28"/>
    </row>
    <row r="2705" spans="4:8" x14ac:dyDescent="0.25">
      <c r="D2705" s="28"/>
      <c r="F2705" s="28"/>
      <c r="H2705" s="28"/>
    </row>
    <row r="2706" spans="4:8" x14ac:dyDescent="0.25">
      <c r="D2706" s="28"/>
      <c r="F2706" s="28"/>
      <c r="H2706" s="28"/>
    </row>
    <row r="2707" spans="4:8" x14ac:dyDescent="0.25">
      <c r="D2707" s="28"/>
      <c r="F2707" s="28"/>
      <c r="H2707" s="28"/>
    </row>
    <row r="2708" spans="4:8" x14ac:dyDescent="0.25">
      <c r="D2708" s="28"/>
      <c r="F2708" s="28"/>
      <c r="H2708" s="28"/>
    </row>
    <row r="2709" spans="4:8" x14ac:dyDescent="0.25">
      <c r="D2709" s="28"/>
      <c r="F2709" s="28"/>
      <c r="H2709" s="28"/>
    </row>
    <row r="2710" spans="4:8" x14ac:dyDescent="0.25">
      <c r="D2710" s="28"/>
      <c r="F2710" s="28"/>
      <c r="H2710" s="28"/>
    </row>
    <row r="2711" spans="4:8" x14ac:dyDescent="0.25">
      <c r="D2711" s="28"/>
      <c r="F2711" s="28"/>
      <c r="H2711" s="28"/>
    </row>
    <row r="2712" spans="4:8" x14ac:dyDescent="0.25">
      <c r="D2712" s="28"/>
      <c r="F2712" s="28"/>
      <c r="H2712" s="28"/>
    </row>
    <row r="2713" spans="4:8" x14ac:dyDescent="0.25">
      <c r="D2713" s="28"/>
      <c r="F2713" s="28"/>
      <c r="H2713" s="28"/>
    </row>
    <row r="2714" spans="4:8" x14ac:dyDescent="0.25">
      <c r="D2714" s="28"/>
      <c r="F2714" s="28"/>
      <c r="H2714" s="28"/>
    </row>
    <row r="2715" spans="4:8" x14ac:dyDescent="0.25">
      <c r="D2715" s="28"/>
      <c r="F2715" s="28"/>
      <c r="H2715" s="28"/>
    </row>
    <row r="2716" spans="4:8" x14ac:dyDescent="0.25">
      <c r="D2716" s="28"/>
      <c r="F2716" s="28"/>
      <c r="H2716" s="28"/>
    </row>
    <row r="2717" spans="4:8" x14ac:dyDescent="0.25">
      <c r="D2717" s="28"/>
      <c r="F2717" s="28"/>
      <c r="H2717" s="28"/>
    </row>
    <row r="2718" spans="4:8" x14ac:dyDescent="0.25">
      <c r="D2718" s="28"/>
      <c r="F2718" s="28"/>
      <c r="H2718" s="28"/>
    </row>
    <row r="2719" spans="4:8" x14ac:dyDescent="0.25">
      <c r="D2719" s="28"/>
      <c r="F2719" s="28"/>
      <c r="H2719" s="28"/>
    </row>
    <row r="2720" spans="4:8" x14ac:dyDescent="0.25">
      <c r="D2720" s="28"/>
      <c r="F2720" s="28"/>
      <c r="H2720" s="28"/>
    </row>
    <row r="2721" spans="4:8" x14ac:dyDescent="0.25">
      <c r="D2721" s="28"/>
      <c r="F2721" s="28"/>
      <c r="H2721" s="28"/>
    </row>
    <row r="2722" spans="4:8" x14ac:dyDescent="0.25">
      <c r="D2722" s="28"/>
      <c r="F2722" s="28"/>
      <c r="H2722" s="28"/>
    </row>
    <row r="2723" spans="4:8" x14ac:dyDescent="0.25">
      <c r="D2723" s="28"/>
      <c r="F2723" s="28"/>
      <c r="H2723" s="28"/>
    </row>
    <row r="2724" spans="4:8" x14ac:dyDescent="0.25">
      <c r="D2724" s="28"/>
      <c r="F2724" s="28"/>
      <c r="H2724" s="28"/>
    </row>
    <row r="2725" spans="4:8" x14ac:dyDescent="0.25">
      <c r="D2725" s="28"/>
      <c r="F2725" s="28"/>
      <c r="H2725" s="28"/>
    </row>
    <row r="2726" spans="4:8" x14ac:dyDescent="0.25">
      <c r="D2726" s="28"/>
      <c r="F2726" s="28"/>
      <c r="H2726" s="28"/>
    </row>
    <row r="2727" spans="4:8" x14ac:dyDescent="0.25">
      <c r="D2727" s="28"/>
      <c r="F2727" s="28"/>
      <c r="H2727" s="28"/>
    </row>
    <row r="2728" spans="4:8" x14ac:dyDescent="0.25">
      <c r="D2728" s="28"/>
      <c r="F2728" s="28"/>
      <c r="H2728" s="28"/>
    </row>
    <row r="2729" spans="4:8" x14ac:dyDescent="0.25">
      <c r="D2729" s="28"/>
      <c r="F2729" s="28"/>
      <c r="H2729" s="28"/>
    </row>
    <row r="2730" spans="4:8" x14ac:dyDescent="0.25">
      <c r="D2730" s="28"/>
      <c r="F2730" s="28"/>
      <c r="H2730" s="28"/>
    </row>
    <row r="2731" spans="4:8" x14ac:dyDescent="0.25">
      <c r="D2731" s="28"/>
      <c r="F2731" s="28"/>
      <c r="H2731" s="28"/>
    </row>
    <row r="2732" spans="4:8" x14ac:dyDescent="0.25">
      <c r="D2732" s="28"/>
      <c r="F2732" s="28"/>
      <c r="H2732" s="28"/>
    </row>
    <row r="2733" spans="4:8" x14ac:dyDescent="0.25">
      <c r="D2733" s="28"/>
      <c r="F2733" s="28"/>
      <c r="H2733" s="28"/>
    </row>
    <row r="2734" spans="4:8" x14ac:dyDescent="0.25">
      <c r="D2734" s="28"/>
      <c r="F2734" s="28"/>
      <c r="H2734" s="28"/>
    </row>
    <row r="2735" spans="4:8" x14ac:dyDescent="0.25">
      <c r="D2735" s="28"/>
      <c r="F2735" s="28"/>
      <c r="H2735" s="28"/>
    </row>
    <row r="2736" spans="4:8" x14ac:dyDescent="0.25">
      <c r="D2736" s="28"/>
      <c r="F2736" s="28"/>
      <c r="H2736" s="28"/>
    </row>
    <row r="2737" spans="4:8" x14ac:dyDescent="0.25">
      <c r="D2737" s="28"/>
      <c r="F2737" s="28"/>
      <c r="H2737" s="28"/>
    </row>
    <row r="2738" spans="4:8" x14ac:dyDescent="0.25">
      <c r="D2738" s="28"/>
      <c r="F2738" s="28"/>
      <c r="H2738" s="28"/>
    </row>
    <row r="2739" spans="4:8" x14ac:dyDescent="0.25">
      <c r="D2739" s="28"/>
      <c r="F2739" s="28"/>
      <c r="H2739" s="28"/>
    </row>
    <row r="2740" spans="4:8" x14ac:dyDescent="0.25">
      <c r="D2740" s="28"/>
      <c r="F2740" s="28"/>
      <c r="H2740" s="28"/>
    </row>
    <row r="2741" spans="4:8" x14ac:dyDescent="0.25">
      <c r="D2741" s="28"/>
      <c r="F2741" s="28"/>
      <c r="H2741" s="28"/>
    </row>
    <row r="2742" spans="4:8" x14ac:dyDescent="0.25">
      <c r="D2742" s="28"/>
      <c r="F2742" s="28"/>
      <c r="H2742" s="28"/>
    </row>
    <row r="2743" spans="4:8" x14ac:dyDescent="0.25">
      <c r="D2743" s="28"/>
      <c r="F2743" s="28"/>
      <c r="H2743" s="28"/>
    </row>
    <row r="2744" spans="4:8" x14ac:dyDescent="0.25">
      <c r="D2744" s="28"/>
      <c r="F2744" s="28"/>
      <c r="H2744" s="28"/>
    </row>
    <row r="2745" spans="4:8" x14ac:dyDescent="0.25">
      <c r="D2745" s="28"/>
      <c r="F2745" s="28"/>
      <c r="H2745" s="28"/>
    </row>
    <row r="2746" spans="4:8" x14ac:dyDescent="0.25">
      <c r="D2746" s="28"/>
      <c r="F2746" s="28"/>
      <c r="H2746" s="28"/>
    </row>
    <row r="2747" spans="4:8" x14ac:dyDescent="0.25">
      <c r="D2747" s="28"/>
      <c r="F2747" s="28"/>
      <c r="H2747" s="28"/>
    </row>
    <row r="2748" spans="4:8" x14ac:dyDescent="0.25">
      <c r="D2748" s="28"/>
      <c r="F2748" s="28"/>
      <c r="H2748" s="28"/>
    </row>
    <row r="2749" spans="4:8" x14ac:dyDescent="0.25">
      <c r="D2749" s="28"/>
      <c r="F2749" s="28"/>
      <c r="H2749" s="28"/>
    </row>
    <row r="2750" spans="4:8" x14ac:dyDescent="0.25">
      <c r="D2750" s="28"/>
      <c r="F2750" s="28"/>
      <c r="H2750" s="28"/>
    </row>
    <row r="2751" spans="4:8" x14ac:dyDescent="0.25">
      <c r="D2751" s="28"/>
      <c r="F2751" s="28"/>
      <c r="H2751" s="28"/>
    </row>
    <row r="2752" spans="4:8" x14ac:dyDescent="0.25">
      <c r="D2752" s="28"/>
      <c r="F2752" s="28"/>
      <c r="H2752" s="28"/>
    </row>
    <row r="2753" spans="4:8" x14ac:dyDescent="0.25">
      <c r="D2753" s="28"/>
      <c r="F2753" s="28"/>
      <c r="H2753" s="28"/>
    </row>
    <row r="2754" spans="4:8" x14ac:dyDescent="0.25">
      <c r="D2754" s="28"/>
      <c r="F2754" s="28"/>
      <c r="H2754" s="28"/>
    </row>
    <row r="2755" spans="4:8" x14ac:dyDescent="0.25">
      <c r="D2755" s="28"/>
      <c r="F2755" s="28"/>
      <c r="H2755" s="28"/>
    </row>
    <row r="2756" spans="4:8" x14ac:dyDescent="0.25">
      <c r="D2756" s="28"/>
      <c r="F2756" s="28"/>
      <c r="H2756" s="28"/>
    </row>
    <row r="2757" spans="4:8" x14ac:dyDescent="0.25">
      <c r="D2757" s="28"/>
      <c r="F2757" s="28"/>
      <c r="H2757" s="28"/>
    </row>
    <row r="2758" spans="4:8" x14ac:dyDescent="0.25">
      <c r="D2758" s="28"/>
      <c r="F2758" s="28"/>
      <c r="H2758" s="28"/>
    </row>
    <row r="2759" spans="4:8" x14ac:dyDescent="0.25">
      <c r="D2759" s="28"/>
      <c r="F2759" s="28"/>
      <c r="H2759" s="28"/>
    </row>
    <row r="2760" spans="4:8" x14ac:dyDescent="0.25">
      <c r="D2760" s="28"/>
      <c r="F2760" s="28"/>
      <c r="H2760" s="28"/>
    </row>
    <row r="2761" spans="4:8" x14ac:dyDescent="0.25">
      <c r="D2761" s="28"/>
      <c r="F2761" s="28"/>
      <c r="H2761" s="28"/>
    </row>
    <row r="2762" spans="4:8" x14ac:dyDescent="0.25">
      <c r="D2762" s="28"/>
      <c r="F2762" s="28"/>
      <c r="H2762" s="28"/>
    </row>
    <row r="2763" spans="4:8" x14ac:dyDescent="0.25">
      <c r="D2763" s="28"/>
      <c r="F2763" s="28"/>
      <c r="H2763" s="28"/>
    </row>
    <row r="2764" spans="4:8" x14ac:dyDescent="0.25">
      <c r="D2764" s="28"/>
      <c r="F2764" s="28"/>
      <c r="H2764" s="28"/>
    </row>
    <row r="2765" spans="4:8" x14ac:dyDescent="0.25">
      <c r="D2765" s="28"/>
      <c r="F2765" s="28"/>
      <c r="H2765" s="28"/>
    </row>
    <row r="2766" spans="4:8" x14ac:dyDescent="0.25">
      <c r="D2766" s="28"/>
      <c r="F2766" s="28"/>
      <c r="H2766" s="28"/>
    </row>
    <row r="2767" spans="4:8" x14ac:dyDescent="0.25">
      <c r="D2767" s="28"/>
      <c r="F2767" s="28"/>
      <c r="H2767" s="28"/>
    </row>
    <row r="2768" spans="4:8" x14ac:dyDescent="0.25">
      <c r="D2768" s="28"/>
      <c r="F2768" s="28"/>
      <c r="H2768" s="28"/>
    </row>
    <row r="2769" spans="4:8" x14ac:dyDescent="0.25">
      <c r="D2769" s="28"/>
      <c r="F2769" s="28"/>
      <c r="H2769" s="28"/>
    </row>
    <row r="2770" spans="4:8" x14ac:dyDescent="0.25">
      <c r="D2770" s="28"/>
      <c r="F2770" s="28"/>
      <c r="H2770" s="28"/>
    </row>
    <row r="2771" spans="4:8" x14ac:dyDescent="0.25">
      <c r="D2771" s="28"/>
      <c r="F2771" s="28"/>
      <c r="H2771" s="28"/>
    </row>
    <row r="2772" spans="4:8" x14ac:dyDescent="0.25">
      <c r="D2772" s="28"/>
      <c r="F2772" s="28"/>
      <c r="H2772" s="28"/>
    </row>
    <row r="2773" spans="4:8" x14ac:dyDescent="0.25">
      <c r="D2773" s="28"/>
      <c r="F2773" s="28"/>
      <c r="H2773" s="28"/>
    </row>
    <row r="2774" spans="4:8" x14ac:dyDescent="0.25">
      <c r="D2774" s="28"/>
      <c r="F2774" s="28"/>
      <c r="H2774" s="28"/>
    </row>
    <row r="2775" spans="4:8" x14ac:dyDescent="0.25">
      <c r="D2775" s="28"/>
      <c r="F2775" s="28"/>
      <c r="H2775" s="28"/>
    </row>
    <row r="2776" spans="4:8" x14ac:dyDescent="0.25">
      <c r="D2776" s="28"/>
      <c r="F2776" s="28"/>
      <c r="H2776" s="28"/>
    </row>
    <row r="2777" spans="4:8" x14ac:dyDescent="0.25">
      <c r="D2777" s="28"/>
      <c r="F2777" s="28"/>
      <c r="H2777" s="28"/>
    </row>
    <row r="2778" spans="4:8" x14ac:dyDescent="0.25">
      <c r="D2778" s="28"/>
      <c r="F2778" s="28"/>
      <c r="H2778" s="28"/>
    </row>
    <row r="2779" spans="4:8" x14ac:dyDescent="0.25">
      <c r="D2779" s="28"/>
      <c r="F2779" s="28"/>
      <c r="H2779" s="28"/>
    </row>
    <row r="2780" spans="4:8" x14ac:dyDescent="0.25">
      <c r="D2780" s="28"/>
      <c r="F2780" s="28"/>
      <c r="H2780" s="28"/>
    </row>
    <row r="2781" spans="4:8" x14ac:dyDescent="0.25">
      <c r="D2781" s="28"/>
      <c r="F2781" s="28"/>
      <c r="H2781" s="28"/>
    </row>
    <row r="2782" spans="4:8" x14ac:dyDescent="0.25">
      <c r="D2782" s="28"/>
      <c r="F2782" s="28"/>
      <c r="H2782" s="28"/>
    </row>
    <row r="2783" spans="4:8" x14ac:dyDescent="0.25">
      <c r="D2783" s="28"/>
      <c r="F2783" s="28"/>
      <c r="H2783" s="28"/>
    </row>
    <row r="2784" spans="4:8" x14ac:dyDescent="0.25">
      <c r="D2784" s="28"/>
      <c r="F2784" s="28"/>
      <c r="H2784" s="28"/>
    </row>
    <row r="2785" spans="4:8" x14ac:dyDescent="0.25">
      <c r="D2785" s="28"/>
      <c r="F2785" s="28"/>
      <c r="H2785" s="28"/>
    </row>
    <row r="2786" spans="4:8" x14ac:dyDescent="0.25">
      <c r="D2786" s="28"/>
      <c r="F2786" s="28"/>
      <c r="H2786" s="28"/>
    </row>
    <row r="2787" spans="4:8" x14ac:dyDescent="0.25">
      <c r="D2787" s="28"/>
      <c r="F2787" s="28"/>
      <c r="H2787" s="28"/>
    </row>
    <row r="2788" spans="4:8" x14ac:dyDescent="0.25">
      <c r="D2788" s="28"/>
      <c r="F2788" s="28"/>
      <c r="H2788" s="28"/>
    </row>
    <row r="2789" spans="4:8" x14ac:dyDescent="0.25">
      <c r="D2789" s="28"/>
      <c r="F2789" s="28"/>
      <c r="H2789" s="28"/>
    </row>
    <row r="2790" spans="4:8" x14ac:dyDescent="0.25">
      <c r="D2790" s="28"/>
      <c r="F2790" s="28"/>
      <c r="H2790" s="28"/>
    </row>
    <row r="2791" spans="4:8" x14ac:dyDescent="0.25">
      <c r="D2791" s="28"/>
      <c r="F2791" s="28"/>
      <c r="H2791" s="28"/>
    </row>
    <row r="2792" spans="4:8" x14ac:dyDescent="0.25">
      <c r="D2792" s="28"/>
      <c r="F2792" s="28"/>
      <c r="H2792" s="28"/>
    </row>
    <row r="2793" spans="4:8" x14ac:dyDescent="0.25">
      <c r="D2793" s="28"/>
      <c r="F2793" s="28"/>
      <c r="H2793" s="28"/>
    </row>
    <row r="2794" spans="4:8" x14ac:dyDescent="0.25">
      <c r="D2794" s="28"/>
      <c r="F2794" s="28"/>
      <c r="H2794" s="28"/>
    </row>
    <row r="2795" spans="4:8" x14ac:dyDescent="0.25">
      <c r="D2795" s="28"/>
      <c r="F2795" s="28"/>
      <c r="H2795" s="28"/>
    </row>
    <row r="2796" spans="4:8" x14ac:dyDescent="0.25">
      <c r="D2796" s="28"/>
      <c r="F2796" s="28"/>
      <c r="H2796" s="28"/>
    </row>
    <row r="2797" spans="4:8" x14ac:dyDescent="0.25">
      <c r="D2797" s="28"/>
      <c r="F2797" s="28"/>
      <c r="H2797" s="28"/>
    </row>
    <row r="2798" spans="4:8" x14ac:dyDescent="0.25">
      <c r="D2798" s="28"/>
      <c r="F2798" s="28"/>
      <c r="H2798" s="28"/>
    </row>
    <row r="2799" spans="4:8" x14ac:dyDescent="0.25">
      <c r="D2799" s="28"/>
      <c r="F2799" s="28"/>
      <c r="H2799" s="28"/>
    </row>
    <row r="2800" spans="4:8" x14ac:dyDescent="0.25">
      <c r="D2800" s="28"/>
      <c r="F2800" s="28"/>
      <c r="H2800" s="28"/>
    </row>
    <row r="2801" spans="4:8" x14ac:dyDescent="0.25">
      <c r="D2801" s="28"/>
      <c r="F2801" s="28"/>
      <c r="H2801" s="28"/>
    </row>
    <row r="2802" spans="4:8" x14ac:dyDescent="0.25">
      <c r="D2802" s="28"/>
      <c r="F2802" s="28"/>
      <c r="H2802" s="28"/>
    </row>
    <row r="2803" spans="4:8" x14ac:dyDescent="0.25">
      <c r="D2803" s="28"/>
      <c r="F2803" s="28"/>
      <c r="H2803" s="28"/>
    </row>
    <row r="2804" spans="4:8" x14ac:dyDescent="0.25">
      <c r="D2804" s="28"/>
      <c r="F2804" s="28"/>
      <c r="H2804" s="28"/>
    </row>
    <row r="2805" spans="4:8" x14ac:dyDescent="0.25">
      <c r="D2805" s="28"/>
      <c r="F2805" s="28"/>
      <c r="H2805" s="28"/>
    </row>
    <row r="2806" spans="4:8" x14ac:dyDescent="0.25">
      <c r="D2806" s="28"/>
      <c r="F2806" s="28"/>
      <c r="H2806" s="28"/>
    </row>
    <row r="2807" spans="4:8" x14ac:dyDescent="0.25">
      <c r="D2807" s="28"/>
      <c r="F2807" s="28"/>
      <c r="H2807" s="28"/>
    </row>
    <row r="2808" spans="4:8" x14ac:dyDescent="0.25">
      <c r="D2808" s="28"/>
      <c r="F2808" s="28"/>
      <c r="H2808" s="28"/>
    </row>
    <row r="2809" spans="4:8" x14ac:dyDescent="0.25">
      <c r="D2809" s="28"/>
      <c r="F2809" s="28"/>
      <c r="H2809" s="28"/>
    </row>
    <row r="2810" spans="4:8" x14ac:dyDescent="0.25">
      <c r="D2810" s="28"/>
      <c r="F2810" s="28"/>
      <c r="H2810" s="28"/>
    </row>
    <row r="2811" spans="4:8" x14ac:dyDescent="0.25">
      <c r="D2811" s="28"/>
      <c r="F2811" s="28"/>
      <c r="H2811" s="28"/>
    </row>
    <row r="2812" spans="4:8" x14ac:dyDescent="0.25">
      <c r="D2812" s="28"/>
      <c r="F2812" s="28"/>
      <c r="H2812" s="28"/>
    </row>
    <row r="2813" spans="4:8" x14ac:dyDescent="0.25">
      <c r="D2813" s="28"/>
      <c r="F2813" s="28"/>
      <c r="H2813" s="28"/>
    </row>
    <row r="2814" spans="4:8" x14ac:dyDescent="0.25">
      <c r="D2814" s="28"/>
      <c r="F2814" s="28"/>
      <c r="H2814" s="28"/>
    </row>
    <row r="2815" spans="4:8" x14ac:dyDescent="0.25">
      <c r="D2815" s="28"/>
      <c r="F2815" s="28"/>
      <c r="H2815" s="28"/>
    </row>
    <row r="2816" spans="4:8" x14ac:dyDescent="0.25">
      <c r="D2816" s="28"/>
      <c r="F2816" s="28"/>
      <c r="H2816" s="28"/>
    </row>
    <row r="2817" spans="4:8" x14ac:dyDescent="0.25">
      <c r="D2817" s="28"/>
      <c r="F2817" s="28"/>
      <c r="H2817" s="28"/>
    </row>
    <row r="2818" spans="4:8" x14ac:dyDescent="0.25">
      <c r="D2818" s="28"/>
      <c r="F2818" s="28"/>
      <c r="H2818" s="28"/>
    </row>
    <row r="2819" spans="4:8" x14ac:dyDescent="0.25">
      <c r="D2819" s="28"/>
      <c r="F2819" s="28"/>
      <c r="H2819" s="28"/>
    </row>
    <row r="2820" spans="4:8" x14ac:dyDescent="0.25">
      <c r="D2820" s="28"/>
      <c r="F2820" s="28"/>
      <c r="H2820" s="28"/>
    </row>
    <row r="2821" spans="4:8" x14ac:dyDescent="0.25">
      <c r="D2821" s="28"/>
      <c r="F2821" s="28"/>
      <c r="H2821" s="28"/>
    </row>
    <row r="2822" spans="4:8" x14ac:dyDescent="0.25">
      <c r="D2822" s="28"/>
      <c r="F2822" s="28"/>
      <c r="H2822" s="28"/>
    </row>
    <row r="2823" spans="4:8" x14ac:dyDescent="0.25">
      <c r="D2823" s="28"/>
      <c r="F2823" s="28"/>
      <c r="H2823" s="28"/>
    </row>
    <row r="2824" spans="4:8" x14ac:dyDescent="0.25">
      <c r="D2824" s="28"/>
      <c r="F2824" s="28"/>
      <c r="H2824" s="28"/>
    </row>
    <row r="2825" spans="4:8" x14ac:dyDescent="0.25">
      <c r="D2825" s="28"/>
      <c r="F2825" s="28"/>
      <c r="H2825" s="28"/>
    </row>
    <row r="2826" spans="4:8" x14ac:dyDescent="0.25">
      <c r="D2826" s="28"/>
      <c r="F2826" s="28"/>
      <c r="H2826" s="28"/>
    </row>
    <row r="2827" spans="4:8" x14ac:dyDescent="0.25">
      <c r="D2827" s="28"/>
      <c r="F2827" s="28"/>
      <c r="H2827" s="28"/>
    </row>
    <row r="2828" spans="4:8" x14ac:dyDescent="0.25">
      <c r="D2828" s="28"/>
      <c r="F2828" s="28"/>
      <c r="H2828" s="28"/>
    </row>
    <row r="2829" spans="4:8" x14ac:dyDescent="0.25">
      <c r="D2829" s="28"/>
      <c r="F2829" s="28"/>
      <c r="H2829" s="28"/>
    </row>
    <row r="2830" spans="4:8" x14ac:dyDescent="0.25">
      <c r="D2830" s="28"/>
      <c r="F2830" s="28"/>
      <c r="H2830" s="28"/>
    </row>
    <row r="2831" spans="4:8" x14ac:dyDescent="0.25">
      <c r="D2831" s="28"/>
      <c r="F2831" s="28"/>
      <c r="H2831" s="28"/>
    </row>
    <row r="2832" spans="4:8" x14ac:dyDescent="0.25">
      <c r="D2832" s="28"/>
      <c r="F2832" s="28"/>
      <c r="H2832" s="28"/>
    </row>
    <row r="2833" spans="4:8" x14ac:dyDescent="0.25">
      <c r="D2833" s="28"/>
      <c r="F2833" s="28"/>
      <c r="H2833" s="28"/>
    </row>
    <row r="2834" spans="4:8" x14ac:dyDescent="0.25">
      <c r="D2834" s="28"/>
      <c r="F2834" s="28"/>
      <c r="H2834" s="28"/>
    </row>
    <row r="2835" spans="4:8" x14ac:dyDescent="0.25">
      <c r="D2835" s="28"/>
      <c r="F2835" s="28"/>
      <c r="H2835" s="28"/>
    </row>
    <row r="2836" spans="4:8" x14ac:dyDescent="0.25">
      <c r="D2836" s="28"/>
      <c r="F2836" s="28"/>
      <c r="H2836" s="28"/>
    </row>
    <row r="2837" spans="4:8" x14ac:dyDescent="0.25">
      <c r="D2837" s="28"/>
      <c r="F2837" s="28"/>
      <c r="H2837" s="28"/>
    </row>
    <row r="2838" spans="4:8" x14ac:dyDescent="0.25">
      <c r="D2838" s="28"/>
      <c r="F2838" s="28"/>
      <c r="H2838" s="28"/>
    </row>
    <row r="2839" spans="4:8" x14ac:dyDescent="0.25">
      <c r="D2839" s="28"/>
      <c r="F2839" s="28"/>
      <c r="H2839" s="28"/>
    </row>
    <row r="2840" spans="4:8" x14ac:dyDescent="0.25">
      <c r="D2840" s="28"/>
      <c r="F2840" s="28"/>
      <c r="H2840" s="28"/>
    </row>
    <row r="2841" spans="4:8" x14ac:dyDescent="0.25">
      <c r="D2841" s="28"/>
      <c r="F2841" s="28"/>
      <c r="H2841" s="28"/>
    </row>
    <row r="2842" spans="4:8" x14ac:dyDescent="0.25">
      <c r="D2842" s="28"/>
      <c r="F2842" s="28"/>
      <c r="H2842" s="28"/>
    </row>
    <row r="2843" spans="4:8" x14ac:dyDescent="0.25">
      <c r="D2843" s="28"/>
      <c r="F2843" s="28"/>
      <c r="H2843" s="28"/>
    </row>
    <row r="2844" spans="4:8" x14ac:dyDescent="0.25">
      <c r="D2844" s="28"/>
      <c r="F2844" s="28"/>
      <c r="H2844" s="28"/>
    </row>
    <row r="2845" spans="4:8" x14ac:dyDescent="0.25">
      <c r="D2845" s="28"/>
      <c r="F2845" s="28"/>
      <c r="H2845" s="28"/>
    </row>
    <row r="2846" spans="4:8" x14ac:dyDescent="0.25">
      <c r="D2846" s="28"/>
      <c r="F2846" s="28"/>
      <c r="H2846" s="28"/>
    </row>
    <row r="2847" spans="4:8" x14ac:dyDescent="0.25">
      <c r="D2847" s="28"/>
      <c r="F2847" s="28"/>
      <c r="H2847" s="28"/>
    </row>
    <row r="2848" spans="4:8" x14ac:dyDescent="0.25">
      <c r="D2848" s="28"/>
      <c r="F2848" s="28"/>
      <c r="H2848" s="28"/>
    </row>
    <row r="2849" spans="4:8" x14ac:dyDescent="0.25">
      <c r="D2849" s="28"/>
      <c r="F2849" s="28"/>
      <c r="H2849" s="28"/>
    </row>
    <row r="2850" spans="4:8" x14ac:dyDescent="0.25">
      <c r="D2850" s="28"/>
      <c r="F2850" s="28"/>
      <c r="H2850" s="28"/>
    </row>
    <row r="2851" spans="4:8" x14ac:dyDescent="0.25">
      <c r="D2851" s="28"/>
      <c r="F2851" s="28"/>
      <c r="H2851" s="28"/>
    </row>
    <row r="2852" spans="4:8" x14ac:dyDescent="0.25">
      <c r="D2852" s="28"/>
      <c r="F2852" s="28"/>
      <c r="H2852" s="28"/>
    </row>
    <row r="2853" spans="4:8" x14ac:dyDescent="0.25">
      <c r="D2853" s="28"/>
      <c r="F2853" s="28"/>
      <c r="H2853" s="28"/>
    </row>
    <row r="2854" spans="4:8" x14ac:dyDescent="0.25">
      <c r="D2854" s="28"/>
      <c r="F2854" s="28"/>
      <c r="H2854" s="28"/>
    </row>
    <row r="2855" spans="4:8" x14ac:dyDescent="0.25">
      <c r="D2855" s="28"/>
      <c r="F2855" s="28"/>
      <c r="H2855" s="28"/>
    </row>
    <row r="2856" spans="4:8" x14ac:dyDescent="0.25">
      <c r="D2856" s="28"/>
      <c r="F2856" s="28"/>
      <c r="H2856" s="28"/>
    </row>
    <row r="2857" spans="4:8" x14ac:dyDescent="0.25">
      <c r="D2857" s="28"/>
      <c r="F2857" s="28"/>
      <c r="H2857" s="28"/>
    </row>
    <row r="2858" spans="4:8" x14ac:dyDescent="0.25">
      <c r="D2858" s="28"/>
      <c r="F2858" s="28"/>
      <c r="H2858" s="28"/>
    </row>
    <row r="2859" spans="4:8" x14ac:dyDescent="0.25">
      <c r="D2859" s="28"/>
      <c r="F2859" s="28"/>
      <c r="H2859" s="28"/>
    </row>
    <row r="2860" spans="4:8" x14ac:dyDescent="0.25">
      <c r="D2860" s="28"/>
      <c r="F2860" s="28"/>
      <c r="H2860" s="28"/>
    </row>
    <row r="2861" spans="4:8" x14ac:dyDescent="0.25">
      <c r="D2861" s="28"/>
      <c r="F2861" s="28"/>
      <c r="H2861" s="28"/>
    </row>
    <row r="2862" spans="4:8" x14ac:dyDescent="0.25">
      <c r="D2862" s="28"/>
      <c r="F2862" s="28"/>
      <c r="H2862" s="28"/>
    </row>
    <row r="2863" spans="4:8" x14ac:dyDescent="0.25">
      <c r="D2863" s="28"/>
      <c r="F2863" s="28"/>
      <c r="H2863" s="28"/>
    </row>
    <row r="2864" spans="4:8" x14ac:dyDescent="0.25">
      <c r="D2864" s="28"/>
      <c r="F2864" s="28"/>
      <c r="H2864" s="28"/>
    </row>
    <row r="2865" spans="4:8" x14ac:dyDescent="0.25">
      <c r="D2865" s="28"/>
      <c r="F2865" s="28"/>
      <c r="H2865" s="28"/>
    </row>
    <row r="2866" spans="4:8" x14ac:dyDescent="0.25">
      <c r="D2866" s="28"/>
      <c r="F2866" s="28"/>
      <c r="H2866" s="28"/>
    </row>
    <row r="2867" spans="4:8" x14ac:dyDescent="0.25">
      <c r="D2867" s="28"/>
      <c r="F2867" s="28"/>
      <c r="H2867" s="28"/>
    </row>
    <row r="2868" spans="4:8" x14ac:dyDescent="0.25">
      <c r="D2868" s="28"/>
      <c r="F2868" s="28"/>
      <c r="H2868" s="28"/>
    </row>
    <row r="2869" spans="4:8" x14ac:dyDescent="0.25">
      <c r="D2869" s="28"/>
      <c r="F2869" s="28"/>
      <c r="H2869" s="28"/>
    </row>
    <row r="2870" spans="4:8" x14ac:dyDescent="0.25">
      <c r="D2870" s="28"/>
      <c r="F2870" s="28"/>
      <c r="H2870" s="28"/>
    </row>
    <row r="2871" spans="4:8" x14ac:dyDescent="0.25">
      <c r="D2871" s="28"/>
      <c r="F2871" s="28"/>
      <c r="H2871" s="28"/>
    </row>
    <row r="2872" spans="4:8" x14ac:dyDescent="0.25">
      <c r="D2872" s="28"/>
      <c r="F2872" s="28"/>
      <c r="H2872" s="28"/>
    </row>
    <row r="2873" spans="4:8" x14ac:dyDescent="0.25">
      <c r="D2873" s="28"/>
      <c r="F2873" s="28"/>
      <c r="H2873" s="28"/>
    </row>
    <row r="2874" spans="4:8" x14ac:dyDescent="0.25">
      <c r="D2874" s="28"/>
      <c r="F2874" s="28"/>
      <c r="H2874" s="28"/>
    </row>
    <row r="2875" spans="4:8" x14ac:dyDescent="0.25">
      <c r="D2875" s="28"/>
      <c r="F2875" s="28"/>
      <c r="H2875" s="28"/>
    </row>
    <row r="2876" spans="4:8" x14ac:dyDescent="0.25">
      <c r="D2876" s="28"/>
      <c r="F2876" s="28"/>
      <c r="H2876" s="28"/>
    </row>
    <row r="2877" spans="4:8" x14ac:dyDescent="0.25">
      <c r="D2877" s="28"/>
      <c r="F2877" s="28"/>
      <c r="H2877" s="28"/>
    </row>
    <row r="2878" spans="4:8" x14ac:dyDescent="0.25">
      <c r="D2878" s="28"/>
      <c r="F2878" s="28"/>
      <c r="H2878" s="28"/>
    </row>
    <row r="2879" spans="4:8" x14ac:dyDescent="0.25">
      <c r="D2879" s="28"/>
      <c r="F2879" s="28"/>
      <c r="H2879" s="28"/>
    </row>
    <row r="2880" spans="4:8" x14ac:dyDescent="0.25">
      <c r="D2880" s="28"/>
      <c r="F2880" s="28"/>
      <c r="H2880" s="28"/>
    </row>
    <row r="2881" spans="4:8" x14ac:dyDescent="0.25">
      <c r="D2881" s="28"/>
      <c r="F2881" s="28"/>
      <c r="H2881" s="28"/>
    </row>
    <row r="2882" spans="4:8" x14ac:dyDescent="0.25">
      <c r="D2882" s="28"/>
      <c r="F2882" s="28"/>
      <c r="H2882" s="28"/>
    </row>
    <row r="2883" spans="4:8" x14ac:dyDescent="0.25">
      <c r="D2883" s="28"/>
      <c r="F2883" s="28"/>
      <c r="H2883" s="28"/>
    </row>
    <row r="2884" spans="4:8" x14ac:dyDescent="0.25">
      <c r="D2884" s="28"/>
      <c r="F2884" s="28"/>
      <c r="H2884" s="28"/>
    </row>
    <row r="2885" spans="4:8" x14ac:dyDescent="0.25">
      <c r="D2885" s="28"/>
      <c r="F2885" s="28"/>
      <c r="H2885" s="28"/>
    </row>
    <row r="2886" spans="4:8" x14ac:dyDescent="0.25">
      <c r="D2886" s="28"/>
      <c r="F2886" s="28"/>
      <c r="H2886" s="28"/>
    </row>
    <row r="2887" spans="4:8" x14ac:dyDescent="0.25">
      <c r="D2887" s="28"/>
      <c r="F2887" s="28"/>
      <c r="H2887" s="28"/>
    </row>
    <row r="2888" spans="4:8" x14ac:dyDescent="0.25">
      <c r="D2888" s="28"/>
      <c r="F2888" s="28"/>
      <c r="H2888" s="28"/>
    </row>
    <row r="2889" spans="4:8" x14ac:dyDescent="0.25">
      <c r="D2889" s="28"/>
      <c r="F2889" s="28"/>
      <c r="H2889" s="28"/>
    </row>
    <row r="2890" spans="4:8" x14ac:dyDescent="0.25">
      <c r="D2890" s="28"/>
      <c r="F2890" s="28"/>
      <c r="H2890" s="28"/>
    </row>
    <row r="2891" spans="4:8" x14ac:dyDescent="0.25">
      <c r="D2891" s="28"/>
      <c r="F2891" s="28"/>
      <c r="H2891" s="28"/>
    </row>
    <row r="2892" spans="4:8" x14ac:dyDescent="0.25">
      <c r="D2892" s="28"/>
      <c r="F2892" s="28"/>
      <c r="H2892" s="28"/>
    </row>
    <row r="2893" spans="4:8" x14ac:dyDescent="0.25">
      <c r="D2893" s="28"/>
      <c r="F2893" s="28"/>
      <c r="H2893" s="28"/>
    </row>
    <row r="2894" spans="4:8" x14ac:dyDescent="0.25">
      <c r="D2894" s="28"/>
      <c r="F2894" s="28"/>
      <c r="H2894" s="28"/>
    </row>
    <row r="2895" spans="4:8" x14ac:dyDescent="0.25">
      <c r="D2895" s="28"/>
      <c r="F2895" s="28"/>
      <c r="H2895" s="28"/>
    </row>
    <row r="2896" spans="4:8" x14ac:dyDescent="0.25">
      <c r="D2896" s="28"/>
      <c r="F2896" s="28"/>
      <c r="H2896" s="28"/>
    </row>
    <row r="2897" spans="4:8" x14ac:dyDescent="0.25">
      <c r="D2897" s="28"/>
      <c r="F2897" s="28"/>
      <c r="H2897" s="28"/>
    </row>
    <row r="2898" spans="4:8" x14ac:dyDescent="0.25">
      <c r="D2898" s="28"/>
      <c r="F2898" s="28"/>
      <c r="H2898" s="28"/>
    </row>
    <row r="2899" spans="4:8" x14ac:dyDescent="0.25">
      <c r="D2899" s="28"/>
      <c r="F2899" s="28"/>
      <c r="H2899" s="28"/>
    </row>
    <row r="2900" spans="4:8" x14ac:dyDescent="0.25">
      <c r="D2900" s="28"/>
      <c r="F2900" s="28"/>
      <c r="H2900" s="28"/>
    </row>
    <row r="2901" spans="4:8" x14ac:dyDescent="0.25">
      <c r="D2901" s="28"/>
      <c r="F2901" s="28"/>
      <c r="H2901" s="28"/>
    </row>
    <row r="2902" spans="4:8" x14ac:dyDescent="0.25">
      <c r="D2902" s="28"/>
      <c r="F2902" s="28"/>
      <c r="H2902" s="28"/>
    </row>
    <row r="2903" spans="4:8" x14ac:dyDescent="0.25">
      <c r="D2903" s="28"/>
      <c r="F2903" s="28"/>
      <c r="H2903" s="28"/>
    </row>
    <row r="2904" spans="4:8" x14ac:dyDescent="0.25">
      <c r="D2904" s="28"/>
      <c r="F2904" s="28"/>
      <c r="H2904" s="28"/>
    </row>
    <row r="2905" spans="4:8" x14ac:dyDescent="0.25">
      <c r="D2905" s="28"/>
      <c r="F2905" s="28"/>
      <c r="H2905" s="28"/>
    </row>
    <row r="2906" spans="4:8" x14ac:dyDescent="0.25">
      <c r="D2906" s="28"/>
      <c r="F2906" s="28"/>
      <c r="H2906" s="28"/>
    </row>
    <row r="2907" spans="4:8" x14ac:dyDescent="0.25">
      <c r="D2907" s="28"/>
      <c r="F2907" s="28"/>
      <c r="H2907" s="28"/>
    </row>
    <row r="2908" spans="4:8" x14ac:dyDescent="0.25">
      <c r="D2908" s="28"/>
      <c r="F2908" s="28"/>
      <c r="H2908" s="28"/>
    </row>
    <row r="2909" spans="4:8" x14ac:dyDescent="0.25">
      <c r="D2909" s="28"/>
      <c r="F2909" s="28"/>
      <c r="H2909" s="28"/>
    </row>
    <row r="2910" spans="4:8" x14ac:dyDescent="0.25">
      <c r="D2910" s="28"/>
      <c r="F2910" s="28"/>
      <c r="H2910" s="28"/>
    </row>
    <row r="2911" spans="4:8" x14ac:dyDescent="0.25">
      <c r="D2911" s="28"/>
      <c r="F2911" s="28"/>
      <c r="H2911" s="28"/>
    </row>
    <row r="2912" spans="4:8" x14ac:dyDescent="0.25">
      <c r="D2912" s="28"/>
      <c r="F2912" s="28"/>
      <c r="H2912" s="28"/>
    </row>
    <row r="2913" spans="4:8" x14ac:dyDescent="0.25">
      <c r="D2913" s="28"/>
      <c r="F2913" s="28"/>
      <c r="H2913" s="28"/>
    </row>
    <row r="2914" spans="4:8" x14ac:dyDescent="0.25">
      <c r="D2914" s="28"/>
      <c r="F2914" s="28"/>
      <c r="H2914" s="28"/>
    </row>
    <row r="2915" spans="4:8" x14ac:dyDescent="0.25">
      <c r="D2915" s="28"/>
      <c r="F2915" s="28"/>
      <c r="H2915" s="28"/>
    </row>
    <row r="2916" spans="4:8" x14ac:dyDescent="0.25">
      <c r="D2916" s="28"/>
      <c r="F2916" s="28"/>
      <c r="H2916" s="28"/>
    </row>
    <row r="2917" spans="4:8" x14ac:dyDescent="0.25">
      <c r="D2917" s="28"/>
      <c r="F2917" s="28"/>
      <c r="H2917" s="28"/>
    </row>
    <row r="2918" spans="4:8" x14ac:dyDescent="0.25">
      <c r="D2918" s="28"/>
      <c r="F2918" s="28"/>
      <c r="H2918" s="28"/>
    </row>
    <row r="2919" spans="4:8" x14ac:dyDescent="0.25">
      <c r="D2919" s="28"/>
      <c r="F2919" s="28"/>
      <c r="H2919" s="28"/>
    </row>
    <row r="2920" spans="4:8" x14ac:dyDescent="0.25">
      <c r="D2920" s="28"/>
      <c r="F2920" s="28"/>
      <c r="H2920" s="28"/>
    </row>
    <row r="2921" spans="4:8" x14ac:dyDescent="0.25">
      <c r="D2921" s="28"/>
      <c r="F2921" s="28"/>
      <c r="H2921" s="28"/>
    </row>
    <row r="2922" spans="4:8" x14ac:dyDescent="0.25">
      <c r="D2922" s="28"/>
      <c r="F2922" s="28"/>
      <c r="H2922" s="28"/>
    </row>
    <row r="2923" spans="4:8" x14ac:dyDescent="0.25">
      <c r="D2923" s="28"/>
      <c r="F2923" s="28"/>
      <c r="H2923" s="28"/>
    </row>
    <row r="2924" spans="4:8" x14ac:dyDescent="0.25">
      <c r="D2924" s="28"/>
      <c r="F2924" s="28"/>
      <c r="H2924" s="28"/>
    </row>
    <row r="2925" spans="4:8" x14ac:dyDescent="0.25">
      <c r="D2925" s="28"/>
      <c r="F2925" s="28"/>
      <c r="H2925" s="28"/>
    </row>
    <row r="2926" spans="4:8" x14ac:dyDescent="0.25">
      <c r="D2926" s="28"/>
      <c r="F2926" s="28"/>
      <c r="H2926" s="28"/>
    </row>
    <row r="2927" spans="4:8" x14ac:dyDescent="0.25">
      <c r="D2927" s="28"/>
      <c r="F2927" s="28"/>
      <c r="H2927" s="28"/>
    </row>
    <row r="2928" spans="4:8" x14ac:dyDescent="0.25">
      <c r="D2928" s="28"/>
      <c r="F2928" s="28"/>
      <c r="H2928" s="28"/>
    </row>
    <row r="2929" spans="4:8" x14ac:dyDescent="0.25">
      <c r="D2929" s="28"/>
      <c r="F2929" s="28"/>
      <c r="H2929" s="28"/>
    </row>
    <row r="2930" spans="4:8" x14ac:dyDescent="0.25">
      <c r="D2930" s="28"/>
      <c r="F2930" s="28"/>
      <c r="H2930" s="28"/>
    </row>
    <row r="2931" spans="4:8" x14ac:dyDescent="0.25">
      <c r="D2931" s="28"/>
      <c r="F2931" s="28"/>
      <c r="H2931" s="28"/>
    </row>
    <row r="2932" spans="4:8" x14ac:dyDescent="0.25">
      <c r="D2932" s="28"/>
      <c r="F2932" s="28"/>
      <c r="H2932" s="28"/>
    </row>
    <row r="2933" spans="4:8" x14ac:dyDescent="0.25">
      <c r="D2933" s="28"/>
      <c r="F2933" s="28"/>
      <c r="H2933" s="28"/>
    </row>
    <row r="2934" spans="4:8" x14ac:dyDescent="0.25">
      <c r="D2934" s="28"/>
      <c r="F2934" s="28"/>
      <c r="H2934" s="28"/>
    </row>
    <row r="2935" spans="4:8" x14ac:dyDescent="0.25">
      <c r="D2935" s="28"/>
      <c r="F2935" s="28"/>
      <c r="H2935" s="28"/>
    </row>
    <row r="2936" spans="4:8" x14ac:dyDescent="0.25">
      <c r="D2936" s="28"/>
      <c r="F2936" s="28"/>
      <c r="H2936" s="28"/>
    </row>
    <row r="2937" spans="4:8" x14ac:dyDescent="0.25">
      <c r="D2937" s="28"/>
      <c r="F2937" s="28"/>
      <c r="H2937" s="28"/>
    </row>
    <row r="2938" spans="4:8" x14ac:dyDescent="0.25">
      <c r="D2938" s="28"/>
      <c r="F2938" s="28"/>
      <c r="H2938" s="28"/>
    </row>
    <row r="2939" spans="4:8" x14ac:dyDescent="0.25">
      <c r="D2939" s="28"/>
      <c r="F2939" s="28"/>
      <c r="H2939" s="28"/>
    </row>
    <row r="2940" spans="4:8" x14ac:dyDescent="0.25">
      <c r="D2940" s="28"/>
      <c r="F2940" s="28"/>
      <c r="H2940" s="28"/>
    </row>
    <row r="2941" spans="4:8" x14ac:dyDescent="0.25">
      <c r="D2941" s="28"/>
      <c r="F2941" s="28"/>
      <c r="H2941" s="28"/>
    </row>
    <row r="2942" spans="4:8" x14ac:dyDescent="0.25">
      <c r="D2942" s="28"/>
      <c r="F2942" s="28"/>
      <c r="H2942" s="28"/>
    </row>
    <row r="2943" spans="4:8" x14ac:dyDescent="0.25">
      <c r="D2943" s="28"/>
      <c r="F2943" s="28"/>
      <c r="H2943" s="28"/>
    </row>
    <row r="2944" spans="4:8" x14ac:dyDescent="0.25">
      <c r="D2944" s="28"/>
      <c r="F2944" s="28"/>
      <c r="H2944" s="28"/>
    </row>
    <row r="2945" spans="4:8" x14ac:dyDescent="0.25">
      <c r="D2945" s="28"/>
      <c r="F2945" s="28"/>
      <c r="H2945" s="28"/>
    </row>
    <row r="2946" spans="4:8" x14ac:dyDescent="0.25">
      <c r="D2946" s="28"/>
      <c r="F2946" s="28"/>
      <c r="H2946" s="28"/>
    </row>
    <row r="2947" spans="4:8" x14ac:dyDescent="0.25">
      <c r="D2947" s="28"/>
      <c r="F2947" s="28"/>
      <c r="H2947" s="28"/>
    </row>
    <row r="2948" spans="4:8" x14ac:dyDescent="0.25">
      <c r="D2948" s="28"/>
      <c r="F2948" s="28"/>
      <c r="H2948" s="28"/>
    </row>
    <row r="2949" spans="4:8" x14ac:dyDescent="0.25">
      <c r="D2949" s="28"/>
      <c r="F2949" s="28"/>
      <c r="H2949" s="28"/>
    </row>
    <row r="2950" spans="4:8" x14ac:dyDescent="0.25">
      <c r="D2950" s="28"/>
      <c r="F2950" s="28"/>
      <c r="H2950" s="28"/>
    </row>
    <row r="2951" spans="4:8" x14ac:dyDescent="0.25">
      <c r="D2951" s="28"/>
      <c r="F2951" s="28"/>
      <c r="H2951" s="28"/>
    </row>
    <row r="2952" spans="4:8" x14ac:dyDescent="0.25">
      <c r="D2952" s="28"/>
      <c r="F2952" s="28"/>
      <c r="H2952" s="28"/>
    </row>
    <row r="2953" spans="4:8" x14ac:dyDescent="0.25">
      <c r="D2953" s="28"/>
      <c r="F2953" s="28"/>
      <c r="H2953" s="28"/>
    </row>
    <row r="2954" spans="4:8" x14ac:dyDescent="0.25">
      <c r="D2954" s="28"/>
      <c r="F2954" s="28"/>
      <c r="H2954" s="28"/>
    </row>
    <row r="2955" spans="4:8" x14ac:dyDescent="0.25">
      <c r="D2955" s="28"/>
      <c r="F2955" s="28"/>
      <c r="H2955" s="28"/>
    </row>
    <row r="2956" spans="4:8" x14ac:dyDescent="0.25">
      <c r="D2956" s="28"/>
      <c r="F2956" s="28"/>
      <c r="H2956" s="28"/>
    </row>
    <row r="2957" spans="4:8" x14ac:dyDescent="0.25">
      <c r="D2957" s="28"/>
      <c r="F2957" s="28"/>
      <c r="H2957" s="28"/>
    </row>
    <row r="2958" spans="4:8" x14ac:dyDescent="0.25">
      <c r="D2958" s="28"/>
      <c r="F2958" s="28"/>
      <c r="H2958" s="28"/>
    </row>
    <row r="2959" spans="4:8" x14ac:dyDescent="0.25">
      <c r="D2959" s="28"/>
      <c r="F2959" s="28"/>
      <c r="H2959" s="28"/>
    </row>
    <row r="2960" spans="4:8" x14ac:dyDescent="0.25">
      <c r="D2960" s="28"/>
      <c r="F2960" s="28"/>
      <c r="H2960" s="28"/>
    </row>
    <row r="2961" spans="4:8" x14ac:dyDescent="0.25">
      <c r="D2961" s="28"/>
      <c r="F2961" s="28"/>
      <c r="H2961" s="28"/>
    </row>
    <row r="2962" spans="4:8" x14ac:dyDescent="0.25">
      <c r="D2962" s="28"/>
      <c r="F2962" s="28"/>
      <c r="H2962" s="28"/>
    </row>
    <row r="2963" spans="4:8" x14ac:dyDescent="0.25">
      <c r="D2963" s="28"/>
      <c r="F2963" s="28"/>
      <c r="H2963" s="28"/>
    </row>
    <row r="2964" spans="4:8" x14ac:dyDescent="0.25">
      <c r="D2964" s="28"/>
      <c r="F2964" s="28"/>
      <c r="H2964" s="28"/>
    </row>
    <row r="2965" spans="4:8" x14ac:dyDescent="0.25">
      <c r="D2965" s="28"/>
      <c r="F2965" s="28"/>
      <c r="H2965" s="28"/>
    </row>
    <row r="2966" spans="4:8" x14ac:dyDescent="0.25">
      <c r="D2966" s="28"/>
      <c r="F2966" s="28"/>
      <c r="H2966" s="28"/>
    </row>
    <row r="2967" spans="4:8" x14ac:dyDescent="0.25">
      <c r="D2967" s="28"/>
      <c r="F2967" s="28"/>
      <c r="H2967" s="28"/>
    </row>
    <row r="2968" spans="4:8" x14ac:dyDescent="0.25">
      <c r="D2968" s="28"/>
      <c r="F2968" s="28"/>
      <c r="H2968" s="28"/>
    </row>
    <row r="2969" spans="4:8" x14ac:dyDescent="0.25">
      <c r="D2969" s="28"/>
      <c r="F2969" s="28"/>
      <c r="H2969" s="28"/>
    </row>
    <row r="2970" spans="4:8" x14ac:dyDescent="0.25">
      <c r="D2970" s="28"/>
      <c r="F2970" s="28"/>
      <c r="H2970" s="28"/>
    </row>
    <row r="2971" spans="4:8" x14ac:dyDescent="0.25">
      <c r="D2971" s="28"/>
      <c r="F2971" s="28"/>
      <c r="H2971" s="28"/>
    </row>
    <row r="2972" spans="4:8" x14ac:dyDescent="0.25">
      <c r="D2972" s="28"/>
      <c r="F2972" s="28"/>
      <c r="H2972" s="28"/>
    </row>
    <row r="2973" spans="4:8" x14ac:dyDescent="0.25">
      <c r="D2973" s="28"/>
      <c r="F2973" s="28"/>
      <c r="H2973" s="28"/>
    </row>
    <row r="2974" spans="4:8" x14ac:dyDescent="0.25">
      <c r="D2974" s="28"/>
      <c r="F2974" s="28"/>
      <c r="H2974" s="28"/>
    </row>
    <row r="2975" spans="4:8" x14ac:dyDescent="0.25">
      <c r="D2975" s="28"/>
      <c r="F2975" s="28"/>
      <c r="H2975" s="28"/>
    </row>
    <row r="2976" spans="4:8" x14ac:dyDescent="0.25">
      <c r="D2976" s="28"/>
      <c r="F2976" s="28"/>
      <c r="H2976" s="28"/>
    </row>
    <row r="2977" spans="4:8" x14ac:dyDescent="0.25">
      <c r="D2977" s="28"/>
      <c r="F2977" s="28"/>
      <c r="H2977" s="28"/>
    </row>
    <row r="2978" spans="4:8" x14ac:dyDescent="0.25">
      <c r="D2978" s="28"/>
      <c r="F2978" s="28"/>
      <c r="H2978" s="28"/>
    </row>
    <row r="2979" spans="4:8" x14ac:dyDescent="0.25">
      <c r="D2979" s="28"/>
      <c r="F2979" s="28"/>
      <c r="H2979" s="28"/>
    </row>
    <row r="2980" spans="4:8" x14ac:dyDescent="0.25">
      <c r="D2980" s="28"/>
      <c r="F2980" s="28"/>
      <c r="H2980" s="28"/>
    </row>
    <row r="2981" spans="4:8" x14ac:dyDescent="0.25">
      <c r="D2981" s="28"/>
      <c r="F2981" s="28"/>
      <c r="H2981" s="28"/>
    </row>
    <row r="2982" spans="4:8" x14ac:dyDescent="0.25">
      <c r="D2982" s="28"/>
      <c r="F2982" s="28"/>
      <c r="H2982" s="28"/>
    </row>
    <row r="2983" spans="4:8" x14ac:dyDescent="0.25">
      <c r="D2983" s="28"/>
      <c r="F2983" s="28"/>
      <c r="H2983" s="28"/>
    </row>
    <row r="2984" spans="4:8" x14ac:dyDescent="0.25">
      <c r="D2984" s="28"/>
      <c r="F2984" s="28"/>
      <c r="H2984" s="28"/>
    </row>
    <row r="2985" spans="4:8" x14ac:dyDescent="0.25">
      <c r="D2985" s="28"/>
      <c r="F2985" s="28"/>
      <c r="H2985" s="28"/>
    </row>
    <row r="2986" spans="4:8" x14ac:dyDescent="0.25">
      <c r="D2986" s="28"/>
      <c r="F2986" s="28"/>
      <c r="H2986" s="28"/>
    </row>
    <row r="2987" spans="4:8" x14ac:dyDescent="0.25">
      <c r="D2987" s="28"/>
      <c r="F2987" s="28"/>
      <c r="H2987" s="28"/>
    </row>
    <row r="2988" spans="4:8" x14ac:dyDescent="0.25">
      <c r="D2988" s="28"/>
      <c r="F2988" s="28"/>
      <c r="H2988" s="28"/>
    </row>
    <row r="2989" spans="4:8" x14ac:dyDescent="0.25">
      <c r="D2989" s="28"/>
      <c r="F2989" s="28"/>
      <c r="H2989" s="28"/>
    </row>
    <row r="2990" spans="4:8" x14ac:dyDescent="0.25">
      <c r="D2990" s="28"/>
      <c r="F2990" s="28"/>
      <c r="H2990" s="28"/>
    </row>
    <row r="2991" spans="4:8" x14ac:dyDescent="0.25">
      <c r="D2991" s="28"/>
      <c r="F2991" s="28"/>
      <c r="H2991" s="28"/>
    </row>
    <row r="2992" spans="4:8" x14ac:dyDescent="0.25">
      <c r="D2992" s="28"/>
      <c r="F2992" s="28"/>
      <c r="H2992" s="28"/>
    </row>
    <row r="2993" spans="4:8" x14ac:dyDescent="0.25">
      <c r="D2993" s="28"/>
      <c r="F2993" s="28"/>
      <c r="H2993" s="28"/>
    </row>
    <row r="2994" spans="4:8" x14ac:dyDescent="0.25">
      <c r="D2994" s="28"/>
      <c r="F2994" s="28"/>
      <c r="H2994" s="28"/>
    </row>
    <row r="2995" spans="4:8" x14ac:dyDescent="0.25">
      <c r="D2995" s="28"/>
      <c r="F2995" s="28"/>
      <c r="H2995" s="28"/>
    </row>
    <row r="2996" spans="4:8" x14ac:dyDescent="0.25">
      <c r="D2996" s="28"/>
      <c r="F2996" s="28"/>
      <c r="H2996" s="28"/>
    </row>
    <row r="2997" spans="4:8" x14ac:dyDescent="0.25">
      <c r="D2997" s="28"/>
      <c r="F2997" s="28"/>
      <c r="H2997" s="28"/>
    </row>
    <row r="2998" spans="4:8" x14ac:dyDescent="0.25">
      <c r="D2998" s="28"/>
      <c r="F2998" s="28"/>
      <c r="H2998" s="28"/>
    </row>
    <row r="2999" spans="4:8" x14ac:dyDescent="0.25">
      <c r="D2999" s="28"/>
      <c r="F2999" s="28"/>
      <c r="H2999" s="28"/>
    </row>
    <row r="3000" spans="4:8" x14ac:dyDescent="0.25">
      <c r="D3000" s="28"/>
      <c r="F3000" s="28"/>
      <c r="H3000" s="28"/>
    </row>
    <row r="3001" spans="4:8" x14ac:dyDescent="0.25">
      <c r="D3001" s="28"/>
      <c r="F3001" s="28"/>
      <c r="H3001" s="28"/>
    </row>
    <row r="3002" spans="4:8" x14ac:dyDescent="0.25">
      <c r="D3002" s="28"/>
      <c r="F3002" s="28"/>
      <c r="H3002" s="28"/>
    </row>
    <row r="3003" spans="4:8" x14ac:dyDescent="0.25">
      <c r="D3003" s="28"/>
      <c r="F3003" s="28"/>
      <c r="H3003" s="28"/>
    </row>
    <row r="3004" spans="4:8" x14ac:dyDescent="0.25">
      <c r="D3004" s="28"/>
      <c r="F3004" s="28"/>
      <c r="H3004" s="28"/>
    </row>
    <row r="3005" spans="4:8" x14ac:dyDescent="0.25">
      <c r="D3005" s="28"/>
      <c r="F3005" s="28"/>
      <c r="H3005" s="28"/>
    </row>
    <row r="3006" spans="4:8" x14ac:dyDescent="0.25">
      <c r="D3006" s="28"/>
      <c r="F3006" s="28"/>
      <c r="H3006" s="28"/>
    </row>
    <row r="3007" spans="4:8" x14ac:dyDescent="0.25">
      <c r="D3007" s="28"/>
      <c r="F3007" s="28"/>
      <c r="H3007" s="28"/>
    </row>
    <row r="3008" spans="4:8" x14ac:dyDescent="0.25">
      <c r="D3008" s="28"/>
      <c r="F3008" s="28"/>
      <c r="H3008" s="28"/>
    </row>
    <row r="3009" spans="4:8" x14ac:dyDescent="0.25">
      <c r="D3009" s="28"/>
      <c r="F3009" s="28"/>
      <c r="H3009" s="28"/>
    </row>
    <row r="3010" spans="4:8" x14ac:dyDescent="0.25">
      <c r="D3010" s="28"/>
      <c r="F3010" s="28"/>
      <c r="H3010" s="28"/>
    </row>
    <row r="3011" spans="4:8" x14ac:dyDescent="0.25">
      <c r="D3011" s="28"/>
      <c r="F3011" s="28"/>
      <c r="H3011" s="28"/>
    </row>
    <row r="3012" spans="4:8" x14ac:dyDescent="0.25">
      <c r="D3012" s="28"/>
      <c r="F3012" s="28"/>
      <c r="H3012" s="28"/>
    </row>
    <row r="3013" spans="4:8" x14ac:dyDescent="0.25">
      <c r="D3013" s="28"/>
      <c r="F3013" s="28"/>
      <c r="H3013" s="28"/>
    </row>
    <row r="3014" spans="4:8" x14ac:dyDescent="0.25">
      <c r="D3014" s="28"/>
      <c r="F3014" s="28"/>
      <c r="H3014" s="28"/>
    </row>
    <row r="3015" spans="4:8" x14ac:dyDescent="0.25">
      <c r="D3015" s="28"/>
      <c r="F3015" s="28"/>
      <c r="H3015" s="28"/>
    </row>
    <row r="3016" spans="4:8" x14ac:dyDescent="0.25">
      <c r="D3016" s="28"/>
      <c r="F3016" s="28"/>
      <c r="H3016" s="28"/>
    </row>
    <row r="3017" spans="4:8" x14ac:dyDescent="0.25">
      <c r="D3017" s="28"/>
      <c r="F3017" s="28"/>
      <c r="H3017" s="28"/>
    </row>
    <row r="3018" spans="4:8" x14ac:dyDescent="0.25">
      <c r="D3018" s="28"/>
      <c r="F3018" s="28"/>
      <c r="H3018" s="28"/>
    </row>
    <row r="3019" spans="4:8" x14ac:dyDescent="0.25">
      <c r="D3019" s="28"/>
      <c r="F3019" s="28"/>
      <c r="H3019" s="28"/>
    </row>
    <row r="3020" spans="4:8" x14ac:dyDescent="0.25">
      <c r="D3020" s="28"/>
      <c r="F3020" s="28"/>
      <c r="H3020" s="28"/>
    </row>
    <row r="3021" spans="4:8" x14ac:dyDescent="0.25">
      <c r="D3021" s="28"/>
      <c r="F3021" s="28"/>
      <c r="H3021" s="28"/>
    </row>
    <row r="3022" spans="4:8" x14ac:dyDescent="0.25">
      <c r="D3022" s="28"/>
      <c r="F3022" s="28"/>
      <c r="H3022" s="28"/>
    </row>
    <row r="3023" spans="4:8" x14ac:dyDescent="0.25">
      <c r="D3023" s="28"/>
      <c r="F3023" s="28"/>
      <c r="H3023" s="28"/>
    </row>
    <row r="3024" spans="4:8" x14ac:dyDescent="0.25">
      <c r="D3024" s="28"/>
      <c r="F3024" s="28"/>
      <c r="H3024" s="28"/>
    </row>
    <row r="3025" spans="4:8" x14ac:dyDescent="0.25">
      <c r="D3025" s="28"/>
      <c r="F3025" s="28"/>
      <c r="H3025" s="28"/>
    </row>
    <row r="3026" spans="4:8" x14ac:dyDescent="0.25">
      <c r="D3026" s="28"/>
      <c r="F3026" s="28"/>
      <c r="H3026" s="28"/>
    </row>
    <row r="3027" spans="4:8" x14ac:dyDescent="0.25">
      <c r="D3027" s="28"/>
      <c r="F3027" s="28"/>
      <c r="H3027" s="28"/>
    </row>
    <row r="3028" spans="4:8" x14ac:dyDescent="0.25">
      <c r="D3028" s="28"/>
      <c r="F3028" s="28"/>
      <c r="H3028" s="28"/>
    </row>
    <row r="3029" spans="4:8" x14ac:dyDescent="0.25">
      <c r="D3029" s="28"/>
      <c r="F3029" s="28"/>
      <c r="H3029" s="28"/>
    </row>
    <row r="3030" spans="4:8" x14ac:dyDescent="0.25">
      <c r="D3030" s="28"/>
      <c r="F3030" s="28"/>
      <c r="H3030" s="28"/>
    </row>
    <row r="3031" spans="4:8" x14ac:dyDescent="0.25">
      <c r="D3031" s="28"/>
      <c r="F3031" s="28"/>
      <c r="H3031" s="28"/>
    </row>
    <row r="3032" spans="4:8" x14ac:dyDescent="0.25">
      <c r="D3032" s="28"/>
      <c r="F3032" s="28"/>
      <c r="H3032" s="28"/>
    </row>
    <row r="3033" spans="4:8" x14ac:dyDescent="0.25">
      <c r="D3033" s="28"/>
      <c r="F3033" s="28"/>
      <c r="H3033" s="28"/>
    </row>
    <row r="3034" spans="4:8" x14ac:dyDescent="0.25">
      <c r="D3034" s="28"/>
      <c r="F3034" s="28"/>
      <c r="H3034" s="28"/>
    </row>
    <row r="3035" spans="4:8" x14ac:dyDescent="0.25">
      <c r="D3035" s="28"/>
      <c r="F3035" s="28"/>
      <c r="H3035" s="28"/>
    </row>
    <row r="3036" spans="4:8" x14ac:dyDescent="0.25">
      <c r="D3036" s="28"/>
      <c r="F3036" s="28"/>
      <c r="H3036" s="28"/>
    </row>
    <row r="3037" spans="4:8" x14ac:dyDescent="0.25">
      <c r="D3037" s="28"/>
      <c r="F3037" s="28"/>
      <c r="H3037" s="28"/>
    </row>
    <row r="3038" spans="4:8" x14ac:dyDescent="0.25">
      <c r="D3038" s="28"/>
      <c r="F3038" s="28"/>
      <c r="H3038" s="28"/>
    </row>
    <row r="3039" spans="4:8" x14ac:dyDescent="0.25">
      <c r="D3039" s="28"/>
      <c r="F3039" s="28"/>
      <c r="H3039" s="28"/>
    </row>
    <row r="3040" spans="4:8" x14ac:dyDescent="0.25">
      <c r="D3040" s="28"/>
      <c r="F3040" s="28"/>
      <c r="H3040" s="28"/>
    </row>
    <row r="3041" spans="4:8" x14ac:dyDescent="0.25">
      <c r="D3041" s="28"/>
      <c r="F3041" s="28"/>
      <c r="H3041" s="28"/>
    </row>
    <row r="3042" spans="4:8" x14ac:dyDescent="0.25">
      <c r="D3042" s="28"/>
      <c r="F3042" s="28"/>
      <c r="H3042" s="28"/>
    </row>
    <row r="3043" spans="4:8" x14ac:dyDescent="0.25">
      <c r="D3043" s="28"/>
      <c r="F3043" s="28"/>
      <c r="H3043" s="28"/>
    </row>
    <row r="3044" spans="4:8" x14ac:dyDescent="0.25">
      <c r="D3044" s="28"/>
      <c r="F3044" s="28"/>
      <c r="H3044" s="28"/>
    </row>
    <row r="3045" spans="4:8" x14ac:dyDescent="0.25">
      <c r="D3045" s="28"/>
      <c r="F3045" s="28"/>
      <c r="H3045" s="28"/>
    </row>
    <row r="3046" spans="4:8" x14ac:dyDescent="0.25">
      <c r="D3046" s="28"/>
      <c r="F3046" s="28"/>
      <c r="H3046" s="28"/>
    </row>
    <row r="3047" spans="4:8" x14ac:dyDescent="0.25">
      <c r="D3047" s="28"/>
      <c r="F3047" s="28"/>
      <c r="H3047" s="28"/>
    </row>
    <row r="3048" spans="4:8" x14ac:dyDescent="0.25">
      <c r="D3048" s="28"/>
      <c r="F3048" s="28"/>
      <c r="H3048" s="28"/>
    </row>
    <row r="3049" spans="4:8" x14ac:dyDescent="0.25">
      <c r="D3049" s="28"/>
      <c r="F3049" s="28"/>
      <c r="H3049" s="28"/>
    </row>
    <row r="3050" spans="4:8" x14ac:dyDescent="0.25">
      <c r="D3050" s="28"/>
      <c r="F3050" s="28"/>
      <c r="H3050" s="28"/>
    </row>
    <row r="3051" spans="4:8" x14ac:dyDescent="0.25">
      <c r="D3051" s="28"/>
      <c r="F3051" s="28"/>
      <c r="H3051" s="28"/>
    </row>
    <row r="3052" spans="4:8" x14ac:dyDescent="0.25">
      <c r="D3052" s="28"/>
      <c r="F3052" s="28"/>
      <c r="H3052" s="28"/>
    </row>
    <row r="3053" spans="4:8" x14ac:dyDescent="0.25">
      <c r="D3053" s="28"/>
      <c r="F3053" s="28"/>
      <c r="H3053" s="28"/>
    </row>
    <row r="3054" spans="4:8" x14ac:dyDescent="0.25">
      <c r="D3054" s="28"/>
      <c r="F3054" s="28"/>
      <c r="H3054" s="28"/>
    </row>
    <row r="3055" spans="4:8" x14ac:dyDescent="0.25">
      <c r="D3055" s="28"/>
      <c r="F3055" s="28"/>
      <c r="H3055" s="28"/>
    </row>
    <row r="3056" spans="4:8" x14ac:dyDescent="0.25">
      <c r="D3056" s="28"/>
      <c r="F3056" s="28"/>
      <c r="H3056" s="28"/>
    </row>
    <row r="3057" spans="4:8" x14ac:dyDescent="0.25">
      <c r="D3057" s="28"/>
      <c r="F3057" s="28"/>
      <c r="H3057" s="28"/>
    </row>
    <row r="3058" spans="4:8" x14ac:dyDescent="0.25">
      <c r="D3058" s="28"/>
      <c r="F3058" s="28"/>
      <c r="H3058" s="28"/>
    </row>
    <row r="3059" spans="4:8" x14ac:dyDescent="0.25">
      <c r="D3059" s="28"/>
      <c r="F3059" s="28"/>
      <c r="H3059" s="28"/>
    </row>
    <row r="3060" spans="4:8" x14ac:dyDescent="0.25">
      <c r="D3060" s="28"/>
      <c r="F3060" s="28"/>
      <c r="H3060" s="28"/>
    </row>
    <row r="3061" spans="4:8" x14ac:dyDescent="0.25">
      <c r="D3061" s="28"/>
      <c r="F3061" s="28"/>
      <c r="H3061" s="28"/>
    </row>
    <row r="3062" spans="4:8" x14ac:dyDescent="0.25">
      <c r="D3062" s="28"/>
      <c r="F3062" s="28"/>
      <c r="H3062" s="28"/>
    </row>
    <row r="3063" spans="4:8" x14ac:dyDescent="0.25">
      <c r="D3063" s="28"/>
      <c r="F3063" s="28"/>
      <c r="H3063" s="28"/>
    </row>
    <row r="3064" spans="4:8" x14ac:dyDescent="0.25">
      <c r="D3064" s="28"/>
      <c r="F3064" s="28"/>
      <c r="H3064" s="28"/>
    </row>
    <row r="3065" spans="4:8" x14ac:dyDescent="0.25">
      <c r="D3065" s="28"/>
      <c r="F3065" s="28"/>
      <c r="H3065" s="28"/>
    </row>
    <row r="3066" spans="4:8" x14ac:dyDescent="0.25">
      <c r="D3066" s="28"/>
      <c r="F3066" s="28"/>
      <c r="H3066" s="28"/>
    </row>
    <row r="3067" spans="4:8" x14ac:dyDescent="0.25">
      <c r="D3067" s="28"/>
      <c r="F3067" s="28"/>
      <c r="H3067" s="28"/>
    </row>
    <row r="3068" spans="4:8" x14ac:dyDescent="0.25">
      <c r="D3068" s="28"/>
      <c r="F3068" s="28"/>
      <c r="H3068" s="28"/>
    </row>
    <row r="3069" spans="4:8" x14ac:dyDescent="0.25">
      <c r="D3069" s="28"/>
      <c r="F3069" s="28"/>
      <c r="H3069" s="28"/>
    </row>
    <row r="3070" spans="4:8" x14ac:dyDescent="0.25">
      <c r="D3070" s="28"/>
      <c r="F3070" s="28"/>
      <c r="H3070" s="28"/>
    </row>
    <row r="3071" spans="4:8" x14ac:dyDescent="0.25">
      <c r="D3071" s="28"/>
      <c r="F3071" s="28"/>
      <c r="H3071" s="28"/>
    </row>
    <row r="3072" spans="4:8" x14ac:dyDescent="0.25">
      <c r="D3072" s="28"/>
      <c r="F3072" s="28"/>
      <c r="H3072" s="28"/>
    </row>
    <row r="3073" spans="4:8" x14ac:dyDescent="0.25">
      <c r="D3073" s="28"/>
      <c r="F3073" s="28"/>
      <c r="H3073" s="28"/>
    </row>
    <row r="3074" spans="4:8" x14ac:dyDescent="0.25">
      <c r="D3074" s="28"/>
      <c r="F3074" s="28"/>
      <c r="H3074" s="28"/>
    </row>
    <row r="3075" spans="4:8" x14ac:dyDescent="0.25">
      <c r="D3075" s="28"/>
      <c r="F3075" s="28"/>
      <c r="H3075" s="28"/>
    </row>
    <row r="3076" spans="4:8" x14ac:dyDescent="0.25">
      <c r="D3076" s="28"/>
      <c r="F3076" s="28"/>
      <c r="H3076" s="28"/>
    </row>
    <row r="3077" spans="4:8" x14ac:dyDescent="0.25">
      <c r="D3077" s="28"/>
      <c r="F3077" s="28"/>
      <c r="H3077" s="28"/>
    </row>
    <row r="3078" spans="4:8" x14ac:dyDescent="0.25">
      <c r="D3078" s="28"/>
      <c r="F3078" s="28"/>
      <c r="H3078" s="28"/>
    </row>
    <row r="3079" spans="4:8" x14ac:dyDescent="0.25">
      <c r="D3079" s="28"/>
      <c r="F3079" s="28"/>
      <c r="H3079" s="28"/>
    </row>
    <row r="3080" spans="4:8" x14ac:dyDescent="0.25">
      <c r="D3080" s="28"/>
      <c r="F3080" s="28"/>
      <c r="H3080" s="28"/>
    </row>
    <row r="3081" spans="4:8" x14ac:dyDescent="0.25">
      <c r="D3081" s="28"/>
      <c r="F3081" s="28"/>
      <c r="H3081" s="28"/>
    </row>
    <row r="3082" spans="4:8" x14ac:dyDescent="0.25">
      <c r="D3082" s="28"/>
      <c r="F3082" s="28"/>
      <c r="H3082" s="28"/>
    </row>
    <row r="3083" spans="4:8" x14ac:dyDescent="0.25">
      <c r="D3083" s="28"/>
      <c r="F3083" s="28"/>
      <c r="H3083" s="28"/>
    </row>
    <row r="3084" spans="4:8" x14ac:dyDescent="0.25">
      <c r="D3084" s="28"/>
      <c r="F3084" s="28"/>
      <c r="H3084" s="28"/>
    </row>
    <row r="3085" spans="4:8" x14ac:dyDescent="0.25">
      <c r="D3085" s="28"/>
      <c r="F3085" s="28"/>
      <c r="H3085" s="28"/>
    </row>
    <row r="3086" spans="4:8" x14ac:dyDescent="0.25">
      <c r="D3086" s="28"/>
      <c r="F3086" s="28"/>
      <c r="H3086" s="28"/>
    </row>
    <row r="3087" spans="4:8" x14ac:dyDescent="0.25">
      <c r="D3087" s="28"/>
      <c r="F3087" s="28"/>
      <c r="H3087" s="28"/>
    </row>
    <row r="3088" spans="4:8" x14ac:dyDescent="0.25">
      <c r="D3088" s="28"/>
      <c r="F3088" s="28"/>
      <c r="H3088" s="28"/>
    </row>
    <row r="3089" spans="4:8" x14ac:dyDescent="0.25">
      <c r="D3089" s="28"/>
      <c r="F3089" s="28"/>
      <c r="H3089" s="28"/>
    </row>
    <row r="3090" spans="4:8" x14ac:dyDescent="0.25">
      <c r="D3090" s="28"/>
      <c r="F3090" s="28"/>
      <c r="H3090" s="28"/>
    </row>
    <row r="3091" spans="4:8" x14ac:dyDescent="0.25">
      <c r="D3091" s="28"/>
      <c r="F3091" s="28"/>
      <c r="H3091" s="28"/>
    </row>
    <row r="3092" spans="4:8" x14ac:dyDescent="0.25">
      <c r="D3092" s="28"/>
      <c r="F3092" s="28"/>
      <c r="H3092" s="28"/>
    </row>
    <row r="3093" spans="4:8" x14ac:dyDescent="0.25">
      <c r="D3093" s="28"/>
      <c r="F3093" s="28"/>
      <c r="H3093" s="28"/>
    </row>
    <row r="3094" spans="4:8" x14ac:dyDescent="0.25">
      <c r="D3094" s="28"/>
      <c r="F3094" s="28"/>
      <c r="H3094" s="28"/>
    </row>
    <row r="3095" spans="4:8" x14ac:dyDescent="0.25">
      <c r="D3095" s="28"/>
      <c r="F3095" s="28"/>
      <c r="H3095" s="28"/>
    </row>
    <row r="3096" spans="4:8" x14ac:dyDescent="0.25">
      <c r="D3096" s="28"/>
      <c r="F3096" s="28"/>
      <c r="H3096" s="28"/>
    </row>
    <row r="3097" spans="4:8" x14ac:dyDescent="0.25">
      <c r="D3097" s="28"/>
      <c r="F3097" s="28"/>
      <c r="H3097" s="28"/>
    </row>
    <row r="3098" spans="4:8" x14ac:dyDescent="0.25">
      <c r="D3098" s="28"/>
      <c r="F3098" s="28"/>
      <c r="H3098" s="28"/>
    </row>
    <row r="3099" spans="4:8" x14ac:dyDescent="0.25">
      <c r="D3099" s="28"/>
      <c r="F3099" s="28"/>
      <c r="H3099" s="28"/>
    </row>
    <row r="3100" spans="4:8" x14ac:dyDescent="0.25">
      <c r="D3100" s="28"/>
      <c r="F3100" s="28"/>
      <c r="H3100" s="28"/>
    </row>
    <row r="3101" spans="4:8" x14ac:dyDescent="0.25">
      <c r="D3101" s="28"/>
      <c r="F3101" s="28"/>
      <c r="H3101" s="28"/>
    </row>
    <row r="3102" spans="4:8" x14ac:dyDescent="0.25">
      <c r="D3102" s="28"/>
      <c r="F3102" s="28"/>
      <c r="H3102" s="28"/>
    </row>
    <row r="3103" spans="4:8" x14ac:dyDescent="0.25">
      <c r="D3103" s="28"/>
      <c r="F3103" s="28"/>
      <c r="H3103" s="28"/>
    </row>
    <row r="3104" spans="4:8" x14ac:dyDescent="0.25">
      <c r="D3104" s="28"/>
      <c r="F3104" s="28"/>
      <c r="H3104" s="28"/>
    </row>
    <row r="3105" spans="4:8" x14ac:dyDescent="0.25">
      <c r="D3105" s="28"/>
      <c r="F3105" s="28"/>
      <c r="H3105" s="28"/>
    </row>
    <row r="3106" spans="4:8" x14ac:dyDescent="0.25">
      <c r="D3106" s="28"/>
      <c r="F3106" s="28"/>
      <c r="H3106" s="28"/>
    </row>
    <row r="3107" spans="4:8" x14ac:dyDescent="0.25">
      <c r="D3107" s="28"/>
      <c r="F3107" s="28"/>
      <c r="H3107" s="28"/>
    </row>
    <row r="3108" spans="4:8" x14ac:dyDescent="0.25">
      <c r="D3108" s="28"/>
      <c r="F3108" s="28"/>
      <c r="H3108" s="28"/>
    </row>
    <row r="3109" spans="4:8" x14ac:dyDescent="0.25">
      <c r="D3109" s="28"/>
      <c r="F3109" s="28"/>
      <c r="H3109" s="28"/>
    </row>
    <row r="3110" spans="4:8" x14ac:dyDescent="0.25">
      <c r="D3110" s="28"/>
      <c r="F3110" s="28"/>
      <c r="H3110" s="28"/>
    </row>
    <row r="3111" spans="4:8" x14ac:dyDescent="0.25">
      <c r="D3111" s="28"/>
      <c r="F3111" s="28"/>
      <c r="H3111" s="28"/>
    </row>
    <row r="3112" spans="4:8" x14ac:dyDescent="0.25">
      <c r="D3112" s="28"/>
      <c r="F3112" s="28"/>
      <c r="H3112" s="28"/>
    </row>
    <row r="3113" spans="4:8" x14ac:dyDescent="0.25">
      <c r="D3113" s="28"/>
      <c r="F3113" s="28"/>
      <c r="H3113" s="28"/>
    </row>
    <row r="3114" spans="4:8" x14ac:dyDescent="0.25">
      <c r="D3114" s="28"/>
      <c r="F3114" s="28"/>
      <c r="H3114" s="28"/>
    </row>
    <row r="3115" spans="4:8" x14ac:dyDescent="0.25">
      <c r="D3115" s="28"/>
      <c r="F3115" s="28"/>
      <c r="H3115" s="28"/>
    </row>
    <row r="3116" spans="4:8" x14ac:dyDescent="0.25">
      <c r="D3116" s="28"/>
      <c r="F3116" s="28"/>
      <c r="H3116" s="28"/>
    </row>
    <row r="3117" spans="4:8" x14ac:dyDescent="0.25">
      <c r="D3117" s="28"/>
      <c r="F3117" s="28"/>
      <c r="H3117" s="28"/>
    </row>
    <row r="3118" spans="4:8" x14ac:dyDescent="0.25">
      <c r="D3118" s="28"/>
      <c r="F3118" s="28"/>
      <c r="H3118" s="28"/>
    </row>
    <row r="3119" spans="4:8" x14ac:dyDescent="0.25">
      <c r="D3119" s="28"/>
      <c r="F3119" s="28"/>
      <c r="H3119" s="28"/>
    </row>
    <row r="3120" spans="4:8" x14ac:dyDescent="0.25">
      <c r="D3120" s="28"/>
      <c r="F3120" s="28"/>
      <c r="H3120" s="28"/>
    </row>
    <row r="3121" spans="4:8" x14ac:dyDescent="0.25">
      <c r="D3121" s="28"/>
      <c r="F3121" s="28"/>
      <c r="H3121" s="28"/>
    </row>
    <row r="3122" spans="4:8" x14ac:dyDescent="0.25">
      <c r="D3122" s="28"/>
      <c r="F3122" s="28"/>
      <c r="H3122" s="28"/>
    </row>
    <row r="3123" spans="4:8" x14ac:dyDescent="0.25">
      <c r="D3123" s="28"/>
      <c r="F3123" s="28"/>
      <c r="H3123" s="28"/>
    </row>
    <row r="3124" spans="4:8" x14ac:dyDescent="0.25">
      <c r="D3124" s="28"/>
      <c r="F3124" s="28"/>
      <c r="H3124" s="28"/>
    </row>
    <row r="3125" spans="4:8" x14ac:dyDescent="0.25">
      <c r="D3125" s="28"/>
      <c r="F3125" s="28"/>
      <c r="H3125" s="28"/>
    </row>
    <row r="3126" spans="4:8" x14ac:dyDescent="0.25">
      <c r="D3126" s="28"/>
      <c r="F3126" s="28"/>
      <c r="H3126" s="28"/>
    </row>
    <row r="3127" spans="4:8" x14ac:dyDescent="0.25">
      <c r="D3127" s="28"/>
      <c r="F3127" s="28"/>
      <c r="H3127" s="28"/>
    </row>
    <row r="3128" spans="4:8" x14ac:dyDescent="0.25">
      <c r="D3128" s="28"/>
      <c r="F3128" s="28"/>
      <c r="H3128" s="28"/>
    </row>
    <row r="3129" spans="4:8" x14ac:dyDescent="0.25">
      <c r="D3129" s="28"/>
      <c r="F3129" s="28"/>
      <c r="H3129" s="28"/>
    </row>
    <row r="3130" spans="4:8" x14ac:dyDescent="0.25">
      <c r="D3130" s="28"/>
      <c r="F3130" s="28"/>
      <c r="H3130" s="28"/>
    </row>
    <row r="3131" spans="4:8" x14ac:dyDescent="0.25">
      <c r="D3131" s="28"/>
      <c r="F3131" s="28"/>
      <c r="H3131" s="28"/>
    </row>
    <row r="3132" spans="4:8" x14ac:dyDescent="0.25">
      <c r="D3132" s="28"/>
      <c r="F3132" s="28"/>
      <c r="H3132" s="28"/>
    </row>
    <row r="3133" spans="4:8" x14ac:dyDescent="0.25">
      <c r="D3133" s="28"/>
      <c r="F3133" s="28"/>
      <c r="H3133" s="28"/>
    </row>
    <row r="3134" spans="4:8" x14ac:dyDescent="0.25">
      <c r="D3134" s="28"/>
      <c r="F3134" s="28"/>
      <c r="H3134" s="28"/>
    </row>
    <row r="3135" spans="4:8" x14ac:dyDescent="0.25">
      <c r="D3135" s="28"/>
      <c r="F3135" s="28"/>
      <c r="H3135" s="28"/>
    </row>
    <row r="3136" spans="4:8" x14ac:dyDescent="0.25">
      <c r="D3136" s="28"/>
      <c r="F3136" s="28"/>
      <c r="H3136" s="28"/>
    </row>
    <row r="3137" spans="4:8" x14ac:dyDescent="0.25">
      <c r="D3137" s="28"/>
      <c r="F3137" s="28"/>
      <c r="H3137" s="28"/>
    </row>
    <row r="3138" spans="4:8" x14ac:dyDescent="0.25">
      <c r="D3138" s="28"/>
      <c r="F3138" s="28"/>
      <c r="H3138" s="28"/>
    </row>
    <row r="3139" spans="4:8" x14ac:dyDescent="0.25">
      <c r="D3139" s="28"/>
      <c r="F3139" s="28"/>
      <c r="H3139" s="28"/>
    </row>
    <row r="3140" spans="4:8" x14ac:dyDescent="0.25">
      <c r="D3140" s="28"/>
      <c r="F3140" s="28"/>
      <c r="H3140" s="28"/>
    </row>
    <row r="3141" spans="4:8" x14ac:dyDescent="0.25">
      <c r="D3141" s="28"/>
      <c r="F3141" s="28"/>
      <c r="H3141" s="28"/>
    </row>
    <row r="3142" spans="4:8" x14ac:dyDescent="0.25">
      <c r="D3142" s="28"/>
      <c r="F3142" s="28"/>
      <c r="H3142" s="28"/>
    </row>
    <row r="3143" spans="4:8" x14ac:dyDescent="0.25">
      <c r="D3143" s="28"/>
      <c r="F3143" s="28"/>
      <c r="H3143" s="28"/>
    </row>
    <row r="3144" spans="4:8" x14ac:dyDescent="0.25">
      <c r="D3144" s="28"/>
      <c r="F3144" s="28"/>
      <c r="H3144" s="28"/>
    </row>
    <row r="3145" spans="4:8" x14ac:dyDescent="0.25">
      <c r="D3145" s="28"/>
      <c r="F3145" s="28"/>
      <c r="H3145" s="28"/>
    </row>
    <row r="3146" spans="4:8" x14ac:dyDescent="0.25">
      <c r="D3146" s="28"/>
      <c r="F3146" s="28"/>
      <c r="H3146" s="28"/>
    </row>
    <row r="3147" spans="4:8" x14ac:dyDescent="0.25">
      <c r="D3147" s="28"/>
      <c r="F3147" s="28"/>
      <c r="H3147" s="28"/>
    </row>
    <row r="3148" spans="4:8" x14ac:dyDescent="0.25">
      <c r="D3148" s="28"/>
      <c r="F3148" s="28"/>
      <c r="H3148" s="28"/>
    </row>
    <row r="3149" spans="4:8" x14ac:dyDescent="0.25">
      <c r="D3149" s="28"/>
      <c r="F3149" s="28"/>
      <c r="H3149" s="28"/>
    </row>
    <row r="3150" spans="4:8" x14ac:dyDescent="0.25">
      <c r="D3150" s="28"/>
      <c r="F3150" s="28"/>
      <c r="H3150" s="28"/>
    </row>
    <row r="3151" spans="4:8" x14ac:dyDescent="0.25">
      <c r="D3151" s="28"/>
      <c r="F3151" s="28"/>
      <c r="H3151" s="28"/>
    </row>
    <row r="3152" spans="4:8" x14ac:dyDescent="0.25">
      <c r="D3152" s="28"/>
      <c r="F3152" s="28"/>
      <c r="H3152" s="28"/>
    </row>
    <row r="3153" spans="4:8" x14ac:dyDescent="0.25">
      <c r="D3153" s="28"/>
      <c r="F3153" s="28"/>
      <c r="H3153" s="28"/>
    </row>
    <row r="3154" spans="4:8" x14ac:dyDescent="0.25">
      <c r="D3154" s="28"/>
      <c r="F3154" s="28"/>
      <c r="H3154" s="28"/>
    </row>
    <row r="3155" spans="4:8" x14ac:dyDescent="0.25">
      <c r="D3155" s="28"/>
      <c r="F3155" s="28"/>
      <c r="H3155" s="28"/>
    </row>
    <row r="3156" spans="4:8" x14ac:dyDescent="0.25">
      <c r="D3156" s="28"/>
      <c r="F3156" s="28"/>
      <c r="H3156" s="28"/>
    </row>
    <row r="3157" spans="4:8" x14ac:dyDescent="0.25">
      <c r="D3157" s="28"/>
      <c r="F3157" s="28"/>
      <c r="H3157" s="28"/>
    </row>
    <row r="3158" spans="4:8" x14ac:dyDescent="0.25">
      <c r="D3158" s="28"/>
      <c r="F3158" s="28"/>
      <c r="H3158" s="28"/>
    </row>
    <row r="3159" spans="4:8" x14ac:dyDescent="0.25">
      <c r="D3159" s="28"/>
      <c r="F3159" s="28"/>
      <c r="H3159" s="28"/>
    </row>
    <row r="3160" spans="4:8" x14ac:dyDescent="0.25">
      <c r="D3160" s="28"/>
      <c r="F3160" s="28"/>
      <c r="H3160" s="28"/>
    </row>
    <row r="3161" spans="4:8" x14ac:dyDescent="0.25">
      <c r="D3161" s="28"/>
      <c r="F3161" s="28"/>
      <c r="H3161" s="28"/>
    </row>
    <row r="3162" spans="4:8" x14ac:dyDescent="0.25">
      <c r="D3162" s="28"/>
      <c r="F3162" s="28"/>
      <c r="H3162" s="28"/>
    </row>
    <row r="3163" spans="4:8" x14ac:dyDescent="0.25">
      <c r="D3163" s="28"/>
      <c r="F3163" s="28"/>
      <c r="H3163" s="28"/>
    </row>
    <row r="3164" spans="4:8" x14ac:dyDescent="0.25">
      <c r="D3164" s="28"/>
      <c r="F3164" s="28"/>
      <c r="H3164" s="28"/>
    </row>
    <row r="3165" spans="4:8" x14ac:dyDescent="0.25">
      <c r="D3165" s="28"/>
      <c r="F3165" s="28"/>
      <c r="H3165" s="28"/>
    </row>
    <row r="3166" spans="4:8" x14ac:dyDescent="0.25">
      <c r="D3166" s="28"/>
      <c r="F3166" s="28"/>
      <c r="H3166" s="28"/>
    </row>
    <row r="3167" spans="4:8" x14ac:dyDescent="0.25">
      <c r="D3167" s="28"/>
      <c r="F3167" s="28"/>
      <c r="H3167" s="28"/>
    </row>
    <row r="3168" spans="4:8" x14ac:dyDescent="0.25">
      <c r="D3168" s="28"/>
      <c r="F3168" s="28"/>
      <c r="H3168" s="28"/>
    </row>
    <row r="3169" spans="4:8" x14ac:dyDescent="0.25">
      <c r="D3169" s="28"/>
      <c r="F3169" s="28"/>
      <c r="H3169" s="28"/>
    </row>
    <row r="3170" spans="4:8" x14ac:dyDescent="0.25">
      <c r="D3170" s="28"/>
      <c r="F3170" s="28"/>
      <c r="H3170" s="28"/>
    </row>
    <row r="3171" spans="4:8" x14ac:dyDescent="0.25">
      <c r="D3171" s="28"/>
      <c r="F3171" s="28"/>
      <c r="H3171" s="28"/>
    </row>
    <row r="3172" spans="4:8" x14ac:dyDescent="0.25">
      <c r="D3172" s="28"/>
      <c r="F3172" s="28"/>
      <c r="H3172" s="28"/>
    </row>
    <row r="3173" spans="4:8" x14ac:dyDescent="0.25">
      <c r="D3173" s="28"/>
      <c r="F3173" s="28"/>
      <c r="H3173" s="28"/>
    </row>
    <row r="3174" spans="4:8" x14ac:dyDescent="0.25">
      <c r="D3174" s="28"/>
      <c r="F3174" s="28"/>
      <c r="H3174" s="28"/>
    </row>
    <row r="3175" spans="4:8" x14ac:dyDescent="0.25">
      <c r="D3175" s="28"/>
      <c r="F3175" s="28"/>
      <c r="H3175" s="28"/>
    </row>
    <row r="3176" spans="4:8" x14ac:dyDescent="0.25">
      <c r="D3176" s="28"/>
      <c r="F3176" s="28"/>
      <c r="H3176" s="28"/>
    </row>
    <row r="3177" spans="4:8" x14ac:dyDescent="0.25">
      <c r="D3177" s="28"/>
      <c r="F3177" s="28"/>
      <c r="H3177" s="28"/>
    </row>
    <row r="3178" spans="4:8" x14ac:dyDescent="0.25">
      <c r="D3178" s="28"/>
      <c r="F3178" s="28"/>
      <c r="H3178" s="28"/>
    </row>
    <row r="3179" spans="4:8" x14ac:dyDescent="0.25">
      <c r="D3179" s="28"/>
      <c r="F3179" s="28"/>
      <c r="H3179" s="28"/>
    </row>
    <row r="3180" spans="4:8" x14ac:dyDescent="0.25">
      <c r="D3180" s="28"/>
      <c r="F3180" s="28"/>
      <c r="H3180" s="28"/>
    </row>
    <row r="3181" spans="4:8" x14ac:dyDescent="0.25">
      <c r="D3181" s="28"/>
      <c r="F3181" s="28"/>
      <c r="H3181" s="28"/>
    </row>
    <row r="3182" spans="4:8" x14ac:dyDescent="0.25">
      <c r="D3182" s="28"/>
      <c r="F3182" s="28"/>
      <c r="H3182" s="28"/>
    </row>
    <row r="3183" spans="4:8" x14ac:dyDescent="0.25">
      <c r="D3183" s="28"/>
      <c r="F3183" s="28"/>
      <c r="H3183" s="28"/>
    </row>
    <row r="3184" spans="4:8" x14ac:dyDescent="0.25">
      <c r="D3184" s="28"/>
      <c r="F3184" s="28"/>
      <c r="H3184" s="28"/>
    </row>
    <row r="3185" spans="4:8" x14ac:dyDescent="0.25">
      <c r="D3185" s="28"/>
      <c r="F3185" s="28"/>
      <c r="H3185" s="28"/>
    </row>
    <row r="3186" spans="4:8" x14ac:dyDescent="0.25">
      <c r="D3186" s="28"/>
      <c r="F3186" s="28"/>
      <c r="H3186" s="28"/>
    </row>
    <row r="3187" spans="4:8" x14ac:dyDescent="0.25">
      <c r="D3187" s="28"/>
      <c r="F3187" s="28"/>
      <c r="H3187" s="28"/>
    </row>
    <row r="3188" spans="4:8" x14ac:dyDescent="0.25">
      <c r="D3188" s="28"/>
      <c r="F3188" s="28"/>
      <c r="H3188" s="28"/>
    </row>
    <row r="3189" spans="4:8" x14ac:dyDescent="0.25">
      <c r="D3189" s="28"/>
      <c r="F3189" s="28"/>
      <c r="H3189" s="28"/>
    </row>
    <row r="3190" spans="4:8" x14ac:dyDescent="0.25">
      <c r="D3190" s="28"/>
      <c r="F3190" s="28"/>
      <c r="H3190" s="28"/>
    </row>
    <row r="3191" spans="4:8" x14ac:dyDescent="0.25">
      <c r="D3191" s="28"/>
      <c r="F3191" s="28"/>
      <c r="H3191" s="28"/>
    </row>
    <row r="3192" spans="4:8" x14ac:dyDescent="0.25">
      <c r="D3192" s="28"/>
      <c r="F3192" s="28"/>
      <c r="H3192" s="28"/>
    </row>
    <row r="3193" spans="4:8" x14ac:dyDescent="0.25">
      <c r="D3193" s="28"/>
      <c r="F3193" s="28"/>
      <c r="H3193" s="28"/>
    </row>
    <row r="3194" spans="4:8" x14ac:dyDescent="0.25">
      <c r="D3194" s="28"/>
      <c r="F3194" s="28"/>
      <c r="H3194" s="28"/>
    </row>
    <row r="3195" spans="4:8" x14ac:dyDescent="0.25">
      <c r="D3195" s="28"/>
      <c r="F3195" s="28"/>
      <c r="H3195" s="28"/>
    </row>
    <row r="3196" spans="4:8" x14ac:dyDescent="0.25">
      <c r="D3196" s="28"/>
      <c r="F3196" s="28"/>
      <c r="H3196" s="28"/>
    </row>
    <row r="3197" spans="4:8" x14ac:dyDescent="0.25">
      <c r="D3197" s="28"/>
      <c r="F3197" s="28"/>
      <c r="H3197" s="28"/>
    </row>
    <row r="3198" spans="4:8" x14ac:dyDescent="0.25">
      <c r="D3198" s="28"/>
      <c r="F3198" s="28"/>
      <c r="H3198" s="28"/>
    </row>
    <row r="3199" spans="4:8" x14ac:dyDescent="0.25">
      <c r="D3199" s="28"/>
      <c r="F3199" s="28"/>
      <c r="H3199" s="28"/>
    </row>
    <row r="3200" spans="4:8" x14ac:dyDescent="0.25">
      <c r="D3200" s="28"/>
      <c r="F3200" s="28"/>
      <c r="H3200" s="28"/>
    </row>
    <row r="3201" spans="4:8" x14ac:dyDescent="0.25">
      <c r="D3201" s="28"/>
      <c r="F3201" s="28"/>
      <c r="H3201" s="28"/>
    </row>
    <row r="3202" spans="4:8" x14ac:dyDescent="0.25">
      <c r="D3202" s="28"/>
      <c r="F3202" s="28"/>
      <c r="H3202" s="28"/>
    </row>
    <row r="3203" spans="4:8" x14ac:dyDescent="0.25">
      <c r="D3203" s="28"/>
      <c r="F3203" s="28"/>
      <c r="H3203" s="28"/>
    </row>
    <row r="3204" spans="4:8" x14ac:dyDescent="0.25">
      <c r="D3204" s="28"/>
      <c r="F3204" s="28"/>
      <c r="H3204" s="28"/>
    </row>
    <row r="3205" spans="4:8" x14ac:dyDescent="0.25">
      <c r="D3205" s="28"/>
      <c r="F3205" s="28"/>
      <c r="H3205" s="28"/>
    </row>
    <row r="3206" spans="4:8" x14ac:dyDescent="0.25">
      <c r="D3206" s="28"/>
      <c r="F3206" s="28"/>
      <c r="H3206" s="28"/>
    </row>
    <row r="3207" spans="4:8" x14ac:dyDescent="0.25">
      <c r="D3207" s="28"/>
      <c r="F3207" s="28"/>
      <c r="H3207" s="28"/>
    </row>
    <row r="3208" spans="4:8" x14ac:dyDescent="0.25">
      <c r="D3208" s="28"/>
      <c r="F3208" s="28"/>
      <c r="H3208" s="28"/>
    </row>
    <row r="3209" spans="4:8" x14ac:dyDescent="0.25">
      <c r="D3209" s="28"/>
      <c r="F3209" s="28"/>
      <c r="H3209" s="28"/>
    </row>
    <row r="3210" spans="4:8" x14ac:dyDescent="0.25">
      <c r="D3210" s="28"/>
      <c r="F3210" s="28"/>
      <c r="H3210" s="28"/>
    </row>
    <row r="3211" spans="4:8" x14ac:dyDescent="0.25">
      <c r="D3211" s="28"/>
      <c r="F3211" s="28"/>
      <c r="H3211" s="28"/>
    </row>
    <row r="3212" spans="4:8" x14ac:dyDescent="0.25">
      <c r="D3212" s="28"/>
      <c r="F3212" s="28"/>
      <c r="H3212" s="28"/>
    </row>
    <row r="3213" spans="4:8" x14ac:dyDescent="0.25">
      <c r="D3213" s="28"/>
      <c r="F3213" s="28"/>
      <c r="H3213" s="28"/>
    </row>
    <row r="3214" spans="4:8" x14ac:dyDescent="0.25">
      <c r="D3214" s="28"/>
      <c r="F3214" s="28"/>
      <c r="H3214" s="28"/>
    </row>
    <row r="3215" spans="4:8" x14ac:dyDescent="0.25">
      <c r="D3215" s="28"/>
      <c r="F3215" s="28"/>
      <c r="H3215" s="28"/>
    </row>
    <row r="3216" spans="4:8" x14ac:dyDescent="0.25">
      <c r="D3216" s="28"/>
      <c r="F3216" s="28"/>
      <c r="H3216" s="28"/>
    </row>
    <row r="3217" spans="4:8" x14ac:dyDescent="0.25">
      <c r="D3217" s="28"/>
      <c r="F3217" s="28"/>
      <c r="H3217" s="28"/>
    </row>
    <row r="3218" spans="4:8" x14ac:dyDescent="0.25">
      <c r="D3218" s="28"/>
      <c r="F3218" s="28"/>
      <c r="H3218" s="28"/>
    </row>
    <row r="3219" spans="4:8" x14ac:dyDescent="0.25">
      <c r="D3219" s="28"/>
      <c r="F3219" s="28"/>
      <c r="H3219" s="28"/>
    </row>
    <row r="3220" spans="4:8" x14ac:dyDescent="0.25">
      <c r="D3220" s="28"/>
      <c r="F3220" s="28"/>
      <c r="H3220" s="28"/>
    </row>
    <row r="3221" spans="4:8" x14ac:dyDescent="0.25">
      <c r="D3221" s="28"/>
      <c r="F3221" s="28"/>
      <c r="H3221" s="28"/>
    </row>
    <row r="3222" spans="4:8" x14ac:dyDescent="0.25">
      <c r="D3222" s="28"/>
      <c r="F3222" s="28"/>
      <c r="H3222" s="28"/>
    </row>
    <row r="3223" spans="4:8" x14ac:dyDescent="0.25">
      <c r="D3223" s="28"/>
      <c r="F3223" s="28"/>
      <c r="H3223" s="28"/>
    </row>
    <row r="3224" spans="4:8" x14ac:dyDescent="0.25">
      <c r="D3224" s="28"/>
      <c r="F3224" s="28"/>
      <c r="H3224" s="28"/>
    </row>
    <row r="3225" spans="4:8" x14ac:dyDescent="0.25">
      <c r="D3225" s="28"/>
      <c r="F3225" s="28"/>
      <c r="H3225" s="28"/>
    </row>
    <row r="3226" spans="4:8" x14ac:dyDescent="0.25">
      <c r="D3226" s="28"/>
      <c r="F3226" s="28"/>
      <c r="H3226" s="28"/>
    </row>
    <row r="3227" spans="4:8" x14ac:dyDescent="0.25">
      <c r="D3227" s="28"/>
      <c r="F3227" s="28"/>
      <c r="H3227" s="28"/>
    </row>
    <row r="3228" spans="4:8" x14ac:dyDescent="0.25">
      <c r="D3228" s="28"/>
      <c r="F3228" s="28"/>
      <c r="H3228" s="28"/>
    </row>
    <row r="3229" spans="4:8" x14ac:dyDescent="0.25">
      <c r="D3229" s="28"/>
      <c r="F3229" s="28"/>
      <c r="H3229" s="28"/>
    </row>
    <row r="3230" spans="4:8" x14ac:dyDescent="0.25">
      <c r="D3230" s="28"/>
      <c r="F3230" s="28"/>
      <c r="H3230" s="28"/>
    </row>
    <row r="3231" spans="4:8" x14ac:dyDescent="0.25">
      <c r="D3231" s="28"/>
      <c r="F3231" s="28"/>
      <c r="H3231" s="28"/>
    </row>
    <row r="3232" spans="4:8" x14ac:dyDescent="0.25">
      <c r="D3232" s="28"/>
      <c r="F3232" s="28"/>
      <c r="H3232" s="28"/>
    </row>
    <row r="3233" spans="4:8" x14ac:dyDescent="0.25">
      <c r="D3233" s="28"/>
      <c r="F3233" s="28"/>
      <c r="H3233" s="28"/>
    </row>
    <row r="3234" spans="4:8" x14ac:dyDescent="0.25">
      <c r="D3234" s="28"/>
      <c r="F3234" s="28"/>
      <c r="H3234" s="28"/>
    </row>
    <row r="3235" spans="4:8" x14ac:dyDescent="0.25">
      <c r="D3235" s="28"/>
      <c r="F3235" s="28"/>
      <c r="H3235" s="28"/>
    </row>
    <row r="3236" spans="4:8" x14ac:dyDescent="0.25">
      <c r="D3236" s="28"/>
      <c r="F3236" s="28"/>
      <c r="H3236" s="28"/>
    </row>
    <row r="3237" spans="4:8" x14ac:dyDescent="0.25">
      <c r="D3237" s="28"/>
      <c r="F3237" s="28"/>
      <c r="H3237" s="28"/>
    </row>
    <row r="3238" spans="4:8" x14ac:dyDescent="0.25">
      <c r="D3238" s="28"/>
      <c r="F3238" s="28"/>
      <c r="H3238" s="28"/>
    </row>
    <row r="3239" spans="4:8" x14ac:dyDescent="0.25">
      <c r="D3239" s="28"/>
      <c r="F3239" s="28"/>
      <c r="H3239" s="28"/>
    </row>
    <row r="3240" spans="4:8" x14ac:dyDescent="0.25">
      <c r="D3240" s="28"/>
      <c r="F3240" s="28"/>
      <c r="H3240" s="28"/>
    </row>
    <row r="3241" spans="4:8" x14ac:dyDescent="0.25">
      <c r="D3241" s="28"/>
      <c r="F3241" s="28"/>
      <c r="H3241" s="28"/>
    </row>
    <row r="3242" spans="4:8" x14ac:dyDescent="0.25">
      <c r="D3242" s="28"/>
      <c r="F3242" s="28"/>
      <c r="H3242" s="28"/>
    </row>
    <row r="3243" spans="4:8" x14ac:dyDescent="0.25">
      <c r="D3243" s="28"/>
      <c r="F3243" s="28"/>
      <c r="H3243" s="28"/>
    </row>
    <row r="3244" spans="4:8" x14ac:dyDescent="0.25">
      <c r="D3244" s="28"/>
      <c r="F3244" s="28"/>
      <c r="H3244" s="28"/>
    </row>
    <row r="3245" spans="4:8" x14ac:dyDescent="0.25">
      <c r="D3245" s="28"/>
      <c r="F3245" s="28"/>
      <c r="H3245" s="28"/>
    </row>
    <row r="3246" spans="4:8" x14ac:dyDescent="0.25">
      <c r="D3246" s="28"/>
      <c r="F3246" s="28"/>
      <c r="H3246" s="28"/>
    </row>
    <row r="3247" spans="4:8" x14ac:dyDescent="0.25">
      <c r="D3247" s="28"/>
      <c r="F3247" s="28"/>
      <c r="H3247" s="28"/>
    </row>
    <row r="3248" spans="4:8" x14ac:dyDescent="0.25">
      <c r="D3248" s="28"/>
      <c r="F3248" s="28"/>
      <c r="H3248" s="28"/>
    </row>
    <row r="3249" spans="4:8" x14ac:dyDescent="0.25">
      <c r="D3249" s="28"/>
      <c r="F3249" s="28"/>
      <c r="H3249" s="28"/>
    </row>
    <row r="3250" spans="4:8" x14ac:dyDescent="0.25">
      <c r="D3250" s="28"/>
      <c r="F3250" s="28"/>
      <c r="H3250" s="28"/>
    </row>
    <row r="3251" spans="4:8" x14ac:dyDescent="0.25">
      <c r="D3251" s="28"/>
      <c r="F3251" s="28"/>
      <c r="H3251" s="28"/>
    </row>
    <row r="3252" spans="4:8" x14ac:dyDescent="0.25">
      <c r="D3252" s="28"/>
      <c r="F3252" s="28"/>
      <c r="H3252" s="28"/>
    </row>
    <row r="3253" spans="4:8" x14ac:dyDescent="0.25">
      <c r="D3253" s="28"/>
      <c r="F3253" s="28"/>
      <c r="H3253" s="28"/>
    </row>
    <row r="3254" spans="4:8" x14ac:dyDescent="0.25">
      <c r="D3254" s="28"/>
      <c r="F3254" s="28"/>
      <c r="H3254" s="28"/>
    </row>
    <row r="3255" spans="4:8" x14ac:dyDescent="0.25">
      <c r="D3255" s="28"/>
      <c r="F3255" s="28"/>
      <c r="H3255" s="28"/>
    </row>
    <row r="3256" spans="4:8" x14ac:dyDescent="0.25">
      <c r="D3256" s="28"/>
      <c r="F3256" s="28"/>
      <c r="H3256" s="28"/>
    </row>
    <row r="3257" spans="4:8" x14ac:dyDescent="0.25">
      <c r="D3257" s="28"/>
      <c r="F3257" s="28"/>
      <c r="H3257" s="28"/>
    </row>
    <row r="3258" spans="4:8" x14ac:dyDescent="0.25">
      <c r="D3258" s="28"/>
      <c r="F3258" s="28"/>
      <c r="H3258" s="28"/>
    </row>
    <row r="3259" spans="4:8" x14ac:dyDescent="0.25">
      <c r="D3259" s="28"/>
      <c r="F3259" s="28"/>
      <c r="H3259" s="28"/>
    </row>
    <row r="3260" spans="4:8" x14ac:dyDescent="0.25">
      <c r="D3260" s="28"/>
      <c r="F3260" s="28"/>
      <c r="H3260" s="28"/>
    </row>
    <row r="3261" spans="4:8" x14ac:dyDescent="0.25">
      <c r="D3261" s="28"/>
      <c r="F3261" s="28"/>
      <c r="H3261" s="28"/>
    </row>
    <row r="3262" spans="4:8" x14ac:dyDescent="0.25">
      <c r="D3262" s="28"/>
      <c r="F3262" s="28"/>
      <c r="H3262" s="28"/>
    </row>
    <row r="3263" spans="4:8" x14ac:dyDescent="0.25">
      <c r="D3263" s="28"/>
      <c r="F3263" s="28"/>
      <c r="H3263" s="28"/>
    </row>
    <row r="3264" spans="4:8" x14ac:dyDescent="0.25">
      <c r="D3264" s="28"/>
      <c r="F3264" s="28"/>
      <c r="H3264" s="28"/>
    </row>
    <row r="3265" spans="4:8" x14ac:dyDescent="0.25">
      <c r="D3265" s="28"/>
      <c r="F3265" s="28"/>
      <c r="H3265" s="28"/>
    </row>
    <row r="3266" spans="4:8" x14ac:dyDescent="0.25">
      <c r="D3266" s="28"/>
      <c r="F3266" s="28"/>
      <c r="H3266" s="28"/>
    </row>
    <row r="3267" spans="4:8" x14ac:dyDescent="0.25">
      <c r="D3267" s="28"/>
      <c r="F3267" s="28"/>
      <c r="H3267" s="28"/>
    </row>
    <row r="3268" spans="4:8" x14ac:dyDescent="0.25">
      <c r="D3268" s="28"/>
      <c r="F3268" s="28"/>
      <c r="H3268" s="28"/>
    </row>
    <row r="3269" spans="4:8" x14ac:dyDescent="0.25">
      <c r="D3269" s="28"/>
      <c r="F3269" s="28"/>
      <c r="H3269" s="28"/>
    </row>
    <row r="3270" spans="4:8" x14ac:dyDescent="0.25">
      <c r="D3270" s="28"/>
      <c r="F3270" s="28"/>
      <c r="H3270" s="28"/>
    </row>
    <row r="3271" spans="4:8" x14ac:dyDescent="0.25">
      <c r="D3271" s="28"/>
      <c r="F3271" s="28"/>
      <c r="H3271" s="28"/>
    </row>
    <row r="3272" spans="4:8" x14ac:dyDescent="0.25">
      <c r="D3272" s="28"/>
      <c r="F3272" s="28"/>
      <c r="H3272" s="28"/>
    </row>
    <row r="3273" spans="4:8" x14ac:dyDescent="0.25">
      <c r="D3273" s="28"/>
      <c r="F3273" s="28"/>
      <c r="H3273" s="28"/>
    </row>
    <row r="3274" spans="4:8" x14ac:dyDescent="0.25">
      <c r="D3274" s="28"/>
      <c r="F3274" s="28"/>
      <c r="H3274" s="28"/>
    </row>
    <row r="3275" spans="4:8" x14ac:dyDescent="0.25">
      <c r="D3275" s="28"/>
      <c r="F3275" s="28"/>
      <c r="H3275" s="28"/>
    </row>
    <row r="3276" spans="4:8" x14ac:dyDescent="0.25">
      <c r="D3276" s="28"/>
      <c r="F3276" s="28"/>
      <c r="H3276" s="28"/>
    </row>
    <row r="3277" spans="4:8" x14ac:dyDescent="0.25">
      <c r="D3277" s="28"/>
      <c r="F3277" s="28"/>
      <c r="H3277" s="28"/>
    </row>
    <row r="3278" spans="4:8" x14ac:dyDescent="0.25">
      <c r="D3278" s="28"/>
      <c r="F3278" s="28"/>
      <c r="H3278" s="28"/>
    </row>
    <row r="3279" spans="4:8" x14ac:dyDescent="0.25">
      <c r="D3279" s="28"/>
      <c r="F3279" s="28"/>
      <c r="H3279" s="28"/>
    </row>
    <row r="3280" spans="4:8" x14ac:dyDescent="0.25">
      <c r="D3280" s="28"/>
      <c r="F3280" s="28"/>
      <c r="H3280" s="28"/>
    </row>
    <row r="3281" spans="4:8" x14ac:dyDescent="0.25">
      <c r="D3281" s="28"/>
      <c r="F3281" s="28"/>
      <c r="H3281" s="28"/>
    </row>
    <row r="3282" spans="4:8" x14ac:dyDescent="0.25">
      <c r="D3282" s="28"/>
      <c r="F3282" s="28"/>
      <c r="H3282" s="28"/>
    </row>
    <row r="3283" spans="4:8" x14ac:dyDescent="0.25">
      <c r="D3283" s="28"/>
      <c r="F3283" s="28"/>
      <c r="H3283" s="28"/>
    </row>
    <row r="3284" spans="4:8" x14ac:dyDescent="0.25">
      <c r="D3284" s="28"/>
      <c r="F3284" s="28"/>
      <c r="H3284" s="28"/>
    </row>
    <row r="3285" spans="4:8" x14ac:dyDescent="0.25">
      <c r="D3285" s="28"/>
      <c r="F3285" s="28"/>
      <c r="H3285" s="28"/>
    </row>
    <row r="3286" spans="4:8" x14ac:dyDescent="0.25">
      <c r="D3286" s="28"/>
      <c r="F3286" s="28"/>
      <c r="H3286" s="28"/>
    </row>
    <row r="3287" spans="4:8" x14ac:dyDescent="0.25">
      <c r="D3287" s="28"/>
      <c r="F3287" s="28"/>
      <c r="H3287" s="28"/>
    </row>
    <row r="3288" spans="4:8" x14ac:dyDescent="0.25">
      <c r="D3288" s="28"/>
      <c r="F3288" s="28"/>
      <c r="H3288" s="28"/>
    </row>
    <row r="3289" spans="4:8" x14ac:dyDescent="0.25">
      <c r="D3289" s="28"/>
      <c r="F3289" s="28"/>
      <c r="H3289" s="28"/>
    </row>
    <row r="3290" spans="4:8" x14ac:dyDescent="0.25">
      <c r="D3290" s="28"/>
      <c r="F3290" s="28"/>
      <c r="H3290" s="28"/>
    </row>
    <row r="3291" spans="4:8" x14ac:dyDescent="0.25">
      <c r="D3291" s="28"/>
      <c r="F3291" s="28"/>
      <c r="H3291" s="28"/>
    </row>
    <row r="3292" spans="4:8" x14ac:dyDescent="0.25">
      <c r="D3292" s="28"/>
      <c r="F3292" s="28"/>
      <c r="H3292" s="28"/>
    </row>
    <row r="3293" spans="4:8" x14ac:dyDescent="0.25">
      <c r="D3293" s="28"/>
      <c r="F3293" s="28"/>
      <c r="H3293" s="28"/>
    </row>
    <row r="3294" spans="4:8" x14ac:dyDescent="0.25">
      <c r="D3294" s="28"/>
      <c r="F3294" s="28"/>
      <c r="H3294" s="28"/>
    </row>
    <row r="3295" spans="4:8" x14ac:dyDescent="0.25">
      <c r="D3295" s="28"/>
      <c r="F3295" s="28"/>
      <c r="H3295" s="28"/>
    </row>
    <row r="3296" spans="4:8" x14ac:dyDescent="0.25">
      <c r="D3296" s="28"/>
      <c r="F3296" s="28"/>
      <c r="H3296" s="28"/>
    </row>
    <row r="3297" spans="4:8" x14ac:dyDescent="0.25">
      <c r="D3297" s="28"/>
      <c r="F3297" s="28"/>
      <c r="H3297" s="28"/>
    </row>
    <row r="3298" spans="4:8" x14ac:dyDescent="0.25">
      <c r="D3298" s="28"/>
      <c r="F3298" s="28"/>
      <c r="H3298" s="28"/>
    </row>
    <row r="3299" spans="4:8" x14ac:dyDescent="0.25">
      <c r="D3299" s="28"/>
      <c r="F3299" s="28"/>
      <c r="H3299" s="28"/>
    </row>
    <row r="3300" spans="4:8" x14ac:dyDescent="0.25">
      <c r="D3300" s="28"/>
      <c r="F3300" s="28"/>
      <c r="H3300" s="28"/>
    </row>
    <row r="3301" spans="4:8" x14ac:dyDescent="0.25">
      <c r="D3301" s="28"/>
      <c r="F3301" s="28"/>
      <c r="H3301" s="28"/>
    </row>
    <row r="3302" spans="4:8" x14ac:dyDescent="0.25">
      <c r="D3302" s="28"/>
      <c r="F3302" s="28"/>
      <c r="H3302" s="28"/>
    </row>
    <row r="3303" spans="4:8" x14ac:dyDescent="0.25">
      <c r="D3303" s="28"/>
      <c r="F3303" s="28"/>
      <c r="H3303" s="28"/>
    </row>
    <row r="3304" spans="4:8" x14ac:dyDescent="0.25">
      <c r="D3304" s="28"/>
      <c r="F3304" s="28"/>
      <c r="H3304" s="28"/>
    </row>
    <row r="3305" spans="4:8" x14ac:dyDescent="0.25">
      <c r="D3305" s="28"/>
      <c r="F3305" s="28"/>
      <c r="H3305" s="28"/>
    </row>
    <row r="3306" spans="4:8" x14ac:dyDescent="0.25">
      <c r="D3306" s="28"/>
      <c r="F3306" s="28"/>
      <c r="H3306" s="28"/>
    </row>
    <row r="3307" spans="4:8" x14ac:dyDescent="0.25">
      <c r="D3307" s="28"/>
      <c r="F3307" s="28"/>
      <c r="H3307" s="28"/>
    </row>
    <row r="3308" spans="4:8" x14ac:dyDescent="0.25">
      <c r="D3308" s="28"/>
      <c r="F3308" s="28"/>
      <c r="H3308" s="28"/>
    </row>
    <row r="3309" spans="4:8" x14ac:dyDescent="0.25">
      <c r="D3309" s="28"/>
      <c r="F3309" s="28"/>
      <c r="H3309" s="28"/>
    </row>
    <row r="3310" spans="4:8" x14ac:dyDescent="0.25">
      <c r="D3310" s="28"/>
      <c r="F3310" s="28"/>
      <c r="H3310" s="28"/>
    </row>
    <row r="3311" spans="4:8" x14ac:dyDescent="0.25">
      <c r="D3311" s="28"/>
      <c r="F3311" s="28"/>
      <c r="H3311" s="28"/>
    </row>
    <row r="3312" spans="4:8" x14ac:dyDescent="0.25">
      <c r="D3312" s="28"/>
      <c r="F3312" s="28"/>
      <c r="H3312" s="28"/>
    </row>
    <row r="3313" spans="4:8" x14ac:dyDescent="0.25">
      <c r="D3313" s="28"/>
      <c r="F3313" s="28"/>
      <c r="H3313" s="28"/>
    </row>
    <row r="3314" spans="4:8" x14ac:dyDescent="0.25">
      <c r="D3314" s="28"/>
      <c r="F3314" s="28"/>
      <c r="H3314" s="28"/>
    </row>
    <row r="3315" spans="4:8" x14ac:dyDescent="0.25">
      <c r="D3315" s="28"/>
      <c r="F3315" s="28"/>
      <c r="H3315" s="28"/>
    </row>
    <row r="3316" spans="4:8" x14ac:dyDescent="0.25">
      <c r="D3316" s="28"/>
      <c r="F3316" s="28"/>
      <c r="H3316" s="28"/>
    </row>
    <row r="3317" spans="4:8" x14ac:dyDescent="0.25">
      <c r="D3317" s="28"/>
      <c r="F3317" s="28"/>
      <c r="H3317" s="28"/>
    </row>
    <row r="3318" spans="4:8" x14ac:dyDescent="0.25">
      <c r="D3318" s="28"/>
      <c r="F3318" s="28"/>
      <c r="H3318" s="28"/>
    </row>
    <row r="3319" spans="4:8" x14ac:dyDescent="0.25">
      <c r="D3319" s="28"/>
      <c r="F3319" s="28"/>
      <c r="H3319" s="28"/>
    </row>
    <row r="3320" spans="4:8" x14ac:dyDescent="0.25">
      <c r="D3320" s="28"/>
      <c r="F3320" s="28"/>
      <c r="H3320" s="28"/>
    </row>
    <row r="3321" spans="4:8" x14ac:dyDescent="0.25">
      <c r="D3321" s="28"/>
      <c r="F3321" s="28"/>
      <c r="H3321" s="28"/>
    </row>
    <row r="3322" spans="4:8" x14ac:dyDescent="0.25">
      <c r="D3322" s="28"/>
      <c r="F3322" s="28"/>
      <c r="H3322" s="28"/>
    </row>
    <row r="3323" spans="4:8" x14ac:dyDescent="0.25">
      <c r="D3323" s="28"/>
      <c r="F3323" s="28"/>
      <c r="H3323" s="28"/>
    </row>
    <row r="3324" spans="4:8" x14ac:dyDescent="0.25">
      <c r="D3324" s="28"/>
      <c r="F3324" s="28"/>
      <c r="H3324" s="28"/>
    </row>
    <row r="3325" spans="4:8" x14ac:dyDescent="0.25">
      <c r="D3325" s="28"/>
      <c r="F3325" s="28"/>
      <c r="H3325" s="28"/>
    </row>
    <row r="3326" spans="4:8" x14ac:dyDescent="0.25">
      <c r="D3326" s="28"/>
      <c r="F3326" s="28"/>
      <c r="H3326" s="28"/>
    </row>
    <row r="3327" spans="4:8" x14ac:dyDescent="0.25">
      <c r="D3327" s="28"/>
      <c r="F3327" s="28"/>
      <c r="H3327" s="28"/>
    </row>
    <row r="3328" spans="4:8" x14ac:dyDescent="0.25">
      <c r="D3328" s="28"/>
      <c r="F3328" s="28"/>
      <c r="H3328" s="28"/>
    </row>
    <row r="3329" spans="4:8" x14ac:dyDescent="0.25">
      <c r="D3329" s="28"/>
      <c r="F3329" s="28"/>
      <c r="H3329" s="28"/>
    </row>
    <row r="3330" spans="4:8" x14ac:dyDescent="0.25">
      <c r="D3330" s="28"/>
      <c r="F3330" s="28"/>
      <c r="H3330" s="28"/>
    </row>
    <row r="3331" spans="4:8" x14ac:dyDescent="0.25">
      <c r="D3331" s="28"/>
      <c r="F3331" s="28"/>
      <c r="H3331" s="28"/>
    </row>
    <row r="3332" spans="4:8" x14ac:dyDescent="0.25">
      <c r="D3332" s="28"/>
      <c r="F3332" s="28"/>
      <c r="H3332" s="28"/>
    </row>
    <row r="3333" spans="4:8" x14ac:dyDescent="0.25">
      <c r="D3333" s="28"/>
      <c r="F3333" s="28"/>
      <c r="H3333" s="28"/>
    </row>
    <row r="3334" spans="4:8" x14ac:dyDescent="0.25">
      <c r="D3334" s="28"/>
      <c r="F3334" s="28"/>
      <c r="H3334" s="28"/>
    </row>
    <row r="3335" spans="4:8" x14ac:dyDescent="0.25">
      <c r="D3335" s="28"/>
      <c r="F3335" s="28"/>
      <c r="H3335" s="28"/>
    </row>
    <row r="3336" spans="4:8" x14ac:dyDescent="0.25">
      <c r="D3336" s="28"/>
      <c r="F3336" s="28"/>
      <c r="H3336" s="28"/>
    </row>
    <row r="3337" spans="4:8" x14ac:dyDescent="0.25">
      <c r="D3337" s="28"/>
      <c r="F3337" s="28"/>
      <c r="H3337" s="28"/>
    </row>
    <row r="3338" spans="4:8" x14ac:dyDescent="0.25">
      <c r="D3338" s="28"/>
      <c r="F3338" s="28"/>
      <c r="H3338" s="28"/>
    </row>
    <row r="3339" spans="4:8" x14ac:dyDescent="0.25">
      <c r="D3339" s="28"/>
      <c r="F3339" s="28"/>
      <c r="H3339" s="28"/>
    </row>
    <row r="3340" spans="4:8" x14ac:dyDescent="0.25">
      <c r="D3340" s="28"/>
      <c r="F3340" s="28"/>
      <c r="H3340" s="28"/>
    </row>
    <row r="3341" spans="4:8" x14ac:dyDescent="0.25">
      <c r="D3341" s="28"/>
      <c r="F3341" s="28"/>
      <c r="H3341" s="28"/>
    </row>
    <row r="3342" spans="4:8" x14ac:dyDescent="0.25">
      <c r="D3342" s="28"/>
      <c r="F3342" s="28"/>
      <c r="H3342" s="28"/>
    </row>
    <row r="3343" spans="4:8" x14ac:dyDescent="0.25">
      <c r="D3343" s="28"/>
      <c r="F3343" s="28"/>
      <c r="H3343" s="28"/>
    </row>
    <row r="3344" spans="4:8" x14ac:dyDescent="0.25">
      <c r="D3344" s="28"/>
      <c r="F3344" s="28"/>
      <c r="H3344" s="28"/>
    </row>
    <row r="3345" spans="4:8" x14ac:dyDescent="0.25">
      <c r="D3345" s="28"/>
      <c r="F3345" s="28"/>
      <c r="H3345" s="28"/>
    </row>
    <row r="3346" spans="4:8" x14ac:dyDescent="0.25">
      <c r="D3346" s="28"/>
      <c r="F3346" s="28"/>
      <c r="H3346" s="28"/>
    </row>
    <row r="3347" spans="4:8" x14ac:dyDescent="0.25">
      <c r="D3347" s="28"/>
      <c r="F3347" s="28"/>
      <c r="H3347" s="28"/>
    </row>
    <row r="3348" spans="4:8" x14ac:dyDescent="0.25">
      <c r="D3348" s="28"/>
      <c r="F3348" s="28"/>
      <c r="H3348" s="28"/>
    </row>
    <row r="3349" spans="4:8" x14ac:dyDescent="0.25">
      <c r="D3349" s="28"/>
      <c r="F3349" s="28"/>
      <c r="H3349" s="28"/>
    </row>
    <row r="3350" spans="4:8" x14ac:dyDescent="0.25">
      <c r="D3350" s="28"/>
      <c r="F3350" s="28"/>
      <c r="H3350" s="28"/>
    </row>
    <row r="3351" spans="4:8" x14ac:dyDescent="0.25">
      <c r="D3351" s="28"/>
      <c r="F3351" s="28"/>
      <c r="H3351" s="28"/>
    </row>
    <row r="3352" spans="4:8" x14ac:dyDescent="0.25">
      <c r="D3352" s="28"/>
      <c r="F3352" s="28"/>
      <c r="H3352" s="28"/>
    </row>
    <row r="3353" spans="4:8" x14ac:dyDescent="0.25">
      <c r="D3353" s="28"/>
      <c r="F3353" s="28"/>
      <c r="H3353" s="28"/>
    </row>
    <row r="3354" spans="4:8" x14ac:dyDescent="0.25">
      <c r="D3354" s="28"/>
      <c r="F3354" s="28"/>
      <c r="H3354" s="28"/>
    </row>
    <row r="3355" spans="4:8" x14ac:dyDescent="0.25">
      <c r="D3355" s="28"/>
      <c r="F3355" s="28"/>
      <c r="H3355" s="28"/>
    </row>
    <row r="3356" spans="4:8" x14ac:dyDescent="0.25">
      <c r="D3356" s="28"/>
      <c r="F3356" s="28"/>
      <c r="H3356" s="28"/>
    </row>
    <row r="3357" spans="4:8" x14ac:dyDescent="0.25">
      <c r="D3357" s="28"/>
      <c r="F3357" s="28"/>
      <c r="H3357" s="28"/>
    </row>
    <row r="3358" spans="4:8" x14ac:dyDescent="0.25">
      <c r="D3358" s="28"/>
      <c r="F3358" s="28"/>
      <c r="H3358" s="28"/>
    </row>
    <row r="3359" spans="4:8" x14ac:dyDescent="0.25">
      <c r="D3359" s="28"/>
      <c r="F3359" s="28"/>
      <c r="H3359" s="28"/>
    </row>
    <row r="3360" spans="4:8" x14ac:dyDescent="0.25">
      <c r="D3360" s="28"/>
      <c r="F3360" s="28"/>
      <c r="H3360" s="28"/>
    </row>
    <row r="3361" spans="4:8" x14ac:dyDescent="0.25">
      <c r="D3361" s="28"/>
      <c r="F3361" s="28"/>
      <c r="H3361" s="28"/>
    </row>
    <row r="3362" spans="4:8" x14ac:dyDescent="0.25">
      <c r="D3362" s="28"/>
      <c r="F3362" s="28"/>
      <c r="H3362" s="28"/>
    </row>
    <row r="3363" spans="4:8" x14ac:dyDescent="0.25">
      <c r="D3363" s="28"/>
      <c r="F3363" s="28"/>
      <c r="H3363" s="28"/>
    </row>
    <row r="3364" spans="4:8" x14ac:dyDescent="0.25">
      <c r="D3364" s="28"/>
      <c r="F3364" s="28"/>
      <c r="H3364" s="28"/>
    </row>
    <row r="3365" spans="4:8" x14ac:dyDescent="0.25">
      <c r="D3365" s="28"/>
      <c r="F3365" s="28"/>
      <c r="H3365" s="28"/>
    </row>
    <row r="3366" spans="4:8" x14ac:dyDescent="0.25">
      <c r="D3366" s="28"/>
      <c r="F3366" s="28"/>
      <c r="H3366" s="28"/>
    </row>
    <row r="3367" spans="4:8" x14ac:dyDescent="0.25">
      <c r="D3367" s="28"/>
      <c r="F3367" s="28"/>
      <c r="H3367" s="28"/>
    </row>
    <row r="3368" spans="4:8" x14ac:dyDescent="0.25">
      <c r="D3368" s="28"/>
      <c r="F3368" s="28"/>
      <c r="H3368" s="28"/>
    </row>
    <row r="3369" spans="4:8" x14ac:dyDescent="0.25">
      <c r="D3369" s="28"/>
      <c r="F3369" s="28"/>
      <c r="H3369" s="28"/>
    </row>
    <row r="3370" spans="4:8" x14ac:dyDescent="0.25">
      <c r="D3370" s="28"/>
      <c r="F3370" s="28"/>
      <c r="H3370" s="28"/>
    </row>
    <row r="3371" spans="4:8" x14ac:dyDescent="0.25">
      <c r="D3371" s="28"/>
      <c r="F3371" s="28"/>
      <c r="H3371" s="28"/>
    </row>
    <row r="3372" spans="4:8" x14ac:dyDescent="0.25">
      <c r="D3372" s="28"/>
      <c r="F3372" s="28"/>
      <c r="H3372" s="28"/>
    </row>
    <row r="3373" spans="4:8" x14ac:dyDescent="0.25">
      <c r="D3373" s="28"/>
      <c r="F3373" s="28"/>
      <c r="H3373" s="28"/>
    </row>
    <row r="3374" spans="4:8" x14ac:dyDescent="0.25">
      <c r="D3374" s="28"/>
      <c r="F3374" s="28"/>
      <c r="H3374" s="28"/>
    </row>
    <row r="3375" spans="4:8" x14ac:dyDescent="0.25">
      <c r="D3375" s="28"/>
      <c r="F3375" s="28"/>
      <c r="H3375" s="28"/>
    </row>
    <row r="3376" spans="4:8" x14ac:dyDescent="0.25">
      <c r="D3376" s="28"/>
      <c r="F3376" s="28"/>
      <c r="H3376" s="28"/>
    </row>
    <row r="3377" spans="4:8" x14ac:dyDescent="0.25">
      <c r="D3377" s="28"/>
      <c r="F3377" s="28"/>
      <c r="H3377" s="28"/>
    </row>
    <row r="3378" spans="4:8" x14ac:dyDescent="0.25">
      <c r="D3378" s="28"/>
      <c r="F3378" s="28"/>
      <c r="H3378" s="28"/>
    </row>
    <row r="3379" spans="4:8" x14ac:dyDescent="0.25">
      <c r="D3379" s="28"/>
      <c r="F3379" s="28"/>
      <c r="H3379" s="28"/>
    </row>
    <row r="3380" spans="4:8" x14ac:dyDescent="0.25">
      <c r="D3380" s="28"/>
      <c r="F3380" s="28"/>
      <c r="H3380" s="28"/>
    </row>
    <row r="3381" spans="4:8" x14ac:dyDescent="0.25">
      <c r="D3381" s="28"/>
      <c r="F3381" s="28"/>
      <c r="H3381" s="28"/>
    </row>
    <row r="3382" spans="4:8" x14ac:dyDescent="0.25">
      <c r="D3382" s="28"/>
      <c r="F3382" s="28"/>
      <c r="H3382" s="28"/>
    </row>
    <row r="3383" spans="4:8" x14ac:dyDescent="0.25">
      <c r="D3383" s="28"/>
      <c r="F3383" s="28"/>
      <c r="H3383" s="28"/>
    </row>
    <row r="3384" spans="4:8" x14ac:dyDescent="0.25">
      <c r="D3384" s="28"/>
      <c r="F3384" s="28"/>
      <c r="H3384" s="28"/>
    </row>
    <row r="3385" spans="4:8" x14ac:dyDescent="0.25">
      <c r="D3385" s="28"/>
      <c r="F3385" s="28"/>
      <c r="H3385" s="28"/>
    </row>
    <row r="3386" spans="4:8" x14ac:dyDescent="0.25">
      <c r="D3386" s="28"/>
      <c r="F3386" s="28"/>
      <c r="H3386" s="28"/>
    </row>
    <row r="3387" spans="4:8" x14ac:dyDescent="0.25">
      <c r="D3387" s="28"/>
      <c r="F3387" s="28"/>
      <c r="H3387" s="28"/>
    </row>
    <row r="3388" spans="4:8" x14ac:dyDescent="0.25">
      <c r="D3388" s="28"/>
      <c r="F3388" s="28"/>
      <c r="H3388" s="28"/>
    </row>
    <row r="3389" spans="4:8" x14ac:dyDescent="0.25">
      <c r="D3389" s="28"/>
      <c r="F3389" s="28"/>
      <c r="H3389" s="28"/>
    </row>
    <row r="3390" spans="4:8" x14ac:dyDescent="0.25">
      <c r="D3390" s="28"/>
      <c r="F3390" s="28"/>
      <c r="H3390" s="28"/>
    </row>
    <row r="3391" spans="4:8" x14ac:dyDescent="0.25">
      <c r="D3391" s="28"/>
      <c r="F3391" s="28"/>
      <c r="H3391" s="28"/>
    </row>
    <row r="3392" spans="4:8" x14ac:dyDescent="0.25">
      <c r="D3392" s="28"/>
      <c r="F3392" s="28"/>
      <c r="H3392" s="28"/>
    </row>
    <row r="3393" spans="4:8" x14ac:dyDescent="0.25">
      <c r="D3393" s="28"/>
      <c r="F3393" s="28"/>
      <c r="H3393" s="28"/>
    </row>
    <row r="3394" spans="4:8" x14ac:dyDescent="0.25">
      <c r="D3394" s="28"/>
      <c r="F3394" s="28"/>
      <c r="H3394" s="28"/>
    </row>
    <row r="3395" spans="4:8" x14ac:dyDescent="0.25">
      <c r="D3395" s="28"/>
      <c r="F3395" s="28"/>
      <c r="H3395" s="28"/>
    </row>
    <row r="3396" spans="4:8" x14ac:dyDescent="0.25">
      <c r="D3396" s="28"/>
      <c r="F3396" s="28"/>
      <c r="H3396" s="28"/>
    </row>
    <row r="3397" spans="4:8" x14ac:dyDescent="0.25">
      <c r="D3397" s="28"/>
      <c r="F3397" s="28"/>
      <c r="H3397" s="28"/>
    </row>
    <row r="3398" spans="4:8" x14ac:dyDescent="0.25">
      <c r="D3398" s="28"/>
      <c r="F3398" s="28"/>
      <c r="H3398" s="28"/>
    </row>
    <row r="3399" spans="4:8" x14ac:dyDescent="0.25">
      <c r="D3399" s="28"/>
      <c r="F3399" s="28"/>
      <c r="H3399" s="28"/>
    </row>
    <row r="3400" spans="4:8" x14ac:dyDescent="0.25">
      <c r="D3400" s="28"/>
      <c r="F3400" s="28"/>
      <c r="H3400" s="28"/>
    </row>
    <row r="3401" spans="4:8" x14ac:dyDescent="0.25">
      <c r="D3401" s="28"/>
      <c r="F3401" s="28"/>
      <c r="H3401" s="28"/>
    </row>
    <row r="3402" spans="4:8" x14ac:dyDescent="0.25">
      <c r="D3402" s="28"/>
      <c r="F3402" s="28"/>
      <c r="H3402" s="28"/>
    </row>
    <row r="3403" spans="4:8" x14ac:dyDescent="0.25">
      <c r="D3403" s="28"/>
      <c r="F3403" s="28"/>
      <c r="H3403" s="28"/>
    </row>
    <row r="3404" spans="4:8" x14ac:dyDescent="0.25">
      <c r="D3404" s="28"/>
      <c r="F3404" s="28"/>
      <c r="H3404" s="28"/>
    </row>
    <row r="3405" spans="4:8" x14ac:dyDescent="0.25">
      <c r="D3405" s="28"/>
      <c r="F3405" s="28"/>
      <c r="H3405" s="28"/>
    </row>
    <row r="3406" spans="4:8" x14ac:dyDescent="0.25">
      <c r="D3406" s="28"/>
      <c r="F3406" s="28"/>
      <c r="H3406" s="28"/>
    </row>
    <row r="3407" spans="4:8" x14ac:dyDescent="0.25">
      <c r="D3407" s="28"/>
      <c r="F3407" s="28"/>
      <c r="H3407" s="28"/>
    </row>
    <row r="3408" spans="4:8" x14ac:dyDescent="0.25">
      <c r="D3408" s="28"/>
      <c r="F3408" s="28"/>
      <c r="H3408" s="28"/>
    </row>
    <row r="3409" spans="4:8" x14ac:dyDescent="0.25">
      <c r="D3409" s="28"/>
      <c r="F3409" s="28"/>
      <c r="H3409" s="28"/>
    </row>
    <row r="3410" spans="4:8" x14ac:dyDescent="0.25">
      <c r="D3410" s="28"/>
      <c r="F3410" s="28"/>
      <c r="H3410" s="28"/>
    </row>
    <row r="3411" spans="4:8" x14ac:dyDescent="0.25">
      <c r="D3411" s="28"/>
      <c r="F3411" s="28"/>
      <c r="H3411" s="28"/>
    </row>
    <row r="3412" spans="4:8" x14ac:dyDescent="0.25">
      <c r="D3412" s="28"/>
      <c r="F3412" s="28"/>
      <c r="H3412" s="28"/>
    </row>
    <row r="3413" spans="4:8" x14ac:dyDescent="0.25">
      <c r="D3413" s="28"/>
      <c r="F3413" s="28"/>
      <c r="H3413" s="28"/>
    </row>
    <row r="3414" spans="4:8" x14ac:dyDescent="0.25">
      <c r="D3414" s="28"/>
      <c r="F3414" s="28"/>
      <c r="H3414" s="28"/>
    </row>
    <row r="3415" spans="4:8" x14ac:dyDescent="0.25">
      <c r="D3415" s="28"/>
      <c r="F3415" s="28"/>
      <c r="H3415" s="28"/>
    </row>
    <row r="3416" spans="4:8" x14ac:dyDescent="0.25">
      <c r="D3416" s="28"/>
      <c r="F3416" s="28"/>
      <c r="H3416" s="28"/>
    </row>
    <row r="3417" spans="4:8" x14ac:dyDescent="0.25">
      <c r="D3417" s="28"/>
      <c r="F3417" s="28"/>
      <c r="H3417" s="28"/>
    </row>
    <row r="3418" spans="4:8" x14ac:dyDescent="0.25">
      <c r="D3418" s="28"/>
      <c r="F3418" s="28"/>
      <c r="H3418" s="28"/>
    </row>
    <row r="3419" spans="4:8" x14ac:dyDescent="0.25">
      <c r="D3419" s="28"/>
      <c r="F3419" s="28"/>
      <c r="H3419" s="28"/>
    </row>
    <row r="3420" spans="4:8" x14ac:dyDescent="0.25">
      <c r="D3420" s="28"/>
      <c r="F3420" s="28"/>
      <c r="H3420" s="28"/>
    </row>
    <row r="3421" spans="4:8" x14ac:dyDescent="0.25">
      <c r="D3421" s="28"/>
      <c r="F3421" s="28"/>
      <c r="H3421" s="28"/>
    </row>
    <row r="3422" spans="4:8" x14ac:dyDescent="0.25">
      <c r="D3422" s="28"/>
      <c r="F3422" s="28"/>
      <c r="H3422" s="28"/>
    </row>
    <row r="3423" spans="4:8" x14ac:dyDescent="0.25">
      <c r="D3423" s="28"/>
      <c r="F3423" s="28"/>
      <c r="H3423" s="28"/>
    </row>
    <row r="3424" spans="4:8" x14ac:dyDescent="0.25">
      <c r="D3424" s="28"/>
      <c r="F3424" s="28"/>
      <c r="H3424" s="28"/>
    </row>
    <row r="3425" spans="4:8" x14ac:dyDescent="0.25">
      <c r="D3425" s="28"/>
      <c r="F3425" s="28"/>
      <c r="H3425" s="28"/>
    </row>
    <row r="3426" spans="4:8" x14ac:dyDescent="0.25">
      <c r="D3426" s="28"/>
      <c r="F3426" s="28"/>
      <c r="H3426" s="28"/>
    </row>
    <row r="3427" spans="4:8" x14ac:dyDescent="0.25">
      <c r="D3427" s="28"/>
      <c r="F3427" s="28"/>
      <c r="H3427" s="28"/>
    </row>
    <row r="3428" spans="4:8" x14ac:dyDescent="0.25">
      <c r="D3428" s="28"/>
      <c r="F3428" s="28"/>
      <c r="H3428" s="28"/>
    </row>
    <row r="3429" spans="4:8" x14ac:dyDescent="0.25">
      <c r="D3429" s="28"/>
      <c r="F3429" s="28"/>
      <c r="H3429" s="28"/>
    </row>
    <row r="3430" spans="4:8" x14ac:dyDescent="0.25">
      <c r="D3430" s="28"/>
      <c r="F3430" s="28"/>
      <c r="H3430" s="28"/>
    </row>
    <row r="3431" spans="4:8" x14ac:dyDescent="0.25">
      <c r="D3431" s="28"/>
      <c r="F3431" s="28"/>
      <c r="H3431" s="28"/>
    </row>
    <row r="3432" spans="4:8" x14ac:dyDescent="0.25">
      <c r="D3432" s="28"/>
      <c r="F3432" s="28"/>
      <c r="H3432" s="28"/>
    </row>
    <row r="3433" spans="4:8" x14ac:dyDescent="0.25">
      <c r="D3433" s="28"/>
      <c r="F3433" s="28"/>
      <c r="H3433" s="28"/>
    </row>
    <row r="3434" spans="4:8" x14ac:dyDescent="0.25">
      <c r="D3434" s="28"/>
      <c r="F3434" s="28"/>
      <c r="H3434" s="28"/>
    </row>
    <row r="3435" spans="4:8" x14ac:dyDescent="0.25">
      <c r="D3435" s="28"/>
      <c r="F3435" s="28"/>
      <c r="H3435" s="28"/>
    </row>
    <row r="3436" spans="4:8" x14ac:dyDescent="0.25">
      <c r="D3436" s="28"/>
      <c r="F3436" s="28"/>
      <c r="H3436" s="28"/>
    </row>
    <row r="3437" spans="4:8" x14ac:dyDescent="0.25">
      <c r="D3437" s="28"/>
      <c r="F3437" s="28"/>
      <c r="H3437" s="28"/>
    </row>
    <row r="3438" spans="4:8" x14ac:dyDescent="0.25">
      <c r="D3438" s="28"/>
      <c r="F3438" s="28"/>
      <c r="H3438" s="28"/>
    </row>
    <row r="3439" spans="4:8" x14ac:dyDescent="0.25">
      <c r="D3439" s="28"/>
      <c r="F3439" s="28"/>
      <c r="H3439" s="28"/>
    </row>
    <row r="3440" spans="4:8" x14ac:dyDescent="0.25">
      <c r="D3440" s="28"/>
      <c r="F3440" s="28"/>
      <c r="H3440" s="28"/>
    </row>
    <row r="3441" spans="4:8" x14ac:dyDescent="0.25">
      <c r="D3441" s="28"/>
      <c r="F3441" s="28"/>
      <c r="H3441" s="28"/>
    </row>
    <row r="3442" spans="4:8" x14ac:dyDescent="0.25">
      <c r="D3442" s="28"/>
      <c r="F3442" s="28"/>
      <c r="H3442" s="28"/>
    </row>
    <row r="3443" spans="4:8" x14ac:dyDescent="0.25">
      <c r="D3443" s="28"/>
      <c r="F3443" s="28"/>
      <c r="H3443" s="28"/>
    </row>
    <row r="3444" spans="4:8" x14ac:dyDescent="0.25">
      <c r="D3444" s="28"/>
      <c r="F3444" s="28"/>
      <c r="H3444" s="28"/>
    </row>
    <row r="3445" spans="4:8" x14ac:dyDescent="0.25">
      <c r="D3445" s="28"/>
      <c r="F3445" s="28"/>
      <c r="H3445" s="28"/>
    </row>
    <row r="3446" spans="4:8" x14ac:dyDescent="0.25">
      <c r="D3446" s="28"/>
      <c r="F3446" s="28"/>
      <c r="H3446" s="28"/>
    </row>
    <row r="3447" spans="4:8" x14ac:dyDescent="0.25">
      <c r="D3447" s="28"/>
      <c r="F3447" s="28"/>
      <c r="H3447" s="28"/>
    </row>
    <row r="3448" spans="4:8" x14ac:dyDescent="0.25">
      <c r="D3448" s="28"/>
      <c r="F3448" s="28"/>
      <c r="H3448" s="28"/>
    </row>
    <row r="3449" spans="4:8" x14ac:dyDescent="0.25">
      <c r="D3449" s="28"/>
      <c r="F3449" s="28"/>
      <c r="H3449" s="28"/>
    </row>
    <row r="3450" spans="4:8" x14ac:dyDescent="0.25">
      <c r="D3450" s="28"/>
      <c r="F3450" s="28"/>
      <c r="H3450" s="28"/>
    </row>
    <row r="3451" spans="4:8" x14ac:dyDescent="0.25">
      <c r="D3451" s="28"/>
      <c r="F3451" s="28"/>
      <c r="H3451" s="28"/>
    </row>
    <row r="3452" spans="4:8" x14ac:dyDescent="0.25">
      <c r="D3452" s="28"/>
      <c r="F3452" s="28"/>
      <c r="H3452" s="28"/>
    </row>
    <row r="3453" spans="4:8" x14ac:dyDescent="0.25">
      <c r="D3453" s="28"/>
      <c r="F3453" s="28"/>
      <c r="H3453" s="28"/>
    </row>
    <row r="3454" spans="4:8" x14ac:dyDescent="0.25">
      <c r="D3454" s="28"/>
      <c r="F3454" s="28"/>
      <c r="H3454" s="28"/>
    </row>
    <row r="3455" spans="4:8" x14ac:dyDescent="0.25">
      <c r="D3455" s="28"/>
      <c r="F3455" s="28"/>
      <c r="H3455" s="28"/>
    </row>
    <row r="3456" spans="4:8" x14ac:dyDescent="0.25">
      <c r="D3456" s="28"/>
      <c r="F3456" s="28"/>
      <c r="H3456" s="28"/>
    </row>
    <row r="3457" spans="4:8" x14ac:dyDescent="0.25">
      <c r="D3457" s="28"/>
      <c r="F3457" s="28"/>
      <c r="H3457" s="28"/>
    </row>
    <row r="3458" spans="4:8" x14ac:dyDescent="0.25">
      <c r="D3458" s="28"/>
      <c r="F3458" s="28"/>
      <c r="H3458" s="28"/>
    </row>
    <row r="3459" spans="4:8" x14ac:dyDescent="0.25">
      <c r="D3459" s="28"/>
      <c r="F3459" s="28"/>
      <c r="H3459" s="28"/>
    </row>
    <row r="3460" spans="4:8" x14ac:dyDescent="0.25">
      <c r="D3460" s="28"/>
      <c r="F3460" s="28"/>
      <c r="H3460" s="28"/>
    </row>
    <row r="3461" spans="4:8" x14ac:dyDescent="0.25">
      <c r="D3461" s="28"/>
      <c r="F3461" s="28"/>
      <c r="H3461" s="28"/>
    </row>
    <row r="3462" spans="4:8" x14ac:dyDescent="0.25">
      <c r="D3462" s="28"/>
      <c r="F3462" s="28"/>
      <c r="H3462" s="28"/>
    </row>
    <row r="3463" spans="4:8" x14ac:dyDescent="0.25">
      <c r="D3463" s="28"/>
      <c r="F3463" s="28"/>
      <c r="H3463" s="28"/>
    </row>
    <row r="3464" spans="4:8" x14ac:dyDescent="0.25">
      <c r="D3464" s="28"/>
      <c r="F3464" s="28"/>
      <c r="H3464" s="28"/>
    </row>
    <row r="3465" spans="4:8" x14ac:dyDescent="0.25">
      <c r="D3465" s="28"/>
      <c r="F3465" s="28"/>
      <c r="H3465" s="28"/>
    </row>
    <row r="3466" spans="4:8" x14ac:dyDescent="0.25">
      <c r="D3466" s="28"/>
      <c r="F3466" s="28"/>
      <c r="H3466" s="28"/>
    </row>
    <row r="3467" spans="4:8" x14ac:dyDescent="0.25">
      <c r="D3467" s="28"/>
      <c r="F3467" s="28"/>
      <c r="H3467" s="28"/>
    </row>
    <row r="3468" spans="4:8" x14ac:dyDescent="0.25">
      <c r="D3468" s="28"/>
      <c r="F3468" s="28"/>
      <c r="H3468" s="28"/>
    </row>
    <row r="3469" spans="4:8" x14ac:dyDescent="0.25">
      <c r="D3469" s="28"/>
      <c r="F3469" s="28"/>
      <c r="H3469" s="28"/>
    </row>
    <row r="3470" spans="4:8" x14ac:dyDescent="0.25">
      <c r="D3470" s="28"/>
      <c r="F3470" s="28"/>
      <c r="H3470" s="28"/>
    </row>
    <row r="3471" spans="4:8" x14ac:dyDescent="0.25">
      <c r="D3471" s="28"/>
      <c r="F3471" s="28"/>
      <c r="H3471" s="28"/>
    </row>
    <row r="3472" spans="4:8" x14ac:dyDescent="0.25">
      <c r="D3472" s="28"/>
      <c r="F3472" s="28"/>
      <c r="H3472" s="28"/>
    </row>
    <row r="3473" spans="4:8" x14ac:dyDescent="0.25">
      <c r="D3473" s="28"/>
      <c r="F3473" s="28"/>
      <c r="H3473" s="28"/>
    </row>
    <row r="3474" spans="4:8" x14ac:dyDescent="0.25">
      <c r="D3474" s="28"/>
      <c r="F3474" s="28"/>
      <c r="H3474" s="28"/>
    </row>
    <row r="3475" spans="4:8" x14ac:dyDescent="0.25">
      <c r="D3475" s="28"/>
      <c r="F3475" s="28"/>
      <c r="H3475" s="28"/>
    </row>
    <row r="3476" spans="4:8" x14ac:dyDescent="0.25">
      <c r="D3476" s="28"/>
      <c r="F3476" s="28"/>
      <c r="H3476" s="28"/>
    </row>
    <row r="3477" spans="4:8" x14ac:dyDescent="0.25">
      <c r="D3477" s="28"/>
      <c r="F3477" s="28"/>
      <c r="H3477" s="28"/>
    </row>
    <row r="3478" spans="4:8" x14ac:dyDescent="0.25">
      <c r="D3478" s="28"/>
      <c r="F3478" s="28"/>
      <c r="H3478" s="28"/>
    </row>
    <row r="3479" spans="4:8" x14ac:dyDescent="0.25">
      <c r="D3479" s="28"/>
      <c r="F3479" s="28"/>
      <c r="H3479" s="28"/>
    </row>
    <row r="3480" spans="4:8" x14ac:dyDescent="0.25">
      <c r="D3480" s="28"/>
      <c r="F3480" s="28"/>
      <c r="H3480" s="28"/>
    </row>
    <row r="3481" spans="4:8" x14ac:dyDescent="0.25">
      <c r="D3481" s="28"/>
      <c r="F3481" s="28"/>
      <c r="H3481" s="28"/>
    </row>
    <row r="3482" spans="4:8" x14ac:dyDescent="0.25">
      <c r="D3482" s="28"/>
      <c r="F3482" s="28"/>
      <c r="H3482" s="28"/>
    </row>
    <row r="3483" spans="4:8" x14ac:dyDescent="0.25">
      <c r="D3483" s="28"/>
      <c r="F3483" s="28"/>
      <c r="H3483" s="28"/>
    </row>
    <row r="3484" spans="4:8" x14ac:dyDescent="0.25">
      <c r="D3484" s="28"/>
      <c r="F3484" s="28"/>
      <c r="H3484" s="28"/>
    </row>
    <row r="3485" spans="4:8" x14ac:dyDescent="0.25">
      <c r="D3485" s="28"/>
      <c r="F3485" s="28"/>
      <c r="H3485" s="28"/>
    </row>
    <row r="3486" spans="4:8" x14ac:dyDescent="0.25">
      <c r="D3486" s="28"/>
      <c r="F3486" s="28"/>
      <c r="H3486" s="28"/>
    </row>
    <row r="3487" spans="4:8" x14ac:dyDescent="0.25">
      <c r="D3487" s="28"/>
      <c r="F3487" s="28"/>
      <c r="H3487" s="28"/>
    </row>
    <row r="3488" spans="4:8" x14ac:dyDescent="0.25">
      <c r="D3488" s="28"/>
      <c r="F3488" s="28"/>
      <c r="H3488" s="28"/>
    </row>
    <row r="3489" spans="4:8" x14ac:dyDescent="0.25">
      <c r="D3489" s="28"/>
      <c r="F3489" s="28"/>
      <c r="H3489" s="28"/>
    </row>
    <row r="3490" spans="4:8" x14ac:dyDescent="0.25">
      <c r="D3490" s="28"/>
      <c r="F3490" s="28"/>
      <c r="H3490" s="28"/>
    </row>
    <row r="3491" spans="4:8" x14ac:dyDescent="0.25">
      <c r="D3491" s="28"/>
      <c r="F3491" s="28"/>
      <c r="H3491" s="28"/>
    </row>
    <row r="3492" spans="4:8" x14ac:dyDescent="0.25">
      <c r="D3492" s="28"/>
      <c r="F3492" s="28"/>
      <c r="H3492" s="28"/>
    </row>
    <row r="3493" spans="4:8" x14ac:dyDescent="0.25">
      <c r="D3493" s="28"/>
      <c r="F3493" s="28"/>
      <c r="H3493" s="28"/>
    </row>
    <row r="3494" spans="4:8" x14ac:dyDescent="0.25">
      <c r="D3494" s="28"/>
      <c r="F3494" s="28"/>
      <c r="H3494" s="28"/>
    </row>
    <row r="3495" spans="4:8" x14ac:dyDescent="0.25">
      <c r="D3495" s="28"/>
      <c r="F3495" s="28"/>
      <c r="H3495" s="28"/>
    </row>
    <row r="3496" spans="4:8" x14ac:dyDescent="0.25">
      <c r="D3496" s="28"/>
      <c r="F3496" s="28"/>
      <c r="H3496" s="28"/>
    </row>
    <row r="3497" spans="4:8" x14ac:dyDescent="0.25">
      <c r="D3497" s="28"/>
      <c r="F3497" s="28"/>
      <c r="H3497" s="28"/>
    </row>
    <row r="3498" spans="4:8" x14ac:dyDescent="0.25">
      <c r="D3498" s="28"/>
      <c r="F3498" s="28"/>
      <c r="H3498" s="28"/>
    </row>
    <row r="3499" spans="4:8" x14ac:dyDescent="0.25">
      <c r="D3499" s="28"/>
      <c r="F3499" s="28"/>
      <c r="H3499" s="28"/>
    </row>
    <row r="3500" spans="4:8" x14ac:dyDescent="0.25">
      <c r="D3500" s="28"/>
      <c r="F3500" s="28"/>
      <c r="H3500" s="28"/>
    </row>
    <row r="3501" spans="4:8" x14ac:dyDescent="0.25">
      <c r="D3501" s="28"/>
      <c r="F3501" s="28"/>
      <c r="H3501" s="28"/>
    </row>
    <row r="3502" spans="4:8" x14ac:dyDescent="0.25">
      <c r="D3502" s="28"/>
      <c r="F3502" s="28"/>
      <c r="H3502" s="28"/>
    </row>
    <row r="3503" spans="4:8" x14ac:dyDescent="0.25">
      <c r="D3503" s="28"/>
      <c r="F3503" s="28"/>
      <c r="H3503" s="28"/>
    </row>
    <row r="3504" spans="4:8" x14ac:dyDescent="0.25">
      <c r="D3504" s="28"/>
      <c r="F3504" s="28"/>
      <c r="H3504" s="28"/>
    </row>
    <row r="3505" spans="4:8" x14ac:dyDescent="0.25">
      <c r="D3505" s="28"/>
      <c r="F3505" s="28"/>
      <c r="H3505" s="28"/>
    </row>
    <row r="3506" spans="4:8" x14ac:dyDescent="0.25">
      <c r="D3506" s="28"/>
      <c r="F3506" s="28"/>
      <c r="H3506" s="28"/>
    </row>
    <row r="3507" spans="4:8" x14ac:dyDescent="0.25">
      <c r="D3507" s="28"/>
      <c r="F3507" s="28"/>
      <c r="H3507" s="28"/>
    </row>
    <row r="3508" spans="4:8" x14ac:dyDescent="0.25">
      <c r="D3508" s="28"/>
      <c r="F3508" s="28"/>
      <c r="H3508" s="28"/>
    </row>
    <row r="3509" spans="4:8" x14ac:dyDescent="0.25">
      <c r="D3509" s="28"/>
      <c r="F3509" s="28"/>
      <c r="H3509" s="28"/>
    </row>
    <row r="3510" spans="4:8" x14ac:dyDescent="0.25">
      <c r="D3510" s="28"/>
      <c r="F3510" s="28"/>
      <c r="H3510" s="28"/>
    </row>
    <row r="3511" spans="4:8" x14ac:dyDescent="0.25">
      <c r="D3511" s="28"/>
      <c r="F3511" s="28"/>
      <c r="H3511" s="28"/>
    </row>
    <row r="3512" spans="4:8" x14ac:dyDescent="0.25">
      <c r="D3512" s="28"/>
      <c r="F3512" s="28"/>
      <c r="H3512" s="28"/>
    </row>
    <row r="3513" spans="4:8" x14ac:dyDescent="0.25">
      <c r="D3513" s="28"/>
      <c r="F3513" s="28"/>
      <c r="H3513" s="28"/>
    </row>
    <row r="3514" spans="4:8" x14ac:dyDescent="0.25">
      <c r="D3514" s="28"/>
      <c r="F3514" s="28"/>
      <c r="H3514" s="28"/>
    </row>
    <row r="3515" spans="4:8" x14ac:dyDescent="0.25">
      <c r="D3515" s="28"/>
      <c r="F3515" s="28"/>
      <c r="H3515" s="28"/>
    </row>
    <row r="3516" spans="4:8" x14ac:dyDescent="0.25">
      <c r="D3516" s="28"/>
      <c r="F3516" s="28"/>
      <c r="H3516" s="28"/>
    </row>
    <row r="3517" spans="4:8" x14ac:dyDescent="0.25">
      <c r="D3517" s="28"/>
      <c r="F3517" s="28"/>
      <c r="H3517" s="28"/>
    </row>
    <row r="3518" spans="4:8" x14ac:dyDescent="0.25">
      <c r="D3518" s="28"/>
      <c r="F3518" s="28"/>
      <c r="H3518" s="28"/>
    </row>
    <row r="3519" spans="4:8" x14ac:dyDescent="0.25">
      <c r="D3519" s="28"/>
      <c r="F3519" s="28"/>
      <c r="H3519" s="28"/>
    </row>
    <row r="3520" spans="4:8" x14ac:dyDescent="0.25">
      <c r="D3520" s="28"/>
      <c r="F3520" s="28"/>
      <c r="H3520" s="28"/>
    </row>
    <row r="3521" spans="4:8" x14ac:dyDescent="0.25">
      <c r="D3521" s="28"/>
      <c r="F3521" s="28"/>
      <c r="H3521" s="28"/>
    </row>
    <row r="3522" spans="4:8" x14ac:dyDescent="0.25">
      <c r="D3522" s="28"/>
      <c r="F3522" s="28"/>
      <c r="H3522" s="28"/>
    </row>
    <row r="3523" spans="4:8" x14ac:dyDescent="0.25">
      <c r="D3523" s="28"/>
      <c r="F3523" s="28"/>
      <c r="H3523" s="28"/>
    </row>
    <row r="3524" spans="4:8" x14ac:dyDescent="0.25">
      <c r="D3524" s="28"/>
      <c r="F3524" s="28"/>
      <c r="H3524" s="28"/>
    </row>
    <row r="3525" spans="4:8" x14ac:dyDescent="0.25">
      <c r="D3525" s="28"/>
      <c r="F3525" s="28"/>
      <c r="H3525" s="28"/>
    </row>
    <row r="3526" spans="4:8" x14ac:dyDescent="0.25">
      <c r="D3526" s="28"/>
      <c r="F3526" s="28"/>
      <c r="H3526" s="28"/>
    </row>
    <row r="3527" spans="4:8" x14ac:dyDescent="0.25">
      <c r="D3527" s="28"/>
      <c r="F3527" s="28"/>
      <c r="H3527" s="28"/>
    </row>
    <row r="3528" spans="4:8" x14ac:dyDescent="0.25">
      <c r="D3528" s="28"/>
      <c r="F3528" s="28"/>
      <c r="H3528" s="28"/>
    </row>
    <row r="3529" spans="4:8" x14ac:dyDescent="0.25">
      <c r="D3529" s="28"/>
      <c r="F3529" s="28"/>
      <c r="H3529" s="28"/>
    </row>
    <row r="3530" spans="4:8" x14ac:dyDescent="0.25">
      <c r="D3530" s="28"/>
      <c r="F3530" s="28"/>
      <c r="H3530" s="28"/>
    </row>
    <row r="3531" spans="4:8" x14ac:dyDescent="0.25">
      <c r="D3531" s="28"/>
      <c r="F3531" s="28"/>
      <c r="H3531" s="28"/>
    </row>
    <row r="3532" spans="4:8" x14ac:dyDescent="0.25">
      <c r="D3532" s="28"/>
      <c r="F3532" s="28"/>
      <c r="H3532" s="28"/>
    </row>
    <row r="3533" spans="4:8" x14ac:dyDescent="0.25">
      <c r="D3533" s="28"/>
      <c r="F3533" s="28"/>
      <c r="H3533" s="28"/>
    </row>
    <row r="3534" spans="4:8" x14ac:dyDescent="0.25">
      <c r="D3534" s="28"/>
      <c r="F3534" s="28"/>
      <c r="H3534" s="28"/>
    </row>
    <row r="3535" spans="4:8" x14ac:dyDescent="0.25">
      <c r="D3535" s="28"/>
      <c r="F3535" s="28"/>
      <c r="H3535" s="28"/>
    </row>
    <row r="3536" spans="4:8" x14ac:dyDescent="0.25">
      <c r="D3536" s="28"/>
      <c r="F3536" s="28"/>
      <c r="H3536" s="28"/>
    </row>
    <row r="3537" spans="4:8" x14ac:dyDescent="0.25">
      <c r="D3537" s="28"/>
      <c r="F3537" s="28"/>
      <c r="H3537" s="28"/>
    </row>
    <row r="3538" spans="4:8" x14ac:dyDescent="0.25">
      <c r="D3538" s="28"/>
      <c r="F3538" s="28"/>
      <c r="H3538" s="28"/>
    </row>
    <row r="3539" spans="4:8" x14ac:dyDescent="0.25">
      <c r="D3539" s="28"/>
      <c r="F3539" s="28"/>
      <c r="H3539" s="28"/>
    </row>
    <row r="3540" spans="4:8" x14ac:dyDescent="0.25">
      <c r="D3540" s="28"/>
      <c r="F3540" s="28"/>
      <c r="H3540" s="28"/>
    </row>
    <row r="3541" spans="4:8" x14ac:dyDescent="0.25">
      <c r="D3541" s="28"/>
      <c r="F3541" s="28"/>
      <c r="H3541" s="28"/>
    </row>
    <row r="3542" spans="4:8" x14ac:dyDescent="0.25">
      <c r="D3542" s="28"/>
      <c r="F3542" s="28"/>
      <c r="H3542" s="28"/>
    </row>
    <row r="3543" spans="4:8" x14ac:dyDescent="0.25">
      <c r="D3543" s="28"/>
      <c r="F3543" s="28"/>
      <c r="H3543" s="28"/>
    </row>
    <row r="3544" spans="4:8" x14ac:dyDescent="0.25">
      <c r="D3544" s="28"/>
      <c r="F3544" s="28"/>
      <c r="H3544" s="28"/>
    </row>
    <row r="3545" spans="4:8" x14ac:dyDescent="0.25">
      <c r="D3545" s="28"/>
      <c r="F3545" s="28"/>
      <c r="H3545" s="28"/>
    </row>
    <row r="3546" spans="4:8" x14ac:dyDescent="0.25">
      <c r="D3546" s="28"/>
      <c r="F3546" s="28"/>
      <c r="H3546" s="28"/>
    </row>
    <row r="3547" spans="4:8" x14ac:dyDescent="0.25">
      <c r="D3547" s="28"/>
      <c r="F3547" s="28"/>
      <c r="H3547" s="28"/>
    </row>
    <row r="3548" spans="4:8" x14ac:dyDescent="0.25">
      <c r="D3548" s="28"/>
      <c r="F3548" s="28"/>
      <c r="H3548" s="28"/>
    </row>
    <row r="3549" spans="4:8" x14ac:dyDescent="0.25">
      <c r="D3549" s="28"/>
      <c r="F3549" s="28"/>
      <c r="H3549" s="28"/>
    </row>
    <row r="3550" spans="4:8" x14ac:dyDescent="0.25">
      <c r="D3550" s="28"/>
      <c r="F3550" s="28"/>
      <c r="H3550" s="28"/>
    </row>
    <row r="3551" spans="4:8" x14ac:dyDescent="0.25">
      <c r="D3551" s="28"/>
      <c r="F3551" s="28"/>
      <c r="H3551" s="28"/>
    </row>
    <row r="3552" spans="4:8" x14ac:dyDescent="0.25">
      <c r="D3552" s="28"/>
      <c r="F3552" s="28"/>
      <c r="H3552" s="28"/>
    </row>
    <row r="3553" spans="4:8" x14ac:dyDescent="0.25">
      <c r="D3553" s="28"/>
      <c r="F3553" s="28"/>
      <c r="H3553" s="28"/>
    </row>
    <row r="3554" spans="4:8" x14ac:dyDescent="0.25">
      <c r="D3554" s="28"/>
      <c r="F3554" s="28"/>
      <c r="H3554" s="28"/>
    </row>
    <row r="3555" spans="4:8" x14ac:dyDescent="0.25">
      <c r="D3555" s="28"/>
      <c r="F3555" s="28"/>
      <c r="H3555" s="28"/>
    </row>
    <row r="3556" spans="4:8" x14ac:dyDescent="0.25">
      <c r="D3556" s="28"/>
      <c r="F3556" s="28"/>
      <c r="H3556" s="28"/>
    </row>
    <row r="3557" spans="4:8" x14ac:dyDescent="0.25">
      <c r="D3557" s="28"/>
      <c r="F3557" s="28"/>
      <c r="H3557" s="28"/>
    </row>
    <row r="3558" spans="4:8" x14ac:dyDescent="0.25">
      <c r="D3558" s="28"/>
      <c r="F3558" s="28"/>
      <c r="H3558" s="28"/>
    </row>
    <row r="3559" spans="4:8" x14ac:dyDescent="0.25">
      <c r="D3559" s="28"/>
      <c r="F3559" s="28"/>
      <c r="H3559" s="28"/>
    </row>
    <row r="3560" spans="4:8" x14ac:dyDescent="0.25">
      <c r="D3560" s="28"/>
      <c r="F3560" s="28"/>
      <c r="H3560" s="28"/>
    </row>
    <row r="3561" spans="4:8" x14ac:dyDescent="0.25">
      <c r="D3561" s="28"/>
      <c r="F3561" s="28"/>
      <c r="H3561" s="28"/>
    </row>
    <row r="3562" spans="4:8" x14ac:dyDescent="0.25">
      <c r="D3562" s="28"/>
      <c r="F3562" s="28"/>
      <c r="H3562" s="28"/>
    </row>
    <row r="3563" spans="4:8" x14ac:dyDescent="0.25">
      <c r="D3563" s="28"/>
      <c r="F3563" s="28"/>
      <c r="H3563" s="28"/>
    </row>
    <row r="3564" spans="4:8" x14ac:dyDescent="0.25">
      <c r="D3564" s="28"/>
      <c r="F3564" s="28"/>
      <c r="H3564" s="28"/>
    </row>
    <row r="3565" spans="4:8" x14ac:dyDescent="0.25">
      <c r="D3565" s="28"/>
      <c r="F3565" s="28"/>
      <c r="H3565" s="28"/>
    </row>
    <row r="3566" spans="4:8" x14ac:dyDescent="0.25">
      <c r="D3566" s="28"/>
      <c r="F3566" s="28"/>
      <c r="H3566" s="28"/>
    </row>
    <row r="3567" spans="4:8" x14ac:dyDescent="0.25">
      <c r="D3567" s="28"/>
      <c r="F3567" s="28"/>
      <c r="H3567" s="28"/>
    </row>
    <row r="3568" spans="4:8" x14ac:dyDescent="0.25">
      <c r="D3568" s="28"/>
      <c r="F3568" s="28"/>
      <c r="H3568" s="28"/>
    </row>
    <row r="3569" spans="4:8" x14ac:dyDescent="0.25">
      <c r="D3569" s="28"/>
      <c r="F3569" s="28"/>
      <c r="H3569" s="28"/>
    </row>
    <row r="3570" spans="4:8" x14ac:dyDescent="0.25">
      <c r="D3570" s="28"/>
      <c r="F3570" s="28"/>
      <c r="H3570" s="28"/>
    </row>
    <row r="3571" spans="4:8" x14ac:dyDescent="0.25">
      <c r="D3571" s="28"/>
      <c r="F3571" s="28"/>
      <c r="H3571" s="28"/>
    </row>
    <row r="3572" spans="4:8" x14ac:dyDescent="0.25">
      <c r="D3572" s="28"/>
      <c r="F3572" s="28"/>
      <c r="H3572" s="28"/>
    </row>
    <row r="3573" spans="4:8" x14ac:dyDescent="0.25">
      <c r="D3573" s="28"/>
      <c r="F3573" s="28"/>
      <c r="H3573" s="28"/>
    </row>
    <row r="3574" spans="4:8" x14ac:dyDescent="0.25">
      <c r="D3574" s="28"/>
      <c r="F3574" s="28"/>
      <c r="H3574" s="28"/>
    </row>
    <row r="3575" spans="4:8" x14ac:dyDescent="0.25">
      <c r="D3575" s="28"/>
      <c r="F3575" s="28"/>
      <c r="H3575" s="28"/>
    </row>
    <row r="3576" spans="4:8" x14ac:dyDescent="0.25">
      <c r="D3576" s="28"/>
      <c r="F3576" s="28"/>
      <c r="H3576" s="28"/>
    </row>
    <row r="3577" spans="4:8" x14ac:dyDescent="0.25">
      <c r="D3577" s="28"/>
      <c r="F3577" s="28"/>
      <c r="H3577" s="28"/>
    </row>
    <row r="3578" spans="4:8" x14ac:dyDescent="0.25">
      <c r="D3578" s="28"/>
      <c r="F3578" s="28"/>
      <c r="H3578" s="28"/>
    </row>
    <row r="3579" spans="4:8" x14ac:dyDescent="0.25">
      <c r="D3579" s="28"/>
      <c r="F3579" s="28"/>
      <c r="H3579" s="28"/>
    </row>
    <row r="3580" spans="4:8" x14ac:dyDescent="0.25">
      <c r="D3580" s="28"/>
      <c r="F3580" s="28"/>
      <c r="H3580" s="28"/>
    </row>
    <row r="3581" spans="4:8" x14ac:dyDescent="0.25">
      <c r="D3581" s="28"/>
      <c r="F3581" s="28"/>
      <c r="H3581" s="28"/>
    </row>
    <row r="3582" spans="4:8" x14ac:dyDescent="0.25">
      <c r="D3582" s="28"/>
      <c r="F3582" s="28"/>
      <c r="H3582" s="28"/>
    </row>
    <row r="3583" spans="4:8" x14ac:dyDescent="0.25">
      <c r="D3583" s="28"/>
      <c r="F3583" s="28"/>
      <c r="H3583" s="28"/>
    </row>
    <row r="3584" spans="4:8" x14ac:dyDescent="0.25">
      <c r="D3584" s="28"/>
      <c r="F3584" s="28"/>
      <c r="H3584" s="28"/>
    </row>
    <row r="3585" spans="4:8" x14ac:dyDescent="0.25">
      <c r="D3585" s="28"/>
      <c r="F3585" s="28"/>
      <c r="H3585" s="28"/>
    </row>
    <row r="3586" spans="4:8" x14ac:dyDescent="0.25">
      <c r="D3586" s="28"/>
      <c r="F3586" s="28"/>
      <c r="H3586" s="28"/>
    </row>
    <row r="3587" spans="4:8" x14ac:dyDescent="0.25">
      <c r="D3587" s="28"/>
      <c r="F3587" s="28"/>
      <c r="H3587" s="28"/>
    </row>
    <row r="3588" spans="4:8" x14ac:dyDescent="0.25">
      <c r="D3588" s="28"/>
      <c r="F3588" s="28"/>
      <c r="H3588" s="28"/>
    </row>
    <row r="3589" spans="4:8" x14ac:dyDescent="0.25">
      <c r="D3589" s="28"/>
      <c r="F3589" s="28"/>
      <c r="H3589" s="28"/>
    </row>
    <row r="3590" spans="4:8" x14ac:dyDescent="0.25">
      <c r="D3590" s="28"/>
      <c r="F3590" s="28"/>
      <c r="H3590" s="28"/>
    </row>
    <row r="3591" spans="4:8" x14ac:dyDescent="0.25">
      <c r="D3591" s="28"/>
      <c r="F3591" s="28"/>
      <c r="H3591" s="28"/>
    </row>
    <row r="3592" spans="4:8" x14ac:dyDescent="0.25">
      <c r="D3592" s="28"/>
      <c r="F3592" s="28"/>
      <c r="H3592" s="28"/>
    </row>
    <row r="3593" spans="4:8" x14ac:dyDescent="0.25">
      <c r="D3593" s="28"/>
      <c r="F3593" s="28"/>
      <c r="H3593" s="28"/>
    </row>
    <row r="3594" spans="4:8" x14ac:dyDescent="0.25">
      <c r="D3594" s="28"/>
      <c r="F3594" s="28"/>
      <c r="H3594" s="28"/>
    </row>
    <row r="3595" spans="4:8" x14ac:dyDescent="0.25">
      <c r="D3595" s="28"/>
      <c r="F3595" s="28"/>
      <c r="H3595" s="28"/>
    </row>
    <row r="3596" spans="4:8" x14ac:dyDescent="0.25">
      <c r="D3596" s="28"/>
      <c r="F3596" s="28"/>
      <c r="H3596" s="28"/>
    </row>
    <row r="3597" spans="4:8" x14ac:dyDescent="0.25">
      <c r="D3597" s="28"/>
      <c r="F3597" s="28"/>
      <c r="H3597" s="28"/>
    </row>
    <row r="3598" spans="4:8" x14ac:dyDescent="0.25">
      <c r="D3598" s="28"/>
      <c r="F3598" s="28"/>
      <c r="H3598" s="28"/>
    </row>
    <row r="3599" spans="4:8" x14ac:dyDescent="0.25">
      <c r="D3599" s="28"/>
      <c r="F3599" s="28"/>
      <c r="H3599" s="28"/>
    </row>
    <row r="3600" spans="4:8" x14ac:dyDescent="0.25">
      <c r="D3600" s="28"/>
      <c r="F3600" s="28"/>
      <c r="H3600" s="28"/>
    </row>
    <row r="3601" spans="4:8" x14ac:dyDescent="0.25">
      <c r="D3601" s="28"/>
      <c r="F3601" s="28"/>
      <c r="H3601" s="28"/>
    </row>
    <row r="3602" spans="4:8" x14ac:dyDescent="0.25">
      <c r="D3602" s="28"/>
      <c r="F3602" s="28"/>
      <c r="H3602" s="28"/>
    </row>
    <row r="3603" spans="4:8" x14ac:dyDescent="0.25">
      <c r="D3603" s="28"/>
      <c r="F3603" s="28"/>
      <c r="H3603" s="28"/>
    </row>
    <row r="3604" spans="4:8" x14ac:dyDescent="0.25">
      <c r="D3604" s="28"/>
      <c r="F3604" s="28"/>
      <c r="H3604" s="28"/>
    </row>
    <row r="3605" spans="4:8" x14ac:dyDescent="0.25">
      <c r="D3605" s="28"/>
      <c r="F3605" s="28"/>
      <c r="H3605" s="28"/>
    </row>
    <row r="3606" spans="4:8" x14ac:dyDescent="0.25">
      <c r="D3606" s="28"/>
      <c r="F3606" s="28"/>
      <c r="H3606" s="28"/>
    </row>
    <row r="3607" spans="4:8" x14ac:dyDescent="0.25">
      <c r="D3607" s="28"/>
      <c r="F3607" s="28"/>
      <c r="H3607" s="28"/>
    </row>
    <row r="3608" spans="4:8" x14ac:dyDescent="0.25">
      <c r="D3608" s="28"/>
      <c r="F3608" s="28"/>
      <c r="H3608" s="28"/>
    </row>
    <row r="3609" spans="4:8" x14ac:dyDescent="0.25">
      <c r="D3609" s="28"/>
      <c r="F3609" s="28"/>
      <c r="H3609" s="28"/>
    </row>
    <row r="3610" spans="4:8" x14ac:dyDescent="0.25">
      <c r="D3610" s="28"/>
      <c r="F3610" s="28"/>
      <c r="H3610" s="28"/>
    </row>
    <row r="3611" spans="4:8" x14ac:dyDescent="0.25">
      <c r="D3611" s="28"/>
      <c r="F3611" s="28"/>
      <c r="H3611" s="28"/>
    </row>
    <row r="3612" spans="4:8" x14ac:dyDescent="0.25">
      <c r="D3612" s="28"/>
      <c r="F3612" s="28"/>
      <c r="H3612" s="28"/>
    </row>
    <row r="3613" spans="4:8" x14ac:dyDescent="0.25">
      <c r="D3613" s="28"/>
      <c r="F3613" s="28"/>
      <c r="H3613" s="28"/>
    </row>
    <row r="3614" spans="4:8" x14ac:dyDescent="0.25">
      <c r="D3614" s="28"/>
      <c r="F3614" s="28"/>
      <c r="H3614" s="28"/>
    </row>
    <row r="3615" spans="4:8" x14ac:dyDescent="0.25">
      <c r="D3615" s="28"/>
      <c r="F3615" s="28"/>
      <c r="H3615" s="28"/>
    </row>
    <row r="3616" spans="4:8" x14ac:dyDescent="0.25">
      <c r="D3616" s="28"/>
      <c r="F3616" s="28"/>
      <c r="H3616" s="28"/>
    </row>
    <row r="3617" spans="4:8" x14ac:dyDescent="0.25">
      <c r="D3617" s="28"/>
      <c r="F3617" s="28"/>
      <c r="H3617" s="28"/>
    </row>
    <row r="3618" spans="4:8" x14ac:dyDescent="0.25">
      <c r="D3618" s="28"/>
      <c r="F3618" s="28"/>
      <c r="H3618" s="28"/>
    </row>
    <row r="3619" spans="4:8" x14ac:dyDescent="0.25">
      <c r="D3619" s="28"/>
      <c r="F3619" s="28"/>
      <c r="H3619" s="28"/>
    </row>
    <row r="3620" spans="4:8" x14ac:dyDescent="0.25">
      <c r="D3620" s="28"/>
      <c r="F3620" s="28"/>
      <c r="H3620" s="28"/>
    </row>
    <row r="3621" spans="4:8" x14ac:dyDescent="0.25">
      <c r="D3621" s="28"/>
      <c r="F3621" s="28"/>
      <c r="H3621" s="28"/>
    </row>
    <row r="3622" spans="4:8" x14ac:dyDescent="0.25">
      <c r="D3622" s="28"/>
      <c r="F3622" s="28"/>
      <c r="H3622" s="28"/>
    </row>
    <row r="3623" spans="4:8" x14ac:dyDescent="0.25">
      <c r="D3623" s="28"/>
      <c r="F3623" s="28"/>
      <c r="H3623" s="28"/>
    </row>
    <row r="3624" spans="4:8" x14ac:dyDescent="0.25">
      <c r="D3624" s="28"/>
      <c r="F3624" s="28"/>
      <c r="H3624" s="28"/>
    </row>
    <row r="3625" spans="4:8" x14ac:dyDescent="0.25">
      <c r="D3625" s="28"/>
      <c r="F3625" s="28"/>
      <c r="H3625" s="28"/>
    </row>
    <row r="3626" spans="4:8" x14ac:dyDescent="0.25">
      <c r="D3626" s="28"/>
      <c r="F3626" s="28"/>
      <c r="H3626" s="28"/>
    </row>
    <row r="3627" spans="4:8" x14ac:dyDescent="0.25">
      <c r="D3627" s="28"/>
      <c r="F3627" s="28"/>
      <c r="H3627" s="28"/>
    </row>
    <row r="3628" spans="4:8" x14ac:dyDescent="0.25">
      <c r="D3628" s="28"/>
      <c r="F3628" s="28"/>
      <c r="H3628" s="28"/>
    </row>
    <row r="3629" spans="4:8" x14ac:dyDescent="0.25">
      <c r="D3629" s="28"/>
      <c r="F3629" s="28"/>
      <c r="H3629" s="28"/>
    </row>
    <row r="3630" spans="4:8" x14ac:dyDescent="0.25">
      <c r="D3630" s="28"/>
      <c r="F3630" s="28"/>
      <c r="H3630" s="28"/>
    </row>
    <row r="3631" spans="4:8" x14ac:dyDescent="0.25">
      <c r="D3631" s="28"/>
      <c r="F3631" s="28"/>
      <c r="H3631" s="28"/>
    </row>
    <row r="3632" spans="4:8" x14ac:dyDescent="0.25">
      <c r="D3632" s="28"/>
      <c r="F3632" s="28"/>
      <c r="H3632" s="28"/>
    </row>
    <row r="3633" spans="4:8" x14ac:dyDescent="0.25">
      <c r="D3633" s="28"/>
      <c r="F3633" s="28"/>
      <c r="H3633" s="28"/>
    </row>
    <row r="3634" spans="4:8" x14ac:dyDescent="0.25">
      <c r="D3634" s="28"/>
      <c r="F3634" s="28"/>
      <c r="H3634" s="28"/>
    </row>
    <row r="3635" spans="4:8" x14ac:dyDescent="0.25">
      <c r="D3635" s="28"/>
      <c r="F3635" s="28"/>
      <c r="H3635" s="28"/>
    </row>
    <row r="3636" spans="4:8" x14ac:dyDescent="0.25">
      <c r="D3636" s="28"/>
      <c r="F3636" s="28"/>
      <c r="H3636" s="28"/>
    </row>
    <row r="3637" spans="4:8" x14ac:dyDescent="0.25">
      <c r="D3637" s="28"/>
      <c r="F3637" s="28"/>
      <c r="H3637" s="28"/>
    </row>
    <row r="3638" spans="4:8" x14ac:dyDescent="0.25">
      <c r="D3638" s="28"/>
      <c r="F3638" s="28"/>
      <c r="H3638" s="28"/>
    </row>
    <row r="3639" spans="4:8" x14ac:dyDescent="0.25">
      <c r="D3639" s="28"/>
      <c r="F3639" s="28"/>
      <c r="H3639" s="28"/>
    </row>
    <row r="3640" spans="4:8" x14ac:dyDescent="0.25">
      <c r="D3640" s="28"/>
      <c r="F3640" s="28"/>
      <c r="H3640" s="28"/>
    </row>
    <row r="3641" spans="4:8" x14ac:dyDescent="0.25">
      <c r="D3641" s="28"/>
      <c r="F3641" s="28"/>
      <c r="H3641" s="28"/>
    </row>
    <row r="3642" spans="4:8" x14ac:dyDescent="0.25">
      <c r="D3642" s="28"/>
      <c r="F3642" s="28"/>
      <c r="H3642" s="28"/>
    </row>
    <row r="3643" spans="4:8" x14ac:dyDescent="0.25">
      <c r="D3643" s="28"/>
      <c r="F3643" s="28"/>
      <c r="H3643" s="28"/>
    </row>
    <row r="3644" spans="4:8" x14ac:dyDescent="0.25">
      <c r="D3644" s="28"/>
      <c r="F3644" s="28"/>
      <c r="H3644" s="28"/>
    </row>
    <row r="3645" spans="4:8" x14ac:dyDescent="0.25">
      <c r="D3645" s="28"/>
      <c r="F3645" s="28"/>
      <c r="H3645" s="28"/>
    </row>
    <row r="3646" spans="4:8" x14ac:dyDescent="0.25">
      <c r="D3646" s="28"/>
      <c r="F3646" s="28"/>
      <c r="H3646" s="28"/>
    </row>
    <row r="3647" spans="4:8" x14ac:dyDescent="0.25">
      <c r="D3647" s="28"/>
      <c r="F3647" s="28"/>
      <c r="H3647" s="28"/>
    </row>
    <row r="3648" spans="4:8" x14ac:dyDescent="0.25">
      <c r="D3648" s="28"/>
      <c r="F3648" s="28"/>
      <c r="H3648" s="28"/>
    </row>
    <row r="3649" spans="4:8" x14ac:dyDescent="0.25">
      <c r="D3649" s="28"/>
      <c r="F3649" s="28"/>
      <c r="H3649" s="28"/>
    </row>
    <row r="3650" spans="4:8" x14ac:dyDescent="0.25">
      <c r="D3650" s="28"/>
      <c r="F3650" s="28"/>
      <c r="H3650" s="28"/>
    </row>
    <row r="3651" spans="4:8" x14ac:dyDescent="0.25">
      <c r="D3651" s="28"/>
      <c r="F3651" s="28"/>
      <c r="H3651" s="28"/>
    </row>
    <row r="3652" spans="4:8" x14ac:dyDescent="0.25">
      <c r="D3652" s="28"/>
      <c r="F3652" s="28"/>
      <c r="H3652" s="28"/>
    </row>
    <row r="3653" spans="4:8" x14ac:dyDescent="0.25">
      <c r="D3653" s="28"/>
      <c r="F3653" s="28"/>
      <c r="H3653" s="28"/>
    </row>
    <row r="3654" spans="4:8" x14ac:dyDescent="0.25">
      <c r="D3654" s="28"/>
      <c r="F3654" s="28"/>
      <c r="H3654" s="28"/>
    </row>
    <row r="3655" spans="4:8" x14ac:dyDescent="0.25">
      <c r="D3655" s="28"/>
      <c r="F3655" s="28"/>
      <c r="H3655" s="28"/>
    </row>
    <row r="3656" spans="4:8" x14ac:dyDescent="0.25">
      <c r="D3656" s="28"/>
      <c r="F3656" s="28"/>
      <c r="H3656" s="28"/>
    </row>
    <row r="3657" spans="4:8" x14ac:dyDescent="0.25">
      <c r="D3657" s="28"/>
      <c r="F3657" s="28"/>
      <c r="H3657" s="28"/>
    </row>
    <row r="3658" spans="4:8" x14ac:dyDescent="0.25">
      <c r="D3658" s="28"/>
      <c r="F3658" s="28"/>
      <c r="H3658" s="28"/>
    </row>
    <row r="3659" spans="4:8" x14ac:dyDescent="0.25">
      <c r="D3659" s="28"/>
      <c r="F3659" s="28"/>
      <c r="H3659" s="28"/>
    </row>
    <row r="3660" spans="4:8" x14ac:dyDescent="0.25">
      <c r="D3660" s="28"/>
      <c r="F3660" s="28"/>
      <c r="H3660" s="28"/>
    </row>
    <row r="3661" spans="4:8" x14ac:dyDescent="0.25">
      <c r="D3661" s="28"/>
      <c r="F3661" s="28"/>
      <c r="H3661" s="28"/>
    </row>
    <row r="3662" spans="4:8" x14ac:dyDescent="0.25">
      <c r="D3662" s="28"/>
      <c r="F3662" s="28"/>
      <c r="H3662" s="28"/>
    </row>
    <row r="3663" spans="4:8" x14ac:dyDescent="0.25">
      <c r="D3663" s="28"/>
      <c r="F3663" s="28"/>
      <c r="H3663" s="28"/>
    </row>
    <row r="3664" spans="4:8" x14ac:dyDescent="0.25">
      <c r="D3664" s="28"/>
      <c r="F3664" s="28"/>
      <c r="H3664" s="28"/>
    </row>
    <row r="3665" spans="4:8" x14ac:dyDescent="0.25">
      <c r="D3665" s="28"/>
      <c r="F3665" s="28"/>
      <c r="H3665" s="28"/>
    </row>
    <row r="3666" spans="4:8" x14ac:dyDescent="0.25">
      <c r="D3666" s="28"/>
      <c r="F3666" s="28"/>
      <c r="H3666" s="28"/>
    </row>
    <row r="3667" spans="4:8" x14ac:dyDescent="0.25">
      <c r="D3667" s="28"/>
      <c r="F3667" s="28"/>
      <c r="H3667" s="28"/>
    </row>
    <row r="3668" spans="4:8" x14ac:dyDescent="0.25">
      <c r="D3668" s="28"/>
      <c r="F3668" s="28"/>
      <c r="H3668" s="28"/>
    </row>
    <row r="3669" spans="4:8" x14ac:dyDescent="0.25">
      <c r="D3669" s="28"/>
      <c r="F3669" s="28"/>
      <c r="H3669" s="28"/>
    </row>
    <row r="3670" spans="4:8" x14ac:dyDescent="0.25">
      <c r="D3670" s="28"/>
      <c r="F3670" s="28"/>
      <c r="H3670" s="28"/>
    </row>
    <row r="3671" spans="4:8" x14ac:dyDescent="0.25">
      <c r="D3671" s="28"/>
      <c r="F3671" s="28"/>
      <c r="H3671" s="28"/>
    </row>
    <row r="3672" spans="4:8" x14ac:dyDescent="0.25">
      <c r="D3672" s="28"/>
      <c r="F3672" s="28"/>
      <c r="H3672" s="28"/>
    </row>
    <row r="3673" spans="4:8" x14ac:dyDescent="0.25">
      <c r="D3673" s="28"/>
      <c r="F3673" s="28"/>
      <c r="H3673" s="28"/>
    </row>
    <row r="3674" spans="4:8" x14ac:dyDescent="0.25">
      <c r="D3674" s="28"/>
      <c r="F3674" s="28"/>
      <c r="H3674" s="28"/>
    </row>
    <row r="3675" spans="4:8" x14ac:dyDescent="0.25">
      <c r="D3675" s="28"/>
      <c r="F3675" s="28"/>
      <c r="H3675" s="28"/>
    </row>
    <row r="3676" spans="4:8" x14ac:dyDescent="0.25">
      <c r="D3676" s="28"/>
      <c r="F3676" s="28"/>
      <c r="H3676" s="28"/>
    </row>
    <row r="3677" spans="4:8" x14ac:dyDescent="0.25">
      <c r="D3677" s="28"/>
      <c r="F3677" s="28"/>
      <c r="H3677" s="28"/>
    </row>
    <row r="3678" spans="4:8" x14ac:dyDescent="0.25">
      <c r="D3678" s="28"/>
      <c r="F3678" s="28"/>
      <c r="H3678" s="28"/>
    </row>
    <row r="3679" spans="4:8" x14ac:dyDescent="0.25">
      <c r="D3679" s="28"/>
      <c r="F3679" s="28"/>
      <c r="H3679" s="28"/>
    </row>
    <row r="3680" spans="4:8" x14ac:dyDescent="0.25">
      <c r="D3680" s="28"/>
      <c r="F3680" s="28"/>
      <c r="H3680" s="28"/>
    </row>
    <row r="3681" spans="4:8" x14ac:dyDescent="0.25">
      <c r="D3681" s="28"/>
      <c r="F3681" s="28"/>
      <c r="H3681" s="28"/>
    </row>
    <row r="3682" spans="4:8" x14ac:dyDescent="0.25">
      <c r="D3682" s="28"/>
      <c r="F3682" s="28"/>
      <c r="H3682" s="28"/>
    </row>
    <row r="3683" spans="4:8" x14ac:dyDescent="0.25">
      <c r="D3683" s="28"/>
      <c r="F3683" s="28"/>
      <c r="H3683" s="28"/>
    </row>
    <row r="3684" spans="4:8" x14ac:dyDescent="0.25">
      <c r="D3684" s="28"/>
      <c r="F3684" s="28"/>
      <c r="H3684" s="28"/>
    </row>
    <row r="3685" spans="4:8" x14ac:dyDescent="0.25">
      <c r="D3685" s="28"/>
      <c r="F3685" s="28"/>
      <c r="H3685" s="28"/>
    </row>
    <row r="3686" spans="4:8" x14ac:dyDescent="0.25">
      <c r="D3686" s="28"/>
      <c r="F3686" s="28"/>
      <c r="H3686" s="28"/>
    </row>
    <row r="3687" spans="4:8" x14ac:dyDescent="0.25">
      <c r="D3687" s="28"/>
      <c r="F3687" s="28"/>
      <c r="H3687" s="28"/>
    </row>
    <row r="3688" spans="4:8" x14ac:dyDescent="0.25">
      <c r="D3688" s="28"/>
      <c r="F3688" s="28"/>
      <c r="H3688" s="28"/>
    </row>
    <row r="3689" spans="4:8" x14ac:dyDescent="0.25">
      <c r="D3689" s="28"/>
      <c r="F3689" s="28"/>
      <c r="H3689" s="28"/>
    </row>
    <row r="3690" spans="4:8" x14ac:dyDescent="0.25">
      <c r="D3690" s="28"/>
      <c r="F3690" s="28"/>
      <c r="H3690" s="28"/>
    </row>
    <row r="3691" spans="4:8" x14ac:dyDescent="0.25">
      <c r="D3691" s="28"/>
      <c r="F3691" s="28"/>
      <c r="H3691" s="28"/>
    </row>
    <row r="3692" spans="4:8" x14ac:dyDescent="0.25">
      <c r="D3692" s="28"/>
      <c r="F3692" s="28"/>
      <c r="H3692" s="28"/>
    </row>
    <row r="3693" spans="4:8" x14ac:dyDescent="0.25">
      <c r="D3693" s="28"/>
      <c r="F3693" s="28"/>
      <c r="H3693" s="28"/>
    </row>
    <row r="3694" spans="4:8" x14ac:dyDescent="0.25">
      <c r="D3694" s="28"/>
      <c r="F3694" s="28"/>
      <c r="H3694" s="28"/>
    </row>
    <row r="3695" spans="4:8" x14ac:dyDescent="0.25">
      <c r="D3695" s="28"/>
      <c r="F3695" s="28"/>
      <c r="H3695" s="28"/>
    </row>
    <row r="3696" spans="4:8" x14ac:dyDescent="0.25">
      <c r="D3696" s="28"/>
      <c r="F3696" s="28"/>
      <c r="H3696" s="28"/>
    </row>
    <row r="3697" spans="4:8" x14ac:dyDescent="0.25">
      <c r="D3697" s="28"/>
      <c r="F3697" s="28"/>
      <c r="H3697" s="28"/>
    </row>
    <row r="3698" spans="4:8" x14ac:dyDescent="0.25">
      <c r="D3698" s="28"/>
      <c r="F3698" s="28"/>
      <c r="H3698" s="28"/>
    </row>
    <row r="3699" spans="4:8" x14ac:dyDescent="0.25">
      <c r="D3699" s="28"/>
      <c r="F3699" s="28"/>
      <c r="H3699" s="28"/>
    </row>
    <row r="3700" spans="4:8" x14ac:dyDescent="0.25">
      <c r="D3700" s="28"/>
      <c r="F3700" s="28"/>
      <c r="H3700" s="28"/>
    </row>
    <row r="3701" spans="4:8" x14ac:dyDescent="0.25">
      <c r="D3701" s="28"/>
      <c r="F3701" s="28"/>
      <c r="H3701" s="28"/>
    </row>
    <row r="3702" spans="4:8" x14ac:dyDescent="0.25">
      <c r="D3702" s="28"/>
      <c r="F3702" s="28"/>
      <c r="H3702" s="28"/>
    </row>
    <row r="3703" spans="4:8" x14ac:dyDescent="0.25">
      <c r="D3703" s="28"/>
      <c r="F3703" s="28"/>
      <c r="H3703" s="28"/>
    </row>
    <row r="3704" spans="4:8" x14ac:dyDescent="0.25">
      <c r="D3704" s="28"/>
      <c r="F3704" s="28"/>
      <c r="H3704" s="28"/>
    </row>
    <row r="3705" spans="4:8" x14ac:dyDescent="0.25">
      <c r="D3705" s="28"/>
      <c r="F3705" s="28"/>
      <c r="H3705" s="28"/>
    </row>
    <row r="3706" spans="4:8" x14ac:dyDescent="0.25">
      <c r="D3706" s="28"/>
      <c r="F3706" s="28"/>
      <c r="H3706" s="28"/>
    </row>
    <row r="3707" spans="4:8" x14ac:dyDescent="0.25">
      <c r="D3707" s="28"/>
      <c r="F3707" s="28"/>
      <c r="H3707" s="28"/>
    </row>
    <row r="3708" spans="4:8" x14ac:dyDescent="0.25">
      <c r="D3708" s="28"/>
      <c r="F3708" s="28"/>
      <c r="H3708" s="28"/>
    </row>
    <row r="3709" spans="4:8" x14ac:dyDescent="0.25">
      <c r="D3709" s="28"/>
      <c r="F3709" s="28"/>
      <c r="H3709" s="28"/>
    </row>
    <row r="3710" spans="4:8" x14ac:dyDescent="0.25">
      <c r="D3710" s="28"/>
      <c r="F3710" s="28"/>
      <c r="H3710" s="28"/>
    </row>
    <row r="3711" spans="4:8" x14ac:dyDescent="0.25">
      <c r="D3711" s="28"/>
      <c r="F3711" s="28"/>
      <c r="H3711" s="28"/>
    </row>
    <row r="3712" spans="4:8" x14ac:dyDescent="0.25">
      <c r="D3712" s="28"/>
      <c r="F3712" s="28"/>
      <c r="H3712" s="28"/>
    </row>
    <row r="3713" spans="4:8" x14ac:dyDescent="0.25">
      <c r="D3713" s="28"/>
      <c r="F3713" s="28"/>
      <c r="H3713" s="28"/>
    </row>
    <row r="3714" spans="4:8" x14ac:dyDescent="0.25">
      <c r="D3714" s="28"/>
      <c r="F3714" s="28"/>
      <c r="H3714" s="28"/>
    </row>
    <row r="3715" spans="4:8" x14ac:dyDescent="0.25">
      <c r="D3715" s="28"/>
      <c r="F3715" s="28"/>
      <c r="H3715" s="28"/>
    </row>
    <row r="3716" spans="4:8" x14ac:dyDescent="0.25">
      <c r="D3716" s="28"/>
      <c r="F3716" s="28"/>
      <c r="H3716" s="28"/>
    </row>
    <row r="3717" spans="4:8" x14ac:dyDescent="0.25">
      <c r="D3717" s="28"/>
      <c r="F3717" s="28"/>
      <c r="H3717" s="28"/>
    </row>
    <row r="3718" spans="4:8" x14ac:dyDescent="0.25">
      <c r="D3718" s="28"/>
      <c r="F3718" s="28"/>
      <c r="H3718" s="28"/>
    </row>
    <row r="3719" spans="4:8" x14ac:dyDescent="0.25">
      <c r="D3719" s="28"/>
      <c r="F3719" s="28"/>
      <c r="H3719" s="28"/>
    </row>
    <row r="3720" spans="4:8" x14ac:dyDescent="0.25">
      <c r="D3720" s="28"/>
      <c r="F3720" s="28"/>
      <c r="H3720" s="28"/>
    </row>
    <row r="3721" spans="4:8" x14ac:dyDescent="0.25">
      <c r="D3721" s="28"/>
      <c r="F3721" s="28"/>
      <c r="H3721" s="28"/>
    </row>
    <row r="3722" spans="4:8" x14ac:dyDescent="0.25">
      <c r="D3722" s="28"/>
      <c r="F3722" s="28"/>
      <c r="H3722" s="28"/>
    </row>
    <row r="3723" spans="4:8" x14ac:dyDescent="0.25">
      <c r="D3723" s="28"/>
      <c r="F3723" s="28"/>
      <c r="H3723" s="28"/>
    </row>
    <row r="3724" spans="4:8" x14ac:dyDescent="0.25">
      <c r="D3724" s="28"/>
      <c r="F3724" s="28"/>
      <c r="H3724" s="28"/>
    </row>
    <row r="3725" spans="4:8" x14ac:dyDescent="0.25">
      <c r="D3725" s="28"/>
      <c r="F3725" s="28"/>
      <c r="H3725" s="28"/>
    </row>
    <row r="3726" spans="4:8" x14ac:dyDescent="0.25">
      <c r="D3726" s="28"/>
      <c r="F3726" s="28"/>
      <c r="H3726" s="28"/>
    </row>
    <row r="3727" spans="4:8" x14ac:dyDescent="0.25">
      <c r="D3727" s="28"/>
      <c r="F3727" s="28"/>
      <c r="H3727" s="28"/>
    </row>
    <row r="3728" spans="4:8" x14ac:dyDescent="0.25">
      <c r="D3728" s="28"/>
      <c r="F3728" s="28"/>
      <c r="H3728" s="28"/>
    </row>
    <row r="3729" spans="4:8" x14ac:dyDescent="0.25">
      <c r="D3729" s="28"/>
      <c r="F3729" s="28"/>
      <c r="H3729" s="28"/>
    </row>
    <row r="3730" spans="4:8" x14ac:dyDescent="0.25">
      <c r="D3730" s="28"/>
      <c r="F3730" s="28"/>
      <c r="H3730" s="28"/>
    </row>
    <row r="3731" spans="4:8" x14ac:dyDescent="0.25">
      <c r="D3731" s="28"/>
      <c r="F3731" s="28"/>
      <c r="H3731" s="28"/>
    </row>
    <row r="3732" spans="4:8" x14ac:dyDescent="0.25">
      <c r="D3732" s="28"/>
      <c r="F3732" s="28"/>
      <c r="H3732" s="28"/>
    </row>
    <row r="3733" spans="4:8" x14ac:dyDescent="0.25">
      <c r="D3733" s="28"/>
      <c r="F3733" s="28"/>
      <c r="H3733" s="28"/>
    </row>
    <row r="3734" spans="4:8" x14ac:dyDescent="0.25">
      <c r="D3734" s="28"/>
      <c r="F3734" s="28"/>
      <c r="H3734" s="28"/>
    </row>
    <row r="3735" spans="4:8" x14ac:dyDescent="0.25">
      <c r="D3735" s="28"/>
      <c r="F3735" s="28"/>
      <c r="H3735" s="28"/>
    </row>
    <row r="3736" spans="4:8" x14ac:dyDescent="0.25">
      <c r="D3736" s="28"/>
      <c r="F3736" s="28"/>
      <c r="H3736" s="28"/>
    </row>
    <row r="3737" spans="4:8" x14ac:dyDescent="0.25">
      <c r="D3737" s="28"/>
      <c r="F3737" s="28"/>
      <c r="H3737" s="28"/>
    </row>
    <row r="3738" spans="4:8" x14ac:dyDescent="0.25">
      <c r="D3738" s="28"/>
      <c r="F3738" s="28"/>
      <c r="H3738" s="28"/>
    </row>
    <row r="3739" spans="4:8" x14ac:dyDescent="0.25">
      <c r="D3739" s="28"/>
      <c r="F3739" s="28"/>
      <c r="H3739" s="28"/>
    </row>
    <row r="3740" spans="4:8" x14ac:dyDescent="0.25">
      <c r="D3740" s="28"/>
      <c r="F3740" s="28"/>
      <c r="H3740" s="28"/>
    </row>
    <row r="3741" spans="4:8" x14ac:dyDescent="0.25">
      <c r="D3741" s="28"/>
      <c r="F3741" s="28"/>
      <c r="H3741" s="28"/>
    </row>
    <row r="3742" spans="4:8" x14ac:dyDescent="0.25">
      <c r="D3742" s="28"/>
      <c r="F3742" s="28"/>
      <c r="H3742" s="28"/>
    </row>
    <row r="3743" spans="4:8" x14ac:dyDescent="0.25">
      <c r="D3743" s="28"/>
      <c r="F3743" s="28"/>
      <c r="H3743" s="28"/>
    </row>
    <row r="3744" spans="4:8" x14ac:dyDescent="0.25">
      <c r="D3744" s="28"/>
      <c r="F3744" s="28"/>
      <c r="H3744" s="28"/>
    </row>
    <row r="3745" spans="4:8" x14ac:dyDescent="0.25">
      <c r="D3745" s="28"/>
      <c r="F3745" s="28"/>
      <c r="H3745" s="28"/>
    </row>
    <row r="3746" spans="4:8" x14ac:dyDescent="0.25">
      <c r="D3746" s="28"/>
      <c r="F3746" s="28"/>
      <c r="H3746" s="28"/>
    </row>
    <row r="3747" spans="4:8" x14ac:dyDescent="0.25">
      <c r="D3747" s="28"/>
      <c r="F3747" s="28"/>
      <c r="H3747" s="28"/>
    </row>
    <row r="3748" spans="4:8" x14ac:dyDescent="0.25">
      <c r="D3748" s="28"/>
      <c r="F3748" s="28"/>
      <c r="H3748" s="28"/>
    </row>
    <row r="3749" spans="4:8" x14ac:dyDescent="0.25">
      <c r="D3749" s="28"/>
      <c r="F3749" s="28"/>
      <c r="H3749" s="28"/>
    </row>
    <row r="3750" spans="4:8" x14ac:dyDescent="0.25">
      <c r="D3750" s="28"/>
      <c r="F3750" s="28"/>
      <c r="H3750" s="28"/>
    </row>
    <row r="3751" spans="4:8" x14ac:dyDescent="0.25">
      <c r="D3751" s="28"/>
      <c r="F3751" s="28"/>
      <c r="H3751" s="28"/>
    </row>
    <row r="3752" spans="4:8" x14ac:dyDescent="0.25">
      <c r="D3752" s="28"/>
      <c r="F3752" s="28"/>
      <c r="H3752" s="28"/>
    </row>
    <row r="3753" spans="4:8" x14ac:dyDescent="0.25">
      <c r="D3753" s="28"/>
      <c r="F3753" s="28"/>
      <c r="H3753" s="28"/>
    </row>
    <row r="3754" spans="4:8" x14ac:dyDescent="0.25">
      <c r="D3754" s="28"/>
      <c r="F3754" s="28"/>
      <c r="H3754" s="28"/>
    </row>
    <row r="3755" spans="4:8" x14ac:dyDescent="0.25">
      <c r="D3755" s="28"/>
      <c r="F3755" s="28"/>
      <c r="H3755" s="28"/>
    </row>
    <row r="3756" spans="4:8" x14ac:dyDescent="0.25">
      <c r="D3756" s="28"/>
      <c r="F3756" s="28"/>
      <c r="H3756" s="28"/>
    </row>
    <row r="3757" spans="4:8" x14ac:dyDescent="0.25">
      <c r="D3757" s="28"/>
      <c r="F3757" s="28"/>
      <c r="H3757" s="28"/>
    </row>
    <row r="3758" spans="4:8" x14ac:dyDescent="0.25">
      <c r="D3758" s="28"/>
      <c r="F3758" s="28"/>
      <c r="H3758" s="28"/>
    </row>
    <row r="3759" spans="4:8" x14ac:dyDescent="0.25">
      <c r="D3759" s="28"/>
      <c r="F3759" s="28"/>
      <c r="H3759" s="28"/>
    </row>
    <row r="3760" spans="4:8" x14ac:dyDescent="0.25">
      <c r="D3760" s="28"/>
      <c r="F3760" s="28"/>
      <c r="H3760" s="28"/>
    </row>
    <row r="3761" spans="4:8" x14ac:dyDescent="0.25">
      <c r="D3761" s="28"/>
      <c r="F3761" s="28"/>
      <c r="H3761" s="28"/>
    </row>
    <row r="3762" spans="4:8" x14ac:dyDescent="0.25">
      <c r="D3762" s="28"/>
      <c r="F3762" s="28"/>
      <c r="H3762" s="28"/>
    </row>
    <row r="3763" spans="4:8" x14ac:dyDescent="0.25">
      <c r="D3763" s="28"/>
      <c r="F3763" s="28"/>
      <c r="H3763" s="28"/>
    </row>
    <row r="3764" spans="4:8" x14ac:dyDescent="0.25">
      <c r="D3764" s="28"/>
      <c r="F3764" s="28"/>
      <c r="H3764" s="28"/>
    </row>
    <row r="3765" spans="4:8" x14ac:dyDescent="0.25">
      <c r="D3765" s="28"/>
      <c r="F3765" s="28"/>
      <c r="H3765" s="28"/>
    </row>
    <row r="3766" spans="4:8" x14ac:dyDescent="0.25">
      <c r="D3766" s="28"/>
      <c r="F3766" s="28"/>
      <c r="H3766" s="28"/>
    </row>
    <row r="3767" spans="4:8" x14ac:dyDescent="0.25">
      <c r="D3767" s="28"/>
      <c r="F3767" s="28"/>
      <c r="H3767" s="28"/>
    </row>
    <row r="3768" spans="4:8" x14ac:dyDescent="0.25">
      <c r="D3768" s="28"/>
      <c r="F3768" s="28"/>
      <c r="H3768" s="28"/>
    </row>
    <row r="3769" spans="4:8" x14ac:dyDescent="0.25">
      <c r="D3769" s="28"/>
      <c r="F3769" s="28"/>
      <c r="H3769" s="28"/>
    </row>
    <row r="3770" spans="4:8" x14ac:dyDescent="0.25">
      <c r="D3770" s="28"/>
      <c r="F3770" s="28"/>
      <c r="H3770" s="28"/>
    </row>
    <row r="3771" spans="4:8" x14ac:dyDescent="0.25">
      <c r="D3771" s="28"/>
      <c r="F3771" s="28"/>
      <c r="H3771" s="28"/>
    </row>
    <row r="3772" spans="4:8" x14ac:dyDescent="0.25">
      <c r="D3772" s="28"/>
      <c r="F3772" s="28"/>
      <c r="H3772" s="28"/>
    </row>
    <row r="3773" spans="4:8" x14ac:dyDescent="0.25">
      <c r="D3773" s="28"/>
      <c r="F3773" s="28"/>
      <c r="H3773" s="28"/>
    </row>
    <row r="3774" spans="4:8" x14ac:dyDescent="0.25">
      <c r="D3774" s="28"/>
      <c r="F3774" s="28"/>
      <c r="H3774" s="28"/>
    </row>
    <row r="3775" spans="4:8" x14ac:dyDescent="0.25">
      <c r="D3775" s="28"/>
      <c r="F3775" s="28"/>
      <c r="H3775" s="28"/>
    </row>
    <row r="3776" spans="4:8" x14ac:dyDescent="0.25">
      <c r="D3776" s="28"/>
      <c r="F3776" s="28"/>
      <c r="H3776" s="28"/>
    </row>
    <row r="3777" spans="4:8" x14ac:dyDescent="0.25">
      <c r="D3777" s="28"/>
      <c r="F3777" s="28"/>
      <c r="H3777" s="28"/>
    </row>
    <row r="3778" spans="4:8" x14ac:dyDescent="0.25">
      <c r="D3778" s="28"/>
      <c r="F3778" s="28"/>
      <c r="H3778" s="28"/>
    </row>
    <row r="3779" spans="4:8" x14ac:dyDescent="0.25">
      <c r="D3779" s="28"/>
      <c r="F3779" s="28"/>
      <c r="H3779" s="28"/>
    </row>
    <row r="3780" spans="4:8" x14ac:dyDescent="0.25">
      <c r="D3780" s="28"/>
      <c r="F3780" s="28"/>
      <c r="H3780" s="28"/>
    </row>
    <row r="3781" spans="4:8" x14ac:dyDescent="0.25">
      <c r="D3781" s="28"/>
      <c r="F3781" s="28"/>
      <c r="H3781" s="28"/>
    </row>
    <row r="3782" spans="4:8" x14ac:dyDescent="0.25">
      <c r="D3782" s="28"/>
      <c r="F3782" s="28"/>
      <c r="H3782" s="28"/>
    </row>
    <row r="3783" spans="4:8" x14ac:dyDescent="0.25">
      <c r="D3783" s="28"/>
      <c r="F3783" s="28"/>
      <c r="H3783" s="28"/>
    </row>
    <row r="3784" spans="4:8" x14ac:dyDescent="0.25">
      <c r="D3784" s="28"/>
      <c r="F3784" s="28"/>
      <c r="H3784" s="28"/>
    </row>
    <row r="3785" spans="4:8" x14ac:dyDescent="0.25">
      <c r="D3785" s="28"/>
      <c r="F3785" s="28"/>
      <c r="H3785" s="28"/>
    </row>
    <row r="3786" spans="4:8" x14ac:dyDescent="0.25">
      <c r="D3786" s="28"/>
      <c r="F3786" s="28"/>
      <c r="H3786" s="28"/>
    </row>
    <row r="3787" spans="4:8" x14ac:dyDescent="0.25">
      <c r="D3787" s="28"/>
      <c r="F3787" s="28"/>
      <c r="H3787" s="28"/>
    </row>
    <row r="3788" spans="4:8" x14ac:dyDescent="0.25">
      <c r="D3788" s="28"/>
      <c r="F3788" s="28"/>
      <c r="H3788" s="28"/>
    </row>
    <row r="3789" spans="4:8" x14ac:dyDescent="0.25">
      <c r="D3789" s="28"/>
      <c r="F3789" s="28"/>
      <c r="H3789" s="28"/>
    </row>
    <row r="3790" spans="4:8" x14ac:dyDescent="0.25">
      <c r="D3790" s="28"/>
      <c r="F3790" s="28"/>
      <c r="H3790" s="28"/>
    </row>
    <row r="3791" spans="4:8" x14ac:dyDescent="0.25">
      <c r="D3791" s="28"/>
      <c r="F3791" s="28"/>
      <c r="H3791" s="28"/>
    </row>
    <row r="3792" spans="4:8" x14ac:dyDescent="0.25">
      <c r="D3792" s="28"/>
      <c r="F3792" s="28"/>
      <c r="H3792" s="28"/>
    </row>
    <row r="3793" spans="4:8" x14ac:dyDescent="0.25">
      <c r="D3793" s="28"/>
      <c r="F3793" s="28"/>
      <c r="H3793" s="28"/>
    </row>
    <row r="3794" spans="4:8" x14ac:dyDescent="0.25">
      <c r="D3794" s="28"/>
      <c r="F3794" s="28"/>
      <c r="H3794" s="28"/>
    </row>
    <row r="3795" spans="4:8" x14ac:dyDescent="0.25">
      <c r="D3795" s="28"/>
      <c r="F3795" s="28"/>
      <c r="H3795" s="28"/>
    </row>
    <row r="3796" spans="4:8" x14ac:dyDescent="0.25">
      <c r="D3796" s="28"/>
      <c r="F3796" s="28"/>
      <c r="H3796" s="28"/>
    </row>
    <row r="3797" spans="4:8" x14ac:dyDescent="0.25">
      <c r="D3797" s="28"/>
      <c r="F3797" s="28"/>
      <c r="H3797" s="28"/>
    </row>
    <row r="3798" spans="4:8" x14ac:dyDescent="0.25">
      <c r="D3798" s="28"/>
      <c r="F3798" s="28"/>
      <c r="H3798" s="28"/>
    </row>
    <row r="3799" spans="4:8" x14ac:dyDescent="0.25">
      <c r="D3799" s="28"/>
      <c r="F3799" s="28"/>
      <c r="H3799" s="28"/>
    </row>
    <row r="3800" spans="4:8" x14ac:dyDescent="0.25">
      <c r="D3800" s="28"/>
      <c r="F3800" s="28"/>
      <c r="H3800" s="28"/>
    </row>
    <row r="3801" spans="4:8" x14ac:dyDescent="0.25">
      <c r="D3801" s="28"/>
      <c r="F3801" s="28"/>
      <c r="H3801" s="28"/>
    </row>
    <row r="3802" spans="4:8" x14ac:dyDescent="0.25">
      <c r="D3802" s="28"/>
      <c r="F3802" s="28"/>
      <c r="H3802" s="28"/>
    </row>
    <row r="3803" spans="4:8" x14ac:dyDescent="0.25">
      <c r="D3803" s="28"/>
      <c r="F3803" s="28"/>
      <c r="H3803" s="28"/>
    </row>
    <row r="3804" spans="4:8" x14ac:dyDescent="0.25">
      <c r="D3804" s="28"/>
      <c r="F3804" s="28"/>
      <c r="H3804" s="28"/>
    </row>
    <row r="3805" spans="4:8" x14ac:dyDescent="0.25">
      <c r="D3805" s="28"/>
      <c r="F3805" s="28"/>
      <c r="H3805" s="28"/>
    </row>
    <row r="3806" spans="4:8" x14ac:dyDescent="0.25">
      <c r="D3806" s="28"/>
      <c r="F3806" s="28"/>
      <c r="H3806" s="28"/>
    </row>
    <row r="3807" spans="4:8" x14ac:dyDescent="0.25">
      <c r="D3807" s="28"/>
      <c r="F3807" s="28"/>
      <c r="H3807" s="28"/>
    </row>
    <row r="3808" spans="4:8" x14ac:dyDescent="0.25">
      <c r="D3808" s="28"/>
      <c r="F3808" s="28"/>
      <c r="H3808" s="28"/>
    </row>
    <row r="3809" spans="4:8" x14ac:dyDescent="0.25">
      <c r="D3809" s="28"/>
      <c r="F3809" s="28"/>
      <c r="H3809" s="28"/>
    </row>
    <row r="3810" spans="4:8" x14ac:dyDescent="0.25">
      <c r="D3810" s="28"/>
      <c r="F3810" s="28"/>
      <c r="H3810" s="28"/>
    </row>
    <row r="3811" spans="4:8" x14ac:dyDescent="0.25">
      <c r="D3811" s="28"/>
      <c r="F3811" s="28"/>
      <c r="H3811" s="28"/>
    </row>
    <row r="3812" spans="4:8" x14ac:dyDescent="0.25">
      <c r="D3812" s="28"/>
      <c r="F3812" s="28"/>
      <c r="H3812" s="28"/>
    </row>
    <row r="3813" spans="4:8" x14ac:dyDescent="0.25">
      <c r="D3813" s="28"/>
      <c r="F3813" s="28"/>
      <c r="H3813" s="28"/>
    </row>
    <row r="3814" spans="4:8" x14ac:dyDescent="0.25">
      <c r="D3814" s="28"/>
      <c r="F3814" s="28"/>
      <c r="H3814" s="28"/>
    </row>
    <row r="3815" spans="4:8" x14ac:dyDescent="0.25">
      <c r="D3815" s="28"/>
      <c r="F3815" s="28"/>
      <c r="H3815" s="28"/>
    </row>
    <row r="3816" spans="4:8" x14ac:dyDescent="0.25">
      <c r="D3816" s="28"/>
      <c r="F3816" s="28"/>
      <c r="H3816" s="28"/>
    </row>
    <row r="3817" spans="4:8" x14ac:dyDescent="0.25">
      <c r="D3817" s="28"/>
      <c r="F3817" s="28"/>
      <c r="H3817" s="28"/>
    </row>
    <row r="3818" spans="4:8" x14ac:dyDescent="0.25">
      <c r="D3818" s="28"/>
      <c r="F3818" s="28"/>
      <c r="H3818" s="28"/>
    </row>
    <row r="3819" spans="4:8" x14ac:dyDescent="0.25">
      <c r="D3819" s="28"/>
      <c r="F3819" s="28"/>
      <c r="H3819" s="28"/>
    </row>
    <row r="3820" spans="4:8" x14ac:dyDescent="0.25">
      <c r="D3820" s="28"/>
      <c r="F3820" s="28"/>
      <c r="H3820" s="28"/>
    </row>
    <row r="3821" spans="4:8" x14ac:dyDescent="0.25">
      <c r="D3821" s="28"/>
      <c r="F3821" s="28"/>
      <c r="H3821" s="28"/>
    </row>
    <row r="3822" spans="4:8" x14ac:dyDescent="0.25">
      <c r="D3822" s="28"/>
      <c r="F3822" s="28"/>
      <c r="H3822" s="28"/>
    </row>
    <row r="3823" spans="4:8" x14ac:dyDescent="0.25">
      <c r="D3823" s="28"/>
      <c r="F3823" s="28"/>
      <c r="H3823" s="28"/>
    </row>
    <row r="3824" spans="4:8" x14ac:dyDescent="0.25">
      <c r="D3824" s="28"/>
      <c r="F3824" s="28"/>
      <c r="H3824" s="28"/>
    </row>
    <row r="3825" spans="4:8" x14ac:dyDescent="0.25">
      <c r="D3825" s="28"/>
      <c r="F3825" s="28"/>
      <c r="H3825" s="28"/>
    </row>
    <row r="3826" spans="4:8" x14ac:dyDescent="0.25">
      <c r="D3826" s="28"/>
      <c r="F3826" s="28"/>
      <c r="H3826" s="28"/>
    </row>
    <row r="3827" spans="4:8" x14ac:dyDescent="0.25">
      <c r="D3827" s="28"/>
      <c r="F3827" s="28"/>
      <c r="H3827" s="28"/>
    </row>
    <row r="3828" spans="4:8" x14ac:dyDescent="0.25">
      <c r="D3828" s="28"/>
      <c r="F3828" s="28"/>
      <c r="H3828" s="28"/>
    </row>
    <row r="3829" spans="4:8" x14ac:dyDescent="0.25">
      <c r="D3829" s="28"/>
      <c r="F3829" s="28"/>
      <c r="H3829" s="28"/>
    </row>
    <row r="3830" spans="4:8" x14ac:dyDescent="0.25">
      <c r="D3830" s="28"/>
      <c r="F3830" s="28"/>
      <c r="H3830" s="28"/>
    </row>
    <row r="3831" spans="4:8" x14ac:dyDescent="0.25">
      <c r="D3831" s="28"/>
      <c r="F3831" s="28"/>
      <c r="H3831" s="28"/>
    </row>
    <row r="3832" spans="4:8" x14ac:dyDescent="0.25">
      <c r="D3832" s="28"/>
      <c r="F3832" s="28"/>
      <c r="H3832" s="28"/>
    </row>
    <row r="3833" spans="4:8" x14ac:dyDescent="0.25">
      <c r="D3833" s="28"/>
      <c r="F3833" s="28"/>
      <c r="H3833" s="28"/>
    </row>
    <row r="3834" spans="4:8" x14ac:dyDescent="0.25">
      <c r="D3834" s="28"/>
      <c r="F3834" s="28"/>
      <c r="H3834" s="28"/>
    </row>
    <row r="3835" spans="4:8" x14ac:dyDescent="0.25">
      <c r="D3835" s="28"/>
      <c r="F3835" s="28"/>
      <c r="H3835" s="28"/>
    </row>
    <row r="3836" spans="4:8" x14ac:dyDescent="0.25">
      <c r="D3836" s="28"/>
      <c r="F3836" s="28"/>
      <c r="H3836" s="28"/>
    </row>
    <row r="3837" spans="4:8" x14ac:dyDescent="0.25">
      <c r="D3837" s="28"/>
      <c r="F3837" s="28"/>
      <c r="H3837" s="28"/>
    </row>
    <row r="3838" spans="4:8" x14ac:dyDescent="0.25">
      <c r="D3838" s="28"/>
      <c r="F3838" s="28"/>
      <c r="H3838" s="28"/>
    </row>
    <row r="3839" spans="4:8" x14ac:dyDescent="0.25">
      <c r="D3839" s="28"/>
      <c r="F3839" s="28"/>
      <c r="H3839" s="28"/>
    </row>
    <row r="3840" spans="4:8" x14ac:dyDescent="0.25">
      <c r="D3840" s="28"/>
      <c r="F3840" s="28"/>
      <c r="H3840" s="28"/>
    </row>
    <row r="3841" spans="4:8" x14ac:dyDescent="0.25">
      <c r="D3841" s="28"/>
      <c r="F3841" s="28"/>
      <c r="H3841" s="28"/>
    </row>
    <row r="3842" spans="4:8" x14ac:dyDescent="0.25">
      <c r="D3842" s="28"/>
      <c r="F3842" s="28"/>
      <c r="H3842" s="28"/>
    </row>
    <row r="3843" spans="4:8" x14ac:dyDescent="0.25">
      <c r="D3843" s="28"/>
      <c r="F3843" s="28"/>
      <c r="H3843" s="28"/>
    </row>
    <row r="3844" spans="4:8" x14ac:dyDescent="0.25">
      <c r="D3844" s="28"/>
      <c r="F3844" s="28"/>
      <c r="H3844" s="28"/>
    </row>
    <row r="3845" spans="4:8" x14ac:dyDescent="0.25">
      <c r="D3845" s="28"/>
      <c r="F3845" s="28"/>
      <c r="H3845" s="28"/>
    </row>
    <row r="3846" spans="4:8" x14ac:dyDescent="0.25">
      <c r="D3846" s="28"/>
      <c r="F3846" s="28"/>
      <c r="H3846" s="28"/>
    </row>
    <row r="3847" spans="4:8" x14ac:dyDescent="0.25">
      <c r="D3847" s="28"/>
      <c r="F3847" s="28"/>
      <c r="H3847" s="28"/>
    </row>
    <row r="3848" spans="4:8" x14ac:dyDescent="0.25">
      <c r="D3848" s="28"/>
      <c r="F3848" s="28"/>
      <c r="H3848" s="28"/>
    </row>
    <row r="3849" spans="4:8" x14ac:dyDescent="0.25">
      <c r="D3849" s="28"/>
      <c r="F3849" s="28"/>
      <c r="H3849" s="28"/>
    </row>
    <row r="3850" spans="4:8" x14ac:dyDescent="0.25">
      <c r="D3850" s="28"/>
      <c r="F3850" s="28"/>
      <c r="H3850" s="28"/>
    </row>
    <row r="3851" spans="4:8" x14ac:dyDescent="0.25">
      <c r="D3851" s="28"/>
      <c r="F3851" s="28"/>
      <c r="H3851" s="28"/>
    </row>
    <row r="3852" spans="4:8" x14ac:dyDescent="0.25">
      <c r="D3852" s="28"/>
      <c r="F3852" s="28"/>
      <c r="H3852" s="28"/>
    </row>
    <row r="3853" spans="4:8" x14ac:dyDescent="0.25">
      <c r="D3853" s="28"/>
      <c r="F3853" s="28"/>
      <c r="H3853" s="28"/>
    </row>
    <row r="3854" spans="4:8" x14ac:dyDescent="0.25">
      <c r="D3854" s="28"/>
      <c r="F3854" s="28"/>
      <c r="H3854" s="28"/>
    </row>
    <row r="3855" spans="4:8" x14ac:dyDescent="0.25">
      <c r="D3855" s="28"/>
      <c r="F3855" s="28"/>
      <c r="H3855" s="28"/>
    </row>
    <row r="3856" spans="4:8" x14ac:dyDescent="0.25">
      <c r="D3856" s="28"/>
      <c r="F3856" s="28"/>
      <c r="H3856" s="28"/>
    </row>
    <row r="3857" spans="4:8" x14ac:dyDescent="0.25">
      <c r="D3857" s="28"/>
      <c r="F3857" s="28"/>
      <c r="H3857" s="28"/>
    </row>
    <row r="3858" spans="4:8" x14ac:dyDescent="0.25">
      <c r="D3858" s="28"/>
      <c r="F3858" s="28"/>
      <c r="H3858" s="28"/>
    </row>
    <row r="3859" spans="4:8" x14ac:dyDescent="0.25">
      <c r="D3859" s="28"/>
      <c r="F3859" s="28"/>
      <c r="H3859" s="28"/>
    </row>
    <row r="3860" spans="4:8" x14ac:dyDescent="0.25">
      <c r="D3860" s="28"/>
      <c r="F3860" s="28"/>
      <c r="H3860" s="28"/>
    </row>
    <row r="3861" spans="4:8" x14ac:dyDescent="0.25">
      <c r="D3861" s="28"/>
      <c r="F3861" s="28"/>
      <c r="H3861" s="28"/>
    </row>
    <row r="3862" spans="4:8" x14ac:dyDescent="0.25">
      <c r="D3862" s="28"/>
      <c r="F3862" s="28"/>
      <c r="H3862" s="28"/>
    </row>
    <row r="3863" spans="4:8" x14ac:dyDescent="0.25">
      <c r="D3863" s="28"/>
      <c r="F3863" s="28"/>
      <c r="H3863" s="28"/>
    </row>
    <row r="3864" spans="4:8" x14ac:dyDescent="0.25">
      <c r="D3864" s="28"/>
      <c r="F3864" s="28"/>
      <c r="H3864" s="28"/>
    </row>
    <row r="3865" spans="4:8" x14ac:dyDescent="0.25">
      <c r="D3865" s="28"/>
      <c r="F3865" s="28"/>
      <c r="H3865" s="28"/>
    </row>
    <row r="3866" spans="4:8" x14ac:dyDescent="0.25">
      <c r="D3866" s="28"/>
      <c r="F3866" s="28"/>
      <c r="H3866" s="28"/>
    </row>
    <row r="3867" spans="4:8" x14ac:dyDescent="0.25">
      <c r="D3867" s="28"/>
      <c r="F3867" s="28"/>
      <c r="H3867" s="28"/>
    </row>
    <row r="3868" spans="4:8" x14ac:dyDescent="0.25">
      <c r="D3868" s="28"/>
      <c r="F3868" s="28"/>
      <c r="H3868" s="28"/>
    </row>
    <row r="3869" spans="4:8" x14ac:dyDescent="0.25">
      <c r="D3869" s="28"/>
      <c r="F3869" s="28"/>
      <c r="H3869" s="28"/>
    </row>
    <row r="3870" spans="4:8" x14ac:dyDescent="0.25">
      <c r="D3870" s="28"/>
      <c r="F3870" s="28"/>
      <c r="H3870" s="28"/>
    </row>
    <row r="3871" spans="4:8" x14ac:dyDescent="0.25">
      <c r="D3871" s="28"/>
      <c r="F3871" s="28"/>
      <c r="H3871" s="28"/>
    </row>
    <row r="3872" spans="4:8" x14ac:dyDescent="0.25">
      <c r="D3872" s="28"/>
      <c r="F3872" s="28"/>
      <c r="H3872" s="28"/>
    </row>
    <row r="3873" spans="4:8" x14ac:dyDescent="0.25">
      <c r="D3873" s="28"/>
      <c r="F3873" s="28"/>
      <c r="H3873" s="28"/>
    </row>
    <row r="3874" spans="4:8" x14ac:dyDescent="0.25">
      <c r="D3874" s="28"/>
      <c r="F3874" s="28"/>
      <c r="H3874" s="28"/>
    </row>
    <row r="3875" spans="4:8" x14ac:dyDescent="0.25">
      <c r="D3875" s="28"/>
      <c r="F3875" s="28"/>
      <c r="H3875" s="28"/>
    </row>
    <row r="3876" spans="4:8" x14ac:dyDescent="0.25">
      <c r="D3876" s="28"/>
      <c r="F3876" s="28"/>
      <c r="H3876" s="28"/>
    </row>
    <row r="3877" spans="4:8" x14ac:dyDescent="0.25">
      <c r="D3877" s="28"/>
      <c r="F3877" s="28"/>
      <c r="H3877" s="28"/>
    </row>
    <row r="3878" spans="4:8" x14ac:dyDescent="0.25">
      <c r="D3878" s="28"/>
      <c r="F3878" s="28"/>
      <c r="H3878" s="28"/>
    </row>
    <row r="3879" spans="4:8" x14ac:dyDescent="0.25">
      <c r="D3879" s="28"/>
      <c r="F3879" s="28"/>
      <c r="H3879" s="28"/>
    </row>
    <row r="3880" spans="4:8" x14ac:dyDescent="0.25">
      <c r="D3880" s="28"/>
      <c r="F3880" s="28"/>
      <c r="H3880" s="28"/>
    </row>
    <row r="3881" spans="4:8" x14ac:dyDescent="0.25">
      <c r="D3881" s="28"/>
      <c r="F3881" s="28"/>
      <c r="H3881" s="28"/>
    </row>
    <row r="3882" spans="4:8" x14ac:dyDescent="0.25">
      <c r="D3882" s="28"/>
      <c r="F3882" s="28"/>
      <c r="H3882" s="28"/>
    </row>
    <row r="3883" spans="4:8" x14ac:dyDescent="0.25">
      <c r="D3883" s="28"/>
      <c r="F3883" s="28"/>
      <c r="H3883" s="28"/>
    </row>
    <row r="3884" spans="4:8" x14ac:dyDescent="0.25">
      <c r="D3884" s="28"/>
      <c r="F3884" s="28"/>
      <c r="H3884" s="28"/>
    </row>
    <row r="3885" spans="4:8" x14ac:dyDescent="0.25">
      <c r="D3885" s="28"/>
      <c r="F3885" s="28"/>
      <c r="H3885" s="28"/>
    </row>
    <row r="3886" spans="4:8" x14ac:dyDescent="0.25">
      <c r="D3886" s="28"/>
      <c r="F3886" s="28"/>
      <c r="H3886" s="28"/>
    </row>
    <row r="3887" spans="4:8" x14ac:dyDescent="0.25">
      <c r="D3887" s="28"/>
      <c r="F3887" s="28"/>
      <c r="H3887" s="28"/>
    </row>
    <row r="3888" spans="4:8" x14ac:dyDescent="0.25">
      <c r="D3888" s="28"/>
      <c r="F3888" s="28"/>
      <c r="H3888" s="28"/>
    </row>
    <row r="3889" spans="4:8" x14ac:dyDescent="0.25">
      <c r="D3889" s="28"/>
      <c r="F3889" s="28"/>
      <c r="H3889" s="28"/>
    </row>
    <row r="3890" spans="4:8" x14ac:dyDescent="0.25">
      <c r="D3890" s="28"/>
      <c r="F3890" s="28"/>
      <c r="H3890" s="28"/>
    </row>
    <row r="3891" spans="4:8" x14ac:dyDescent="0.25">
      <c r="D3891" s="28"/>
      <c r="F3891" s="28"/>
      <c r="H3891" s="28"/>
    </row>
    <row r="3892" spans="4:8" x14ac:dyDescent="0.25">
      <c r="D3892" s="28"/>
      <c r="F3892" s="28"/>
      <c r="H3892" s="28"/>
    </row>
    <row r="3893" spans="4:8" x14ac:dyDescent="0.25">
      <c r="D3893" s="28"/>
      <c r="F3893" s="28"/>
      <c r="H3893" s="28"/>
    </row>
    <row r="3894" spans="4:8" x14ac:dyDescent="0.25">
      <c r="D3894" s="28"/>
      <c r="F3894" s="28"/>
      <c r="H3894" s="28"/>
    </row>
    <row r="3895" spans="4:8" x14ac:dyDescent="0.25">
      <c r="D3895" s="28"/>
      <c r="F3895" s="28"/>
      <c r="H3895" s="28"/>
    </row>
    <row r="3896" spans="4:8" x14ac:dyDescent="0.25">
      <c r="D3896" s="28"/>
      <c r="F3896" s="28"/>
      <c r="H3896" s="28"/>
    </row>
    <row r="3897" spans="4:8" x14ac:dyDescent="0.25">
      <c r="D3897" s="28"/>
      <c r="F3897" s="28"/>
      <c r="H3897" s="28"/>
    </row>
    <row r="3898" spans="4:8" x14ac:dyDescent="0.25">
      <c r="D3898" s="28"/>
      <c r="F3898" s="28"/>
      <c r="H3898" s="28"/>
    </row>
    <row r="3899" spans="4:8" x14ac:dyDescent="0.25">
      <c r="D3899" s="28"/>
      <c r="F3899" s="28"/>
      <c r="H3899" s="28"/>
    </row>
    <row r="3900" spans="4:8" x14ac:dyDescent="0.25">
      <c r="D3900" s="28"/>
      <c r="F3900" s="28"/>
      <c r="H3900" s="28"/>
    </row>
    <row r="3901" spans="4:8" x14ac:dyDescent="0.25">
      <c r="D3901" s="28"/>
      <c r="F3901" s="28"/>
      <c r="H3901" s="28"/>
    </row>
    <row r="3902" spans="4:8" x14ac:dyDescent="0.25">
      <c r="D3902" s="28"/>
      <c r="F3902" s="28"/>
      <c r="H3902" s="28"/>
    </row>
    <row r="3903" spans="4:8" x14ac:dyDescent="0.25">
      <c r="D3903" s="28"/>
      <c r="F3903" s="28"/>
      <c r="H3903" s="28"/>
    </row>
    <row r="3904" spans="4:8" x14ac:dyDescent="0.25">
      <c r="D3904" s="28"/>
      <c r="F3904" s="28"/>
      <c r="H3904" s="28"/>
    </row>
    <row r="3905" spans="4:8" x14ac:dyDescent="0.25">
      <c r="D3905" s="28"/>
      <c r="F3905" s="28"/>
      <c r="H3905" s="28"/>
    </row>
    <row r="3906" spans="4:8" x14ac:dyDescent="0.25">
      <c r="D3906" s="28"/>
      <c r="F3906" s="28"/>
      <c r="H3906" s="28"/>
    </row>
    <row r="3907" spans="4:8" x14ac:dyDescent="0.25">
      <c r="D3907" s="28"/>
      <c r="F3907" s="28"/>
      <c r="H3907" s="28"/>
    </row>
    <row r="3908" spans="4:8" x14ac:dyDescent="0.25">
      <c r="D3908" s="28"/>
      <c r="F3908" s="28"/>
      <c r="H3908" s="28"/>
    </row>
    <row r="3909" spans="4:8" x14ac:dyDescent="0.25">
      <c r="D3909" s="28"/>
      <c r="F3909" s="28"/>
      <c r="H3909" s="28"/>
    </row>
    <row r="3910" spans="4:8" x14ac:dyDescent="0.25">
      <c r="D3910" s="28"/>
      <c r="F3910" s="28"/>
      <c r="H3910" s="28"/>
    </row>
    <row r="3911" spans="4:8" x14ac:dyDescent="0.25">
      <c r="D3911" s="28"/>
      <c r="F3911" s="28"/>
      <c r="H3911" s="28"/>
    </row>
    <row r="3912" spans="4:8" x14ac:dyDescent="0.25">
      <c r="D3912" s="28"/>
      <c r="F3912" s="28"/>
      <c r="H3912" s="28"/>
    </row>
    <row r="3913" spans="4:8" x14ac:dyDescent="0.25">
      <c r="D3913" s="28"/>
      <c r="F3913" s="28"/>
      <c r="H3913" s="28"/>
    </row>
    <row r="3914" spans="4:8" x14ac:dyDescent="0.25">
      <c r="D3914" s="28"/>
      <c r="F3914" s="28"/>
      <c r="H3914" s="28"/>
    </row>
    <row r="3915" spans="4:8" x14ac:dyDescent="0.25">
      <c r="D3915" s="28"/>
      <c r="F3915" s="28"/>
      <c r="H3915" s="28"/>
    </row>
    <row r="3916" spans="4:8" x14ac:dyDescent="0.25">
      <c r="D3916" s="28"/>
      <c r="F3916" s="28"/>
      <c r="H3916" s="28"/>
    </row>
    <row r="3917" spans="4:8" x14ac:dyDescent="0.25">
      <c r="D3917" s="28"/>
      <c r="F3917" s="28"/>
      <c r="H3917" s="28"/>
    </row>
    <row r="3918" spans="4:8" x14ac:dyDescent="0.25">
      <c r="D3918" s="28"/>
      <c r="F3918" s="28"/>
      <c r="H3918" s="28"/>
    </row>
    <row r="3919" spans="4:8" x14ac:dyDescent="0.25">
      <c r="D3919" s="28"/>
      <c r="F3919" s="28"/>
      <c r="H3919" s="28"/>
    </row>
    <row r="3920" spans="4:8" x14ac:dyDescent="0.25">
      <c r="D3920" s="28"/>
      <c r="F3920" s="28"/>
      <c r="H3920" s="28"/>
    </row>
    <row r="3921" spans="4:8" x14ac:dyDescent="0.25">
      <c r="D3921" s="28"/>
      <c r="F3921" s="28"/>
      <c r="H3921" s="28"/>
    </row>
    <row r="3922" spans="4:8" x14ac:dyDescent="0.25">
      <c r="D3922" s="28"/>
      <c r="F3922" s="28"/>
      <c r="H3922" s="28"/>
    </row>
    <row r="3923" spans="4:8" x14ac:dyDescent="0.25">
      <c r="D3923" s="28"/>
      <c r="F3923" s="28"/>
      <c r="H3923" s="28"/>
    </row>
    <row r="3924" spans="4:8" x14ac:dyDescent="0.25">
      <c r="D3924" s="28"/>
      <c r="F3924" s="28"/>
      <c r="H3924" s="28"/>
    </row>
    <row r="3925" spans="4:8" x14ac:dyDescent="0.25">
      <c r="D3925" s="28"/>
      <c r="F3925" s="28"/>
      <c r="H3925" s="28"/>
    </row>
    <row r="3926" spans="4:8" x14ac:dyDescent="0.25">
      <c r="D3926" s="28"/>
      <c r="F3926" s="28"/>
      <c r="H3926" s="28"/>
    </row>
    <row r="3927" spans="4:8" x14ac:dyDescent="0.25">
      <c r="D3927" s="28"/>
      <c r="F3927" s="28"/>
      <c r="H3927" s="28"/>
    </row>
    <row r="3928" spans="4:8" x14ac:dyDescent="0.25">
      <c r="D3928" s="28"/>
      <c r="F3928" s="28"/>
      <c r="H3928" s="28"/>
    </row>
    <row r="3929" spans="4:8" x14ac:dyDescent="0.25">
      <c r="D3929" s="28"/>
      <c r="F3929" s="28"/>
      <c r="H3929" s="28"/>
    </row>
    <row r="3930" spans="4:8" x14ac:dyDescent="0.25">
      <c r="D3930" s="28"/>
      <c r="F3930" s="28"/>
      <c r="H3930" s="28"/>
    </row>
    <row r="3931" spans="4:8" x14ac:dyDescent="0.25">
      <c r="D3931" s="28"/>
      <c r="F3931" s="28"/>
      <c r="H3931" s="28"/>
    </row>
    <row r="3932" spans="4:8" x14ac:dyDescent="0.25">
      <c r="D3932" s="28"/>
      <c r="F3932" s="28"/>
      <c r="H3932" s="28"/>
    </row>
    <row r="3933" spans="4:8" x14ac:dyDescent="0.25">
      <c r="D3933" s="28"/>
      <c r="F3933" s="28"/>
      <c r="H3933" s="28"/>
    </row>
    <row r="3934" spans="4:8" x14ac:dyDescent="0.25">
      <c r="D3934" s="28"/>
      <c r="F3934" s="28"/>
      <c r="H3934" s="28"/>
    </row>
    <row r="3935" spans="4:8" x14ac:dyDescent="0.25">
      <c r="D3935" s="28"/>
      <c r="F3935" s="28"/>
      <c r="H3935" s="28"/>
    </row>
    <row r="3936" spans="4:8" x14ac:dyDescent="0.25">
      <c r="D3936" s="28"/>
      <c r="F3936" s="28"/>
      <c r="H3936" s="28"/>
    </row>
    <row r="3937" spans="4:8" x14ac:dyDescent="0.25">
      <c r="D3937" s="28"/>
      <c r="F3937" s="28"/>
      <c r="H3937" s="28"/>
    </row>
    <row r="3938" spans="4:8" x14ac:dyDescent="0.25">
      <c r="D3938" s="28"/>
      <c r="F3938" s="28"/>
      <c r="H3938" s="28"/>
    </row>
    <row r="3939" spans="4:8" x14ac:dyDescent="0.25">
      <c r="D3939" s="28"/>
      <c r="F3939" s="28"/>
      <c r="H3939" s="28"/>
    </row>
    <row r="3940" spans="4:8" x14ac:dyDescent="0.25">
      <c r="D3940" s="28"/>
      <c r="F3940" s="28"/>
      <c r="H3940" s="28"/>
    </row>
    <row r="3941" spans="4:8" x14ac:dyDescent="0.25">
      <c r="D3941" s="28"/>
      <c r="F3941" s="28"/>
      <c r="H3941" s="28"/>
    </row>
    <row r="3942" spans="4:8" x14ac:dyDescent="0.25">
      <c r="D3942" s="28"/>
      <c r="F3942" s="28"/>
      <c r="H3942" s="28"/>
    </row>
    <row r="3943" spans="4:8" x14ac:dyDescent="0.25">
      <c r="D3943" s="28"/>
      <c r="F3943" s="28"/>
      <c r="H3943" s="28"/>
    </row>
    <row r="3944" spans="4:8" x14ac:dyDescent="0.25">
      <c r="D3944" s="28"/>
      <c r="F3944" s="28"/>
      <c r="H3944" s="28"/>
    </row>
    <row r="3945" spans="4:8" x14ac:dyDescent="0.25">
      <c r="D3945" s="28"/>
      <c r="F3945" s="28"/>
      <c r="H3945" s="28"/>
    </row>
    <row r="3946" spans="4:8" x14ac:dyDescent="0.25">
      <c r="D3946" s="28"/>
      <c r="F3946" s="28"/>
      <c r="H3946" s="28"/>
    </row>
    <row r="3947" spans="4:8" x14ac:dyDescent="0.25">
      <c r="D3947" s="28"/>
      <c r="F3947" s="28"/>
      <c r="H3947" s="28"/>
    </row>
    <row r="3948" spans="4:8" x14ac:dyDescent="0.25">
      <c r="D3948" s="28"/>
      <c r="F3948" s="28"/>
      <c r="H3948" s="28"/>
    </row>
    <row r="3949" spans="4:8" x14ac:dyDescent="0.25">
      <c r="D3949" s="28"/>
      <c r="F3949" s="28"/>
      <c r="H3949" s="28"/>
    </row>
    <row r="3950" spans="4:8" x14ac:dyDescent="0.25">
      <c r="D3950" s="28"/>
      <c r="F3950" s="28"/>
      <c r="H3950" s="28"/>
    </row>
    <row r="3951" spans="4:8" x14ac:dyDescent="0.25">
      <c r="D3951" s="28"/>
      <c r="F3951" s="28"/>
      <c r="H3951" s="28"/>
    </row>
    <row r="3952" spans="4:8" x14ac:dyDescent="0.25">
      <c r="D3952" s="28"/>
      <c r="F3952" s="28"/>
      <c r="H3952" s="28"/>
    </row>
    <row r="3953" spans="4:8" x14ac:dyDescent="0.25">
      <c r="D3953" s="28"/>
      <c r="F3953" s="28"/>
      <c r="H3953" s="28"/>
    </row>
    <row r="3954" spans="4:8" x14ac:dyDescent="0.25">
      <c r="D3954" s="28"/>
      <c r="F3954" s="28"/>
      <c r="H3954" s="28"/>
    </row>
    <row r="3955" spans="4:8" x14ac:dyDescent="0.25">
      <c r="D3955" s="28"/>
      <c r="F3955" s="28"/>
      <c r="H3955" s="28"/>
    </row>
    <row r="3956" spans="4:8" x14ac:dyDescent="0.25">
      <c r="D3956" s="28"/>
      <c r="F3956" s="28"/>
      <c r="H3956" s="28"/>
    </row>
    <row r="3957" spans="4:8" x14ac:dyDescent="0.25">
      <c r="D3957" s="28"/>
      <c r="F3957" s="28"/>
      <c r="H3957" s="28"/>
    </row>
    <row r="3958" spans="4:8" x14ac:dyDescent="0.25">
      <c r="D3958" s="28"/>
      <c r="F3958" s="28"/>
      <c r="H3958" s="28"/>
    </row>
    <row r="3959" spans="4:8" x14ac:dyDescent="0.25">
      <c r="D3959" s="28"/>
      <c r="F3959" s="28"/>
      <c r="H3959" s="28"/>
    </row>
    <row r="3960" spans="4:8" x14ac:dyDescent="0.25">
      <c r="D3960" s="28"/>
      <c r="F3960" s="28"/>
      <c r="H3960" s="28"/>
    </row>
    <row r="3961" spans="4:8" x14ac:dyDescent="0.25">
      <c r="D3961" s="28"/>
      <c r="F3961" s="28"/>
      <c r="H3961" s="28"/>
    </row>
    <row r="3962" spans="4:8" x14ac:dyDescent="0.25">
      <c r="D3962" s="28"/>
      <c r="F3962" s="28"/>
      <c r="H3962" s="28"/>
    </row>
    <row r="3963" spans="4:8" x14ac:dyDescent="0.25">
      <c r="D3963" s="28"/>
      <c r="F3963" s="28"/>
      <c r="H3963" s="28"/>
    </row>
    <row r="3964" spans="4:8" x14ac:dyDescent="0.25">
      <c r="D3964" s="28"/>
      <c r="F3964" s="28"/>
      <c r="H3964" s="28"/>
    </row>
    <row r="3965" spans="4:8" x14ac:dyDescent="0.25">
      <c r="D3965" s="28"/>
      <c r="F3965" s="28"/>
      <c r="H3965" s="28"/>
    </row>
    <row r="3966" spans="4:8" x14ac:dyDescent="0.25">
      <c r="D3966" s="28"/>
      <c r="F3966" s="28"/>
      <c r="H3966" s="28"/>
    </row>
    <row r="3967" spans="4:8" x14ac:dyDescent="0.25">
      <c r="D3967" s="28"/>
      <c r="F3967" s="28"/>
      <c r="H3967" s="28"/>
    </row>
    <row r="3968" spans="4:8" x14ac:dyDescent="0.25">
      <c r="D3968" s="28"/>
      <c r="F3968" s="28"/>
      <c r="H3968" s="28"/>
    </row>
    <row r="3969" spans="4:8" x14ac:dyDescent="0.25">
      <c r="D3969" s="28"/>
      <c r="F3969" s="28"/>
      <c r="H3969" s="28"/>
    </row>
    <row r="3970" spans="4:8" x14ac:dyDescent="0.25">
      <c r="D3970" s="28"/>
      <c r="F3970" s="28"/>
      <c r="H3970" s="28"/>
    </row>
    <row r="3971" spans="4:8" x14ac:dyDescent="0.25">
      <c r="D3971" s="28"/>
      <c r="F3971" s="28"/>
      <c r="H3971" s="28"/>
    </row>
    <row r="3972" spans="4:8" x14ac:dyDescent="0.25">
      <c r="D3972" s="28"/>
      <c r="F3972" s="28"/>
      <c r="H3972" s="28"/>
    </row>
    <row r="3973" spans="4:8" x14ac:dyDescent="0.25">
      <c r="D3973" s="28"/>
      <c r="F3973" s="28"/>
      <c r="H3973" s="28"/>
    </row>
    <row r="3974" spans="4:8" x14ac:dyDescent="0.25">
      <c r="D3974" s="28"/>
      <c r="F3974" s="28"/>
      <c r="H3974" s="28"/>
    </row>
    <row r="3975" spans="4:8" x14ac:dyDescent="0.25">
      <c r="D3975" s="28"/>
      <c r="F3975" s="28"/>
      <c r="H3975" s="28"/>
    </row>
    <row r="3976" spans="4:8" x14ac:dyDescent="0.25">
      <c r="D3976" s="28"/>
      <c r="F3976" s="28"/>
      <c r="H3976" s="28"/>
    </row>
    <row r="3977" spans="4:8" x14ac:dyDescent="0.25">
      <c r="D3977" s="28"/>
      <c r="F3977" s="28"/>
      <c r="H3977" s="28"/>
    </row>
    <row r="3978" spans="4:8" x14ac:dyDescent="0.25">
      <c r="D3978" s="28"/>
      <c r="F3978" s="28"/>
      <c r="H3978" s="28"/>
    </row>
    <row r="3979" spans="4:8" x14ac:dyDescent="0.25">
      <c r="D3979" s="28"/>
      <c r="F3979" s="28"/>
      <c r="H3979" s="28"/>
    </row>
    <row r="3980" spans="4:8" x14ac:dyDescent="0.25">
      <c r="D3980" s="28"/>
      <c r="F3980" s="28"/>
      <c r="H3980" s="28"/>
    </row>
    <row r="3981" spans="4:8" x14ac:dyDescent="0.25">
      <c r="D3981" s="28"/>
      <c r="F3981" s="28"/>
      <c r="H3981" s="28"/>
    </row>
    <row r="3982" spans="4:8" x14ac:dyDescent="0.25">
      <c r="D3982" s="28"/>
      <c r="F3982" s="28"/>
      <c r="H3982" s="28"/>
    </row>
    <row r="3983" spans="4:8" x14ac:dyDescent="0.25">
      <c r="D3983" s="28"/>
      <c r="F3983" s="28"/>
      <c r="H3983" s="28"/>
    </row>
    <row r="3984" spans="4:8" x14ac:dyDescent="0.25">
      <c r="D3984" s="28"/>
      <c r="F3984" s="28"/>
      <c r="H3984" s="28"/>
    </row>
    <row r="3985" spans="4:8" x14ac:dyDescent="0.25">
      <c r="D3985" s="28"/>
      <c r="F3985" s="28"/>
      <c r="H3985" s="28"/>
    </row>
    <row r="3986" spans="4:8" x14ac:dyDescent="0.25">
      <c r="D3986" s="28"/>
      <c r="F3986" s="28"/>
      <c r="H3986" s="28"/>
    </row>
    <row r="3987" spans="4:8" x14ac:dyDescent="0.25">
      <c r="D3987" s="28"/>
      <c r="F3987" s="28"/>
      <c r="H3987" s="28"/>
    </row>
    <row r="3988" spans="4:8" x14ac:dyDescent="0.25">
      <c r="D3988" s="28"/>
      <c r="F3988" s="28"/>
      <c r="H3988" s="28"/>
    </row>
    <row r="3989" spans="4:8" x14ac:dyDescent="0.25">
      <c r="D3989" s="28"/>
      <c r="F3989" s="28"/>
      <c r="H3989" s="28"/>
    </row>
    <row r="3990" spans="4:8" x14ac:dyDescent="0.25">
      <c r="D3990" s="28"/>
      <c r="F3990" s="28"/>
      <c r="H3990" s="28"/>
    </row>
    <row r="3991" spans="4:8" x14ac:dyDescent="0.25">
      <c r="D3991" s="28"/>
      <c r="F3991" s="28"/>
      <c r="H3991" s="28"/>
    </row>
    <row r="3992" spans="4:8" x14ac:dyDescent="0.25">
      <c r="D3992" s="28"/>
      <c r="F3992" s="28"/>
      <c r="H3992" s="28"/>
    </row>
    <row r="3993" spans="4:8" x14ac:dyDescent="0.25">
      <c r="D3993" s="28"/>
      <c r="F3993" s="28"/>
      <c r="H3993" s="28"/>
    </row>
    <row r="3994" spans="4:8" x14ac:dyDescent="0.25">
      <c r="D3994" s="28"/>
      <c r="F3994" s="28"/>
      <c r="H3994" s="28"/>
    </row>
    <row r="3995" spans="4:8" x14ac:dyDescent="0.25">
      <c r="D3995" s="28"/>
      <c r="F3995" s="28"/>
      <c r="H3995" s="28"/>
    </row>
    <row r="3996" spans="4:8" x14ac:dyDescent="0.25">
      <c r="D3996" s="28"/>
      <c r="F3996" s="28"/>
      <c r="H3996" s="28"/>
    </row>
    <row r="3997" spans="4:8" x14ac:dyDescent="0.25">
      <c r="D3997" s="28"/>
      <c r="F3997" s="28"/>
      <c r="H3997" s="28"/>
    </row>
    <row r="3998" spans="4:8" x14ac:dyDescent="0.25">
      <c r="D3998" s="28"/>
      <c r="F3998" s="28"/>
      <c r="H3998" s="28"/>
    </row>
    <row r="3999" spans="4:8" x14ac:dyDescent="0.25">
      <c r="D3999" s="28"/>
      <c r="F3999" s="28"/>
      <c r="H3999" s="28"/>
    </row>
    <row r="4000" spans="4:8" x14ac:dyDescent="0.25">
      <c r="D4000" s="28"/>
      <c r="F4000" s="28"/>
      <c r="H4000" s="28"/>
    </row>
    <row r="4001" spans="4:8" x14ac:dyDescent="0.25">
      <c r="D4001" s="28"/>
      <c r="F4001" s="28"/>
      <c r="H4001" s="28"/>
    </row>
    <row r="4002" spans="4:8" x14ac:dyDescent="0.25">
      <c r="D4002" s="28"/>
      <c r="F4002" s="28"/>
      <c r="H4002" s="28"/>
    </row>
    <row r="4003" spans="4:8" x14ac:dyDescent="0.25">
      <c r="D4003" s="28"/>
      <c r="F4003" s="28"/>
      <c r="H4003" s="28"/>
    </row>
    <row r="4004" spans="4:8" x14ac:dyDescent="0.25">
      <c r="D4004" s="28"/>
      <c r="F4004" s="28"/>
      <c r="H4004" s="28"/>
    </row>
    <row r="4005" spans="4:8" x14ac:dyDescent="0.25">
      <c r="D4005" s="28"/>
      <c r="F4005" s="28"/>
      <c r="H4005" s="28"/>
    </row>
    <row r="4006" spans="4:8" x14ac:dyDescent="0.25">
      <c r="D4006" s="28"/>
      <c r="F4006" s="28"/>
      <c r="H4006" s="28"/>
    </row>
    <row r="4007" spans="4:8" x14ac:dyDescent="0.25">
      <c r="D4007" s="28"/>
      <c r="F4007" s="28"/>
      <c r="H4007" s="28"/>
    </row>
    <row r="4008" spans="4:8" x14ac:dyDescent="0.25">
      <c r="D4008" s="28"/>
      <c r="F4008" s="28"/>
      <c r="H4008" s="28"/>
    </row>
    <row r="4009" spans="4:8" x14ac:dyDescent="0.25">
      <c r="D4009" s="28"/>
      <c r="F4009" s="28"/>
      <c r="H4009" s="28"/>
    </row>
    <row r="4010" spans="4:8" x14ac:dyDescent="0.25">
      <c r="D4010" s="28"/>
      <c r="F4010" s="28"/>
      <c r="H4010" s="28"/>
    </row>
    <row r="4011" spans="4:8" x14ac:dyDescent="0.25">
      <c r="D4011" s="28"/>
      <c r="F4011" s="28"/>
      <c r="H4011" s="28"/>
    </row>
    <row r="4012" spans="4:8" x14ac:dyDescent="0.25">
      <c r="D4012" s="28"/>
      <c r="F4012" s="28"/>
      <c r="H4012" s="28"/>
    </row>
    <row r="4013" spans="4:8" x14ac:dyDescent="0.25">
      <c r="D4013" s="28"/>
      <c r="F4013" s="28"/>
      <c r="H4013" s="28"/>
    </row>
    <row r="4014" spans="4:8" x14ac:dyDescent="0.25">
      <c r="D4014" s="28"/>
      <c r="F4014" s="28"/>
      <c r="H4014" s="28"/>
    </row>
    <row r="4015" spans="4:8" x14ac:dyDescent="0.25">
      <c r="D4015" s="28"/>
      <c r="F4015" s="28"/>
      <c r="H4015" s="28"/>
    </row>
    <row r="4016" spans="4:8" x14ac:dyDescent="0.25">
      <c r="D4016" s="28"/>
      <c r="F4016" s="28"/>
      <c r="H4016" s="28"/>
    </row>
    <row r="4017" spans="4:8" x14ac:dyDescent="0.25">
      <c r="D4017" s="28"/>
      <c r="F4017" s="28"/>
      <c r="H4017" s="28"/>
    </row>
    <row r="4018" spans="4:8" x14ac:dyDescent="0.25">
      <c r="D4018" s="28"/>
      <c r="F4018" s="28"/>
      <c r="H4018" s="28"/>
    </row>
    <row r="4019" spans="4:8" x14ac:dyDescent="0.25">
      <c r="D4019" s="28"/>
      <c r="F4019" s="28"/>
      <c r="H4019" s="28"/>
    </row>
    <row r="4020" spans="4:8" x14ac:dyDescent="0.25">
      <c r="D4020" s="28"/>
      <c r="F4020" s="28"/>
      <c r="H4020" s="28"/>
    </row>
    <row r="4021" spans="4:8" x14ac:dyDescent="0.25">
      <c r="D4021" s="28"/>
      <c r="F4021" s="28"/>
      <c r="H4021" s="28"/>
    </row>
    <row r="4022" spans="4:8" x14ac:dyDescent="0.25">
      <c r="D4022" s="28"/>
      <c r="F4022" s="28"/>
      <c r="H4022" s="28"/>
    </row>
    <row r="4023" spans="4:8" x14ac:dyDescent="0.25">
      <c r="D4023" s="28"/>
      <c r="F4023" s="28"/>
      <c r="H4023" s="28"/>
    </row>
    <row r="4024" spans="4:8" x14ac:dyDescent="0.25">
      <c r="D4024" s="28"/>
      <c r="F4024" s="28"/>
      <c r="H4024" s="28"/>
    </row>
    <row r="4025" spans="4:8" x14ac:dyDescent="0.25">
      <c r="D4025" s="28"/>
      <c r="F4025" s="28"/>
      <c r="H4025" s="28"/>
    </row>
    <row r="4026" spans="4:8" x14ac:dyDescent="0.25">
      <c r="D4026" s="28"/>
      <c r="F4026" s="28"/>
      <c r="H4026" s="28"/>
    </row>
    <row r="4027" spans="4:8" x14ac:dyDescent="0.25">
      <c r="D4027" s="28"/>
      <c r="F4027" s="28"/>
      <c r="H4027" s="28"/>
    </row>
    <row r="4028" spans="4:8" x14ac:dyDescent="0.25">
      <c r="D4028" s="28"/>
      <c r="F4028" s="28"/>
      <c r="H4028" s="28"/>
    </row>
    <row r="4029" spans="4:8" x14ac:dyDescent="0.25">
      <c r="D4029" s="28"/>
      <c r="F4029" s="28"/>
      <c r="H4029" s="28"/>
    </row>
    <row r="4030" spans="4:8" x14ac:dyDescent="0.25">
      <c r="D4030" s="28"/>
      <c r="F4030" s="28"/>
      <c r="H4030" s="28"/>
    </row>
    <row r="4031" spans="4:8" x14ac:dyDescent="0.25">
      <c r="D4031" s="28"/>
      <c r="F4031" s="28"/>
      <c r="H4031" s="28"/>
    </row>
    <row r="4032" spans="4:8" x14ac:dyDescent="0.25">
      <c r="D4032" s="28"/>
      <c r="F4032" s="28"/>
      <c r="H4032" s="28"/>
    </row>
    <row r="4033" spans="4:8" x14ac:dyDescent="0.25">
      <c r="D4033" s="28"/>
      <c r="F4033" s="28"/>
      <c r="H4033" s="28"/>
    </row>
    <row r="4034" spans="4:8" x14ac:dyDescent="0.25">
      <c r="D4034" s="28"/>
      <c r="F4034" s="28"/>
      <c r="H4034" s="28"/>
    </row>
    <row r="4035" spans="4:8" x14ac:dyDescent="0.25">
      <c r="D4035" s="28"/>
      <c r="F4035" s="28"/>
      <c r="H4035" s="28"/>
    </row>
    <row r="4036" spans="4:8" x14ac:dyDescent="0.25">
      <c r="D4036" s="28"/>
      <c r="F4036" s="28"/>
      <c r="H4036" s="28"/>
    </row>
    <row r="4037" spans="4:8" x14ac:dyDescent="0.25">
      <c r="D4037" s="28"/>
      <c r="F4037" s="28"/>
      <c r="H4037" s="28"/>
    </row>
    <row r="4038" spans="4:8" x14ac:dyDescent="0.25">
      <c r="D4038" s="28"/>
      <c r="F4038" s="28"/>
      <c r="H4038" s="28"/>
    </row>
    <row r="4039" spans="4:8" x14ac:dyDescent="0.25">
      <c r="D4039" s="28"/>
      <c r="F4039" s="28"/>
      <c r="H4039" s="28"/>
    </row>
    <row r="4040" spans="4:8" x14ac:dyDescent="0.25">
      <c r="D4040" s="28"/>
      <c r="F4040" s="28"/>
      <c r="H4040" s="28"/>
    </row>
    <row r="4041" spans="4:8" x14ac:dyDescent="0.25">
      <c r="D4041" s="28"/>
      <c r="F4041" s="28"/>
      <c r="H4041" s="28"/>
    </row>
    <row r="4042" spans="4:8" x14ac:dyDescent="0.25">
      <c r="D4042" s="28"/>
      <c r="F4042" s="28"/>
      <c r="H4042" s="28"/>
    </row>
    <row r="4043" spans="4:8" x14ac:dyDescent="0.25">
      <c r="D4043" s="28"/>
      <c r="F4043" s="28"/>
      <c r="H4043" s="28"/>
    </row>
    <row r="4044" spans="4:8" x14ac:dyDescent="0.25">
      <c r="D4044" s="28"/>
      <c r="F4044" s="28"/>
      <c r="H4044" s="28"/>
    </row>
    <row r="4045" spans="4:8" x14ac:dyDescent="0.25">
      <c r="D4045" s="28"/>
      <c r="F4045" s="28"/>
      <c r="H4045" s="28"/>
    </row>
    <row r="4046" spans="4:8" x14ac:dyDescent="0.25">
      <c r="D4046" s="28"/>
      <c r="F4046" s="28"/>
      <c r="H4046" s="28"/>
    </row>
    <row r="4047" spans="4:8" x14ac:dyDescent="0.25">
      <c r="D4047" s="28"/>
      <c r="F4047" s="28"/>
      <c r="H4047" s="28"/>
    </row>
    <row r="4048" spans="4:8" x14ac:dyDescent="0.25">
      <c r="D4048" s="28"/>
      <c r="F4048" s="28"/>
      <c r="H4048" s="28"/>
    </row>
    <row r="4049" spans="4:8" x14ac:dyDescent="0.25">
      <c r="D4049" s="28"/>
      <c r="F4049" s="28"/>
      <c r="H4049" s="28"/>
    </row>
    <row r="4050" spans="4:8" x14ac:dyDescent="0.25">
      <c r="D4050" s="28"/>
      <c r="F4050" s="28"/>
      <c r="H4050" s="28"/>
    </row>
    <row r="4051" spans="4:8" x14ac:dyDescent="0.25">
      <c r="D4051" s="28"/>
      <c r="F4051" s="28"/>
      <c r="H4051" s="28"/>
    </row>
    <row r="4052" spans="4:8" x14ac:dyDescent="0.25">
      <c r="D4052" s="28"/>
      <c r="F4052" s="28"/>
      <c r="H4052" s="28"/>
    </row>
    <row r="4053" spans="4:8" x14ac:dyDescent="0.25">
      <c r="D4053" s="28"/>
      <c r="F4053" s="28"/>
      <c r="H4053" s="28"/>
    </row>
    <row r="4054" spans="4:8" x14ac:dyDescent="0.25">
      <c r="D4054" s="28"/>
      <c r="F4054" s="28"/>
      <c r="H4054" s="28"/>
    </row>
    <row r="4055" spans="4:8" x14ac:dyDescent="0.25">
      <c r="D4055" s="28"/>
      <c r="F4055" s="28"/>
      <c r="H4055" s="28"/>
    </row>
    <row r="4056" spans="4:8" x14ac:dyDescent="0.25">
      <c r="D4056" s="28"/>
      <c r="F4056" s="28"/>
      <c r="H4056" s="28"/>
    </row>
    <row r="4057" spans="4:8" x14ac:dyDescent="0.25">
      <c r="D4057" s="28"/>
      <c r="F4057" s="28"/>
      <c r="H4057" s="28"/>
    </row>
    <row r="4058" spans="4:8" x14ac:dyDescent="0.25">
      <c r="D4058" s="28"/>
      <c r="F4058" s="28"/>
      <c r="H4058" s="28"/>
    </row>
    <row r="4059" spans="4:8" x14ac:dyDescent="0.25">
      <c r="D4059" s="28"/>
      <c r="F4059" s="28"/>
      <c r="H4059" s="28"/>
    </row>
    <row r="4060" spans="4:8" x14ac:dyDescent="0.25">
      <c r="D4060" s="28"/>
      <c r="F4060" s="28"/>
      <c r="H4060" s="28"/>
    </row>
    <row r="4061" spans="4:8" x14ac:dyDescent="0.25">
      <c r="D4061" s="28"/>
      <c r="F4061" s="28"/>
      <c r="H4061" s="28"/>
    </row>
    <row r="4062" spans="4:8" x14ac:dyDescent="0.25">
      <c r="D4062" s="28"/>
      <c r="F4062" s="28"/>
      <c r="H4062" s="28"/>
    </row>
    <row r="4063" spans="4:8" x14ac:dyDescent="0.25">
      <c r="D4063" s="28"/>
      <c r="F4063" s="28"/>
      <c r="H4063" s="28"/>
    </row>
    <row r="4064" spans="4:8" x14ac:dyDescent="0.25">
      <c r="D4064" s="28"/>
      <c r="F4064" s="28"/>
      <c r="H4064" s="28"/>
    </row>
    <row r="4065" spans="4:8" x14ac:dyDescent="0.25">
      <c r="D4065" s="28"/>
      <c r="F4065" s="28"/>
      <c r="H4065" s="28"/>
    </row>
    <row r="4066" spans="4:8" x14ac:dyDescent="0.25">
      <c r="D4066" s="28"/>
      <c r="F4066" s="28"/>
      <c r="H4066" s="28"/>
    </row>
    <row r="4067" spans="4:8" x14ac:dyDescent="0.25">
      <c r="D4067" s="28"/>
      <c r="F4067" s="28"/>
      <c r="H4067" s="28"/>
    </row>
    <row r="4068" spans="4:8" x14ac:dyDescent="0.25">
      <c r="D4068" s="28"/>
      <c r="F4068" s="28"/>
      <c r="H4068" s="28"/>
    </row>
    <row r="4069" spans="4:8" x14ac:dyDescent="0.25">
      <c r="D4069" s="28"/>
      <c r="F4069" s="28"/>
      <c r="H4069" s="28"/>
    </row>
    <row r="4070" spans="4:8" x14ac:dyDescent="0.25">
      <c r="D4070" s="28"/>
      <c r="F4070" s="28"/>
      <c r="H4070" s="28"/>
    </row>
    <row r="4071" spans="4:8" x14ac:dyDescent="0.25">
      <c r="D4071" s="28"/>
      <c r="F4071" s="28"/>
      <c r="H4071" s="28"/>
    </row>
    <row r="4072" spans="4:8" x14ac:dyDescent="0.25">
      <c r="D4072" s="28"/>
      <c r="F4072" s="28"/>
      <c r="H4072" s="28"/>
    </row>
    <row r="4073" spans="4:8" x14ac:dyDescent="0.25">
      <c r="D4073" s="28"/>
      <c r="F4073" s="28"/>
      <c r="H4073" s="28"/>
    </row>
    <row r="4074" spans="4:8" x14ac:dyDescent="0.25">
      <c r="D4074" s="28"/>
      <c r="F4074" s="28"/>
      <c r="H4074" s="28"/>
    </row>
    <row r="4075" spans="4:8" x14ac:dyDescent="0.25">
      <c r="D4075" s="28"/>
      <c r="F4075" s="28"/>
      <c r="H4075" s="28"/>
    </row>
    <row r="4076" spans="4:8" x14ac:dyDescent="0.25">
      <c r="D4076" s="28"/>
      <c r="F4076" s="28"/>
      <c r="H4076" s="28"/>
    </row>
    <row r="4077" spans="4:8" x14ac:dyDescent="0.25">
      <c r="D4077" s="28"/>
      <c r="F4077" s="28"/>
      <c r="H4077" s="28"/>
    </row>
    <row r="4078" spans="4:8" x14ac:dyDescent="0.25">
      <c r="D4078" s="28"/>
      <c r="F4078" s="28"/>
      <c r="H4078" s="28"/>
    </row>
    <row r="4079" spans="4:8" x14ac:dyDescent="0.25">
      <c r="D4079" s="28"/>
      <c r="F4079" s="28"/>
      <c r="H4079" s="28"/>
    </row>
    <row r="4080" spans="4:8" x14ac:dyDescent="0.25">
      <c r="D4080" s="28"/>
      <c r="F4080" s="28"/>
      <c r="H4080" s="28"/>
    </row>
    <row r="4081" spans="4:8" x14ac:dyDescent="0.25">
      <c r="D4081" s="28"/>
      <c r="F4081" s="28"/>
      <c r="H4081" s="28"/>
    </row>
    <row r="4082" spans="4:8" x14ac:dyDescent="0.25">
      <c r="D4082" s="28"/>
      <c r="F4082" s="28"/>
      <c r="H4082" s="28"/>
    </row>
    <row r="4083" spans="4:8" x14ac:dyDescent="0.25">
      <c r="D4083" s="28"/>
      <c r="F4083" s="28"/>
      <c r="H4083" s="28"/>
    </row>
    <row r="4084" spans="4:8" x14ac:dyDescent="0.25">
      <c r="D4084" s="28"/>
      <c r="F4084" s="28"/>
      <c r="H4084" s="28"/>
    </row>
    <row r="4085" spans="4:8" x14ac:dyDescent="0.25">
      <c r="D4085" s="28"/>
      <c r="F4085" s="28"/>
      <c r="H4085" s="28"/>
    </row>
    <row r="4086" spans="4:8" x14ac:dyDescent="0.25">
      <c r="D4086" s="28"/>
      <c r="F4086" s="28"/>
      <c r="H4086" s="28"/>
    </row>
    <row r="4087" spans="4:8" x14ac:dyDescent="0.25">
      <c r="D4087" s="28"/>
      <c r="F4087" s="28"/>
      <c r="H4087" s="28"/>
    </row>
    <row r="4088" spans="4:8" x14ac:dyDescent="0.25">
      <c r="D4088" s="28"/>
      <c r="F4088" s="28"/>
      <c r="H4088" s="28"/>
    </row>
    <row r="4089" spans="4:8" x14ac:dyDescent="0.25">
      <c r="D4089" s="28"/>
      <c r="F4089" s="28"/>
      <c r="H4089" s="28"/>
    </row>
    <row r="4090" spans="4:8" x14ac:dyDescent="0.25">
      <c r="D4090" s="28"/>
      <c r="F4090" s="28"/>
      <c r="H4090" s="28"/>
    </row>
    <row r="4091" spans="4:8" x14ac:dyDescent="0.25">
      <c r="D4091" s="28"/>
      <c r="F4091" s="28"/>
      <c r="H4091" s="28"/>
    </row>
    <row r="4092" spans="4:8" x14ac:dyDescent="0.25">
      <c r="D4092" s="28"/>
      <c r="F4092" s="28"/>
      <c r="H4092" s="28"/>
    </row>
    <row r="4093" spans="4:8" x14ac:dyDescent="0.25">
      <c r="D4093" s="28"/>
      <c r="F4093" s="28"/>
      <c r="H4093" s="28"/>
    </row>
    <row r="4094" spans="4:8" x14ac:dyDescent="0.25">
      <c r="D4094" s="28"/>
      <c r="F4094" s="28"/>
      <c r="H4094" s="28"/>
    </row>
    <row r="4095" spans="4:8" x14ac:dyDescent="0.25">
      <c r="D4095" s="28"/>
      <c r="F4095" s="28"/>
      <c r="H4095" s="28"/>
    </row>
    <row r="4096" spans="4:8" x14ac:dyDescent="0.25">
      <c r="D4096" s="28"/>
      <c r="F4096" s="28"/>
      <c r="H4096" s="28"/>
    </row>
    <row r="4097" spans="4:8" x14ac:dyDescent="0.25">
      <c r="D4097" s="28"/>
      <c r="F4097" s="28"/>
      <c r="H4097" s="28"/>
    </row>
    <row r="4098" spans="4:8" x14ac:dyDescent="0.25">
      <c r="D4098" s="28"/>
      <c r="F4098" s="28"/>
      <c r="H4098" s="28"/>
    </row>
    <row r="4099" spans="4:8" x14ac:dyDescent="0.25">
      <c r="D4099" s="28"/>
      <c r="F4099" s="28"/>
      <c r="H4099" s="28"/>
    </row>
    <row r="4100" spans="4:8" x14ac:dyDescent="0.25">
      <c r="D4100" s="28"/>
      <c r="F4100" s="28"/>
      <c r="H4100" s="28"/>
    </row>
    <row r="4101" spans="4:8" x14ac:dyDescent="0.25">
      <c r="D4101" s="28"/>
      <c r="F4101" s="28"/>
      <c r="H4101" s="28"/>
    </row>
    <row r="4102" spans="4:8" x14ac:dyDescent="0.25">
      <c r="D4102" s="28"/>
      <c r="F4102" s="28"/>
      <c r="H4102" s="28"/>
    </row>
    <row r="4103" spans="4:8" x14ac:dyDescent="0.25">
      <c r="D4103" s="28"/>
      <c r="F4103" s="28"/>
      <c r="H4103" s="28"/>
    </row>
    <row r="4104" spans="4:8" x14ac:dyDescent="0.25">
      <c r="D4104" s="28"/>
      <c r="F4104" s="28"/>
      <c r="H4104" s="28"/>
    </row>
    <row r="4105" spans="4:8" x14ac:dyDescent="0.25">
      <c r="D4105" s="28"/>
      <c r="F4105" s="28"/>
      <c r="H4105" s="28"/>
    </row>
    <row r="4106" spans="4:8" x14ac:dyDescent="0.25">
      <c r="D4106" s="28"/>
      <c r="F4106" s="28"/>
      <c r="H4106" s="28"/>
    </row>
    <row r="4107" spans="4:8" x14ac:dyDescent="0.25">
      <c r="D4107" s="28"/>
      <c r="F4107" s="28"/>
      <c r="H4107" s="28"/>
    </row>
    <row r="4108" spans="4:8" x14ac:dyDescent="0.25">
      <c r="D4108" s="28"/>
      <c r="F4108" s="28"/>
      <c r="H4108" s="28"/>
    </row>
    <row r="4109" spans="4:8" x14ac:dyDescent="0.25">
      <c r="D4109" s="28"/>
      <c r="F4109" s="28"/>
      <c r="H4109" s="28"/>
    </row>
    <row r="4110" spans="4:8" x14ac:dyDescent="0.25">
      <c r="D4110" s="28"/>
      <c r="F4110" s="28"/>
      <c r="H4110" s="28"/>
    </row>
    <row r="4111" spans="4:8" x14ac:dyDescent="0.25">
      <c r="D4111" s="28"/>
      <c r="F4111" s="28"/>
      <c r="H4111" s="28"/>
    </row>
    <row r="4112" spans="4:8" x14ac:dyDescent="0.25">
      <c r="D4112" s="28"/>
      <c r="F4112" s="28"/>
      <c r="H4112" s="28"/>
    </row>
    <row r="4113" spans="4:8" x14ac:dyDescent="0.25">
      <c r="D4113" s="28"/>
      <c r="F4113" s="28"/>
      <c r="H4113" s="28"/>
    </row>
    <row r="4114" spans="4:8" x14ac:dyDescent="0.25">
      <c r="D4114" s="28"/>
      <c r="F4114" s="28"/>
      <c r="H4114" s="28"/>
    </row>
    <row r="4115" spans="4:8" x14ac:dyDescent="0.25">
      <c r="D4115" s="28"/>
      <c r="F4115" s="28"/>
      <c r="H4115" s="28"/>
    </row>
    <row r="4116" spans="4:8" x14ac:dyDescent="0.25">
      <c r="D4116" s="28"/>
      <c r="F4116" s="28"/>
      <c r="H4116" s="28"/>
    </row>
    <row r="4117" spans="4:8" x14ac:dyDescent="0.25">
      <c r="D4117" s="28"/>
      <c r="F4117" s="28"/>
      <c r="H4117" s="28"/>
    </row>
    <row r="4118" spans="4:8" x14ac:dyDescent="0.25">
      <c r="D4118" s="28"/>
      <c r="F4118" s="28"/>
      <c r="H4118" s="28"/>
    </row>
    <row r="4119" spans="4:8" x14ac:dyDescent="0.25">
      <c r="D4119" s="28"/>
      <c r="F4119" s="28"/>
      <c r="H4119" s="28"/>
    </row>
    <row r="4120" spans="4:8" x14ac:dyDescent="0.25">
      <c r="D4120" s="28"/>
      <c r="F4120" s="28"/>
      <c r="H4120" s="28"/>
    </row>
    <row r="4121" spans="4:8" x14ac:dyDescent="0.25">
      <c r="D4121" s="28"/>
      <c r="F4121" s="28"/>
      <c r="H4121" s="28"/>
    </row>
    <row r="4122" spans="4:8" x14ac:dyDescent="0.25">
      <c r="D4122" s="28"/>
      <c r="F4122" s="28"/>
      <c r="H4122" s="28"/>
    </row>
    <row r="4123" spans="4:8" x14ac:dyDescent="0.25">
      <c r="D4123" s="28"/>
      <c r="F4123" s="28"/>
      <c r="H4123" s="28"/>
    </row>
    <row r="4124" spans="4:8" x14ac:dyDescent="0.25">
      <c r="D4124" s="28"/>
      <c r="F4124" s="28"/>
      <c r="H4124" s="28"/>
    </row>
    <row r="4125" spans="4:8" x14ac:dyDescent="0.25">
      <c r="D4125" s="28"/>
      <c r="F4125" s="28"/>
      <c r="H4125" s="28"/>
    </row>
    <row r="4126" spans="4:8" x14ac:dyDescent="0.25">
      <c r="D4126" s="28"/>
      <c r="F4126" s="28"/>
      <c r="H4126" s="28"/>
    </row>
    <row r="4127" spans="4:8" x14ac:dyDescent="0.25">
      <c r="D4127" s="28"/>
      <c r="F4127" s="28"/>
      <c r="H4127" s="28"/>
    </row>
    <row r="4128" spans="4:8" x14ac:dyDescent="0.25">
      <c r="D4128" s="28"/>
      <c r="F4128" s="28"/>
      <c r="H4128" s="28"/>
    </row>
    <row r="4129" spans="4:8" x14ac:dyDescent="0.25">
      <c r="D4129" s="28"/>
      <c r="F4129" s="28"/>
      <c r="H4129" s="28"/>
    </row>
    <row r="4130" spans="4:8" x14ac:dyDescent="0.25">
      <c r="D4130" s="28"/>
      <c r="F4130" s="28"/>
      <c r="H4130" s="28"/>
    </row>
    <row r="4131" spans="4:8" x14ac:dyDescent="0.25">
      <c r="D4131" s="28"/>
      <c r="F4131" s="28"/>
      <c r="H4131" s="28"/>
    </row>
    <row r="4132" spans="4:8" x14ac:dyDescent="0.25">
      <c r="D4132" s="28"/>
      <c r="F4132" s="28"/>
      <c r="H4132" s="28"/>
    </row>
    <row r="4133" spans="4:8" x14ac:dyDescent="0.25">
      <c r="D4133" s="28"/>
      <c r="F4133" s="28"/>
      <c r="H4133" s="28"/>
    </row>
    <row r="4134" spans="4:8" x14ac:dyDescent="0.25">
      <c r="D4134" s="28"/>
      <c r="F4134" s="28"/>
      <c r="H4134" s="28"/>
    </row>
    <row r="4135" spans="4:8" x14ac:dyDescent="0.25">
      <c r="D4135" s="28"/>
      <c r="F4135" s="28"/>
      <c r="H4135" s="28"/>
    </row>
    <row r="4136" spans="4:8" x14ac:dyDescent="0.25">
      <c r="D4136" s="28"/>
      <c r="F4136" s="28"/>
      <c r="H4136" s="28"/>
    </row>
    <row r="4137" spans="4:8" x14ac:dyDescent="0.25">
      <c r="D4137" s="28"/>
      <c r="F4137" s="28"/>
      <c r="H4137" s="28"/>
    </row>
    <row r="4138" spans="4:8" x14ac:dyDescent="0.25">
      <c r="D4138" s="28"/>
      <c r="F4138" s="28"/>
      <c r="H4138" s="28"/>
    </row>
    <row r="4139" spans="4:8" x14ac:dyDescent="0.25">
      <c r="D4139" s="28"/>
      <c r="F4139" s="28"/>
      <c r="H4139" s="28"/>
    </row>
    <row r="4140" spans="4:8" x14ac:dyDescent="0.25">
      <c r="D4140" s="28"/>
      <c r="F4140" s="28"/>
      <c r="H4140" s="28"/>
    </row>
    <row r="4141" spans="4:8" x14ac:dyDescent="0.25">
      <c r="D4141" s="28"/>
      <c r="F4141" s="28"/>
      <c r="H4141" s="28"/>
    </row>
    <row r="4142" spans="4:8" x14ac:dyDescent="0.25">
      <c r="D4142" s="28"/>
      <c r="F4142" s="28"/>
      <c r="H4142" s="28"/>
    </row>
    <row r="4143" spans="4:8" x14ac:dyDescent="0.25">
      <c r="D4143" s="28"/>
      <c r="F4143" s="28"/>
      <c r="H4143" s="28"/>
    </row>
    <row r="4144" spans="4:8" x14ac:dyDescent="0.25">
      <c r="D4144" s="28"/>
      <c r="F4144" s="28"/>
      <c r="H4144" s="28"/>
    </row>
    <row r="4145" spans="4:8" x14ac:dyDescent="0.25">
      <c r="D4145" s="28"/>
      <c r="F4145" s="28"/>
      <c r="H4145" s="28"/>
    </row>
    <row r="4146" spans="4:8" x14ac:dyDescent="0.25">
      <c r="D4146" s="28"/>
      <c r="F4146" s="28"/>
      <c r="H4146" s="28"/>
    </row>
    <row r="4147" spans="4:8" x14ac:dyDescent="0.25">
      <c r="D4147" s="28"/>
      <c r="F4147" s="28"/>
      <c r="H4147" s="28"/>
    </row>
    <row r="4148" spans="4:8" x14ac:dyDescent="0.25">
      <c r="D4148" s="28"/>
      <c r="F4148" s="28"/>
      <c r="H4148" s="28"/>
    </row>
    <row r="4149" spans="4:8" x14ac:dyDescent="0.25">
      <c r="D4149" s="28"/>
      <c r="F4149" s="28"/>
      <c r="H4149" s="28"/>
    </row>
    <row r="4150" spans="4:8" x14ac:dyDescent="0.25">
      <c r="D4150" s="28"/>
      <c r="F4150" s="28"/>
      <c r="H4150" s="28"/>
    </row>
    <row r="4151" spans="4:8" x14ac:dyDescent="0.25">
      <c r="D4151" s="28"/>
      <c r="F4151" s="28"/>
      <c r="H4151" s="28"/>
    </row>
    <row r="4152" spans="4:8" x14ac:dyDescent="0.25">
      <c r="D4152" s="28"/>
      <c r="F4152" s="28"/>
      <c r="H4152" s="28"/>
    </row>
    <row r="4153" spans="4:8" x14ac:dyDescent="0.25">
      <c r="D4153" s="28"/>
      <c r="F4153" s="28"/>
      <c r="H4153" s="28"/>
    </row>
    <row r="4154" spans="4:8" x14ac:dyDescent="0.25">
      <c r="D4154" s="28"/>
      <c r="F4154" s="28"/>
      <c r="H4154" s="28"/>
    </row>
    <row r="4155" spans="4:8" x14ac:dyDescent="0.25">
      <c r="D4155" s="28"/>
      <c r="F4155" s="28"/>
      <c r="H4155" s="28"/>
    </row>
    <row r="4156" spans="4:8" x14ac:dyDescent="0.25">
      <c r="D4156" s="28"/>
      <c r="F4156" s="28"/>
      <c r="H4156" s="28"/>
    </row>
    <row r="4157" spans="4:8" x14ac:dyDescent="0.25">
      <c r="D4157" s="28"/>
      <c r="F4157" s="28"/>
      <c r="H4157" s="28"/>
    </row>
    <row r="4158" spans="4:8" x14ac:dyDescent="0.25">
      <c r="D4158" s="28"/>
      <c r="F4158" s="28"/>
      <c r="H4158" s="28"/>
    </row>
    <row r="4159" spans="4:8" x14ac:dyDescent="0.25">
      <c r="D4159" s="28"/>
      <c r="F4159" s="28"/>
      <c r="H4159" s="28"/>
    </row>
    <row r="4160" spans="4:8" x14ac:dyDescent="0.25">
      <c r="D4160" s="28"/>
      <c r="F4160" s="28"/>
      <c r="H4160" s="28"/>
    </row>
    <row r="4161" spans="4:8" x14ac:dyDescent="0.25">
      <c r="D4161" s="28"/>
      <c r="F4161" s="28"/>
      <c r="H4161" s="28"/>
    </row>
    <row r="4162" spans="4:8" x14ac:dyDescent="0.25">
      <c r="D4162" s="28"/>
      <c r="F4162" s="28"/>
      <c r="H4162" s="28"/>
    </row>
    <row r="4163" spans="4:8" x14ac:dyDescent="0.25">
      <c r="D4163" s="28"/>
      <c r="F4163" s="28"/>
      <c r="H4163" s="28"/>
    </row>
    <row r="4164" spans="4:8" x14ac:dyDescent="0.25">
      <c r="D4164" s="28"/>
      <c r="F4164" s="28"/>
      <c r="H4164" s="28"/>
    </row>
    <row r="4165" spans="4:8" x14ac:dyDescent="0.25">
      <c r="D4165" s="28"/>
      <c r="F4165" s="28"/>
      <c r="H4165" s="28"/>
    </row>
    <row r="4166" spans="4:8" x14ac:dyDescent="0.25">
      <c r="D4166" s="28"/>
      <c r="F4166" s="28"/>
      <c r="H4166" s="28"/>
    </row>
    <row r="4167" spans="4:8" x14ac:dyDescent="0.25">
      <c r="D4167" s="28"/>
      <c r="F4167" s="28"/>
      <c r="H4167" s="28"/>
    </row>
    <row r="4168" spans="4:8" x14ac:dyDescent="0.25">
      <c r="D4168" s="28"/>
      <c r="F4168" s="28"/>
      <c r="H4168" s="28"/>
    </row>
    <row r="4169" spans="4:8" x14ac:dyDescent="0.25">
      <c r="D4169" s="28"/>
      <c r="F4169" s="28"/>
      <c r="H4169" s="28"/>
    </row>
    <row r="4170" spans="4:8" x14ac:dyDescent="0.25">
      <c r="D4170" s="28"/>
      <c r="F4170" s="28"/>
      <c r="H4170" s="28"/>
    </row>
    <row r="4171" spans="4:8" x14ac:dyDescent="0.25">
      <c r="D4171" s="28"/>
      <c r="F4171" s="28"/>
      <c r="H4171" s="28"/>
    </row>
    <row r="4172" spans="4:8" x14ac:dyDescent="0.25">
      <c r="D4172" s="28"/>
      <c r="F4172" s="28"/>
      <c r="H4172" s="28"/>
    </row>
    <row r="4173" spans="4:8" x14ac:dyDescent="0.25">
      <c r="D4173" s="28"/>
      <c r="F4173" s="28"/>
      <c r="H4173" s="28"/>
    </row>
    <row r="4174" spans="4:8" x14ac:dyDescent="0.25">
      <c r="D4174" s="28"/>
      <c r="F4174" s="28"/>
      <c r="H4174" s="28"/>
    </row>
    <row r="4175" spans="4:8" x14ac:dyDescent="0.25">
      <c r="D4175" s="28"/>
      <c r="F4175" s="28"/>
      <c r="H4175" s="28"/>
    </row>
    <row r="4176" spans="4:8" x14ac:dyDescent="0.25">
      <c r="D4176" s="28"/>
      <c r="F4176" s="28"/>
      <c r="H4176" s="28"/>
    </row>
    <row r="4177" spans="4:8" x14ac:dyDescent="0.25">
      <c r="D4177" s="28"/>
      <c r="F4177" s="28"/>
      <c r="H4177" s="28"/>
    </row>
    <row r="4178" spans="4:8" x14ac:dyDescent="0.25">
      <c r="D4178" s="28"/>
      <c r="F4178" s="28"/>
      <c r="H4178" s="28"/>
    </row>
    <row r="4179" spans="4:8" x14ac:dyDescent="0.25">
      <c r="D4179" s="28"/>
      <c r="F4179" s="28"/>
      <c r="H4179" s="28"/>
    </row>
    <row r="4180" spans="4:8" x14ac:dyDescent="0.25">
      <c r="D4180" s="28"/>
      <c r="F4180" s="28"/>
      <c r="H4180" s="28"/>
    </row>
    <row r="4181" spans="4:8" x14ac:dyDescent="0.25">
      <c r="D4181" s="28"/>
      <c r="F4181" s="28"/>
      <c r="H4181" s="28"/>
    </row>
    <row r="4182" spans="4:8" x14ac:dyDescent="0.25">
      <c r="D4182" s="28"/>
      <c r="F4182" s="28"/>
      <c r="H4182" s="28"/>
    </row>
    <row r="4183" spans="4:8" x14ac:dyDescent="0.25">
      <c r="D4183" s="28"/>
      <c r="F4183" s="28"/>
      <c r="H4183" s="28"/>
    </row>
    <row r="4184" spans="4:8" x14ac:dyDescent="0.25">
      <c r="D4184" s="28"/>
      <c r="F4184" s="28"/>
      <c r="H4184" s="28"/>
    </row>
    <row r="4185" spans="4:8" x14ac:dyDescent="0.25">
      <c r="D4185" s="28"/>
      <c r="F4185" s="28"/>
      <c r="H4185" s="28"/>
    </row>
    <row r="4186" spans="4:8" x14ac:dyDescent="0.25">
      <c r="D4186" s="28"/>
      <c r="F4186" s="28"/>
      <c r="H4186" s="28"/>
    </row>
    <row r="4187" spans="4:8" x14ac:dyDescent="0.25">
      <c r="D4187" s="28"/>
      <c r="F4187" s="28"/>
      <c r="H4187" s="28"/>
    </row>
    <row r="4188" spans="4:8" x14ac:dyDescent="0.25">
      <c r="D4188" s="28"/>
      <c r="F4188" s="28"/>
      <c r="H4188" s="28"/>
    </row>
    <row r="4189" spans="4:8" x14ac:dyDescent="0.25">
      <c r="D4189" s="28"/>
      <c r="F4189" s="28"/>
      <c r="H4189" s="28"/>
    </row>
    <row r="4190" spans="4:8" x14ac:dyDescent="0.25">
      <c r="D4190" s="28"/>
      <c r="F4190" s="28"/>
      <c r="H4190" s="28"/>
    </row>
    <row r="4191" spans="4:8" x14ac:dyDescent="0.25">
      <c r="D4191" s="28"/>
      <c r="F4191" s="28"/>
      <c r="H4191" s="28"/>
    </row>
    <row r="4192" spans="4:8" x14ac:dyDescent="0.25">
      <c r="D4192" s="28"/>
      <c r="F4192" s="28"/>
      <c r="H4192" s="28"/>
    </row>
    <row r="4193" spans="4:8" x14ac:dyDescent="0.25">
      <c r="D4193" s="28"/>
      <c r="F4193" s="28"/>
      <c r="H4193" s="28"/>
    </row>
    <row r="4194" spans="4:8" x14ac:dyDescent="0.25">
      <c r="D4194" s="28"/>
      <c r="F4194" s="28"/>
      <c r="H4194" s="28"/>
    </row>
    <row r="4195" spans="4:8" x14ac:dyDescent="0.25">
      <c r="D4195" s="28"/>
      <c r="F4195" s="28"/>
      <c r="H4195" s="28"/>
    </row>
    <row r="4196" spans="4:8" x14ac:dyDescent="0.25">
      <c r="D4196" s="28"/>
      <c r="F4196" s="28"/>
      <c r="H4196" s="28"/>
    </row>
    <row r="4197" spans="4:8" x14ac:dyDescent="0.25">
      <c r="D4197" s="28"/>
      <c r="F4197" s="28"/>
      <c r="H4197" s="28"/>
    </row>
    <row r="4198" spans="4:8" x14ac:dyDescent="0.25">
      <c r="D4198" s="28"/>
      <c r="F4198" s="28"/>
      <c r="H4198" s="28"/>
    </row>
    <row r="4199" spans="4:8" x14ac:dyDescent="0.25">
      <c r="D4199" s="28"/>
      <c r="F4199" s="28"/>
      <c r="H4199" s="28"/>
    </row>
    <row r="4200" spans="4:8" x14ac:dyDescent="0.25">
      <c r="D4200" s="28"/>
      <c r="F4200" s="28"/>
      <c r="H4200" s="28"/>
    </row>
    <row r="4201" spans="4:8" x14ac:dyDescent="0.25">
      <c r="D4201" s="28"/>
      <c r="F4201" s="28"/>
      <c r="H4201" s="28"/>
    </row>
    <row r="4202" spans="4:8" x14ac:dyDescent="0.25">
      <c r="D4202" s="28"/>
      <c r="F4202" s="28"/>
      <c r="H4202" s="28"/>
    </row>
    <row r="4203" spans="4:8" x14ac:dyDescent="0.25">
      <c r="D4203" s="28"/>
      <c r="F4203" s="28"/>
      <c r="H4203" s="28"/>
    </row>
    <row r="4204" spans="4:8" x14ac:dyDescent="0.25">
      <c r="D4204" s="28"/>
      <c r="F4204" s="28"/>
      <c r="H4204" s="28"/>
    </row>
    <row r="4205" spans="4:8" x14ac:dyDescent="0.25">
      <c r="D4205" s="28"/>
      <c r="F4205" s="28"/>
      <c r="H4205" s="28"/>
    </row>
    <row r="4206" spans="4:8" x14ac:dyDescent="0.25">
      <c r="D4206" s="28"/>
      <c r="F4206" s="28"/>
      <c r="H4206" s="28"/>
    </row>
    <row r="4207" spans="4:8" x14ac:dyDescent="0.25">
      <c r="D4207" s="28"/>
      <c r="F4207" s="28"/>
      <c r="H4207" s="28"/>
    </row>
    <row r="4208" spans="4:8" x14ac:dyDescent="0.25">
      <c r="D4208" s="28"/>
      <c r="F4208" s="28"/>
      <c r="H4208" s="28"/>
    </row>
    <row r="4209" spans="4:8" x14ac:dyDescent="0.25">
      <c r="D4209" s="28"/>
      <c r="F4209" s="28"/>
      <c r="H4209" s="28"/>
    </row>
    <row r="4210" spans="4:8" x14ac:dyDescent="0.25">
      <c r="D4210" s="28"/>
      <c r="F4210" s="28"/>
      <c r="H4210" s="28"/>
    </row>
    <row r="4211" spans="4:8" x14ac:dyDescent="0.25">
      <c r="D4211" s="28"/>
      <c r="F4211" s="28"/>
      <c r="H4211" s="28"/>
    </row>
    <row r="4212" spans="4:8" x14ac:dyDescent="0.25">
      <c r="D4212" s="28"/>
      <c r="F4212" s="28"/>
      <c r="H4212" s="28"/>
    </row>
    <row r="4213" spans="4:8" x14ac:dyDescent="0.25">
      <c r="D4213" s="28"/>
      <c r="F4213" s="28"/>
      <c r="H4213" s="28"/>
    </row>
    <row r="4214" spans="4:8" x14ac:dyDescent="0.25">
      <c r="D4214" s="28"/>
      <c r="F4214" s="28"/>
      <c r="H4214" s="28"/>
    </row>
    <row r="4215" spans="4:8" x14ac:dyDescent="0.25">
      <c r="D4215" s="28"/>
      <c r="F4215" s="28"/>
      <c r="H4215" s="28"/>
    </row>
    <row r="4216" spans="4:8" x14ac:dyDescent="0.25">
      <c r="D4216" s="28"/>
      <c r="F4216" s="28"/>
      <c r="H4216" s="28"/>
    </row>
    <row r="4217" spans="4:8" x14ac:dyDescent="0.25">
      <c r="D4217" s="28"/>
      <c r="F4217" s="28"/>
      <c r="H4217" s="28"/>
    </row>
    <row r="4218" spans="4:8" x14ac:dyDescent="0.25">
      <c r="D4218" s="28"/>
      <c r="F4218" s="28"/>
      <c r="H4218" s="28"/>
    </row>
    <row r="4219" spans="4:8" x14ac:dyDescent="0.25">
      <c r="D4219" s="28"/>
      <c r="F4219" s="28"/>
      <c r="H4219" s="28"/>
    </row>
    <row r="4220" spans="4:8" x14ac:dyDescent="0.25">
      <c r="D4220" s="28"/>
      <c r="F4220" s="28"/>
      <c r="H4220" s="28"/>
    </row>
    <row r="4221" spans="4:8" x14ac:dyDescent="0.25">
      <c r="D4221" s="28"/>
      <c r="F4221" s="28"/>
      <c r="H4221" s="28"/>
    </row>
    <row r="4222" spans="4:8" x14ac:dyDescent="0.25">
      <c r="D4222" s="28"/>
      <c r="F4222" s="28"/>
      <c r="H4222" s="28"/>
    </row>
    <row r="4223" spans="4:8" x14ac:dyDescent="0.25">
      <c r="D4223" s="28"/>
      <c r="F4223" s="28"/>
      <c r="H4223" s="28"/>
    </row>
    <row r="4224" spans="4:8" x14ac:dyDescent="0.25">
      <c r="D4224" s="28"/>
      <c r="F4224" s="28"/>
      <c r="H4224" s="28"/>
    </row>
    <row r="4225" spans="4:8" x14ac:dyDescent="0.25">
      <c r="D4225" s="28"/>
      <c r="F4225" s="28"/>
      <c r="H4225" s="28"/>
    </row>
    <row r="4226" spans="4:8" x14ac:dyDescent="0.25">
      <c r="D4226" s="28"/>
      <c r="F4226" s="28"/>
      <c r="H4226" s="28"/>
    </row>
    <row r="4227" spans="4:8" x14ac:dyDescent="0.25">
      <c r="D4227" s="28"/>
      <c r="F4227" s="28"/>
      <c r="H4227" s="28"/>
    </row>
    <row r="4228" spans="4:8" x14ac:dyDescent="0.25">
      <c r="D4228" s="28"/>
      <c r="F4228" s="28"/>
      <c r="H4228" s="28"/>
    </row>
    <row r="4229" spans="4:8" x14ac:dyDescent="0.25">
      <c r="D4229" s="28"/>
      <c r="F4229" s="28"/>
      <c r="H4229" s="28"/>
    </row>
    <row r="4230" spans="4:8" x14ac:dyDescent="0.25">
      <c r="D4230" s="28"/>
      <c r="F4230" s="28"/>
      <c r="H4230" s="28"/>
    </row>
    <row r="4231" spans="4:8" x14ac:dyDescent="0.25">
      <c r="D4231" s="28"/>
      <c r="F4231" s="28"/>
      <c r="H4231" s="28"/>
    </row>
    <row r="4232" spans="4:8" x14ac:dyDescent="0.25">
      <c r="D4232" s="28"/>
      <c r="F4232" s="28"/>
      <c r="H4232" s="28"/>
    </row>
    <row r="4233" spans="4:8" x14ac:dyDescent="0.25">
      <c r="D4233" s="28"/>
      <c r="F4233" s="28"/>
      <c r="H4233" s="28"/>
    </row>
    <row r="4234" spans="4:8" x14ac:dyDescent="0.25">
      <c r="D4234" s="28"/>
      <c r="F4234" s="28"/>
      <c r="H4234" s="28"/>
    </row>
    <row r="4235" spans="4:8" x14ac:dyDescent="0.25">
      <c r="D4235" s="28"/>
      <c r="F4235" s="28"/>
      <c r="H4235" s="28"/>
    </row>
    <row r="4236" spans="4:8" x14ac:dyDescent="0.25">
      <c r="D4236" s="28"/>
      <c r="F4236" s="28"/>
      <c r="H4236" s="28"/>
    </row>
    <row r="4237" spans="4:8" x14ac:dyDescent="0.25">
      <c r="D4237" s="28"/>
      <c r="F4237" s="28"/>
      <c r="H4237" s="28"/>
    </row>
    <row r="4238" spans="4:8" x14ac:dyDescent="0.25">
      <c r="D4238" s="28"/>
      <c r="F4238" s="28"/>
      <c r="H4238" s="28"/>
    </row>
    <row r="4239" spans="4:8" x14ac:dyDescent="0.25">
      <c r="D4239" s="28"/>
      <c r="F4239" s="28"/>
      <c r="H4239" s="28"/>
    </row>
    <row r="4240" spans="4:8" x14ac:dyDescent="0.25">
      <c r="D4240" s="28"/>
      <c r="F4240" s="28"/>
      <c r="H4240" s="28"/>
    </row>
    <row r="4241" spans="4:8" x14ac:dyDescent="0.25">
      <c r="D4241" s="28"/>
      <c r="F4241" s="28"/>
      <c r="H4241" s="28"/>
    </row>
    <row r="4242" spans="4:8" x14ac:dyDescent="0.25">
      <c r="D4242" s="28"/>
      <c r="F4242" s="28"/>
      <c r="H4242" s="28"/>
    </row>
    <row r="4243" spans="4:8" x14ac:dyDescent="0.25">
      <c r="D4243" s="28"/>
      <c r="F4243" s="28"/>
      <c r="H4243" s="28"/>
    </row>
    <row r="4244" spans="4:8" x14ac:dyDescent="0.25">
      <c r="D4244" s="28"/>
      <c r="F4244" s="28"/>
      <c r="H4244" s="28"/>
    </row>
    <row r="4245" spans="4:8" x14ac:dyDescent="0.25">
      <c r="D4245" s="28"/>
      <c r="F4245" s="28"/>
      <c r="H4245" s="28"/>
    </row>
    <row r="4246" spans="4:8" x14ac:dyDescent="0.25">
      <c r="D4246" s="28"/>
      <c r="F4246" s="28"/>
      <c r="H4246" s="28"/>
    </row>
    <row r="4247" spans="4:8" x14ac:dyDescent="0.25">
      <c r="D4247" s="28"/>
      <c r="F4247" s="28"/>
      <c r="H4247" s="28"/>
    </row>
    <row r="4248" spans="4:8" x14ac:dyDescent="0.25">
      <c r="D4248" s="28"/>
      <c r="F4248" s="28"/>
      <c r="H4248" s="28"/>
    </row>
    <row r="4249" spans="4:8" x14ac:dyDescent="0.25">
      <c r="D4249" s="28"/>
      <c r="F4249" s="28"/>
      <c r="H4249" s="28"/>
    </row>
    <row r="4250" spans="4:8" x14ac:dyDescent="0.25">
      <c r="D4250" s="28"/>
      <c r="F4250" s="28"/>
      <c r="H4250" s="28"/>
    </row>
    <row r="4251" spans="4:8" x14ac:dyDescent="0.25">
      <c r="D4251" s="28"/>
      <c r="F4251" s="28"/>
      <c r="H4251" s="28"/>
    </row>
    <row r="4252" spans="4:8" x14ac:dyDescent="0.25">
      <c r="D4252" s="28"/>
      <c r="F4252" s="28"/>
      <c r="H4252" s="28"/>
    </row>
    <row r="4253" spans="4:8" x14ac:dyDescent="0.25">
      <c r="D4253" s="28"/>
      <c r="F4253" s="28"/>
      <c r="H4253" s="28"/>
    </row>
    <row r="4254" spans="4:8" x14ac:dyDescent="0.25">
      <c r="D4254" s="28"/>
      <c r="F4254" s="28"/>
      <c r="H4254" s="28"/>
    </row>
    <row r="4255" spans="4:8" x14ac:dyDescent="0.25">
      <c r="D4255" s="28"/>
      <c r="F4255" s="28"/>
      <c r="H4255" s="28"/>
    </row>
    <row r="4256" spans="4:8" x14ac:dyDescent="0.25">
      <c r="D4256" s="28"/>
      <c r="F4256" s="28"/>
      <c r="H4256" s="28"/>
    </row>
    <row r="4257" spans="4:8" x14ac:dyDescent="0.25">
      <c r="D4257" s="28"/>
      <c r="F4257" s="28"/>
      <c r="H4257" s="28"/>
    </row>
    <row r="4258" spans="4:8" x14ac:dyDescent="0.25">
      <c r="D4258" s="28"/>
      <c r="F4258" s="28"/>
      <c r="H4258" s="28"/>
    </row>
    <row r="4259" spans="4:8" x14ac:dyDescent="0.25">
      <c r="D4259" s="28"/>
      <c r="F4259" s="28"/>
      <c r="H4259" s="28"/>
    </row>
    <row r="4260" spans="4:8" x14ac:dyDescent="0.25">
      <c r="D4260" s="28"/>
      <c r="F4260" s="28"/>
      <c r="H4260" s="28"/>
    </row>
    <row r="4261" spans="4:8" x14ac:dyDescent="0.25">
      <c r="D4261" s="28"/>
      <c r="F4261" s="28"/>
      <c r="H4261" s="28"/>
    </row>
    <row r="4262" spans="4:8" x14ac:dyDescent="0.25">
      <c r="D4262" s="28"/>
      <c r="F4262" s="28"/>
      <c r="H4262" s="28"/>
    </row>
    <row r="4263" spans="4:8" x14ac:dyDescent="0.25">
      <c r="D4263" s="28"/>
      <c r="F4263" s="28"/>
      <c r="H4263" s="28"/>
    </row>
    <row r="4264" spans="4:8" x14ac:dyDescent="0.25">
      <c r="D4264" s="28"/>
      <c r="F4264" s="28"/>
      <c r="H4264" s="28"/>
    </row>
    <row r="4265" spans="4:8" x14ac:dyDescent="0.25">
      <c r="D4265" s="28"/>
      <c r="F4265" s="28"/>
      <c r="H4265" s="28"/>
    </row>
    <row r="4266" spans="4:8" x14ac:dyDescent="0.25">
      <c r="D4266" s="28"/>
      <c r="F4266" s="28"/>
      <c r="H4266" s="28"/>
    </row>
    <row r="4267" spans="4:8" x14ac:dyDescent="0.25">
      <c r="D4267" s="28"/>
      <c r="F4267" s="28"/>
      <c r="H4267" s="28"/>
    </row>
    <row r="4268" spans="4:8" x14ac:dyDescent="0.25">
      <c r="D4268" s="28"/>
      <c r="F4268" s="28"/>
      <c r="H4268" s="28"/>
    </row>
    <row r="4269" spans="4:8" x14ac:dyDescent="0.25">
      <c r="D4269" s="28"/>
      <c r="F4269" s="28"/>
      <c r="H4269" s="28"/>
    </row>
    <row r="4270" spans="4:8" x14ac:dyDescent="0.25">
      <c r="D4270" s="28"/>
      <c r="F4270" s="28"/>
      <c r="H4270" s="28"/>
    </row>
    <row r="4271" spans="4:8" x14ac:dyDescent="0.25">
      <c r="D4271" s="28"/>
      <c r="F4271" s="28"/>
      <c r="H4271" s="28"/>
    </row>
    <row r="4272" spans="4:8" x14ac:dyDescent="0.25">
      <c r="D4272" s="28"/>
      <c r="F4272" s="28"/>
      <c r="H4272" s="28"/>
    </row>
    <row r="4273" spans="4:8" x14ac:dyDescent="0.25">
      <c r="D4273" s="28"/>
      <c r="F4273" s="28"/>
      <c r="H4273" s="28"/>
    </row>
    <row r="4274" spans="4:8" x14ac:dyDescent="0.25">
      <c r="D4274" s="28"/>
      <c r="F4274" s="28"/>
      <c r="H4274" s="28"/>
    </row>
    <row r="4275" spans="4:8" x14ac:dyDescent="0.25">
      <c r="D4275" s="28"/>
      <c r="F4275" s="28"/>
      <c r="H4275" s="28"/>
    </row>
    <row r="4276" spans="4:8" x14ac:dyDescent="0.25">
      <c r="D4276" s="28"/>
      <c r="F4276" s="28"/>
      <c r="H4276" s="28"/>
    </row>
    <row r="4277" spans="4:8" x14ac:dyDescent="0.25">
      <c r="D4277" s="28"/>
      <c r="F4277" s="28"/>
      <c r="H4277" s="28"/>
    </row>
    <row r="4278" spans="4:8" x14ac:dyDescent="0.25">
      <c r="D4278" s="28"/>
      <c r="F4278" s="28"/>
      <c r="H4278" s="28"/>
    </row>
    <row r="4279" spans="4:8" x14ac:dyDescent="0.25">
      <c r="D4279" s="28"/>
      <c r="F4279" s="28"/>
      <c r="H4279" s="28"/>
    </row>
    <row r="4280" spans="4:8" x14ac:dyDescent="0.25">
      <c r="D4280" s="28"/>
      <c r="F4280" s="28"/>
      <c r="H4280" s="28"/>
    </row>
    <row r="4281" spans="4:8" x14ac:dyDescent="0.25">
      <c r="D4281" s="28"/>
      <c r="F4281" s="28"/>
      <c r="H4281" s="28"/>
    </row>
    <row r="4282" spans="4:8" x14ac:dyDescent="0.25">
      <c r="D4282" s="28"/>
      <c r="F4282" s="28"/>
      <c r="H4282" s="28"/>
    </row>
    <row r="4283" spans="4:8" x14ac:dyDescent="0.25">
      <c r="D4283" s="28"/>
      <c r="F4283" s="28"/>
      <c r="H4283" s="28"/>
    </row>
    <row r="4284" spans="4:8" x14ac:dyDescent="0.25">
      <c r="D4284" s="28"/>
      <c r="F4284" s="28"/>
      <c r="H4284" s="28"/>
    </row>
    <row r="4285" spans="4:8" x14ac:dyDescent="0.25">
      <c r="D4285" s="28"/>
      <c r="F4285" s="28"/>
      <c r="H4285" s="28"/>
    </row>
    <row r="4286" spans="4:8" x14ac:dyDescent="0.25">
      <c r="D4286" s="28"/>
      <c r="F4286" s="28"/>
      <c r="H4286" s="28"/>
    </row>
    <row r="4287" spans="4:8" x14ac:dyDescent="0.25">
      <c r="D4287" s="28"/>
      <c r="F4287" s="28"/>
      <c r="H4287" s="28"/>
    </row>
    <row r="4288" spans="4:8" x14ac:dyDescent="0.25">
      <c r="D4288" s="28"/>
      <c r="F4288" s="28"/>
      <c r="H4288" s="28"/>
    </row>
    <row r="4289" spans="4:8" x14ac:dyDescent="0.25">
      <c r="D4289" s="28"/>
      <c r="F4289" s="28"/>
      <c r="H4289" s="28"/>
    </row>
    <row r="4290" spans="4:8" x14ac:dyDescent="0.25">
      <c r="D4290" s="28"/>
      <c r="F4290" s="28"/>
      <c r="H4290" s="28"/>
    </row>
    <row r="4291" spans="4:8" x14ac:dyDescent="0.25">
      <c r="D4291" s="28"/>
      <c r="F4291" s="28"/>
      <c r="H4291" s="28"/>
    </row>
    <row r="4292" spans="4:8" x14ac:dyDescent="0.25">
      <c r="D4292" s="28"/>
      <c r="F4292" s="28"/>
      <c r="H4292" s="28"/>
    </row>
    <row r="4293" spans="4:8" x14ac:dyDescent="0.25">
      <c r="D4293" s="28"/>
      <c r="F4293" s="28"/>
      <c r="H4293" s="28"/>
    </row>
    <row r="4294" spans="4:8" x14ac:dyDescent="0.25">
      <c r="D4294" s="28"/>
      <c r="F4294" s="28"/>
      <c r="H4294" s="28"/>
    </row>
    <row r="4295" spans="4:8" x14ac:dyDescent="0.25">
      <c r="D4295" s="28"/>
      <c r="F4295" s="28"/>
      <c r="H4295" s="28"/>
    </row>
    <row r="4296" spans="4:8" x14ac:dyDescent="0.25">
      <c r="D4296" s="28"/>
      <c r="F4296" s="28"/>
      <c r="H4296" s="28"/>
    </row>
    <row r="4297" spans="4:8" x14ac:dyDescent="0.25">
      <c r="D4297" s="28"/>
      <c r="F4297" s="28"/>
      <c r="H4297" s="28"/>
    </row>
    <row r="4298" spans="4:8" x14ac:dyDescent="0.25">
      <c r="D4298" s="28"/>
      <c r="F4298" s="28"/>
      <c r="H4298" s="28"/>
    </row>
    <row r="4299" spans="4:8" x14ac:dyDescent="0.25">
      <c r="D4299" s="28"/>
      <c r="F4299" s="28"/>
      <c r="H4299" s="28"/>
    </row>
    <row r="4300" spans="4:8" x14ac:dyDescent="0.25">
      <c r="D4300" s="28"/>
      <c r="F4300" s="28"/>
      <c r="H4300" s="28"/>
    </row>
    <row r="4301" spans="4:8" x14ac:dyDescent="0.25">
      <c r="D4301" s="28"/>
      <c r="F4301" s="28"/>
      <c r="H4301" s="28"/>
    </row>
    <row r="4302" spans="4:8" x14ac:dyDescent="0.25">
      <c r="D4302" s="28"/>
      <c r="F4302" s="28"/>
      <c r="H4302" s="28"/>
    </row>
    <row r="4303" spans="4:8" x14ac:dyDescent="0.25">
      <c r="D4303" s="28"/>
      <c r="F4303" s="28"/>
      <c r="H4303" s="28"/>
    </row>
    <row r="4304" spans="4:8" x14ac:dyDescent="0.25">
      <c r="D4304" s="28"/>
      <c r="F4304" s="28"/>
      <c r="H4304" s="28"/>
    </row>
    <row r="4305" spans="4:8" x14ac:dyDescent="0.25">
      <c r="D4305" s="28"/>
      <c r="F4305" s="28"/>
      <c r="H4305" s="28"/>
    </row>
    <row r="4306" spans="4:8" x14ac:dyDescent="0.25">
      <c r="D4306" s="28"/>
      <c r="F4306" s="28"/>
      <c r="H4306" s="28"/>
    </row>
    <row r="4307" spans="4:8" x14ac:dyDescent="0.25">
      <c r="D4307" s="28"/>
      <c r="F4307" s="28"/>
      <c r="H4307" s="28"/>
    </row>
    <row r="4308" spans="4:8" x14ac:dyDescent="0.25">
      <c r="D4308" s="28"/>
      <c r="F4308" s="28"/>
      <c r="H4308" s="28"/>
    </row>
    <row r="4309" spans="4:8" x14ac:dyDescent="0.25">
      <c r="D4309" s="28"/>
      <c r="F4309" s="28"/>
      <c r="H4309" s="28"/>
    </row>
    <row r="4310" spans="4:8" x14ac:dyDescent="0.25">
      <c r="D4310" s="28"/>
      <c r="F4310" s="28"/>
      <c r="H4310" s="28"/>
    </row>
    <row r="4311" spans="4:8" x14ac:dyDescent="0.25">
      <c r="D4311" s="28"/>
      <c r="F4311" s="28"/>
      <c r="H4311" s="28"/>
    </row>
    <row r="4312" spans="4:8" x14ac:dyDescent="0.25">
      <c r="D4312" s="28"/>
      <c r="F4312" s="28"/>
      <c r="H4312" s="28"/>
    </row>
    <row r="4313" spans="4:8" x14ac:dyDescent="0.25">
      <c r="D4313" s="28"/>
      <c r="F4313" s="28"/>
      <c r="H4313" s="28"/>
    </row>
    <row r="4314" spans="4:8" x14ac:dyDescent="0.25">
      <c r="D4314" s="28"/>
      <c r="F4314" s="28"/>
      <c r="H4314" s="28"/>
    </row>
    <row r="4315" spans="4:8" x14ac:dyDescent="0.25">
      <c r="D4315" s="28"/>
      <c r="F4315" s="28"/>
      <c r="H4315" s="28"/>
    </row>
    <row r="4316" spans="4:8" x14ac:dyDescent="0.25">
      <c r="D4316" s="28"/>
      <c r="F4316" s="28"/>
      <c r="H4316" s="28"/>
    </row>
    <row r="4317" spans="4:8" x14ac:dyDescent="0.25">
      <c r="D4317" s="28"/>
      <c r="F4317" s="28"/>
      <c r="H4317" s="28"/>
    </row>
    <row r="4318" spans="4:8" x14ac:dyDescent="0.25">
      <c r="D4318" s="28"/>
      <c r="F4318" s="28"/>
      <c r="H4318" s="28"/>
    </row>
    <row r="4319" spans="4:8" x14ac:dyDescent="0.25">
      <c r="D4319" s="28"/>
      <c r="F4319" s="28"/>
      <c r="H4319" s="28"/>
    </row>
    <row r="4320" spans="4:8" x14ac:dyDescent="0.25">
      <c r="D4320" s="28"/>
      <c r="F4320" s="28"/>
      <c r="H4320" s="28"/>
    </row>
    <row r="4321" spans="4:8" x14ac:dyDescent="0.25">
      <c r="D4321" s="28"/>
      <c r="F4321" s="28"/>
      <c r="H4321" s="28"/>
    </row>
    <row r="4322" spans="4:8" x14ac:dyDescent="0.25">
      <c r="D4322" s="28"/>
      <c r="F4322" s="28"/>
      <c r="H4322" s="28"/>
    </row>
    <row r="4323" spans="4:8" x14ac:dyDescent="0.25">
      <c r="D4323" s="28"/>
      <c r="F4323" s="28"/>
      <c r="H4323" s="28"/>
    </row>
    <row r="4324" spans="4:8" x14ac:dyDescent="0.25">
      <c r="D4324" s="28"/>
      <c r="F4324" s="28"/>
      <c r="H4324" s="28"/>
    </row>
    <row r="4325" spans="4:8" x14ac:dyDescent="0.25">
      <c r="D4325" s="28"/>
      <c r="F4325" s="28"/>
      <c r="H4325" s="28"/>
    </row>
    <row r="4326" spans="4:8" x14ac:dyDescent="0.25">
      <c r="D4326" s="28"/>
      <c r="F4326" s="28"/>
      <c r="H4326" s="28"/>
    </row>
    <row r="4327" spans="4:8" x14ac:dyDescent="0.25">
      <c r="D4327" s="28"/>
      <c r="F4327" s="28"/>
      <c r="H4327" s="28"/>
    </row>
    <row r="4328" spans="4:8" x14ac:dyDescent="0.25">
      <c r="D4328" s="28"/>
      <c r="F4328" s="28"/>
      <c r="H4328" s="28"/>
    </row>
    <row r="4329" spans="4:8" x14ac:dyDescent="0.25">
      <c r="D4329" s="28"/>
      <c r="F4329" s="28"/>
      <c r="H4329" s="28"/>
    </row>
    <row r="4330" spans="4:8" x14ac:dyDescent="0.25">
      <c r="D4330" s="28"/>
      <c r="F4330" s="28"/>
      <c r="H4330" s="28"/>
    </row>
    <row r="4331" spans="4:8" x14ac:dyDescent="0.25">
      <c r="D4331" s="28"/>
      <c r="F4331" s="28"/>
      <c r="H4331" s="28"/>
    </row>
    <row r="4332" spans="4:8" x14ac:dyDescent="0.25">
      <c r="D4332" s="28"/>
      <c r="F4332" s="28"/>
      <c r="H4332" s="28"/>
    </row>
    <row r="4333" spans="4:8" x14ac:dyDescent="0.25">
      <c r="D4333" s="28"/>
      <c r="F4333" s="28"/>
      <c r="H4333" s="28"/>
    </row>
    <row r="4334" spans="4:8" x14ac:dyDescent="0.25">
      <c r="D4334" s="28"/>
      <c r="F4334" s="28"/>
      <c r="H4334" s="28"/>
    </row>
    <row r="4335" spans="4:8" x14ac:dyDescent="0.25">
      <c r="D4335" s="28"/>
      <c r="F4335" s="28"/>
      <c r="H4335" s="28"/>
    </row>
    <row r="4336" spans="4:8" x14ac:dyDescent="0.25">
      <c r="D4336" s="28"/>
      <c r="F4336" s="28"/>
      <c r="H4336" s="28"/>
    </row>
    <row r="4337" spans="4:8" x14ac:dyDescent="0.25">
      <c r="D4337" s="28"/>
      <c r="F4337" s="28"/>
      <c r="H4337" s="28"/>
    </row>
    <row r="4338" spans="4:8" x14ac:dyDescent="0.25">
      <c r="D4338" s="28"/>
      <c r="F4338" s="28"/>
      <c r="H4338" s="28"/>
    </row>
    <row r="4339" spans="4:8" x14ac:dyDescent="0.25">
      <c r="D4339" s="28"/>
      <c r="F4339" s="28"/>
      <c r="H4339" s="28"/>
    </row>
    <row r="4340" spans="4:8" x14ac:dyDescent="0.25">
      <c r="D4340" s="28"/>
      <c r="F4340" s="28"/>
      <c r="H4340" s="28"/>
    </row>
    <row r="4341" spans="4:8" x14ac:dyDescent="0.25">
      <c r="D4341" s="28"/>
      <c r="F4341" s="28"/>
      <c r="H4341" s="28"/>
    </row>
    <row r="4342" spans="4:8" x14ac:dyDescent="0.25">
      <c r="D4342" s="28"/>
      <c r="F4342" s="28"/>
      <c r="H4342" s="28"/>
    </row>
    <row r="4343" spans="4:8" x14ac:dyDescent="0.25">
      <c r="D4343" s="28"/>
      <c r="F4343" s="28"/>
      <c r="H4343" s="28"/>
    </row>
    <row r="4344" spans="4:8" x14ac:dyDescent="0.25">
      <c r="D4344" s="28"/>
      <c r="F4344" s="28"/>
      <c r="H4344" s="28"/>
    </row>
    <row r="4345" spans="4:8" x14ac:dyDescent="0.25">
      <c r="D4345" s="28"/>
      <c r="F4345" s="28"/>
      <c r="H4345" s="28"/>
    </row>
    <row r="4346" spans="4:8" x14ac:dyDescent="0.25">
      <c r="D4346" s="28"/>
      <c r="F4346" s="28"/>
      <c r="H4346" s="28"/>
    </row>
    <row r="4347" spans="4:8" x14ac:dyDescent="0.25">
      <c r="D4347" s="28"/>
      <c r="F4347" s="28"/>
      <c r="H4347" s="28"/>
    </row>
    <row r="4348" spans="4:8" x14ac:dyDescent="0.25">
      <c r="D4348" s="28"/>
      <c r="F4348" s="28"/>
      <c r="H4348" s="28"/>
    </row>
    <row r="4349" spans="4:8" x14ac:dyDescent="0.25">
      <c r="D4349" s="28"/>
      <c r="F4349" s="28"/>
      <c r="H4349" s="28"/>
    </row>
    <row r="4350" spans="4:8" x14ac:dyDescent="0.25">
      <c r="D4350" s="28"/>
      <c r="F4350" s="28"/>
      <c r="H4350" s="28"/>
    </row>
    <row r="4351" spans="4:8" x14ac:dyDescent="0.25">
      <c r="D4351" s="28"/>
      <c r="F4351" s="28"/>
      <c r="H4351" s="28"/>
    </row>
    <row r="4352" spans="4:8" x14ac:dyDescent="0.25">
      <c r="D4352" s="28"/>
      <c r="F4352" s="28"/>
      <c r="H4352" s="28"/>
    </row>
    <row r="4353" spans="4:8" x14ac:dyDescent="0.25">
      <c r="D4353" s="28"/>
      <c r="F4353" s="28"/>
      <c r="H4353" s="28"/>
    </row>
    <row r="4354" spans="4:8" x14ac:dyDescent="0.25">
      <c r="D4354" s="28"/>
      <c r="F4354" s="28"/>
      <c r="H4354" s="28"/>
    </row>
    <row r="4355" spans="4:8" x14ac:dyDescent="0.25">
      <c r="D4355" s="28"/>
      <c r="F4355" s="28"/>
      <c r="H4355" s="28"/>
    </row>
    <row r="4356" spans="4:8" x14ac:dyDescent="0.25">
      <c r="D4356" s="28"/>
      <c r="F4356" s="28"/>
      <c r="H4356" s="28"/>
    </row>
    <row r="4357" spans="4:8" x14ac:dyDescent="0.25">
      <c r="D4357" s="28"/>
      <c r="F4357" s="28"/>
      <c r="H4357" s="28"/>
    </row>
    <row r="4358" spans="4:8" x14ac:dyDescent="0.25">
      <c r="D4358" s="28"/>
      <c r="F4358" s="28"/>
      <c r="H4358" s="28"/>
    </row>
    <row r="4359" spans="4:8" x14ac:dyDescent="0.25">
      <c r="D4359" s="28"/>
      <c r="F4359" s="28"/>
      <c r="H4359" s="28"/>
    </row>
    <row r="4360" spans="4:8" x14ac:dyDescent="0.25">
      <c r="D4360" s="28"/>
      <c r="F4360" s="28"/>
      <c r="H4360" s="28"/>
    </row>
    <row r="4361" spans="4:8" x14ac:dyDescent="0.25">
      <c r="D4361" s="28"/>
      <c r="F4361" s="28"/>
      <c r="H4361" s="28"/>
    </row>
    <row r="4362" spans="4:8" x14ac:dyDescent="0.25">
      <c r="D4362" s="28"/>
      <c r="F4362" s="28"/>
      <c r="H4362" s="28"/>
    </row>
    <row r="4363" spans="4:8" x14ac:dyDescent="0.25">
      <c r="D4363" s="28"/>
      <c r="F4363" s="28"/>
      <c r="H4363" s="28"/>
    </row>
    <row r="4364" spans="4:8" x14ac:dyDescent="0.25">
      <c r="D4364" s="28"/>
      <c r="F4364" s="28"/>
      <c r="H4364" s="28"/>
    </row>
    <row r="4365" spans="4:8" x14ac:dyDescent="0.25">
      <c r="D4365" s="28"/>
      <c r="F4365" s="28"/>
      <c r="H4365" s="28"/>
    </row>
    <row r="4366" spans="4:8" x14ac:dyDescent="0.25">
      <c r="D4366" s="28"/>
      <c r="F4366" s="28"/>
      <c r="H4366" s="28"/>
    </row>
    <row r="4367" spans="4:8" x14ac:dyDescent="0.25">
      <c r="D4367" s="28"/>
      <c r="F4367" s="28"/>
      <c r="H4367" s="28"/>
    </row>
    <row r="4368" spans="4:8" x14ac:dyDescent="0.25">
      <c r="D4368" s="28"/>
      <c r="F4368" s="28"/>
      <c r="H4368" s="28"/>
    </row>
    <row r="4369" spans="4:8" x14ac:dyDescent="0.25">
      <c r="D4369" s="28"/>
      <c r="F4369" s="28"/>
      <c r="H4369" s="28"/>
    </row>
    <row r="4370" spans="4:8" x14ac:dyDescent="0.25">
      <c r="D4370" s="28"/>
      <c r="F4370" s="28"/>
      <c r="H4370" s="28"/>
    </row>
    <row r="4371" spans="4:8" x14ac:dyDescent="0.25">
      <c r="D4371" s="28"/>
      <c r="F4371" s="28"/>
      <c r="H4371" s="28"/>
    </row>
    <row r="4372" spans="4:8" x14ac:dyDescent="0.25">
      <c r="D4372" s="28"/>
      <c r="F4372" s="28"/>
      <c r="H4372" s="28"/>
    </row>
    <row r="4373" spans="4:8" x14ac:dyDescent="0.25">
      <c r="D4373" s="28"/>
      <c r="F4373" s="28"/>
      <c r="H4373" s="28"/>
    </row>
    <row r="4374" spans="4:8" x14ac:dyDescent="0.25">
      <c r="D4374" s="28"/>
      <c r="F4374" s="28"/>
      <c r="H4374" s="28"/>
    </row>
    <row r="4375" spans="4:8" x14ac:dyDescent="0.25">
      <c r="D4375" s="28"/>
      <c r="F4375" s="28"/>
      <c r="H4375" s="28"/>
    </row>
    <row r="4376" spans="4:8" x14ac:dyDescent="0.25">
      <c r="D4376" s="28"/>
      <c r="F4376" s="28"/>
      <c r="H4376" s="28"/>
    </row>
    <row r="4377" spans="4:8" x14ac:dyDescent="0.25">
      <c r="D4377" s="28"/>
      <c r="F4377" s="28"/>
      <c r="H4377" s="28"/>
    </row>
    <row r="4378" spans="4:8" x14ac:dyDescent="0.25">
      <c r="D4378" s="28"/>
      <c r="F4378" s="28"/>
      <c r="H4378" s="28"/>
    </row>
    <row r="4379" spans="4:8" x14ac:dyDescent="0.25">
      <c r="D4379" s="28"/>
      <c r="F4379" s="28"/>
      <c r="H4379" s="28"/>
    </row>
    <row r="4380" spans="4:8" x14ac:dyDescent="0.25">
      <c r="D4380" s="28"/>
      <c r="F4380" s="28"/>
      <c r="H4380" s="28"/>
    </row>
    <row r="4381" spans="4:8" x14ac:dyDescent="0.25">
      <c r="D4381" s="28"/>
      <c r="F4381" s="28"/>
      <c r="H4381" s="28"/>
    </row>
    <row r="4382" spans="4:8" x14ac:dyDescent="0.25">
      <c r="D4382" s="28"/>
      <c r="F4382" s="28"/>
      <c r="H4382" s="28"/>
    </row>
    <row r="4383" spans="4:8" x14ac:dyDescent="0.25">
      <c r="D4383" s="28"/>
      <c r="F4383" s="28"/>
      <c r="H4383" s="28"/>
    </row>
    <row r="4384" spans="4:8" x14ac:dyDescent="0.25">
      <c r="D4384" s="28"/>
      <c r="F4384" s="28"/>
      <c r="H4384" s="28"/>
    </row>
    <row r="4385" spans="4:8" x14ac:dyDescent="0.25">
      <c r="D4385" s="28"/>
      <c r="F4385" s="28"/>
      <c r="H4385" s="28"/>
    </row>
    <row r="4386" spans="4:8" x14ac:dyDescent="0.25">
      <c r="D4386" s="28"/>
      <c r="F4386" s="28"/>
      <c r="H4386" s="28"/>
    </row>
    <row r="4387" spans="4:8" x14ac:dyDescent="0.25">
      <c r="D4387" s="28"/>
      <c r="F4387" s="28"/>
      <c r="H4387" s="28"/>
    </row>
    <row r="4388" spans="4:8" x14ac:dyDescent="0.25">
      <c r="D4388" s="28"/>
      <c r="F4388" s="28"/>
      <c r="H4388" s="28"/>
    </row>
    <row r="4389" spans="4:8" x14ac:dyDescent="0.25">
      <c r="D4389" s="28"/>
      <c r="F4389" s="28"/>
      <c r="H4389" s="28"/>
    </row>
    <row r="4390" spans="4:8" x14ac:dyDescent="0.25">
      <c r="D4390" s="28"/>
      <c r="F4390" s="28"/>
      <c r="H4390" s="28"/>
    </row>
    <row r="4391" spans="4:8" x14ac:dyDescent="0.25">
      <c r="D4391" s="28"/>
      <c r="F4391" s="28"/>
      <c r="H4391" s="28"/>
    </row>
    <row r="4392" spans="4:8" x14ac:dyDescent="0.25">
      <c r="D4392" s="28"/>
      <c r="F4392" s="28"/>
      <c r="H4392" s="28"/>
    </row>
    <row r="4393" spans="4:8" x14ac:dyDescent="0.25">
      <c r="D4393" s="28"/>
      <c r="F4393" s="28"/>
      <c r="H4393" s="28"/>
    </row>
    <row r="4394" spans="4:8" x14ac:dyDescent="0.25">
      <c r="D4394" s="28"/>
      <c r="F4394" s="28"/>
      <c r="H4394" s="28"/>
    </row>
    <row r="4395" spans="4:8" x14ac:dyDescent="0.25">
      <c r="D4395" s="28"/>
      <c r="F4395" s="28"/>
      <c r="H4395" s="28"/>
    </row>
    <row r="4396" spans="4:8" x14ac:dyDescent="0.25">
      <c r="D4396" s="28"/>
      <c r="F4396" s="28"/>
      <c r="H4396" s="28"/>
    </row>
    <row r="4397" spans="4:8" x14ac:dyDescent="0.25">
      <c r="D4397" s="28"/>
      <c r="F4397" s="28"/>
      <c r="H4397" s="28"/>
    </row>
    <row r="4398" spans="4:8" x14ac:dyDescent="0.25">
      <c r="D4398" s="28"/>
      <c r="F4398" s="28"/>
      <c r="H4398" s="28"/>
    </row>
    <row r="4399" spans="4:8" x14ac:dyDescent="0.25">
      <c r="D4399" s="28"/>
      <c r="F4399" s="28"/>
      <c r="H4399" s="28"/>
    </row>
    <row r="4400" spans="4:8" x14ac:dyDescent="0.25">
      <c r="D4400" s="28"/>
      <c r="F4400" s="28"/>
      <c r="H4400" s="28"/>
    </row>
    <row r="4401" spans="4:8" x14ac:dyDescent="0.25">
      <c r="D4401" s="28"/>
      <c r="F4401" s="28"/>
      <c r="H4401" s="28"/>
    </row>
    <row r="4402" spans="4:8" x14ac:dyDescent="0.25">
      <c r="D4402" s="28"/>
      <c r="F4402" s="28"/>
      <c r="H4402" s="28"/>
    </row>
    <row r="4403" spans="4:8" x14ac:dyDescent="0.25">
      <c r="D4403" s="28"/>
      <c r="F4403" s="28"/>
      <c r="H4403" s="28"/>
    </row>
    <row r="4404" spans="4:8" x14ac:dyDescent="0.25">
      <c r="D4404" s="28"/>
      <c r="F4404" s="28"/>
      <c r="H4404" s="28"/>
    </row>
    <row r="4405" spans="4:8" x14ac:dyDescent="0.25">
      <c r="D4405" s="28"/>
      <c r="F4405" s="28"/>
      <c r="H4405" s="28"/>
    </row>
    <row r="4406" spans="4:8" x14ac:dyDescent="0.25">
      <c r="D4406" s="28"/>
      <c r="F4406" s="28"/>
      <c r="H4406" s="28"/>
    </row>
    <row r="4407" spans="4:8" x14ac:dyDescent="0.25">
      <c r="D4407" s="28"/>
      <c r="F4407" s="28"/>
      <c r="H4407" s="28"/>
    </row>
    <row r="4408" spans="4:8" x14ac:dyDescent="0.25">
      <c r="D4408" s="28"/>
      <c r="F4408" s="28"/>
      <c r="H4408" s="28"/>
    </row>
    <row r="4409" spans="4:8" x14ac:dyDescent="0.25">
      <c r="D4409" s="28"/>
      <c r="F4409" s="28"/>
      <c r="H4409" s="28"/>
    </row>
    <row r="4410" spans="4:8" x14ac:dyDescent="0.25">
      <c r="D4410" s="28"/>
      <c r="F4410" s="28"/>
      <c r="H4410" s="28"/>
    </row>
    <row r="4411" spans="4:8" x14ac:dyDescent="0.25">
      <c r="D4411" s="28"/>
      <c r="F4411" s="28"/>
      <c r="H4411" s="28"/>
    </row>
    <row r="4412" spans="4:8" x14ac:dyDescent="0.25">
      <c r="D4412" s="28"/>
      <c r="F4412" s="28"/>
      <c r="H4412" s="28"/>
    </row>
    <row r="4413" spans="4:8" x14ac:dyDescent="0.25">
      <c r="D4413" s="28"/>
      <c r="F4413" s="28"/>
      <c r="H4413" s="28"/>
    </row>
    <row r="4414" spans="4:8" x14ac:dyDescent="0.25">
      <c r="D4414" s="28"/>
      <c r="F4414" s="28"/>
      <c r="H4414" s="28"/>
    </row>
    <row r="4415" spans="4:8" x14ac:dyDescent="0.25">
      <c r="D4415" s="28"/>
      <c r="F4415" s="28"/>
      <c r="H4415" s="28"/>
    </row>
    <row r="4416" spans="4:8" x14ac:dyDescent="0.25">
      <c r="D4416" s="28"/>
      <c r="F4416" s="28"/>
      <c r="H4416" s="28"/>
    </row>
    <row r="4417" spans="4:8" x14ac:dyDescent="0.25">
      <c r="D4417" s="28"/>
      <c r="F4417" s="28"/>
      <c r="H4417" s="28"/>
    </row>
    <row r="4418" spans="4:8" x14ac:dyDescent="0.25">
      <c r="D4418" s="28"/>
      <c r="F4418" s="28"/>
      <c r="H4418" s="28"/>
    </row>
    <row r="4419" spans="4:8" x14ac:dyDescent="0.25">
      <c r="D4419" s="28"/>
      <c r="F4419" s="28"/>
      <c r="H4419" s="28"/>
    </row>
    <row r="4420" spans="4:8" x14ac:dyDescent="0.25">
      <c r="D4420" s="28"/>
      <c r="F4420" s="28"/>
      <c r="H4420" s="28"/>
    </row>
    <row r="4421" spans="4:8" x14ac:dyDescent="0.25">
      <c r="D4421" s="28"/>
      <c r="F4421" s="28"/>
      <c r="H4421" s="28"/>
    </row>
    <row r="4422" spans="4:8" x14ac:dyDescent="0.25">
      <c r="D4422" s="28"/>
      <c r="F4422" s="28"/>
      <c r="H4422" s="28"/>
    </row>
    <row r="4423" spans="4:8" x14ac:dyDescent="0.25">
      <c r="D4423" s="28"/>
      <c r="F4423" s="28"/>
      <c r="H4423" s="28"/>
    </row>
    <row r="4424" spans="4:8" x14ac:dyDescent="0.25">
      <c r="D4424" s="28"/>
      <c r="F4424" s="28"/>
      <c r="H4424" s="28"/>
    </row>
    <row r="4425" spans="4:8" x14ac:dyDescent="0.25">
      <c r="D4425" s="28"/>
      <c r="F4425" s="28"/>
      <c r="H4425" s="28"/>
    </row>
    <row r="4426" spans="4:8" x14ac:dyDescent="0.25">
      <c r="D4426" s="28"/>
      <c r="F4426" s="28"/>
      <c r="H4426" s="28"/>
    </row>
    <row r="4427" spans="4:8" x14ac:dyDescent="0.25">
      <c r="D4427" s="28"/>
      <c r="F4427" s="28"/>
      <c r="H4427" s="28"/>
    </row>
    <row r="4428" spans="4:8" x14ac:dyDescent="0.25">
      <c r="D4428" s="28"/>
      <c r="F4428" s="28"/>
      <c r="H4428" s="28"/>
    </row>
    <row r="4429" spans="4:8" x14ac:dyDescent="0.25">
      <c r="D4429" s="28"/>
      <c r="F4429" s="28"/>
      <c r="H4429" s="28"/>
    </row>
    <row r="4430" spans="4:8" x14ac:dyDescent="0.25">
      <c r="D4430" s="28"/>
      <c r="F4430" s="28"/>
      <c r="H4430" s="28"/>
    </row>
    <row r="4431" spans="4:8" x14ac:dyDescent="0.25">
      <c r="D4431" s="28"/>
      <c r="F4431" s="28"/>
      <c r="H4431" s="28"/>
    </row>
    <row r="4432" spans="4:8" x14ac:dyDescent="0.25">
      <c r="D4432" s="28"/>
      <c r="F4432" s="28"/>
      <c r="H4432" s="28"/>
    </row>
    <row r="4433" spans="4:8" x14ac:dyDescent="0.25">
      <c r="D4433" s="28"/>
      <c r="F4433" s="28"/>
      <c r="H4433" s="28"/>
    </row>
    <row r="4434" spans="4:8" x14ac:dyDescent="0.25">
      <c r="D4434" s="28"/>
      <c r="F4434" s="28"/>
      <c r="H4434" s="28"/>
    </row>
    <row r="4435" spans="4:8" x14ac:dyDescent="0.25">
      <c r="D4435" s="28"/>
      <c r="F4435" s="28"/>
      <c r="H4435" s="28"/>
    </row>
    <row r="4436" spans="4:8" x14ac:dyDescent="0.25">
      <c r="D4436" s="28"/>
      <c r="F4436" s="28"/>
      <c r="H4436" s="28"/>
    </row>
    <row r="4437" spans="4:8" x14ac:dyDescent="0.25">
      <c r="D4437" s="28"/>
      <c r="F4437" s="28"/>
      <c r="H4437" s="28"/>
    </row>
    <row r="4438" spans="4:8" x14ac:dyDescent="0.25">
      <c r="D4438" s="28"/>
      <c r="F4438" s="28"/>
      <c r="H4438" s="28"/>
    </row>
    <row r="4439" spans="4:8" x14ac:dyDescent="0.25">
      <c r="D4439" s="28"/>
      <c r="F4439" s="28"/>
      <c r="H4439" s="28"/>
    </row>
    <row r="4440" spans="4:8" x14ac:dyDescent="0.25">
      <c r="D4440" s="28"/>
      <c r="F4440" s="28"/>
      <c r="H4440" s="28"/>
    </row>
    <row r="4441" spans="4:8" x14ac:dyDescent="0.25">
      <c r="D4441" s="28"/>
      <c r="F4441" s="28"/>
      <c r="H4441" s="28"/>
    </row>
    <row r="4442" spans="4:8" x14ac:dyDescent="0.25">
      <c r="D4442" s="28"/>
      <c r="F4442" s="28"/>
      <c r="H4442" s="28"/>
    </row>
    <row r="4443" spans="4:8" x14ac:dyDescent="0.25">
      <c r="D4443" s="28"/>
      <c r="F4443" s="28"/>
      <c r="H4443" s="28"/>
    </row>
    <row r="4444" spans="4:8" x14ac:dyDescent="0.25">
      <c r="D4444" s="28"/>
      <c r="F4444" s="28"/>
      <c r="H4444" s="28"/>
    </row>
    <row r="4445" spans="4:8" x14ac:dyDescent="0.25">
      <c r="D4445" s="28"/>
      <c r="F4445" s="28"/>
      <c r="H4445" s="28"/>
    </row>
    <row r="4446" spans="4:8" x14ac:dyDescent="0.25">
      <c r="D4446" s="28"/>
      <c r="F4446" s="28"/>
      <c r="H4446" s="28"/>
    </row>
    <row r="4447" spans="4:8" x14ac:dyDescent="0.25">
      <c r="D4447" s="28"/>
      <c r="F4447" s="28"/>
      <c r="H4447" s="28"/>
    </row>
    <row r="4448" spans="4:8" x14ac:dyDescent="0.25">
      <c r="D4448" s="28"/>
      <c r="F4448" s="28"/>
      <c r="H4448" s="28"/>
    </row>
    <row r="4449" spans="4:8" x14ac:dyDescent="0.25">
      <c r="D4449" s="28"/>
      <c r="F4449" s="28"/>
      <c r="H4449" s="28"/>
    </row>
    <row r="4450" spans="4:8" x14ac:dyDescent="0.25">
      <c r="D4450" s="28"/>
      <c r="F4450" s="28"/>
      <c r="H4450" s="28"/>
    </row>
    <row r="4451" spans="4:8" x14ac:dyDescent="0.25">
      <c r="D4451" s="28"/>
      <c r="F4451" s="28"/>
      <c r="H4451" s="28"/>
    </row>
    <row r="4452" spans="4:8" x14ac:dyDescent="0.25">
      <c r="D4452" s="28"/>
      <c r="F4452" s="28"/>
      <c r="H4452" s="28"/>
    </row>
    <row r="4453" spans="4:8" x14ac:dyDescent="0.25">
      <c r="D4453" s="28"/>
      <c r="F4453" s="28"/>
      <c r="H4453" s="28"/>
    </row>
    <row r="4454" spans="4:8" x14ac:dyDescent="0.25">
      <c r="D4454" s="28"/>
      <c r="F4454" s="28"/>
      <c r="H4454" s="28"/>
    </row>
    <row r="4455" spans="4:8" x14ac:dyDescent="0.25">
      <c r="D4455" s="28"/>
      <c r="F4455" s="28"/>
      <c r="H4455" s="28"/>
    </row>
    <row r="4456" spans="4:8" x14ac:dyDescent="0.25">
      <c r="D4456" s="28"/>
      <c r="F4456" s="28"/>
      <c r="H4456" s="28"/>
    </row>
    <row r="4457" spans="4:8" x14ac:dyDescent="0.25">
      <c r="D4457" s="28"/>
      <c r="F4457" s="28"/>
      <c r="H4457" s="28"/>
    </row>
    <row r="4458" spans="4:8" x14ac:dyDescent="0.25">
      <c r="D4458" s="28"/>
      <c r="F4458" s="28"/>
      <c r="H4458" s="28"/>
    </row>
    <row r="4459" spans="4:8" x14ac:dyDescent="0.25">
      <c r="D4459" s="28"/>
      <c r="F4459" s="28"/>
      <c r="H4459" s="28"/>
    </row>
    <row r="4460" spans="4:8" x14ac:dyDescent="0.25">
      <c r="D4460" s="28"/>
      <c r="F4460" s="28"/>
      <c r="H4460" s="28"/>
    </row>
    <row r="4461" spans="4:8" x14ac:dyDescent="0.25">
      <c r="D4461" s="28"/>
      <c r="F4461" s="28"/>
      <c r="H4461" s="28"/>
    </row>
    <row r="4462" spans="4:8" x14ac:dyDescent="0.25">
      <c r="D4462" s="28"/>
      <c r="F4462" s="28"/>
      <c r="H4462" s="28"/>
    </row>
    <row r="4463" spans="4:8" x14ac:dyDescent="0.25">
      <c r="D4463" s="28"/>
      <c r="F4463" s="28"/>
      <c r="H4463" s="28"/>
    </row>
    <row r="4464" spans="4:8" x14ac:dyDescent="0.25">
      <c r="D4464" s="28"/>
      <c r="F4464" s="28"/>
      <c r="H4464" s="28"/>
    </row>
    <row r="4465" spans="4:8" x14ac:dyDescent="0.25">
      <c r="D4465" s="28"/>
      <c r="F4465" s="28"/>
      <c r="H4465" s="28"/>
    </row>
    <row r="4466" spans="4:8" x14ac:dyDescent="0.25">
      <c r="D4466" s="28"/>
      <c r="F4466" s="28"/>
      <c r="H4466" s="28"/>
    </row>
    <row r="4467" spans="4:8" x14ac:dyDescent="0.25">
      <c r="D4467" s="28"/>
      <c r="F4467" s="28"/>
      <c r="H4467" s="28"/>
    </row>
    <row r="4468" spans="4:8" x14ac:dyDescent="0.25">
      <c r="D4468" s="28"/>
      <c r="F4468" s="28"/>
      <c r="H4468" s="28"/>
    </row>
    <row r="4469" spans="4:8" x14ac:dyDescent="0.25">
      <c r="D4469" s="28"/>
      <c r="F4469" s="28"/>
      <c r="H4469" s="28"/>
    </row>
    <row r="4470" spans="4:8" x14ac:dyDescent="0.25">
      <c r="D4470" s="28"/>
      <c r="F4470" s="28"/>
      <c r="H4470" s="28"/>
    </row>
    <row r="4471" spans="4:8" x14ac:dyDescent="0.25">
      <c r="D4471" s="28"/>
      <c r="F4471" s="28"/>
      <c r="H4471" s="28"/>
    </row>
    <row r="4472" spans="4:8" x14ac:dyDescent="0.25">
      <c r="D4472" s="28"/>
      <c r="F4472" s="28"/>
      <c r="H4472" s="28"/>
    </row>
    <row r="4473" spans="4:8" x14ac:dyDescent="0.25">
      <c r="D4473" s="28"/>
      <c r="F4473" s="28"/>
      <c r="H4473" s="28"/>
    </row>
    <row r="4474" spans="4:8" x14ac:dyDescent="0.25">
      <c r="D4474" s="28"/>
      <c r="F4474" s="28"/>
      <c r="H4474" s="28"/>
    </row>
    <row r="4475" spans="4:8" x14ac:dyDescent="0.25">
      <c r="D4475" s="28"/>
      <c r="F4475" s="28"/>
      <c r="H4475" s="28"/>
    </row>
    <row r="4476" spans="4:8" x14ac:dyDescent="0.25">
      <c r="D4476" s="28"/>
      <c r="F4476" s="28"/>
      <c r="H4476" s="28"/>
    </row>
    <row r="4477" spans="4:8" x14ac:dyDescent="0.25">
      <c r="D4477" s="28"/>
      <c r="F4477" s="28"/>
      <c r="H4477" s="28"/>
    </row>
    <row r="4478" spans="4:8" x14ac:dyDescent="0.25">
      <c r="D4478" s="28"/>
      <c r="F4478" s="28"/>
      <c r="H4478" s="28"/>
    </row>
    <row r="4479" spans="4:8" x14ac:dyDescent="0.25">
      <c r="D4479" s="28"/>
      <c r="F4479" s="28"/>
      <c r="H4479" s="28"/>
    </row>
    <row r="4480" spans="4:8" x14ac:dyDescent="0.25">
      <c r="D4480" s="28"/>
      <c r="F4480" s="28"/>
      <c r="H4480" s="28"/>
    </row>
    <row r="4481" spans="4:8" x14ac:dyDescent="0.25">
      <c r="D4481" s="28"/>
      <c r="F4481" s="28"/>
      <c r="H4481" s="28"/>
    </row>
    <row r="4482" spans="4:8" x14ac:dyDescent="0.25">
      <c r="D4482" s="28"/>
      <c r="F4482" s="28"/>
      <c r="H4482" s="28"/>
    </row>
    <row r="4483" spans="4:8" x14ac:dyDescent="0.25">
      <c r="D4483" s="28"/>
      <c r="F4483" s="28"/>
      <c r="H4483" s="28"/>
    </row>
    <row r="4484" spans="4:8" x14ac:dyDescent="0.25">
      <c r="D4484" s="28"/>
      <c r="F4484" s="28"/>
      <c r="H4484" s="28"/>
    </row>
    <row r="4485" spans="4:8" x14ac:dyDescent="0.25">
      <c r="D4485" s="28"/>
      <c r="F4485" s="28"/>
      <c r="H4485" s="28"/>
    </row>
    <row r="4486" spans="4:8" x14ac:dyDescent="0.25">
      <c r="D4486" s="28"/>
      <c r="F4486" s="28"/>
      <c r="H4486" s="28"/>
    </row>
    <row r="4487" spans="4:8" x14ac:dyDescent="0.25">
      <c r="D4487" s="28"/>
      <c r="F4487" s="28"/>
      <c r="H4487" s="28"/>
    </row>
    <row r="4488" spans="4:8" x14ac:dyDescent="0.25">
      <c r="D4488" s="28"/>
      <c r="F4488" s="28"/>
      <c r="H4488" s="28"/>
    </row>
    <row r="4489" spans="4:8" x14ac:dyDescent="0.25">
      <c r="D4489" s="28"/>
      <c r="F4489" s="28"/>
      <c r="H4489" s="28"/>
    </row>
    <row r="4490" spans="4:8" x14ac:dyDescent="0.25">
      <c r="D4490" s="28"/>
      <c r="F4490" s="28"/>
      <c r="H4490" s="28"/>
    </row>
    <row r="4491" spans="4:8" x14ac:dyDescent="0.25">
      <c r="D4491" s="28"/>
      <c r="F4491" s="28"/>
      <c r="H4491" s="28"/>
    </row>
    <row r="4492" spans="4:8" x14ac:dyDescent="0.25">
      <c r="D4492" s="28"/>
      <c r="F4492" s="28"/>
      <c r="H4492" s="28"/>
    </row>
    <row r="4493" spans="4:8" x14ac:dyDescent="0.25">
      <c r="D4493" s="28"/>
      <c r="F4493" s="28"/>
      <c r="H4493" s="28"/>
    </row>
    <row r="4494" spans="4:8" x14ac:dyDescent="0.25">
      <c r="D4494" s="28"/>
      <c r="F4494" s="28"/>
      <c r="H4494" s="28"/>
    </row>
    <row r="4495" spans="4:8" x14ac:dyDescent="0.25">
      <c r="D4495" s="28"/>
      <c r="F4495" s="28"/>
      <c r="H4495" s="28"/>
    </row>
    <row r="4496" spans="4:8" x14ac:dyDescent="0.25">
      <c r="D4496" s="28"/>
      <c r="F4496" s="28"/>
      <c r="H4496" s="28"/>
    </row>
    <row r="4497" spans="4:8" x14ac:dyDescent="0.25">
      <c r="D4497" s="28"/>
      <c r="F4497" s="28"/>
      <c r="H4497" s="28"/>
    </row>
    <row r="4498" spans="4:8" x14ac:dyDescent="0.25">
      <c r="D4498" s="28"/>
      <c r="F4498" s="28"/>
      <c r="H4498" s="28"/>
    </row>
    <row r="4499" spans="4:8" x14ac:dyDescent="0.25">
      <c r="D4499" s="28"/>
      <c r="F4499" s="28"/>
      <c r="H4499" s="28"/>
    </row>
    <row r="4500" spans="4:8" x14ac:dyDescent="0.25">
      <c r="D4500" s="28"/>
      <c r="F4500" s="28"/>
      <c r="H4500" s="28"/>
    </row>
    <row r="4501" spans="4:8" x14ac:dyDescent="0.25">
      <c r="D4501" s="28"/>
      <c r="F4501" s="28"/>
      <c r="H4501" s="28"/>
    </row>
    <row r="4502" spans="4:8" x14ac:dyDescent="0.25">
      <c r="D4502" s="28"/>
      <c r="F4502" s="28"/>
      <c r="H4502" s="28"/>
    </row>
    <row r="4503" spans="4:8" x14ac:dyDescent="0.25">
      <c r="D4503" s="28"/>
      <c r="F4503" s="28"/>
      <c r="H4503" s="28"/>
    </row>
    <row r="4504" spans="4:8" x14ac:dyDescent="0.25">
      <c r="D4504" s="28"/>
      <c r="F4504" s="28"/>
      <c r="H4504" s="28"/>
    </row>
    <row r="4505" spans="4:8" x14ac:dyDescent="0.25">
      <c r="D4505" s="28"/>
      <c r="F4505" s="28"/>
      <c r="H4505" s="28"/>
    </row>
    <row r="4506" spans="4:8" x14ac:dyDescent="0.25">
      <c r="D4506" s="28"/>
      <c r="F4506" s="28"/>
      <c r="H4506" s="28"/>
    </row>
    <row r="4507" spans="4:8" x14ac:dyDescent="0.25">
      <c r="D4507" s="28"/>
      <c r="F4507" s="28"/>
      <c r="H4507" s="28"/>
    </row>
    <row r="4508" spans="4:8" x14ac:dyDescent="0.25">
      <c r="D4508" s="28"/>
      <c r="F4508" s="28"/>
      <c r="H4508" s="28"/>
    </row>
    <row r="4509" spans="4:8" x14ac:dyDescent="0.25">
      <c r="D4509" s="28"/>
      <c r="F4509" s="28"/>
      <c r="H4509" s="28"/>
    </row>
    <row r="4510" spans="4:8" x14ac:dyDescent="0.25">
      <c r="D4510" s="28"/>
      <c r="F4510" s="28"/>
      <c r="H4510" s="28"/>
    </row>
    <row r="4511" spans="4:8" x14ac:dyDescent="0.25">
      <c r="D4511" s="28"/>
      <c r="F4511" s="28"/>
      <c r="H4511" s="28"/>
    </row>
    <row r="4512" spans="4:8" x14ac:dyDescent="0.25">
      <c r="D4512" s="28"/>
      <c r="F4512" s="28"/>
      <c r="H4512" s="28"/>
    </row>
    <row r="4513" spans="4:8" x14ac:dyDescent="0.25">
      <c r="D4513" s="28"/>
      <c r="F4513" s="28"/>
      <c r="H4513" s="28"/>
    </row>
    <row r="4514" spans="4:8" x14ac:dyDescent="0.25">
      <c r="D4514" s="28"/>
      <c r="F4514" s="28"/>
      <c r="H4514" s="28"/>
    </row>
    <row r="4515" spans="4:8" x14ac:dyDescent="0.25">
      <c r="D4515" s="28"/>
      <c r="F4515" s="28"/>
      <c r="H4515" s="28"/>
    </row>
    <row r="4516" spans="4:8" x14ac:dyDescent="0.25">
      <c r="D4516" s="28"/>
      <c r="F4516" s="28"/>
      <c r="H4516" s="28"/>
    </row>
    <row r="4517" spans="4:8" x14ac:dyDescent="0.25">
      <c r="D4517" s="28"/>
      <c r="F4517" s="28"/>
      <c r="H4517" s="28"/>
    </row>
    <row r="4518" spans="4:8" x14ac:dyDescent="0.25">
      <c r="D4518" s="28"/>
      <c r="F4518" s="28"/>
      <c r="H4518" s="28"/>
    </row>
    <row r="4519" spans="4:8" x14ac:dyDescent="0.25">
      <c r="D4519" s="28"/>
      <c r="F4519" s="28"/>
      <c r="H4519" s="28"/>
    </row>
    <row r="4520" spans="4:8" x14ac:dyDescent="0.25">
      <c r="D4520" s="28"/>
      <c r="F4520" s="28"/>
      <c r="H4520" s="28"/>
    </row>
    <row r="4521" spans="4:8" x14ac:dyDescent="0.25">
      <c r="D4521" s="28"/>
      <c r="F4521" s="28"/>
      <c r="H4521" s="28"/>
    </row>
    <row r="4522" spans="4:8" x14ac:dyDescent="0.25">
      <c r="D4522" s="28"/>
      <c r="F4522" s="28"/>
      <c r="H4522" s="28"/>
    </row>
    <row r="4523" spans="4:8" x14ac:dyDescent="0.25">
      <c r="D4523" s="28"/>
      <c r="F4523" s="28"/>
      <c r="H4523" s="28"/>
    </row>
    <row r="4524" spans="4:8" x14ac:dyDescent="0.25">
      <c r="D4524" s="28"/>
      <c r="F4524" s="28"/>
      <c r="H4524" s="28"/>
    </row>
    <row r="4525" spans="4:8" x14ac:dyDescent="0.25">
      <c r="D4525" s="28"/>
      <c r="F4525" s="28"/>
      <c r="H4525" s="28"/>
    </row>
    <row r="4526" spans="4:8" x14ac:dyDescent="0.25">
      <c r="D4526" s="28"/>
      <c r="F4526" s="28"/>
      <c r="H4526" s="28"/>
    </row>
    <row r="4527" spans="4:8" x14ac:dyDescent="0.25">
      <c r="D4527" s="28"/>
      <c r="F4527" s="28"/>
      <c r="H4527" s="28"/>
    </row>
    <row r="4528" spans="4:8" x14ac:dyDescent="0.25">
      <c r="D4528" s="28"/>
      <c r="F4528" s="28"/>
      <c r="H4528" s="28"/>
    </row>
    <row r="4529" spans="4:8" x14ac:dyDescent="0.25">
      <c r="D4529" s="28"/>
      <c r="F4529" s="28"/>
      <c r="H4529" s="28"/>
    </row>
    <row r="4530" spans="4:8" x14ac:dyDescent="0.25">
      <c r="D4530" s="28"/>
      <c r="F4530" s="28"/>
      <c r="H4530" s="28"/>
    </row>
    <row r="4531" spans="4:8" x14ac:dyDescent="0.25">
      <c r="D4531" s="28"/>
      <c r="F4531" s="28"/>
      <c r="H4531" s="28"/>
    </row>
    <row r="4532" spans="4:8" x14ac:dyDescent="0.25">
      <c r="D4532" s="28"/>
      <c r="F4532" s="28"/>
      <c r="H4532" s="28"/>
    </row>
    <row r="4533" spans="4:8" x14ac:dyDescent="0.25">
      <c r="D4533" s="28"/>
      <c r="F4533" s="28"/>
      <c r="H4533" s="28"/>
    </row>
    <row r="4534" spans="4:8" x14ac:dyDescent="0.25">
      <c r="D4534" s="28"/>
      <c r="F4534" s="28"/>
      <c r="H4534" s="28"/>
    </row>
    <row r="4535" spans="4:8" x14ac:dyDescent="0.25">
      <c r="D4535" s="28"/>
      <c r="F4535" s="28"/>
      <c r="H4535" s="28"/>
    </row>
    <row r="4536" spans="4:8" x14ac:dyDescent="0.25">
      <c r="D4536" s="28"/>
      <c r="F4536" s="28"/>
      <c r="H4536" s="28"/>
    </row>
    <row r="4537" spans="4:8" x14ac:dyDescent="0.25">
      <c r="D4537" s="28"/>
      <c r="F4537" s="28"/>
      <c r="H4537" s="28"/>
    </row>
    <row r="4538" spans="4:8" x14ac:dyDescent="0.25">
      <c r="D4538" s="28"/>
      <c r="F4538" s="28"/>
      <c r="H4538" s="28"/>
    </row>
    <row r="4539" spans="4:8" x14ac:dyDescent="0.25">
      <c r="D4539" s="28"/>
      <c r="F4539" s="28"/>
      <c r="H4539" s="28"/>
    </row>
    <row r="4540" spans="4:8" x14ac:dyDescent="0.25">
      <c r="D4540" s="28"/>
      <c r="F4540" s="28"/>
      <c r="H4540" s="28"/>
    </row>
    <row r="4541" spans="4:8" x14ac:dyDescent="0.25">
      <c r="D4541" s="28"/>
      <c r="F4541" s="28"/>
      <c r="H4541" s="28"/>
    </row>
    <row r="4542" spans="4:8" x14ac:dyDescent="0.25">
      <c r="D4542" s="28"/>
      <c r="F4542" s="28"/>
      <c r="H4542" s="28"/>
    </row>
    <row r="4543" spans="4:8" x14ac:dyDescent="0.25">
      <c r="D4543" s="28"/>
      <c r="F4543" s="28"/>
      <c r="H4543" s="28"/>
    </row>
    <row r="4544" spans="4:8" x14ac:dyDescent="0.25">
      <c r="D4544" s="28"/>
      <c r="F4544" s="28"/>
      <c r="H4544" s="28"/>
    </row>
    <row r="4545" spans="4:8" x14ac:dyDescent="0.25">
      <c r="D4545" s="28"/>
      <c r="F4545" s="28"/>
      <c r="H4545" s="28"/>
    </row>
    <row r="4546" spans="4:8" x14ac:dyDescent="0.25">
      <c r="D4546" s="28"/>
      <c r="F4546" s="28"/>
      <c r="H4546" s="28"/>
    </row>
    <row r="4547" spans="4:8" x14ac:dyDescent="0.25">
      <c r="D4547" s="28"/>
      <c r="F4547" s="28"/>
      <c r="H4547" s="28"/>
    </row>
    <row r="4548" spans="4:8" x14ac:dyDescent="0.25">
      <c r="D4548" s="28"/>
      <c r="F4548" s="28"/>
      <c r="H4548" s="28"/>
    </row>
    <row r="4549" spans="4:8" x14ac:dyDescent="0.25">
      <c r="D4549" s="28"/>
      <c r="F4549" s="28"/>
      <c r="H4549" s="28"/>
    </row>
    <row r="4550" spans="4:8" x14ac:dyDescent="0.25">
      <c r="D4550" s="28"/>
      <c r="F4550" s="28"/>
      <c r="H4550" s="28"/>
    </row>
    <row r="4551" spans="4:8" x14ac:dyDescent="0.25">
      <c r="D4551" s="28"/>
      <c r="F4551" s="28"/>
      <c r="H4551" s="28"/>
    </row>
    <row r="4552" spans="4:8" x14ac:dyDescent="0.25">
      <c r="D4552" s="28"/>
      <c r="F4552" s="28"/>
      <c r="H4552" s="28"/>
    </row>
    <row r="4553" spans="4:8" x14ac:dyDescent="0.25">
      <c r="D4553" s="28"/>
      <c r="F4553" s="28"/>
      <c r="H4553" s="28"/>
    </row>
    <row r="4554" spans="4:8" x14ac:dyDescent="0.25">
      <c r="D4554" s="28"/>
      <c r="F4554" s="28"/>
      <c r="H4554" s="28"/>
    </row>
    <row r="4555" spans="4:8" x14ac:dyDescent="0.25">
      <c r="D4555" s="28"/>
      <c r="F4555" s="28"/>
      <c r="H4555" s="28"/>
    </row>
    <row r="4556" spans="4:8" x14ac:dyDescent="0.25">
      <c r="D4556" s="28"/>
      <c r="F4556" s="28"/>
      <c r="H4556" s="28"/>
    </row>
    <row r="4557" spans="4:8" x14ac:dyDescent="0.25">
      <c r="D4557" s="28"/>
      <c r="F4557" s="28"/>
      <c r="H4557" s="28"/>
    </row>
    <row r="4558" spans="4:8" x14ac:dyDescent="0.25">
      <c r="D4558" s="28"/>
      <c r="F4558" s="28"/>
      <c r="H4558" s="28"/>
    </row>
    <row r="4559" spans="4:8" x14ac:dyDescent="0.25">
      <c r="D4559" s="28"/>
      <c r="F4559" s="28"/>
      <c r="H4559" s="28"/>
    </row>
    <row r="4560" spans="4:8" x14ac:dyDescent="0.25">
      <c r="D4560" s="28"/>
      <c r="F4560" s="28"/>
      <c r="H4560" s="28"/>
    </row>
    <row r="4561" spans="4:8" x14ac:dyDescent="0.25">
      <c r="D4561" s="28"/>
      <c r="F4561" s="28"/>
      <c r="H4561" s="28"/>
    </row>
    <row r="4562" spans="4:8" x14ac:dyDescent="0.25">
      <c r="D4562" s="28"/>
      <c r="F4562" s="28"/>
      <c r="H4562" s="28"/>
    </row>
    <row r="4563" spans="4:8" x14ac:dyDescent="0.25">
      <c r="D4563" s="28"/>
      <c r="F4563" s="28"/>
      <c r="H4563" s="28"/>
    </row>
    <row r="4564" spans="4:8" x14ac:dyDescent="0.25">
      <c r="D4564" s="28"/>
      <c r="F4564" s="28"/>
      <c r="H4564" s="28"/>
    </row>
    <row r="4565" spans="4:8" x14ac:dyDescent="0.25">
      <c r="D4565" s="28"/>
      <c r="F4565" s="28"/>
      <c r="H4565" s="28"/>
    </row>
    <row r="4566" spans="4:8" x14ac:dyDescent="0.25">
      <c r="D4566" s="28"/>
      <c r="F4566" s="28"/>
      <c r="H4566" s="28"/>
    </row>
    <row r="4567" spans="4:8" x14ac:dyDescent="0.25">
      <c r="D4567" s="28"/>
      <c r="F4567" s="28"/>
      <c r="H4567" s="28"/>
    </row>
    <row r="4568" spans="4:8" x14ac:dyDescent="0.25">
      <c r="D4568" s="28"/>
      <c r="F4568" s="28"/>
      <c r="H4568" s="28"/>
    </row>
    <row r="4569" spans="4:8" x14ac:dyDescent="0.25">
      <c r="D4569" s="28"/>
      <c r="F4569" s="28"/>
      <c r="H4569" s="28"/>
    </row>
    <row r="4570" spans="4:8" x14ac:dyDescent="0.25">
      <c r="D4570" s="28"/>
      <c r="F4570" s="28"/>
      <c r="H4570" s="28"/>
    </row>
    <row r="4571" spans="4:8" x14ac:dyDescent="0.25">
      <c r="D4571" s="28"/>
      <c r="F4571" s="28"/>
      <c r="H4571" s="28"/>
    </row>
    <row r="4572" spans="4:8" x14ac:dyDescent="0.25">
      <c r="D4572" s="28"/>
      <c r="F4572" s="28"/>
      <c r="H4572" s="28"/>
    </row>
    <row r="4573" spans="4:8" x14ac:dyDescent="0.25">
      <c r="D4573" s="28"/>
      <c r="F4573" s="28"/>
      <c r="H4573" s="28"/>
    </row>
    <row r="4574" spans="4:8" x14ac:dyDescent="0.25">
      <c r="D4574" s="28"/>
      <c r="F4574" s="28"/>
      <c r="H4574" s="28"/>
    </row>
    <row r="4575" spans="4:8" x14ac:dyDescent="0.25">
      <c r="D4575" s="28"/>
      <c r="F4575" s="28"/>
      <c r="H4575" s="28"/>
    </row>
    <row r="4576" spans="4:8" x14ac:dyDescent="0.25">
      <c r="D4576" s="28"/>
      <c r="F4576" s="28"/>
      <c r="H4576" s="28"/>
    </row>
    <row r="4577" spans="4:8" x14ac:dyDescent="0.25">
      <c r="D4577" s="28"/>
      <c r="F4577" s="28"/>
      <c r="H4577" s="28"/>
    </row>
    <row r="4578" spans="4:8" x14ac:dyDescent="0.25">
      <c r="D4578" s="28"/>
      <c r="F4578" s="28"/>
      <c r="H4578" s="28"/>
    </row>
    <row r="4579" spans="4:8" x14ac:dyDescent="0.25">
      <c r="D4579" s="28"/>
      <c r="F4579" s="28"/>
      <c r="H4579" s="28"/>
    </row>
    <row r="4580" spans="4:8" x14ac:dyDescent="0.25">
      <c r="D4580" s="28"/>
      <c r="F4580" s="28"/>
      <c r="H4580" s="28"/>
    </row>
    <row r="4581" spans="4:8" x14ac:dyDescent="0.25">
      <c r="D4581" s="28"/>
      <c r="F4581" s="28"/>
      <c r="H4581" s="28"/>
    </row>
    <row r="4582" spans="4:8" x14ac:dyDescent="0.25">
      <c r="D4582" s="28"/>
      <c r="F4582" s="28"/>
      <c r="H4582" s="28"/>
    </row>
    <row r="4583" spans="4:8" x14ac:dyDescent="0.25">
      <c r="D4583" s="28"/>
      <c r="F4583" s="28"/>
      <c r="H4583" s="28"/>
    </row>
    <row r="4584" spans="4:8" x14ac:dyDescent="0.25">
      <c r="D4584" s="28"/>
      <c r="F4584" s="28"/>
      <c r="H4584" s="28"/>
    </row>
    <row r="4585" spans="4:8" x14ac:dyDescent="0.25">
      <c r="D4585" s="28"/>
      <c r="F4585" s="28"/>
      <c r="H4585" s="28"/>
    </row>
    <row r="4586" spans="4:8" x14ac:dyDescent="0.25">
      <c r="D4586" s="28"/>
      <c r="F4586" s="28"/>
      <c r="H4586" s="28"/>
    </row>
    <row r="4587" spans="4:8" x14ac:dyDescent="0.25">
      <c r="D4587" s="28"/>
      <c r="F4587" s="28"/>
      <c r="H4587" s="28"/>
    </row>
    <row r="4588" spans="4:8" x14ac:dyDescent="0.25">
      <c r="D4588" s="28"/>
      <c r="F4588" s="28"/>
      <c r="H4588" s="28"/>
    </row>
    <row r="4589" spans="4:8" x14ac:dyDescent="0.25">
      <c r="D4589" s="28"/>
      <c r="F4589" s="28"/>
      <c r="H4589" s="28"/>
    </row>
    <row r="4590" spans="4:8" x14ac:dyDescent="0.25">
      <c r="D4590" s="28"/>
      <c r="F4590" s="28"/>
      <c r="H4590" s="28"/>
    </row>
    <row r="4591" spans="4:8" x14ac:dyDescent="0.25">
      <c r="D4591" s="28"/>
      <c r="F4591" s="28"/>
      <c r="H4591" s="28"/>
    </row>
    <row r="4592" spans="4:8" x14ac:dyDescent="0.25">
      <c r="D4592" s="28"/>
      <c r="F4592" s="28"/>
      <c r="H4592" s="28"/>
    </row>
    <row r="4593" spans="4:8" x14ac:dyDescent="0.25">
      <c r="D4593" s="28"/>
      <c r="F4593" s="28"/>
      <c r="H4593" s="28"/>
    </row>
    <row r="4594" spans="4:8" x14ac:dyDescent="0.25">
      <c r="D4594" s="28"/>
      <c r="F4594" s="28"/>
      <c r="H4594" s="28"/>
    </row>
    <row r="4595" spans="4:8" x14ac:dyDescent="0.25">
      <c r="D4595" s="28"/>
      <c r="F4595" s="28"/>
      <c r="H4595" s="28"/>
    </row>
    <row r="4596" spans="4:8" x14ac:dyDescent="0.25">
      <c r="D4596" s="28"/>
      <c r="F4596" s="28"/>
      <c r="H4596" s="28"/>
    </row>
    <row r="4597" spans="4:8" x14ac:dyDescent="0.25">
      <c r="D4597" s="28"/>
      <c r="F4597" s="28"/>
      <c r="H4597" s="28"/>
    </row>
    <row r="4598" spans="4:8" x14ac:dyDescent="0.25">
      <c r="D4598" s="28"/>
      <c r="F4598" s="28"/>
      <c r="H4598" s="28"/>
    </row>
    <row r="4599" spans="4:8" x14ac:dyDescent="0.25">
      <c r="D4599" s="28"/>
      <c r="F4599" s="28"/>
      <c r="H4599" s="28"/>
    </row>
    <row r="4600" spans="4:8" x14ac:dyDescent="0.25">
      <c r="D4600" s="28"/>
      <c r="F4600" s="28"/>
      <c r="H4600" s="28"/>
    </row>
    <row r="4601" spans="4:8" x14ac:dyDescent="0.25">
      <c r="D4601" s="28"/>
      <c r="F4601" s="28"/>
      <c r="H4601" s="28"/>
    </row>
    <row r="4602" spans="4:8" x14ac:dyDescent="0.25">
      <c r="D4602" s="28"/>
      <c r="F4602" s="28"/>
      <c r="H4602" s="28"/>
    </row>
    <row r="4603" spans="4:8" x14ac:dyDescent="0.25">
      <c r="D4603" s="28"/>
      <c r="F4603" s="28"/>
      <c r="H4603" s="28"/>
    </row>
    <row r="4604" spans="4:8" x14ac:dyDescent="0.25">
      <c r="D4604" s="28"/>
      <c r="F4604" s="28"/>
      <c r="H4604" s="28"/>
    </row>
    <row r="4605" spans="4:8" x14ac:dyDescent="0.25">
      <c r="D4605" s="28"/>
      <c r="F4605" s="28"/>
      <c r="H4605" s="28"/>
    </row>
    <row r="4606" spans="4:8" x14ac:dyDescent="0.25">
      <c r="D4606" s="28"/>
      <c r="F4606" s="28"/>
      <c r="H4606" s="28"/>
    </row>
    <row r="4607" spans="4:8" x14ac:dyDescent="0.25">
      <c r="D4607" s="28"/>
      <c r="F4607" s="28"/>
      <c r="H4607" s="28"/>
    </row>
    <row r="4608" spans="4:8" x14ac:dyDescent="0.25">
      <c r="D4608" s="28"/>
      <c r="F4608" s="28"/>
      <c r="H4608" s="28"/>
    </row>
    <row r="4609" spans="4:8" x14ac:dyDescent="0.25">
      <c r="D4609" s="28"/>
      <c r="F4609" s="28"/>
      <c r="H4609" s="28"/>
    </row>
    <row r="4610" spans="4:8" x14ac:dyDescent="0.25">
      <c r="D4610" s="28"/>
      <c r="F4610" s="28"/>
      <c r="H4610" s="28"/>
    </row>
    <row r="4611" spans="4:8" x14ac:dyDescent="0.25">
      <c r="D4611" s="28"/>
      <c r="F4611" s="28"/>
      <c r="H4611" s="28"/>
    </row>
    <row r="4612" spans="4:8" x14ac:dyDescent="0.25">
      <c r="D4612" s="28"/>
      <c r="F4612" s="28"/>
      <c r="H4612" s="28"/>
    </row>
    <row r="4613" spans="4:8" x14ac:dyDescent="0.25">
      <c r="D4613" s="28"/>
      <c r="F4613" s="28"/>
      <c r="H4613" s="28"/>
    </row>
    <row r="4614" spans="4:8" x14ac:dyDescent="0.25">
      <c r="D4614" s="28"/>
      <c r="F4614" s="28"/>
      <c r="H4614" s="28"/>
    </row>
    <row r="4615" spans="4:8" x14ac:dyDescent="0.25">
      <c r="D4615" s="28"/>
      <c r="F4615" s="28"/>
      <c r="H4615" s="28"/>
    </row>
    <row r="4616" spans="4:8" x14ac:dyDescent="0.25">
      <c r="D4616" s="28"/>
      <c r="F4616" s="28"/>
      <c r="H4616" s="28"/>
    </row>
    <row r="4617" spans="4:8" x14ac:dyDescent="0.25">
      <c r="D4617" s="28"/>
      <c r="F4617" s="28"/>
      <c r="H4617" s="28"/>
    </row>
    <row r="4618" spans="4:8" x14ac:dyDescent="0.25">
      <c r="D4618" s="28"/>
      <c r="F4618" s="28"/>
      <c r="H4618" s="28"/>
    </row>
    <row r="4619" spans="4:8" x14ac:dyDescent="0.25">
      <c r="D4619" s="28"/>
      <c r="F4619" s="28"/>
      <c r="H4619" s="28"/>
    </row>
    <row r="4620" spans="4:8" x14ac:dyDescent="0.25">
      <c r="D4620" s="28"/>
      <c r="F4620" s="28"/>
      <c r="H4620" s="28"/>
    </row>
    <row r="4621" spans="4:8" x14ac:dyDescent="0.25">
      <c r="D4621" s="28"/>
      <c r="F4621" s="28"/>
      <c r="H4621" s="28"/>
    </row>
    <row r="4622" spans="4:8" x14ac:dyDescent="0.25">
      <c r="D4622" s="28"/>
      <c r="F4622" s="28"/>
      <c r="H4622" s="28"/>
    </row>
    <row r="4623" spans="4:8" x14ac:dyDescent="0.25">
      <c r="D4623" s="28"/>
      <c r="F4623" s="28"/>
      <c r="H4623" s="28"/>
    </row>
    <row r="4624" spans="4:8" x14ac:dyDescent="0.25">
      <c r="D4624" s="28"/>
      <c r="F4624" s="28"/>
      <c r="H4624" s="28"/>
    </row>
    <row r="4625" spans="4:8" x14ac:dyDescent="0.25">
      <c r="D4625" s="28"/>
      <c r="F4625" s="28"/>
      <c r="H4625" s="28"/>
    </row>
    <row r="4626" spans="4:8" x14ac:dyDescent="0.25">
      <c r="D4626" s="28"/>
      <c r="F4626" s="28"/>
      <c r="H4626" s="28"/>
    </row>
    <row r="4627" spans="4:8" x14ac:dyDescent="0.25">
      <c r="D4627" s="28"/>
      <c r="F4627" s="28"/>
      <c r="H4627" s="28"/>
    </row>
    <row r="4628" spans="4:8" x14ac:dyDescent="0.25">
      <c r="D4628" s="28"/>
      <c r="F4628" s="28"/>
      <c r="H4628" s="28"/>
    </row>
    <row r="4629" spans="4:8" x14ac:dyDescent="0.25">
      <c r="D4629" s="28"/>
      <c r="F4629" s="28"/>
      <c r="H4629" s="28"/>
    </row>
    <row r="4630" spans="4:8" x14ac:dyDescent="0.25">
      <c r="D4630" s="28"/>
      <c r="F4630" s="28"/>
      <c r="H4630" s="28"/>
    </row>
    <row r="4631" spans="4:8" x14ac:dyDescent="0.25">
      <c r="D4631" s="28"/>
      <c r="F4631" s="28"/>
      <c r="H4631" s="28"/>
    </row>
    <row r="4632" spans="4:8" x14ac:dyDescent="0.25">
      <c r="D4632" s="28"/>
      <c r="F4632" s="28"/>
      <c r="H4632" s="28"/>
    </row>
    <row r="4633" spans="4:8" x14ac:dyDescent="0.25">
      <c r="D4633" s="28"/>
      <c r="F4633" s="28"/>
      <c r="H4633" s="28"/>
    </row>
    <row r="4634" spans="4:8" x14ac:dyDescent="0.25">
      <c r="D4634" s="28"/>
      <c r="F4634" s="28"/>
      <c r="H4634" s="28"/>
    </row>
    <row r="4635" spans="4:8" x14ac:dyDescent="0.25">
      <c r="D4635" s="28"/>
      <c r="F4635" s="28"/>
      <c r="H4635" s="28"/>
    </row>
    <row r="4636" spans="4:8" x14ac:dyDescent="0.25">
      <c r="D4636" s="28"/>
      <c r="F4636" s="28"/>
      <c r="H4636" s="28"/>
    </row>
    <row r="4637" spans="4:8" x14ac:dyDescent="0.25">
      <c r="D4637" s="28"/>
      <c r="F4637" s="28"/>
      <c r="H4637" s="28"/>
    </row>
    <row r="4638" spans="4:8" x14ac:dyDescent="0.25">
      <c r="D4638" s="28"/>
      <c r="F4638" s="28"/>
      <c r="H4638" s="28"/>
    </row>
    <row r="4639" spans="4:8" x14ac:dyDescent="0.25">
      <c r="D4639" s="28"/>
      <c r="F4639" s="28"/>
      <c r="H4639" s="28"/>
    </row>
    <row r="4640" spans="4:8" x14ac:dyDescent="0.25">
      <c r="D4640" s="28"/>
      <c r="F4640" s="28"/>
      <c r="H4640" s="28"/>
    </row>
    <row r="4641" spans="4:8" x14ac:dyDescent="0.25">
      <c r="D4641" s="28"/>
      <c r="F4641" s="28"/>
      <c r="H4641" s="28"/>
    </row>
    <row r="4642" spans="4:8" x14ac:dyDescent="0.25">
      <c r="D4642" s="28"/>
      <c r="F4642" s="28"/>
      <c r="H4642" s="28"/>
    </row>
    <row r="4643" spans="4:8" x14ac:dyDescent="0.25">
      <c r="D4643" s="28"/>
      <c r="F4643" s="28"/>
      <c r="H4643" s="28"/>
    </row>
    <row r="4644" spans="4:8" x14ac:dyDescent="0.25">
      <c r="D4644" s="28"/>
      <c r="F4644" s="28"/>
      <c r="H4644" s="28"/>
    </row>
    <row r="4645" spans="4:8" x14ac:dyDescent="0.25">
      <c r="D4645" s="28"/>
      <c r="F4645" s="28"/>
      <c r="H4645" s="28"/>
    </row>
    <row r="4646" spans="4:8" x14ac:dyDescent="0.25">
      <c r="D4646" s="28"/>
      <c r="F4646" s="28"/>
      <c r="H4646" s="28"/>
    </row>
    <row r="4647" spans="4:8" x14ac:dyDescent="0.25">
      <c r="D4647" s="28"/>
      <c r="F4647" s="28"/>
      <c r="H4647" s="28"/>
    </row>
    <row r="4648" spans="4:8" x14ac:dyDescent="0.25">
      <c r="D4648" s="28"/>
      <c r="F4648" s="28"/>
      <c r="H4648" s="28"/>
    </row>
    <row r="4649" spans="4:8" x14ac:dyDescent="0.25">
      <c r="D4649" s="28"/>
      <c r="F4649" s="28"/>
      <c r="H4649" s="28"/>
    </row>
    <row r="4650" spans="4:8" x14ac:dyDescent="0.25">
      <c r="D4650" s="28"/>
      <c r="F4650" s="28"/>
      <c r="H4650" s="28"/>
    </row>
    <row r="4651" spans="4:8" x14ac:dyDescent="0.25">
      <c r="D4651" s="28"/>
      <c r="F4651" s="28"/>
      <c r="H4651" s="28"/>
    </row>
    <row r="4652" spans="4:8" x14ac:dyDescent="0.25">
      <c r="D4652" s="28"/>
      <c r="F4652" s="28"/>
      <c r="H4652" s="28"/>
    </row>
    <row r="4653" spans="4:8" x14ac:dyDescent="0.25">
      <c r="D4653" s="28"/>
      <c r="F4653" s="28"/>
      <c r="H4653" s="28"/>
    </row>
    <row r="4654" spans="4:8" x14ac:dyDescent="0.25">
      <c r="D4654" s="28"/>
      <c r="F4654" s="28"/>
      <c r="H4654" s="28"/>
    </row>
    <row r="4655" spans="4:8" x14ac:dyDescent="0.25">
      <c r="D4655" s="28"/>
      <c r="F4655" s="28"/>
      <c r="H4655" s="28"/>
    </row>
    <row r="4656" spans="4:8" x14ac:dyDescent="0.25">
      <c r="D4656" s="28"/>
      <c r="F4656" s="28"/>
      <c r="H4656" s="28"/>
    </row>
    <row r="4657" spans="4:8" x14ac:dyDescent="0.25">
      <c r="D4657" s="28"/>
      <c r="F4657" s="28"/>
      <c r="H4657" s="28"/>
    </row>
    <row r="4658" spans="4:8" x14ac:dyDescent="0.25">
      <c r="D4658" s="28"/>
      <c r="F4658" s="28"/>
      <c r="H4658" s="28"/>
    </row>
    <row r="4659" spans="4:8" x14ac:dyDescent="0.25">
      <c r="D4659" s="28"/>
      <c r="F4659" s="28"/>
      <c r="H4659" s="28"/>
    </row>
    <row r="4660" spans="4:8" x14ac:dyDescent="0.25">
      <c r="D4660" s="28"/>
      <c r="F4660" s="28"/>
      <c r="H4660" s="28"/>
    </row>
    <row r="4661" spans="4:8" x14ac:dyDescent="0.25">
      <c r="D4661" s="28"/>
      <c r="F4661" s="28"/>
      <c r="H4661" s="28"/>
    </row>
    <row r="4662" spans="4:8" x14ac:dyDescent="0.25">
      <c r="D4662" s="28"/>
      <c r="F4662" s="28"/>
      <c r="H4662" s="28"/>
    </row>
    <row r="4663" spans="4:8" x14ac:dyDescent="0.25">
      <c r="D4663" s="28"/>
      <c r="F4663" s="28"/>
      <c r="H4663" s="28"/>
    </row>
    <row r="4664" spans="4:8" x14ac:dyDescent="0.25">
      <c r="D4664" s="28"/>
      <c r="F4664" s="28"/>
      <c r="H4664" s="28"/>
    </row>
    <row r="4665" spans="4:8" x14ac:dyDescent="0.25">
      <c r="D4665" s="28"/>
      <c r="F4665" s="28"/>
      <c r="H4665" s="28"/>
    </row>
    <row r="4666" spans="4:8" x14ac:dyDescent="0.25">
      <c r="D4666" s="28"/>
      <c r="F4666" s="28"/>
      <c r="H4666" s="28"/>
    </row>
    <row r="4667" spans="4:8" x14ac:dyDescent="0.25">
      <c r="D4667" s="28"/>
      <c r="F4667" s="28"/>
      <c r="H4667" s="28"/>
    </row>
    <row r="4668" spans="4:8" x14ac:dyDescent="0.25">
      <c r="D4668" s="28"/>
      <c r="F4668" s="28"/>
      <c r="H4668" s="28"/>
    </row>
    <row r="4669" spans="4:8" x14ac:dyDescent="0.25">
      <c r="D4669" s="28"/>
      <c r="F4669" s="28"/>
      <c r="H4669" s="28"/>
    </row>
    <row r="4670" spans="4:8" x14ac:dyDescent="0.25">
      <c r="D4670" s="28"/>
      <c r="F4670" s="28"/>
      <c r="H4670" s="28"/>
    </row>
    <row r="4671" spans="4:8" x14ac:dyDescent="0.25">
      <c r="D4671" s="28"/>
      <c r="F4671" s="28"/>
      <c r="H4671" s="28"/>
    </row>
    <row r="4672" spans="4:8" x14ac:dyDescent="0.25">
      <c r="D4672" s="28"/>
      <c r="F4672" s="28"/>
      <c r="H4672" s="28"/>
    </row>
    <row r="4673" spans="4:8" x14ac:dyDescent="0.25">
      <c r="D4673" s="28"/>
      <c r="F4673" s="28"/>
      <c r="H4673" s="28"/>
    </row>
    <row r="4674" spans="4:8" x14ac:dyDescent="0.25">
      <c r="D4674" s="28"/>
      <c r="F4674" s="28"/>
      <c r="H4674" s="28"/>
    </row>
    <row r="4675" spans="4:8" x14ac:dyDescent="0.25">
      <c r="D4675" s="28"/>
      <c r="F4675" s="28"/>
      <c r="H4675" s="28"/>
    </row>
    <row r="4676" spans="4:8" x14ac:dyDescent="0.25">
      <c r="D4676" s="28"/>
      <c r="F4676" s="28"/>
      <c r="H4676" s="28"/>
    </row>
    <row r="4677" spans="4:8" x14ac:dyDescent="0.25">
      <c r="D4677" s="28"/>
      <c r="F4677" s="28"/>
      <c r="H4677" s="28"/>
    </row>
    <row r="4678" spans="4:8" x14ac:dyDescent="0.25">
      <c r="D4678" s="28"/>
      <c r="F4678" s="28"/>
      <c r="H4678" s="28"/>
    </row>
    <row r="4679" spans="4:8" x14ac:dyDescent="0.25">
      <c r="D4679" s="28"/>
      <c r="F4679" s="28"/>
      <c r="H4679" s="28"/>
    </row>
    <row r="4680" spans="4:8" x14ac:dyDescent="0.25">
      <c r="D4680" s="28"/>
      <c r="F4680" s="28"/>
      <c r="H4680" s="28"/>
    </row>
    <row r="4681" spans="4:8" x14ac:dyDescent="0.25">
      <c r="D4681" s="28"/>
      <c r="F4681" s="28"/>
      <c r="H4681" s="28"/>
    </row>
    <row r="4682" spans="4:8" x14ac:dyDescent="0.25">
      <c r="D4682" s="28"/>
      <c r="F4682" s="28"/>
      <c r="H4682" s="28"/>
    </row>
    <row r="4683" spans="4:8" x14ac:dyDescent="0.25">
      <c r="D4683" s="28"/>
      <c r="F4683" s="28"/>
      <c r="H4683" s="28"/>
    </row>
    <row r="4684" spans="4:8" x14ac:dyDescent="0.25">
      <c r="D4684" s="28"/>
      <c r="F4684" s="28"/>
      <c r="H4684" s="28"/>
    </row>
    <row r="4685" spans="4:8" x14ac:dyDescent="0.25">
      <c r="D4685" s="28"/>
      <c r="F4685" s="28"/>
      <c r="H4685" s="28"/>
    </row>
    <row r="4686" spans="4:8" x14ac:dyDescent="0.25">
      <c r="D4686" s="28"/>
      <c r="F4686" s="28"/>
      <c r="H4686" s="28"/>
    </row>
    <row r="4687" spans="4:8" x14ac:dyDescent="0.25">
      <c r="D4687" s="28"/>
      <c r="F4687" s="28"/>
      <c r="H4687" s="28"/>
    </row>
    <row r="4688" spans="4:8" x14ac:dyDescent="0.25">
      <c r="D4688" s="28"/>
      <c r="F4688" s="28"/>
      <c r="H4688" s="28"/>
    </row>
    <row r="4689" spans="4:8" x14ac:dyDescent="0.25">
      <c r="D4689" s="28"/>
      <c r="F4689" s="28"/>
      <c r="H4689" s="28"/>
    </row>
    <row r="4690" spans="4:8" x14ac:dyDescent="0.25">
      <c r="D4690" s="28"/>
      <c r="F4690" s="28"/>
      <c r="H4690" s="28"/>
    </row>
    <row r="4691" spans="4:8" x14ac:dyDescent="0.25">
      <c r="D4691" s="28"/>
      <c r="F4691" s="28"/>
      <c r="H4691" s="28"/>
    </row>
    <row r="4692" spans="4:8" x14ac:dyDescent="0.25">
      <c r="D4692" s="28"/>
      <c r="F4692" s="28"/>
      <c r="H4692" s="28"/>
    </row>
    <row r="4693" spans="4:8" x14ac:dyDescent="0.25">
      <c r="D4693" s="28"/>
      <c r="F4693" s="28"/>
      <c r="H4693" s="28"/>
    </row>
    <row r="4694" spans="4:8" x14ac:dyDescent="0.25">
      <c r="D4694" s="28"/>
      <c r="F4694" s="28"/>
      <c r="H4694" s="28"/>
    </row>
    <row r="4695" spans="4:8" x14ac:dyDescent="0.25">
      <c r="D4695" s="28"/>
      <c r="F4695" s="28"/>
      <c r="H4695" s="28"/>
    </row>
    <row r="4696" spans="4:8" x14ac:dyDescent="0.25">
      <c r="D4696" s="28"/>
      <c r="F4696" s="28"/>
      <c r="H4696" s="28"/>
    </row>
    <row r="4697" spans="4:8" x14ac:dyDescent="0.25">
      <c r="D4697" s="28"/>
      <c r="F4697" s="28"/>
      <c r="H4697" s="28"/>
    </row>
    <row r="4698" spans="4:8" x14ac:dyDescent="0.25">
      <c r="D4698" s="28"/>
      <c r="F4698" s="28"/>
      <c r="H4698" s="28"/>
    </row>
    <row r="4699" spans="4:8" x14ac:dyDescent="0.25">
      <c r="D4699" s="28"/>
      <c r="F4699" s="28"/>
      <c r="H4699" s="28"/>
    </row>
    <row r="4700" spans="4:8" x14ac:dyDescent="0.25">
      <c r="D4700" s="28"/>
      <c r="F4700" s="28"/>
      <c r="H4700" s="28"/>
    </row>
    <row r="4701" spans="4:8" x14ac:dyDescent="0.25">
      <c r="D4701" s="28"/>
      <c r="F4701" s="28"/>
      <c r="H4701" s="28"/>
    </row>
    <row r="4702" spans="4:8" x14ac:dyDescent="0.25">
      <c r="D4702" s="28"/>
      <c r="F4702" s="28"/>
      <c r="H4702" s="28"/>
    </row>
    <row r="4703" spans="4:8" x14ac:dyDescent="0.25">
      <c r="D4703" s="28"/>
      <c r="F4703" s="28"/>
      <c r="H4703" s="28"/>
    </row>
    <row r="4704" spans="4:8" x14ac:dyDescent="0.25">
      <c r="D4704" s="28"/>
      <c r="F4704" s="28"/>
      <c r="H4704" s="28"/>
    </row>
    <row r="4705" spans="4:8" x14ac:dyDescent="0.25">
      <c r="D4705" s="28"/>
      <c r="F4705" s="28"/>
      <c r="H4705" s="28"/>
    </row>
    <row r="4706" spans="4:8" x14ac:dyDescent="0.25">
      <c r="D4706" s="28"/>
      <c r="F4706" s="28"/>
      <c r="H4706" s="28"/>
    </row>
    <row r="4707" spans="4:8" x14ac:dyDescent="0.25">
      <c r="D4707" s="28"/>
      <c r="F4707" s="28"/>
      <c r="H4707" s="28"/>
    </row>
    <row r="4708" spans="4:8" x14ac:dyDescent="0.25">
      <c r="D4708" s="28"/>
      <c r="F4708" s="28"/>
      <c r="H4708" s="28"/>
    </row>
    <row r="4709" spans="4:8" x14ac:dyDescent="0.25">
      <c r="D4709" s="28"/>
      <c r="F4709" s="28"/>
      <c r="H4709" s="28"/>
    </row>
    <row r="4710" spans="4:8" x14ac:dyDescent="0.25">
      <c r="D4710" s="28"/>
      <c r="F4710" s="28"/>
      <c r="H4710" s="28"/>
    </row>
    <row r="4711" spans="4:8" x14ac:dyDescent="0.25">
      <c r="D4711" s="28"/>
      <c r="F4711" s="28"/>
      <c r="H4711" s="28"/>
    </row>
    <row r="4712" spans="4:8" x14ac:dyDescent="0.25">
      <c r="D4712" s="28"/>
      <c r="F4712" s="28"/>
      <c r="H4712" s="28"/>
    </row>
    <row r="4713" spans="4:8" x14ac:dyDescent="0.25">
      <c r="D4713" s="28"/>
      <c r="F4713" s="28"/>
      <c r="H4713" s="28"/>
    </row>
    <row r="4714" spans="4:8" x14ac:dyDescent="0.25">
      <c r="D4714" s="28"/>
      <c r="F4714" s="28"/>
      <c r="H4714" s="28"/>
    </row>
    <row r="4715" spans="4:8" x14ac:dyDescent="0.25">
      <c r="D4715" s="28"/>
      <c r="F4715" s="28"/>
      <c r="H4715" s="28"/>
    </row>
    <row r="4716" spans="4:8" x14ac:dyDescent="0.25">
      <c r="D4716" s="28"/>
      <c r="F4716" s="28"/>
      <c r="H4716" s="28"/>
    </row>
    <row r="4717" spans="4:8" x14ac:dyDescent="0.25">
      <c r="D4717" s="28"/>
      <c r="F4717" s="28"/>
      <c r="H4717" s="28"/>
    </row>
    <row r="4718" spans="4:8" x14ac:dyDescent="0.25">
      <c r="D4718" s="28"/>
      <c r="F4718" s="28"/>
      <c r="H4718" s="28"/>
    </row>
    <row r="4719" spans="4:8" x14ac:dyDescent="0.25">
      <c r="D4719" s="28"/>
      <c r="F4719" s="28"/>
      <c r="H4719" s="28"/>
    </row>
    <row r="4720" spans="4:8" x14ac:dyDescent="0.25">
      <c r="D4720" s="28"/>
      <c r="F4720" s="28"/>
      <c r="H4720" s="28"/>
    </row>
    <row r="4721" spans="4:8" x14ac:dyDescent="0.25">
      <c r="D4721" s="28"/>
      <c r="F4721" s="28"/>
      <c r="H4721" s="28"/>
    </row>
    <row r="4722" spans="4:8" x14ac:dyDescent="0.25">
      <c r="D4722" s="28"/>
      <c r="F4722" s="28"/>
      <c r="H4722" s="28"/>
    </row>
    <row r="4723" spans="4:8" x14ac:dyDescent="0.25">
      <c r="D4723" s="28"/>
      <c r="F4723" s="28"/>
      <c r="H4723" s="28"/>
    </row>
    <row r="4724" spans="4:8" x14ac:dyDescent="0.25">
      <c r="D4724" s="28"/>
      <c r="F4724" s="28"/>
      <c r="H4724" s="28"/>
    </row>
    <row r="4725" spans="4:8" x14ac:dyDescent="0.25">
      <c r="D4725" s="28"/>
      <c r="F4725" s="28"/>
      <c r="H4725" s="28"/>
    </row>
    <row r="4726" spans="4:8" x14ac:dyDescent="0.25">
      <c r="D4726" s="28"/>
      <c r="F4726" s="28"/>
      <c r="H4726" s="28"/>
    </row>
    <row r="4727" spans="4:8" x14ac:dyDescent="0.25">
      <c r="D4727" s="28"/>
      <c r="F4727" s="28"/>
      <c r="H4727" s="28"/>
    </row>
    <row r="4728" spans="4:8" x14ac:dyDescent="0.25">
      <c r="D4728" s="28"/>
      <c r="F4728" s="28"/>
      <c r="H4728" s="28"/>
    </row>
    <row r="4729" spans="4:8" x14ac:dyDescent="0.25">
      <c r="D4729" s="28"/>
      <c r="F4729" s="28"/>
      <c r="H4729" s="28"/>
    </row>
    <row r="4730" spans="4:8" x14ac:dyDescent="0.25">
      <c r="D4730" s="28"/>
      <c r="F4730" s="28"/>
      <c r="H4730" s="28"/>
    </row>
    <row r="4731" spans="4:8" x14ac:dyDescent="0.25">
      <c r="D4731" s="28"/>
      <c r="F4731" s="28"/>
      <c r="H4731" s="28"/>
    </row>
    <row r="4732" spans="4:8" x14ac:dyDescent="0.25">
      <c r="D4732" s="28"/>
      <c r="F4732" s="28"/>
      <c r="H4732" s="28"/>
    </row>
    <row r="4733" spans="4:8" x14ac:dyDescent="0.25">
      <c r="D4733" s="28"/>
      <c r="F4733" s="28"/>
      <c r="H4733" s="28"/>
    </row>
    <row r="4734" spans="4:8" x14ac:dyDescent="0.25">
      <c r="D4734" s="28"/>
      <c r="F4734" s="28"/>
      <c r="H4734" s="28"/>
    </row>
    <row r="4735" spans="4:8" x14ac:dyDescent="0.25">
      <c r="D4735" s="28"/>
      <c r="F4735" s="28"/>
      <c r="H4735" s="28"/>
    </row>
    <row r="4736" spans="4:8" x14ac:dyDescent="0.25">
      <c r="D4736" s="28"/>
      <c r="F4736" s="28"/>
      <c r="H4736" s="28"/>
    </row>
    <row r="4737" spans="4:8" x14ac:dyDescent="0.25">
      <c r="D4737" s="28"/>
      <c r="F4737" s="28"/>
      <c r="H4737" s="28"/>
    </row>
    <row r="4738" spans="4:8" x14ac:dyDescent="0.25">
      <c r="D4738" s="28"/>
      <c r="F4738" s="28"/>
      <c r="H4738" s="28"/>
    </row>
    <row r="4739" spans="4:8" x14ac:dyDescent="0.25">
      <c r="D4739" s="28"/>
      <c r="F4739" s="28"/>
      <c r="H4739" s="28"/>
    </row>
    <row r="4740" spans="4:8" x14ac:dyDescent="0.25">
      <c r="D4740" s="28"/>
      <c r="F4740" s="28"/>
      <c r="H4740" s="28"/>
    </row>
    <row r="4741" spans="4:8" x14ac:dyDescent="0.25">
      <c r="D4741" s="28"/>
      <c r="F4741" s="28"/>
      <c r="H4741" s="28"/>
    </row>
    <row r="4742" spans="4:8" x14ac:dyDescent="0.25">
      <c r="D4742" s="28"/>
      <c r="F4742" s="28"/>
      <c r="H4742" s="28"/>
    </row>
    <row r="4743" spans="4:8" x14ac:dyDescent="0.25">
      <c r="D4743" s="28"/>
      <c r="F4743" s="28"/>
      <c r="H4743" s="28"/>
    </row>
    <row r="4744" spans="4:8" x14ac:dyDescent="0.25">
      <c r="D4744" s="28"/>
      <c r="F4744" s="28"/>
      <c r="H4744" s="28"/>
    </row>
    <row r="4745" spans="4:8" x14ac:dyDescent="0.25">
      <c r="D4745" s="28"/>
      <c r="F4745" s="28"/>
      <c r="H4745" s="28"/>
    </row>
    <row r="4746" spans="4:8" x14ac:dyDescent="0.25">
      <c r="D4746" s="28"/>
      <c r="F4746" s="28"/>
      <c r="H4746" s="28"/>
    </row>
    <row r="4747" spans="4:8" x14ac:dyDescent="0.25">
      <c r="D4747" s="28"/>
      <c r="F4747" s="28"/>
      <c r="H4747" s="28"/>
    </row>
    <row r="4748" spans="4:8" x14ac:dyDescent="0.25">
      <c r="D4748" s="28"/>
      <c r="F4748" s="28"/>
      <c r="H4748" s="28"/>
    </row>
    <row r="4749" spans="4:8" x14ac:dyDescent="0.25">
      <c r="D4749" s="28"/>
      <c r="F4749" s="28"/>
      <c r="H4749" s="28"/>
    </row>
    <row r="4750" spans="4:8" x14ac:dyDescent="0.25">
      <c r="D4750" s="28"/>
      <c r="F4750" s="28"/>
      <c r="H4750" s="28"/>
    </row>
    <row r="4751" spans="4:8" x14ac:dyDescent="0.25">
      <c r="D4751" s="28"/>
      <c r="F4751" s="28"/>
      <c r="H4751" s="28"/>
    </row>
    <row r="4752" spans="4:8" x14ac:dyDescent="0.25">
      <c r="D4752" s="28"/>
      <c r="F4752" s="28"/>
      <c r="H4752" s="28"/>
    </row>
    <row r="4753" spans="4:8" x14ac:dyDescent="0.25">
      <c r="D4753" s="28"/>
      <c r="F4753" s="28"/>
      <c r="H4753" s="28"/>
    </row>
    <row r="4754" spans="4:8" x14ac:dyDescent="0.25">
      <c r="D4754" s="28"/>
      <c r="F4754" s="28"/>
      <c r="H4754" s="28"/>
    </row>
    <row r="4755" spans="4:8" x14ac:dyDescent="0.25">
      <c r="D4755" s="28"/>
      <c r="F4755" s="28"/>
      <c r="H4755" s="28"/>
    </row>
    <row r="4756" spans="4:8" x14ac:dyDescent="0.25">
      <c r="D4756" s="28"/>
      <c r="F4756" s="28"/>
      <c r="H4756" s="28"/>
    </row>
    <row r="4757" spans="4:8" x14ac:dyDescent="0.25">
      <c r="D4757" s="28"/>
      <c r="F4757" s="28"/>
      <c r="H4757" s="28"/>
    </row>
    <row r="4758" spans="4:8" x14ac:dyDescent="0.25">
      <c r="D4758" s="28"/>
      <c r="F4758" s="28"/>
      <c r="H4758" s="28"/>
    </row>
    <row r="4759" spans="4:8" x14ac:dyDescent="0.25">
      <c r="D4759" s="28"/>
      <c r="F4759" s="28"/>
      <c r="H4759" s="28"/>
    </row>
    <row r="4760" spans="4:8" x14ac:dyDescent="0.25">
      <c r="D4760" s="28"/>
      <c r="F4760" s="28"/>
      <c r="H4760" s="28"/>
    </row>
    <row r="4761" spans="4:8" x14ac:dyDescent="0.25">
      <c r="D4761" s="28"/>
      <c r="F4761" s="28"/>
      <c r="H4761" s="28"/>
    </row>
    <row r="4762" spans="4:8" x14ac:dyDescent="0.25">
      <c r="D4762" s="28"/>
      <c r="F4762" s="28"/>
      <c r="H4762" s="28"/>
    </row>
    <row r="4763" spans="4:8" x14ac:dyDescent="0.25">
      <c r="D4763" s="28"/>
      <c r="F4763" s="28"/>
      <c r="H4763" s="28"/>
    </row>
    <row r="4764" spans="4:8" x14ac:dyDescent="0.25">
      <c r="D4764" s="28"/>
      <c r="F4764" s="28"/>
      <c r="H4764" s="28"/>
    </row>
    <row r="4765" spans="4:8" x14ac:dyDescent="0.25">
      <c r="D4765" s="28"/>
      <c r="F4765" s="28"/>
      <c r="H4765" s="28"/>
    </row>
    <row r="4766" spans="4:8" x14ac:dyDescent="0.25">
      <c r="D4766" s="28"/>
      <c r="F4766" s="28"/>
      <c r="H4766" s="28"/>
    </row>
    <row r="4767" spans="4:8" x14ac:dyDescent="0.25">
      <c r="D4767" s="28"/>
      <c r="F4767" s="28"/>
      <c r="H4767" s="28"/>
    </row>
    <row r="4768" spans="4:8" x14ac:dyDescent="0.25">
      <c r="D4768" s="28"/>
      <c r="F4768" s="28"/>
      <c r="H4768" s="28"/>
    </row>
    <row r="4769" spans="4:8" x14ac:dyDescent="0.25">
      <c r="D4769" s="28"/>
      <c r="F4769" s="28"/>
      <c r="H4769" s="28"/>
    </row>
    <row r="4770" spans="4:8" x14ac:dyDescent="0.25">
      <c r="D4770" s="28"/>
      <c r="F4770" s="28"/>
      <c r="H4770" s="28"/>
    </row>
    <row r="4771" spans="4:8" x14ac:dyDescent="0.25">
      <c r="D4771" s="28"/>
      <c r="F4771" s="28"/>
      <c r="H4771" s="28"/>
    </row>
    <row r="4772" spans="4:8" x14ac:dyDescent="0.25">
      <c r="D4772" s="28"/>
      <c r="F4772" s="28"/>
      <c r="H4772" s="28"/>
    </row>
    <row r="4773" spans="4:8" x14ac:dyDescent="0.25">
      <c r="D4773" s="28"/>
      <c r="F4773" s="28"/>
      <c r="H4773" s="28"/>
    </row>
    <row r="4774" spans="4:8" x14ac:dyDescent="0.25">
      <c r="D4774" s="28"/>
      <c r="F4774" s="28"/>
      <c r="H4774" s="28"/>
    </row>
    <row r="4775" spans="4:8" x14ac:dyDescent="0.25">
      <c r="D4775" s="28"/>
      <c r="F4775" s="28"/>
      <c r="H4775" s="28"/>
    </row>
    <row r="4776" spans="4:8" x14ac:dyDescent="0.25">
      <c r="D4776" s="28"/>
      <c r="F4776" s="28"/>
      <c r="H4776" s="28"/>
    </row>
    <row r="4777" spans="4:8" x14ac:dyDescent="0.25">
      <c r="D4777" s="28"/>
      <c r="F4777" s="28"/>
      <c r="H4777" s="28"/>
    </row>
    <row r="4778" spans="4:8" x14ac:dyDescent="0.25">
      <c r="D4778" s="28"/>
      <c r="F4778" s="28"/>
      <c r="H4778" s="28"/>
    </row>
    <row r="4779" spans="4:8" x14ac:dyDescent="0.25">
      <c r="D4779" s="28"/>
      <c r="F4779" s="28"/>
      <c r="H4779" s="28"/>
    </row>
    <row r="4780" spans="4:8" x14ac:dyDescent="0.25">
      <c r="D4780" s="28"/>
      <c r="F4780" s="28"/>
      <c r="H4780" s="28"/>
    </row>
    <row r="4781" spans="4:8" x14ac:dyDescent="0.25">
      <c r="D4781" s="28"/>
      <c r="F4781" s="28"/>
      <c r="H4781" s="28"/>
    </row>
    <row r="4782" spans="4:8" x14ac:dyDescent="0.25">
      <c r="D4782" s="28"/>
      <c r="F4782" s="28"/>
      <c r="H4782" s="28"/>
    </row>
    <row r="4783" spans="4:8" x14ac:dyDescent="0.25">
      <c r="D4783" s="28"/>
      <c r="F4783" s="28"/>
      <c r="H4783" s="28"/>
    </row>
    <row r="4784" spans="4:8" x14ac:dyDescent="0.25">
      <c r="D4784" s="28"/>
      <c r="F4784" s="28"/>
      <c r="H4784" s="28"/>
    </row>
    <row r="4785" spans="4:8" x14ac:dyDescent="0.25">
      <c r="D4785" s="28"/>
      <c r="F4785" s="28"/>
      <c r="H4785" s="28"/>
    </row>
    <row r="4786" spans="4:8" x14ac:dyDescent="0.25">
      <c r="D4786" s="28"/>
      <c r="F4786" s="28"/>
      <c r="H4786" s="28"/>
    </row>
    <row r="4787" spans="4:8" x14ac:dyDescent="0.25">
      <c r="D4787" s="28"/>
      <c r="F4787" s="28"/>
      <c r="H4787" s="28"/>
    </row>
    <row r="4788" spans="4:8" x14ac:dyDescent="0.25">
      <c r="D4788" s="28"/>
      <c r="F4788" s="28"/>
      <c r="H4788" s="28"/>
    </row>
    <row r="4789" spans="4:8" x14ac:dyDescent="0.25">
      <c r="D4789" s="28"/>
      <c r="F4789" s="28"/>
      <c r="H4789" s="28"/>
    </row>
    <row r="4790" spans="4:8" x14ac:dyDescent="0.25">
      <c r="D4790" s="28"/>
      <c r="F4790" s="28"/>
      <c r="H4790" s="28"/>
    </row>
    <row r="4791" spans="4:8" x14ac:dyDescent="0.25">
      <c r="D4791" s="28"/>
      <c r="F4791" s="28"/>
      <c r="H4791" s="28"/>
    </row>
    <row r="4792" spans="4:8" x14ac:dyDescent="0.25">
      <c r="D4792" s="28"/>
      <c r="F4792" s="28"/>
      <c r="H4792" s="28"/>
    </row>
    <row r="4793" spans="4:8" x14ac:dyDescent="0.25">
      <c r="D4793" s="28"/>
      <c r="F4793" s="28"/>
      <c r="H4793" s="28"/>
    </row>
    <row r="4794" spans="4:8" x14ac:dyDescent="0.25">
      <c r="D4794" s="28"/>
      <c r="F4794" s="28"/>
      <c r="H4794" s="28"/>
    </row>
    <row r="4795" spans="4:8" x14ac:dyDescent="0.25">
      <c r="D4795" s="28"/>
      <c r="F4795" s="28"/>
      <c r="H4795" s="28"/>
    </row>
    <row r="4796" spans="4:8" x14ac:dyDescent="0.25">
      <c r="D4796" s="28"/>
      <c r="F4796" s="28"/>
      <c r="H4796" s="28"/>
    </row>
    <row r="4797" spans="4:8" x14ac:dyDescent="0.25">
      <c r="D4797" s="28"/>
      <c r="F4797" s="28"/>
      <c r="H4797" s="28"/>
    </row>
    <row r="4798" spans="4:8" x14ac:dyDescent="0.25">
      <c r="D4798" s="28"/>
      <c r="F4798" s="28"/>
      <c r="H4798" s="28"/>
    </row>
    <row r="4799" spans="4:8" x14ac:dyDescent="0.25">
      <c r="D4799" s="28"/>
      <c r="F4799" s="28"/>
      <c r="H4799" s="28"/>
    </row>
    <row r="4800" spans="4:8" x14ac:dyDescent="0.25">
      <c r="D4800" s="28"/>
      <c r="F4800" s="28"/>
      <c r="H4800" s="28"/>
    </row>
    <row r="4801" spans="4:8" x14ac:dyDescent="0.25">
      <c r="D4801" s="28"/>
      <c r="F4801" s="28"/>
      <c r="H4801" s="28"/>
    </row>
    <row r="4802" spans="4:8" x14ac:dyDescent="0.25">
      <c r="D4802" s="28"/>
      <c r="F4802" s="28"/>
      <c r="H4802" s="28"/>
    </row>
    <row r="4803" spans="4:8" x14ac:dyDescent="0.25">
      <c r="D4803" s="28"/>
      <c r="F4803" s="28"/>
      <c r="H4803" s="28"/>
    </row>
    <row r="4804" spans="4:8" x14ac:dyDescent="0.25">
      <c r="D4804" s="28"/>
      <c r="F4804" s="28"/>
      <c r="H4804" s="28"/>
    </row>
    <row r="4805" spans="4:8" x14ac:dyDescent="0.25">
      <c r="D4805" s="28"/>
      <c r="F4805" s="28"/>
      <c r="H4805" s="28"/>
    </row>
    <row r="4806" spans="4:8" x14ac:dyDescent="0.25">
      <c r="D4806" s="28"/>
      <c r="F4806" s="28"/>
      <c r="H4806" s="28"/>
    </row>
    <row r="4807" spans="4:8" x14ac:dyDescent="0.25">
      <c r="D4807" s="28"/>
      <c r="F4807" s="28"/>
      <c r="H4807" s="28"/>
    </row>
    <row r="4808" spans="4:8" x14ac:dyDescent="0.25">
      <c r="D4808" s="28"/>
      <c r="F4808" s="28"/>
      <c r="H4808" s="28"/>
    </row>
    <row r="4809" spans="4:8" x14ac:dyDescent="0.25">
      <c r="D4809" s="28"/>
      <c r="F4809" s="28"/>
      <c r="H4809" s="28"/>
    </row>
    <row r="4810" spans="4:8" x14ac:dyDescent="0.25">
      <c r="D4810" s="28"/>
      <c r="F4810" s="28"/>
      <c r="H4810" s="28"/>
    </row>
    <row r="4811" spans="4:8" x14ac:dyDescent="0.25">
      <c r="D4811" s="28"/>
      <c r="F4811" s="28"/>
      <c r="H4811" s="28"/>
    </row>
    <row r="4812" spans="4:8" x14ac:dyDescent="0.25">
      <c r="D4812" s="28"/>
      <c r="F4812" s="28"/>
      <c r="H4812" s="28"/>
    </row>
    <row r="4813" spans="4:8" x14ac:dyDescent="0.25">
      <c r="D4813" s="28"/>
      <c r="F4813" s="28"/>
      <c r="H4813" s="28"/>
    </row>
    <row r="4814" spans="4:8" x14ac:dyDescent="0.25">
      <c r="D4814" s="28"/>
      <c r="F4814" s="28"/>
      <c r="H4814" s="28"/>
    </row>
    <row r="4815" spans="4:8" x14ac:dyDescent="0.25">
      <c r="D4815" s="28"/>
      <c r="F4815" s="28"/>
      <c r="H4815" s="28"/>
    </row>
    <row r="4816" spans="4:8" x14ac:dyDescent="0.25">
      <c r="D4816" s="28"/>
      <c r="F4816" s="28"/>
      <c r="H4816" s="28"/>
    </row>
    <row r="4817" spans="4:8" x14ac:dyDescent="0.25">
      <c r="D4817" s="28"/>
      <c r="F4817" s="28"/>
      <c r="H4817" s="28"/>
    </row>
    <row r="4818" spans="4:8" x14ac:dyDescent="0.25">
      <c r="D4818" s="28"/>
      <c r="F4818" s="28"/>
      <c r="H4818" s="28"/>
    </row>
    <row r="4819" spans="4:8" x14ac:dyDescent="0.25">
      <c r="D4819" s="28"/>
      <c r="F4819" s="28"/>
      <c r="H4819" s="28"/>
    </row>
    <row r="4820" spans="4:8" x14ac:dyDescent="0.25">
      <c r="D4820" s="28"/>
      <c r="F4820" s="28"/>
      <c r="H4820" s="28"/>
    </row>
    <row r="4821" spans="4:8" x14ac:dyDescent="0.25">
      <c r="D4821" s="28"/>
      <c r="F4821" s="28"/>
      <c r="H4821" s="28"/>
    </row>
    <row r="4822" spans="4:8" x14ac:dyDescent="0.25">
      <c r="D4822" s="28"/>
      <c r="F4822" s="28"/>
      <c r="H4822" s="28"/>
    </row>
    <row r="4823" spans="4:8" x14ac:dyDescent="0.25">
      <c r="D4823" s="28"/>
      <c r="F4823" s="28"/>
      <c r="H4823" s="28"/>
    </row>
    <row r="4824" spans="4:8" x14ac:dyDescent="0.25">
      <c r="D4824" s="28"/>
      <c r="F4824" s="28"/>
      <c r="H4824" s="28"/>
    </row>
    <row r="4825" spans="4:8" x14ac:dyDescent="0.25">
      <c r="D4825" s="28"/>
      <c r="F4825" s="28"/>
      <c r="H4825" s="28"/>
    </row>
    <row r="4826" spans="4:8" x14ac:dyDescent="0.25">
      <c r="D4826" s="28"/>
      <c r="F4826" s="28"/>
      <c r="H4826" s="28"/>
    </row>
    <row r="4827" spans="4:8" x14ac:dyDescent="0.25">
      <c r="D4827" s="28"/>
      <c r="F4827" s="28"/>
      <c r="H4827" s="28"/>
    </row>
    <row r="4828" spans="4:8" x14ac:dyDescent="0.25">
      <c r="D4828" s="28"/>
      <c r="F4828" s="28"/>
      <c r="H4828" s="28"/>
    </row>
    <row r="4829" spans="4:8" x14ac:dyDescent="0.25">
      <c r="D4829" s="28"/>
      <c r="F4829" s="28"/>
      <c r="H4829" s="28"/>
    </row>
    <row r="4830" spans="4:8" x14ac:dyDescent="0.25">
      <c r="D4830" s="28"/>
      <c r="F4830" s="28"/>
      <c r="H4830" s="28"/>
    </row>
    <row r="4831" spans="4:8" x14ac:dyDescent="0.25">
      <c r="D4831" s="28"/>
      <c r="F4831" s="28"/>
      <c r="H4831" s="28"/>
    </row>
    <row r="4832" spans="4:8" x14ac:dyDescent="0.25">
      <c r="D4832" s="28"/>
      <c r="F4832" s="28"/>
      <c r="H4832" s="28"/>
    </row>
    <row r="4833" spans="4:8" x14ac:dyDescent="0.25">
      <c r="D4833" s="28"/>
      <c r="F4833" s="28"/>
      <c r="H4833" s="28"/>
    </row>
    <row r="4834" spans="4:8" x14ac:dyDescent="0.25">
      <c r="D4834" s="28"/>
      <c r="F4834" s="28"/>
      <c r="H4834" s="28"/>
    </row>
    <row r="4835" spans="4:8" x14ac:dyDescent="0.25">
      <c r="D4835" s="28"/>
      <c r="F4835" s="28"/>
      <c r="H4835" s="28"/>
    </row>
    <row r="4836" spans="4:8" x14ac:dyDescent="0.25">
      <c r="D4836" s="28"/>
      <c r="F4836" s="28"/>
      <c r="H4836" s="28"/>
    </row>
    <row r="4837" spans="4:8" x14ac:dyDescent="0.25">
      <c r="D4837" s="28"/>
      <c r="F4837" s="28"/>
      <c r="H4837" s="28"/>
    </row>
    <row r="4838" spans="4:8" x14ac:dyDescent="0.25">
      <c r="D4838" s="28"/>
      <c r="F4838" s="28"/>
      <c r="H4838" s="28"/>
    </row>
    <row r="4839" spans="4:8" x14ac:dyDescent="0.25">
      <c r="D4839" s="28"/>
      <c r="F4839" s="28"/>
      <c r="H4839" s="28"/>
    </row>
    <row r="4840" spans="4:8" x14ac:dyDescent="0.25">
      <c r="D4840" s="28"/>
      <c r="F4840" s="28"/>
      <c r="H4840" s="28"/>
    </row>
    <row r="4841" spans="4:8" x14ac:dyDescent="0.25">
      <c r="D4841" s="28"/>
      <c r="F4841" s="28"/>
      <c r="H4841" s="28"/>
    </row>
    <row r="4842" spans="4:8" x14ac:dyDescent="0.25">
      <c r="D4842" s="28"/>
      <c r="F4842" s="28"/>
      <c r="H4842" s="28"/>
    </row>
    <row r="4843" spans="4:8" x14ac:dyDescent="0.25">
      <c r="D4843" s="28"/>
      <c r="F4843" s="28"/>
      <c r="H4843" s="28"/>
    </row>
    <row r="4844" spans="4:8" x14ac:dyDescent="0.25">
      <c r="D4844" s="28"/>
      <c r="F4844" s="28"/>
      <c r="H4844" s="28"/>
    </row>
    <row r="4845" spans="4:8" x14ac:dyDescent="0.25">
      <c r="D4845" s="28"/>
      <c r="F4845" s="28"/>
      <c r="H4845" s="28"/>
    </row>
    <row r="4846" spans="4:8" x14ac:dyDescent="0.25">
      <c r="D4846" s="28"/>
      <c r="F4846" s="28"/>
      <c r="H4846" s="28"/>
    </row>
    <row r="4847" spans="4:8" x14ac:dyDescent="0.25">
      <c r="D4847" s="28"/>
      <c r="F4847" s="28"/>
      <c r="H4847" s="28"/>
    </row>
    <row r="4848" spans="4:8" x14ac:dyDescent="0.25">
      <c r="D4848" s="28"/>
      <c r="F4848" s="28"/>
      <c r="H4848" s="28"/>
    </row>
    <row r="4849" spans="4:8" x14ac:dyDescent="0.25">
      <c r="D4849" s="28"/>
      <c r="F4849" s="28"/>
      <c r="H4849" s="28"/>
    </row>
    <row r="4850" spans="4:8" x14ac:dyDescent="0.25">
      <c r="D4850" s="28"/>
      <c r="F4850" s="28"/>
      <c r="H4850" s="28"/>
    </row>
    <row r="4851" spans="4:8" x14ac:dyDescent="0.25">
      <c r="D4851" s="28"/>
      <c r="F4851" s="28"/>
      <c r="H4851" s="28"/>
    </row>
    <row r="4852" spans="4:8" x14ac:dyDescent="0.25">
      <c r="D4852" s="28"/>
      <c r="F4852" s="28"/>
      <c r="H4852" s="28"/>
    </row>
    <row r="4853" spans="4:8" x14ac:dyDescent="0.25">
      <c r="D4853" s="28"/>
      <c r="F4853" s="28"/>
      <c r="H4853" s="28"/>
    </row>
    <row r="4854" spans="4:8" x14ac:dyDescent="0.25">
      <c r="D4854" s="28"/>
      <c r="F4854" s="28"/>
      <c r="H4854" s="28"/>
    </row>
    <row r="4855" spans="4:8" x14ac:dyDescent="0.25">
      <c r="D4855" s="28"/>
      <c r="F4855" s="28"/>
      <c r="H4855" s="28"/>
    </row>
    <row r="4856" spans="4:8" x14ac:dyDescent="0.25">
      <c r="D4856" s="28"/>
      <c r="F4856" s="28"/>
      <c r="H4856" s="28"/>
    </row>
    <row r="4857" spans="4:8" x14ac:dyDescent="0.25">
      <c r="D4857" s="28"/>
      <c r="F4857" s="28"/>
      <c r="H4857" s="28"/>
    </row>
    <row r="4858" spans="4:8" x14ac:dyDescent="0.25">
      <c r="D4858" s="28"/>
      <c r="F4858" s="28"/>
      <c r="H4858" s="28"/>
    </row>
    <row r="4859" spans="4:8" x14ac:dyDescent="0.25">
      <c r="D4859" s="28"/>
      <c r="F4859" s="28"/>
      <c r="H4859" s="28"/>
    </row>
    <row r="4860" spans="4:8" x14ac:dyDescent="0.25">
      <c r="D4860" s="28"/>
      <c r="F4860" s="28"/>
      <c r="H4860" s="28"/>
    </row>
    <row r="4861" spans="4:8" x14ac:dyDescent="0.25">
      <c r="D4861" s="28"/>
      <c r="F4861" s="28"/>
      <c r="H4861" s="28"/>
    </row>
    <row r="4862" spans="4:8" x14ac:dyDescent="0.25">
      <c r="D4862" s="28"/>
      <c r="F4862" s="28"/>
      <c r="H4862" s="28"/>
    </row>
    <row r="4863" spans="4:8" x14ac:dyDescent="0.25">
      <c r="D4863" s="28"/>
      <c r="F4863" s="28"/>
      <c r="H4863" s="28"/>
    </row>
    <row r="4864" spans="4:8" x14ac:dyDescent="0.25">
      <c r="D4864" s="28"/>
      <c r="F4864" s="28"/>
      <c r="H4864" s="28"/>
    </row>
    <row r="4865" spans="4:8" x14ac:dyDescent="0.25">
      <c r="D4865" s="28"/>
      <c r="F4865" s="28"/>
      <c r="H4865" s="28"/>
    </row>
    <row r="4866" spans="4:8" x14ac:dyDescent="0.25">
      <c r="D4866" s="28"/>
      <c r="F4866" s="28"/>
      <c r="H4866" s="28"/>
    </row>
    <row r="4867" spans="4:8" x14ac:dyDescent="0.25">
      <c r="D4867" s="28"/>
      <c r="F4867" s="28"/>
      <c r="H4867" s="28"/>
    </row>
    <row r="4868" spans="4:8" x14ac:dyDescent="0.25">
      <c r="D4868" s="28"/>
      <c r="F4868" s="28"/>
      <c r="H4868" s="28"/>
    </row>
    <row r="4869" spans="4:8" x14ac:dyDescent="0.25">
      <c r="D4869" s="28"/>
      <c r="F4869" s="28"/>
      <c r="H4869" s="28"/>
    </row>
    <row r="4870" spans="4:8" x14ac:dyDescent="0.25">
      <c r="D4870" s="28"/>
      <c r="F4870" s="28"/>
      <c r="H4870" s="28"/>
    </row>
    <row r="4871" spans="4:8" x14ac:dyDescent="0.25">
      <c r="D4871" s="28"/>
      <c r="F4871" s="28"/>
      <c r="H4871" s="28"/>
    </row>
    <row r="4872" spans="4:8" x14ac:dyDescent="0.25">
      <c r="D4872" s="28"/>
      <c r="F4872" s="28"/>
      <c r="H4872" s="28"/>
    </row>
    <row r="4873" spans="4:8" x14ac:dyDescent="0.25">
      <c r="D4873" s="28"/>
      <c r="F4873" s="28"/>
      <c r="H4873" s="28"/>
    </row>
    <row r="4874" spans="4:8" x14ac:dyDescent="0.25">
      <c r="D4874" s="28"/>
      <c r="F4874" s="28"/>
      <c r="H4874" s="28"/>
    </row>
    <row r="4875" spans="4:8" x14ac:dyDescent="0.25">
      <c r="D4875" s="28"/>
      <c r="F4875" s="28"/>
      <c r="H4875" s="28"/>
    </row>
    <row r="4876" spans="4:8" x14ac:dyDescent="0.25">
      <c r="D4876" s="28"/>
      <c r="F4876" s="28"/>
      <c r="H4876" s="28"/>
    </row>
    <row r="4877" spans="4:8" x14ac:dyDescent="0.25">
      <c r="D4877" s="28"/>
      <c r="F4877" s="28"/>
      <c r="H4877" s="28"/>
    </row>
    <row r="4878" spans="4:8" x14ac:dyDescent="0.25">
      <c r="D4878" s="28"/>
      <c r="F4878" s="28"/>
      <c r="H4878" s="28"/>
    </row>
    <row r="4879" spans="4:8" x14ac:dyDescent="0.25">
      <c r="D4879" s="28"/>
      <c r="F4879" s="28"/>
      <c r="H4879" s="28"/>
    </row>
    <row r="4880" spans="4:8" x14ac:dyDescent="0.25">
      <c r="D4880" s="28"/>
      <c r="F4880" s="28"/>
      <c r="H4880" s="28"/>
    </row>
    <row r="4881" spans="4:8" x14ac:dyDescent="0.25">
      <c r="D4881" s="28"/>
      <c r="F4881" s="28"/>
      <c r="H4881" s="28"/>
    </row>
    <row r="4882" spans="4:8" x14ac:dyDescent="0.25">
      <c r="D4882" s="28"/>
      <c r="F4882" s="28"/>
      <c r="H4882" s="28"/>
    </row>
    <row r="4883" spans="4:8" x14ac:dyDescent="0.25">
      <c r="D4883" s="28"/>
      <c r="F4883" s="28"/>
      <c r="H4883" s="28"/>
    </row>
    <row r="4884" spans="4:8" x14ac:dyDescent="0.25">
      <c r="D4884" s="28"/>
      <c r="F4884" s="28"/>
      <c r="H4884" s="28"/>
    </row>
    <row r="4885" spans="4:8" x14ac:dyDescent="0.25">
      <c r="D4885" s="28"/>
      <c r="F4885" s="28"/>
      <c r="H4885" s="28"/>
    </row>
    <row r="4886" spans="4:8" x14ac:dyDescent="0.25">
      <c r="D4886" s="28"/>
      <c r="F4886" s="28"/>
      <c r="H4886" s="28"/>
    </row>
    <row r="4887" spans="4:8" x14ac:dyDescent="0.25">
      <c r="D4887" s="28"/>
      <c r="F4887" s="28"/>
      <c r="H4887" s="28"/>
    </row>
    <row r="4888" spans="4:8" x14ac:dyDescent="0.25">
      <c r="D4888" s="28"/>
      <c r="F4888" s="28"/>
      <c r="H4888" s="28"/>
    </row>
    <row r="4889" spans="4:8" x14ac:dyDescent="0.25">
      <c r="D4889" s="28"/>
      <c r="F4889" s="28"/>
      <c r="H4889" s="28"/>
    </row>
    <row r="4890" spans="4:8" x14ac:dyDescent="0.25">
      <c r="D4890" s="28"/>
      <c r="F4890" s="28"/>
      <c r="H4890" s="28"/>
    </row>
    <row r="4891" spans="4:8" x14ac:dyDescent="0.25">
      <c r="D4891" s="28"/>
      <c r="F4891" s="28"/>
      <c r="H4891" s="28"/>
    </row>
    <row r="4892" spans="4:8" x14ac:dyDescent="0.25">
      <c r="D4892" s="28"/>
      <c r="F4892" s="28"/>
      <c r="H4892" s="28"/>
    </row>
    <row r="4893" spans="4:8" x14ac:dyDescent="0.25">
      <c r="D4893" s="28"/>
      <c r="F4893" s="28"/>
      <c r="H4893" s="28"/>
    </row>
    <row r="4894" spans="4:8" x14ac:dyDescent="0.25">
      <c r="D4894" s="28"/>
      <c r="F4894" s="28"/>
      <c r="H4894" s="28"/>
    </row>
    <row r="4895" spans="4:8" x14ac:dyDescent="0.25">
      <c r="D4895" s="28"/>
      <c r="F4895" s="28"/>
      <c r="H4895" s="28"/>
    </row>
    <row r="4896" spans="4:8" x14ac:dyDescent="0.25">
      <c r="D4896" s="28"/>
      <c r="F4896" s="28"/>
      <c r="H4896" s="28"/>
    </row>
    <row r="4897" spans="4:8" x14ac:dyDescent="0.25">
      <c r="D4897" s="28"/>
      <c r="F4897" s="28"/>
      <c r="H4897" s="28"/>
    </row>
    <row r="4898" spans="4:8" x14ac:dyDescent="0.25">
      <c r="D4898" s="28"/>
      <c r="F4898" s="28"/>
      <c r="H4898" s="28"/>
    </row>
    <row r="4899" spans="4:8" x14ac:dyDescent="0.25">
      <c r="D4899" s="28"/>
      <c r="F4899" s="28"/>
      <c r="H4899" s="28"/>
    </row>
    <row r="4900" spans="4:8" x14ac:dyDescent="0.25">
      <c r="D4900" s="28"/>
      <c r="F4900" s="28"/>
      <c r="H4900" s="28"/>
    </row>
    <row r="4901" spans="4:8" x14ac:dyDescent="0.25">
      <c r="D4901" s="28"/>
      <c r="F4901" s="28"/>
      <c r="H4901" s="28"/>
    </row>
    <row r="4902" spans="4:8" x14ac:dyDescent="0.25">
      <c r="D4902" s="28"/>
      <c r="F4902" s="28"/>
      <c r="H4902" s="28"/>
    </row>
    <row r="4903" spans="4:8" x14ac:dyDescent="0.25">
      <c r="D4903" s="28"/>
      <c r="F4903" s="28"/>
      <c r="H4903" s="28"/>
    </row>
    <row r="4904" spans="4:8" x14ac:dyDescent="0.25">
      <c r="D4904" s="28"/>
      <c r="F4904" s="28"/>
      <c r="H4904" s="28"/>
    </row>
    <row r="4905" spans="4:8" x14ac:dyDescent="0.25">
      <c r="D4905" s="28"/>
      <c r="F4905" s="28"/>
      <c r="H4905" s="28"/>
    </row>
    <row r="4906" spans="4:8" x14ac:dyDescent="0.25">
      <c r="D4906" s="28"/>
      <c r="F4906" s="28"/>
      <c r="H4906" s="28"/>
    </row>
    <row r="4907" spans="4:8" x14ac:dyDescent="0.25">
      <c r="D4907" s="28"/>
      <c r="F4907" s="28"/>
      <c r="H4907" s="28"/>
    </row>
    <row r="4908" spans="4:8" x14ac:dyDescent="0.25">
      <c r="D4908" s="28"/>
      <c r="F4908" s="28"/>
      <c r="H4908" s="28"/>
    </row>
    <row r="4909" spans="4:8" x14ac:dyDescent="0.25">
      <c r="D4909" s="28"/>
      <c r="F4909" s="28"/>
      <c r="H4909" s="28"/>
    </row>
    <row r="4910" spans="4:8" x14ac:dyDescent="0.25">
      <c r="D4910" s="28"/>
      <c r="F4910" s="28"/>
      <c r="H4910" s="28"/>
    </row>
    <row r="4911" spans="4:8" x14ac:dyDescent="0.25">
      <c r="D4911" s="28"/>
      <c r="F4911" s="28"/>
      <c r="H4911" s="28"/>
    </row>
    <row r="4912" spans="4:8" x14ac:dyDescent="0.25">
      <c r="D4912" s="28"/>
      <c r="F4912" s="28"/>
      <c r="H4912" s="28"/>
    </row>
    <row r="4913" spans="4:8" x14ac:dyDescent="0.25">
      <c r="D4913" s="28"/>
      <c r="F4913" s="28"/>
      <c r="H4913" s="28"/>
    </row>
    <row r="4914" spans="4:8" x14ac:dyDescent="0.25">
      <c r="D4914" s="28"/>
      <c r="F4914" s="28"/>
      <c r="H4914" s="28"/>
    </row>
    <row r="4915" spans="4:8" x14ac:dyDescent="0.25">
      <c r="D4915" s="28"/>
      <c r="F4915" s="28"/>
      <c r="H4915" s="28"/>
    </row>
    <row r="4916" spans="4:8" x14ac:dyDescent="0.25">
      <c r="D4916" s="28"/>
      <c r="F4916" s="28"/>
      <c r="H4916" s="28"/>
    </row>
    <row r="4917" spans="4:8" x14ac:dyDescent="0.25">
      <c r="D4917" s="28"/>
      <c r="F4917" s="28"/>
      <c r="H4917" s="28"/>
    </row>
    <row r="4918" spans="4:8" x14ac:dyDescent="0.25">
      <c r="D4918" s="28"/>
      <c r="F4918" s="28"/>
      <c r="H4918" s="28"/>
    </row>
    <row r="4919" spans="4:8" x14ac:dyDescent="0.25">
      <c r="D4919" s="28"/>
      <c r="F4919" s="28"/>
      <c r="H4919" s="28"/>
    </row>
    <row r="4920" spans="4:8" x14ac:dyDescent="0.25">
      <c r="D4920" s="28"/>
      <c r="F4920" s="28"/>
      <c r="H4920" s="28"/>
    </row>
    <row r="4921" spans="4:8" x14ac:dyDescent="0.25">
      <c r="D4921" s="28"/>
      <c r="F4921" s="28"/>
      <c r="H4921" s="28"/>
    </row>
    <row r="4922" spans="4:8" x14ac:dyDescent="0.25">
      <c r="D4922" s="28"/>
      <c r="F4922" s="28"/>
      <c r="H4922" s="28"/>
    </row>
    <row r="4923" spans="4:8" x14ac:dyDescent="0.25">
      <c r="D4923" s="28"/>
      <c r="F4923" s="28"/>
      <c r="H4923" s="28"/>
    </row>
    <row r="4924" spans="4:8" x14ac:dyDescent="0.25">
      <c r="D4924" s="28"/>
      <c r="F4924" s="28"/>
      <c r="H4924" s="28"/>
    </row>
    <row r="4925" spans="4:8" x14ac:dyDescent="0.25">
      <c r="D4925" s="28"/>
      <c r="F4925" s="28"/>
      <c r="H4925" s="28"/>
    </row>
    <row r="4926" spans="4:8" x14ac:dyDescent="0.25">
      <c r="D4926" s="28"/>
      <c r="F4926" s="28"/>
      <c r="H4926" s="28"/>
    </row>
    <row r="4927" spans="4:8" x14ac:dyDescent="0.25">
      <c r="D4927" s="28"/>
      <c r="F4927" s="28"/>
      <c r="H4927" s="28"/>
    </row>
    <row r="4928" spans="4:8" x14ac:dyDescent="0.25">
      <c r="D4928" s="28"/>
      <c r="F4928" s="28"/>
      <c r="H4928" s="28"/>
    </row>
    <row r="4929" spans="4:8" x14ac:dyDescent="0.25">
      <c r="D4929" s="28"/>
      <c r="F4929" s="28"/>
      <c r="H4929" s="28"/>
    </row>
    <row r="4930" spans="4:8" x14ac:dyDescent="0.25">
      <c r="D4930" s="28"/>
      <c r="F4930" s="28"/>
      <c r="H4930" s="28"/>
    </row>
    <row r="4931" spans="4:8" x14ac:dyDescent="0.25">
      <c r="D4931" s="28"/>
      <c r="F4931" s="28"/>
      <c r="H4931" s="28"/>
    </row>
    <row r="4932" spans="4:8" x14ac:dyDescent="0.25">
      <c r="D4932" s="28"/>
      <c r="F4932" s="28"/>
      <c r="H4932" s="28"/>
    </row>
    <row r="4933" spans="4:8" x14ac:dyDescent="0.25">
      <c r="D4933" s="28"/>
      <c r="F4933" s="28"/>
      <c r="H4933" s="28"/>
    </row>
    <row r="4934" spans="4:8" x14ac:dyDescent="0.25">
      <c r="D4934" s="28"/>
      <c r="F4934" s="28"/>
      <c r="H4934" s="28"/>
    </row>
    <row r="4935" spans="4:8" x14ac:dyDescent="0.25">
      <c r="D4935" s="28"/>
      <c r="F4935" s="28"/>
      <c r="H4935" s="28"/>
    </row>
    <row r="4936" spans="4:8" x14ac:dyDescent="0.25">
      <c r="D4936" s="28"/>
      <c r="F4936" s="28"/>
      <c r="H4936" s="28"/>
    </row>
    <row r="4937" spans="4:8" x14ac:dyDescent="0.25">
      <c r="D4937" s="28"/>
      <c r="F4937" s="28"/>
      <c r="H4937" s="28"/>
    </row>
    <row r="4938" spans="4:8" x14ac:dyDescent="0.25">
      <c r="D4938" s="28"/>
      <c r="F4938" s="28"/>
      <c r="H4938" s="28"/>
    </row>
    <row r="4939" spans="4:8" x14ac:dyDescent="0.25">
      <c r="D4939" s="28"/>
      <c r="F4939" s="28"/>
      <c r="H4939" s="28"/>
    </row>
    <row r="4940" spans="4:8" x14ac:dyDescent="0.25">
      <c r="D4940" s="28"/>
      <c r="F4940" s="28"/>
      <c r="H4940" s="28"/>
    </row>
    <row r="4941" spans="4:8" x14ac:dyDescent="0.25">
      <c r="D4941" s="28"/>
      <c r="F4941" s="28"/>
      <c r="H4941" s="28"/>
    </row>
    <row r="4942" spans="4:8" x14ac:dyDescent="0.25">
      <c r="D4942" s="28"/>
      <c r="F4942" s="28"/>
      <c r="H4942" s="28"/>
    </row>
    <row r="4943" spans="4:8" x14ac:dyDescent="0.25">
      <c r="D4943" s="28"/>
      <c r="F4943" s="28"/>
      <c r="H4943" s="28"/>
    </row>
    <row r="4944" spans="4:8" x14ac:dyDescent="0.25">
      <c r="D4944" s="28"/>
      <c r="F4944" s="28"/>
      <c r="H4944" s="28"/>
    </row>
    <row r="4945" spans="4:8" x14ac:dyDescent="0.25">
      <c r="D4945" s="28"/>
      <c r="F4945" s="28"/>
      <c r="H4945" s="28"/>
    </row>
    <row r="4946" spans="4:8" x14ac:dyDescent="0.25">
      <c r="D4946" s="28"/>
      <c r="F4946" s="28"/>
      <c r="H4946" s="28"/>
    </row>
    <row r="4947" spans="4:8" x14ac:dyDescent="0.25">
      <c r="D4947" s="28"/>
      <c r="F4947" s="28"/>
      <c r="H4947" s="28"/>
    </row>
    <row r="4948" spans="4:8" x14ac:dyDescent="0.25">
      <c r="D4948" s="28"/>
      <c r="F4948" s="28"/>
      <c r="H4948" s="28"/>
    </row>
    <row r="4949" spans="4:8" x14ac:dyDescent="0.25">
      <c r="D4949" s="28"/>
      <c r="F4949" s="28"/>
      <c r="H4949" s="28"/>
    </row>
    <row r="4950" spans="4:8" x14ac:dyDescent="0.25">
      <c r="D4950" s="28"/>
      <c r="F4950" s="28"/>
      <c r="H4950" s="28"/>
    </row>
    <row r="4951" spans="4:8" x14ac:dyDescent="0.25">
      <c r="D4951" s="28"/>
      <c r="F4951" s="28"/>
      <c r="H4951" s="28"/>
    </row>
    <row r="4952" spans="4:8" x14ac:dyDescent="0.25">
      <c r="D4952" s="28"/>
      <c r="F4952" s="28"/>
      <c r="H4952" s="28"/>
    </row>
    <row r="4953" spans="4:8" x14ac:dyDescent="0.25">
      <c r="D4953" s="28"/>
      <c r="F4953" s="28"/>
      <c r="H4953" s="28"/>
    </row>
    <row r="4954" spans="4:8" x14ac:dyDescent="0.25">
      <c r="D4954" s="28"/>
      <c r="F4954" s="28"/>
      <c r="H4954" s="28"/>
    </row>
    <row r="4955" spans="4:8" x14ac:dyDescent="0.25">
      <c r="D4955" s="28"/>
      <c r="F4955" s="28"/>
      <c r="H4955" s="28"/>
    </row>
    <row r="4956" spans="4:8" x14ac:dyDescent="0.25">
      <c r="D4956" s="28"/>
      <c r="F4956" s="28"/>
      <c r="H4956" s="28"/>
    </row>
    <row r="4957" spans="4:8" x14ac:dyDescent="0.25">
      <c r="D4957" s="28"/>
      <c r="F4957" s="28"/>
      <c r="H4957" s="28"/>
    </row>
    <row r="4958" spans="4:8" x14ac:dyDescent="0.25">
      <c r="D4958" s="28"/>
      <c r="F4958" s="28"/>
      <c r="H4958" s="28"/>
    </row>
    <row r="4959" spans="4:8" x14ac:dyDescent="0.25">
      <c r="D4959" s="28"/>
      <c r="F4959" s="28"/>
      <c r="H4959" s="28"/>
    </row>
    <row r="4960" spans="4:8" x14ac:dyDescent="0.25">
      <c r="D4960" s="28"/>
      <c r="F4960" s="28"/>
      <c r="H4960" s="28"/>
    </row>
    <row r="4961" spans="4:8" x14ac:dyDescent="0.25">
      <c r="D4961" s="28"/>
      <c r="F4961" s="28"/>
      <c r="H4961" s="28"/>
    </row>
    <row r="4962" spans="4:8" x14ac:dyDescent="0.25">
      <c r="D4962" s="28"/>
      <c r="F4962" s="28"/>
      <c r="H4962" s="28"/>
    </row>
    <row r="4963" spans="4:8" x14ac:dyDescent="0.25">
      <c r="D4963" s="28"/>
      <c r="F4963" s="28"/>
      <c r="H4963" s="28"/>
    </row>
    <row r="4964" spans="4:8" x14ac:dyDescent="0.25">
      <c r="D4964" s="28"/>
      <c r="F4964" s="28"/>
      <c r="H4964" s="28"/>
    </row>
    <row r="4965" spans="4:8" x14ac:dyDescent="0.25">
      <c r="D4965" s="28"/>
      <c r="F4965" s="28"/>
      <c r="H4965" s="28"/>
    </row>
    <row r="4966" spans="4:8" x14ac:dyDescent="0.25">
      <c r="D4966" s="28"/>
      <c r="F4966" s="28"/>
      <c r="H4966" s="28"/>
    </row>
    <row r="4967" spans="4:8" x14ac:dyDescent="0.25">
      <c r="D4967" s="28"/>
      <c r="F4967" s="28"/>
      <c r="H4967" s="28"/>
    </row>
    <row r="4968" spans="4:8" x14ac:dyDescent="0.25">
      <c r="D4968" s="28"/>
      <c r="F4968" s="28"/>
      <c r="H4968" s="28"/>
    </row>
    <row r="4969" spans="4:8" x14ac:dyDescent="0.25">
      <c r="D4969" s="28"/>
      <c r="F4969" s="28"/>
      <c r="H4969" s="28"/>
    </row>
    <row r="4970" spans="4:8" x14ac:dyDescent="0.25">
      <c r="D4970" s="28"/>
      <c r="F4970" s="28"/>
      <c r="H4970" s="28"/>
    </row>
    <row r="4971" spans="4:8" x14ac:dyDescent="0.25">
      <c r="D4971" s="28"/>
      <c r="F4971" s="28"/>
      <c r="H4971" s="28"/>
    </row>
    <row r="4972" spans="4:8" x14ac:dyDescent="0.25">
      <c r="D4972" s="28"/>
      <c r="F4972" s="28"/>
      <c r="H4972" s="28"/>
    </row>
    <row r="4973" spans="4:8" x14ac:dyDescent="0.25">
      <c r="D4973" s="28"/>
      <c r="F4973" s="28"/>
      <c r="H4973" s="28"/>
    </row>
    <row r="4974" spans="4:8" x14ac:dyDescent="0.25">
      <c r="D4974" s="28"/>
      <c r="F4974" s="28"/>
      <c r="H4974" s="28"/>
    </row>
    <row r="4975" spans="4:8" x14ac:dyDescent="0.25">
      <c r="D4975" s="28"/>
      <c r="F4975" s="28"/>
      <c r="H4975" s="28"/>
    </row>
    <row r="4976" spans="4:8" x14ac:dyDescent="0.25">
      <c r="D4976" s="28"/>
      <c r="F4976" s="28"/>
      <c r="H4976" s="28"/>
    </row>
    <row r="4977" spans="4:8" x14ac:dyDescent="0.25">
      <c r="D4977" s="28"/>
      <c r="F4977" s="28"/>
      <c r="H4977" s="28"/>
    </row>
    <row r="4978" spans="4:8" x14ac:dyDescent="0.25">
      <c r="D4978" s="28"/>
      <c r="F4978" s="28"/>
      <c r="H4978" s="28"/>
    </row>
    <row r="4979" spans="4:8" x14ac:dyDescent="0.25">
      <c r="D4979" s="28"/>
      <c r="F4979" s="28"/>
      <c r="H4979" s="28"/>
    </row>
    <row r="4980" spans="4:8" x14ac:dyDescent="0.25">
      <c r="D4980" s="28"/>
      <c r="F4980" s="28"/>
      <c r="H4980" s="28"/>
    </row>
    <row r="4981" spans="4:8" x14ac:dyDescent="0.25">
      <c r="D4981" s="28"/>
      <c r="F4981" s="28"/>
      <c r="H4981" s="28"/>
    </row>
    <row r="4982" spans="4:8" x14ac:dyDescent="0.25">
      <c r="D4982" s="28"/>
      <c r="F4982" s="28"/>
      <c r="H4982" s="28"/>
    </row>
    <row r="4983" spans="4:8" x14ac:dyDescent="0.25">
      <c r="D4983" s="28"/>
      <c r="F4983" s="28"/>
      <c r="H4983" s="28"/>
    </row>
    <row r="4984" spans="4:8" x14ac:dyDescent="0.25">
      <c r="D4984" s="28"/>
      <c r="F4984" s="28"/>
      <c r="H4984" s="28"/>
    </row>
    <row r="4985" spans="4:8" x14ac:dyDescent="0.25">
      <c r="D4985" s="28"/>
      <c r="F4985" s="28"/>
      <c r="H4985" s="28"/>
    </row>
    <row r="4986" spans="4:8" x14ac:dyDescent="0.25">
      <c r="D4986" s="28"/>
      <c r="F4986" s="28"/>
      <c r="H4986" s="28"/>
    </row>
    <row r="4987" spans="4:8" x14ac:dyDescent="0.25">
      <c r="D4987" s="28"/>
      <c r="F4987" s="28"/>
      <c r="H4987" s="28"/>
    </row>
    <row r="4988" spans="4:8" x14ac:dyDescent="0.25">
      <c r="D4988" s="28"/>
      <c r="F4988" s="28"/>
      <c r="H4988" s="28"/>
    </row>
    <row r="4989" spans="4:8" x14ac:dyDescent="0.25">
      <c r="D4989" s="28"/>
      <c r="F4989" s="28"/>
      <c r="H4989" s="28"/>
    </row>
    <row r="4990" spans="4:8" x14ac:dyDescent="0.25">
      <c r="D4990" s="28"/>
      <c r="F4990" s="28"/>
      <c r="H4990" s="28"/>
    </row>
    <row r="4991" spans="4:8" x14ac:dyDescent="0.25">
      <c r="D4991" s="28"/>
      <c r="F4991" s="28"/>
      <c r="H4991" s="28"/>
    </row>
    <row r="4992" spans="4:8" x14ac:dyDescent="0.25">
      <c r="D4992" s="28"/>
      <c r="F4992" s="28"/>
      <c r="H4992" s="28"/>
    </row>
    <row r="4993" spans="4:8" x14ac:dyDescent="0.25">
      <c r="D4993" s="28"/>
      <c r="F4993" s="28"/>
      <c r="H4993" s="28"/>
    </row>
    <row r="4994" spans="4:8" x14ac:dyDescent="0.25">
      <c r="D4994" s="28"/>
      <c r="F4994" s="28"/>
      <c r="H4994" s="28"/>
    </row>
    <row r="4995" spans="4:8" x14ac:dyDescent="0.25">
      <c r="D4995" s="28"/>
      <c r="F4995" s="28"/>
      <c r="H4995" s="28"/>
    </row>
    <row r="4996" spans="4:8" x14ac:dyDescent="0.25">
      <c r="D4996" s="28"/>
      <c r="F4996" s="28"/>
      <c r="H4996" s="28"/>
    </row>
    <row r="4997" spans="4:8" x14ac:dyDescent="0.25">
      <c r="D4997" s="28"/>
      <c r="F4997" s="28"/>
      <c r="H4997" s="28"/>
    </row>
    <row r="4998" spans="4:8" x14ac:dyDescent="0.25">
      <c r="D4998" s="28"/>
      <c r="F4998" s="28"/>
      <c r="H4998" s="28"/>
    </row>
    <row r="4999" spans="4:8" x14ac:dyDescent="0.25">
      <c r="D4999" s="28"/>
      <c r="F4999" s="28"/>
      <c r="H4999" s="28"/>
    </row>
    <row r="5000" spans="4:8" x14ac:dyDescent="0.25">
      <c r="D5000" s="28"/>
      <c r="F5000" s="28"/>
      <c r="H5000" s="28"/>
    </row>
    <row r="5001" spans="4:8" x14ac:dyDescent="0.25">
      <c r="D5001" s="28"/>
      <c r="F5001" s="28"/>
      <c r="H5001" s="28"/>
    </row>
    <row r="5002" spans="4:8" x14ac:dyDescent="0.25">
      <c r="D5002" s="28"/>
      <c r="F5002" s="28"/>
      <c r="H5002" s="28"/>
    </row>
    <row r="5003" spans="4:8" x14ac:dyDescent="0.25">
      <c r="D5003" s="28"/>
      <c r="F5003" s="28"/>
      <c r="H5003" s="28"/>
    </row>
    <row r="5004" spans="4:8" x14ac:dyDescent="0.25">
      <c r="D5004" s="28"/>
      <c r="F5004" s="28"/>
      <c r="H5004" s="28"/>
    </row>
    <row r="5005" spans="4:8" x14ac:dyDescent="0.25">
      <c r="D5005" s="28"/>
      <c r="F5005" s="28"/>
      <c r="H5005" s="28"/>
    </row>
    <row r="5006" spans="4:8" x14ac:dyDescent="0.25">
      <c r="D5006" s="28"/>
      <c r="F5006" s="28"/>
      <c r="H5006" s="28"/>
    </row>
    <row r="5007" spans="4:8" x14ac:dyDescent="0.25">
      <c r="D5007" s="28"/>
      <c r="F5007" s="28"/>
      <c r="H5007" s="28"/>
    </row>
    <row r="5008" spans="4:8" x14ac:dyDescent="0.25">
      <c r="D5008" s="28"/>
      <c r="F5008" s="28"/>
      <c r="H5008" s="28"/>
    </row>
    <row r="5009" spans="4:8" x14ac:dyDescent="0.25">
      <c r="D5009" s="28"/>
      <c r="F5009" s="28"/>
      <c r="H5009" s="28"/>
    </row>
    <row r="5010" spans="4:8" x14ac:dyDescent="0.25">
      <c r="D5010" s="28"/>
      <c r="F5010" s="28"/>
      <c r="H5010" s="28"/>
    </row>
    <row r="5011" spans="4:8" x14ac:dyDescent="0.25">
      <c r="D5011" s="28"/>
      <c r="F5011" s="28"/>
      <c r="H5011" s="28"/>
    </row>
    <row r="5012" spans="4:8" x14ac:dyDescent="0.25">
      <c r="D5012" s="28"/>
      <c r="F5012" s="28"/>
      <c r="H5012" s="28"/>
    </row>
    <row r="5013" spans="4:8" x14ac:dyDescent="0.25">
      <c r="D5013" s="28"/>
      <c r="F5013" s="28"/>
      <c r="H5013" s="28"/>
    </row>
    <row r="5014" spans="4:8" x14ac:dyDescent="0.25">
      <c r="D5014" s="28"/>
      <c r="F5014" s="28"/>
      <c r="H5014" s="28"/>
    </row>
    <row r="5015" spans="4:8" x14ac:dyDescent="0.25">
      <c r="D5015" s="28"/>
      <c r="F5015" s="28"/>
      <c r="H5015" s="28"/>
    </row>
    <row r="5016" spans="4:8" x14ac:dyDescent="0.25">
      <c r="D5016" s="28"/>
      <c r="F5016" s="28"/>
      <c r="H5016" s="28"/>
    </row>
    <row r="5017" spans="4:8" x14ac:dyDescent="0.25">
      <c r="D5017" s="28"/>
      <c r="F5017" s="28"/>
      <c r="H5017" s="28"/>
    </row>
    <row r="5018" spans="4:8" x14ac:dyDescent="0.25">
      <c r="D5018" s="28"/>
      <c r="F5018" s="28"/>
      <c r="H5018" s="28"/>
    </row>
    <row r="5019" spans="4:8" x14ac:dyDescent="0.25">
      <c r="D5019" s="28"/>
      <c r="F5019" s="28"/>
      <c r="H5019" s="28"/>
    </row>
    <row r="5020" spans="4:8" x14ac:dyDescent="0.25">
      <c r="D5020" s="28"/>
      <c r="F5020" s="28"/>
      <c r="H5020" s="28"/>
    </row>
    <row r="5021" spans="4:8" x14ac:dyDescent="0.25">
      <c r="D5021" s="28"/>
      <c r="F5021" s="28"/>
      <c r="H5021" s="28"/>
    </row>
    <row r="5022" spans="4:8" x14ac:dyDescent="0.25">
      <c r="D5022" s="28"/>
      <c r="F5022" s="28"/>
      <c r="H5022" s="28"/>
    </row>
    <row r="5023" spans="4:8" x14ac:dyDescent="0.25">
      <c r="D5023" s="28"/>
      <c r="F5023" s="28"/>
      <c r="H5023" s="28"/>
    </row>
    <row r="5024" spans="4:8" x14ac:dyDescent="0.25">
      <c r="D5024" s="28"/>
      <c r="F5024" s="28"/>
      <c r="H5024" s="28"/>
    </row>
    <row r="5025" spans="4:8" x14ac:dyDescent="0.25">
      <c r="D5025" s="28"/>
      <c r="F5025" s="28"/>
      <c r="H5025" s="28"/>
    </row>
    <row r="5026" spans="4:8" x14ac:dyDescent="0.25">
      <c r="D5026" s="28"/>
      <c r="F5026" s="28"/>
      <c r="H5026" s="28"/>
    </row>
    <row r="5027" spans="4:8" x14ac:dyDescent="0.25">
      <c r="D5027" s="28"/>
      <c r="F5027" s="28"/>
      <c r="H5027" s="28"/>
    </row>
    <row r="5028" spans="4:8" x14ac:dyDescent="0.25">
      <c r="D5028" s="28"/>
      <c r="F5028" s="28"/>
      <c r="H5028" s="28"/>
    </row>
    <row r="5029" spans="4:8" x14ac:dyDescent="0.25">
      <c r="D5029" s="28"/>
      <c r="F5029" s="28"/>
      <c r="H5029" s="28"/>
    </row>
    <row r="5030" spans="4:8" x14ac:dyDescent="0.25">
      <c r="D5030" s="28"/>
      <c r="F5030" s="28"/>
      <c r="H5030" s="28"/>
    </row>
    <row r="5031" spans="4:8" x14ac:dyDescent="0.25">
      <c r="D5031" s="28"/>
      <c r="F5031" s="28"/>
      <c r="H5031" s="28"/>
    </row>
    <row r="5032" spans="4:8" x14ac:dyDescent="0.25">
      <c r="D5032" s="28"/>
      <c r="F5032" s="28"/>
      <c r="H5032" s="28"/>
    </row>
    <row r="5033" spans="4:8" x14ac:dyDescent="0.25">
      <c r="D5033" s="28"/>
      <c r="F5033" s="28"/>
      <c r="H5033" s="28"/>
    </row>
    <row r="5034" spans="4:8" x14ac:dyDescent="0.25">
      <c r="D5034" s="28"/>
      <c r="F5034" s="28"/>
      <c r="H5034" s="28"/>
    </row>
    <row r="5035" spans="4:8" x14ac:dyDescent="0.25">
      <c r="D5035" s="28"/>
      <c r="F5035" s="28"/>
      <c r="H5035" s="28"/>
    </row>
    <row r="5036" spans="4:8" x14ac:dyDescent="0.25">
      <c r="D5036" s="28"/>
      <c r="F5036" s="28"/>
      <c r="H5036" s="28"/>
    </row>
    <row r="5037" spans="4:8" x14ac:dyDescent="0.25">
      <c r="D5037" s="28"/>
      <c r="F5037" s="28"/>
      <c r="H5037" s="28"/>
    </row>
    <row r="5038" spans="4:8" x14ac:dyDescent="0.25">
      <c r="D5038" s="28"/>
      <c r="F5038" s="28"/>
      <c r="H5038" s="28"/>
    </row>
    <row r="5039" spans="4:8" x14ac:dyDescent="0.25">
      <c r="D5039" s="28"/>
      <c r="F5039" s="28"/>
      <c r="H5039" s="28"/>
    </row>
    <row r="5040" spans="4:8" x14ac:dyDescent="0.25">
      <c r="D5040" s="28"/>
      <c r="F5040" s="28"/>
      <c r="H5040" s="28"/>
    </row>
    <row r="5041" spans="4:8" x14ac:dyDescent="0.25">
      <c r="D5041" s="28"/>
      <c r="F5041" s="28"/>
      <c r="H5041" s="28"/>
    </row>
    <row r="5042" spans="4:8" x14ac:dyDescent="0.25">
      <c r="D5042" s="28"/>
      <c r="F5042" s="28"/>
      <c r="H5042" s="28"/>
    </row>
    <row r="5043" spans="4:8" x14ac:dyDescent="0.25">
      <c r="D5043" s="28"/>
      <c r="F5043" s="28"/>
      <c r="H5043" s="28"/>
    </row>
    <row r="5044" spans="4:8" x14ac:dyDescent="0.25">
      <c r="D5044" s="28"/>
      <c r="F5044" s="28"/>
      <c r="H5044" s="28"/>
    </row>
    <row r="5045" spans="4:8" x14ac:dyDescent="0.25">
      <c r="D5045" s="28"/>
      <c r="F5045" s="28"/>
      <c r="H5045" s="28"/>
    </row>
    <row r="5046" spans="4:8" x14ac:dyDescent="0.25">
      <c r="D5046" s="28"/>
      <c r="F5046" s="28"/>
      <c r="H5046" s="28"/>
    </row>
    <row r="5047" spans="4:8" x14ac:dyDescent="0.25">
      <c r="D5047" s="28"/>
      <c r="F5047" s="28"/>
      <c r="H5047" s="28"/>
    </row>
    <row r="5048" spans="4:8" x14ac:dyDescent="0.25">
      <c r="D5048" s="28"/>
      <c r="F5048" s="28"/>
      <c r="H5048" s="28"/>
    </row>
    <row r="5049" spans="4:8" x14ac:dyDescent="0.25">
      <c r="D5049" s="28"/>
      <c r="F5049" s="28"/>
      <c r="H5049" s="28"/>
    </row>
    <row r="5050" spans="4:8" x14ac:dyDescent="0.25">
      <c r="D5050" s="28"/>
      <c r="F5050" s="28"/>
      <c r="H5050" s="28"/>
    </row>
    <row r="5051" spans="4:8" x14ac:dyDescent="0.25">
      <c r="D5051" s="28"/>
      <c r="F5051" s="28"/>
      <c r="H5051" s="28"/>
    </row>
    <row r="5052" spans="4:8" x14ac:dyDescent="0.25">
      <c r="D5052" s="28"/>
      <c r="F5052" s="28"/>
      <c r="H5052" s="28"/>
    </row>
    <row r="5053" spans="4:8" x14ac:dyDescent="0.25">
      <c r="D5053" s="28"/>
      <c r="F5053" s="28"/>
      <c r="H5053" s="28"/>
    </row>
    <row r="5054" spans="4:8" x14ac:dyDescent="0.25">
      <c r="D5054" s="28"/>
      <c r="F5054" s="28"/>
      <c r="H5054" s="28"/>
    </row>
    <row r="5055" spans="4:8" x14ac:dyDescent="0.25">
      <c r="D5055" s="28"/>
      <c r="F5055" s="28"/>
      <c r="H5055" s="28"/>
    </row>
    <row r="5056" spans="4:8" x14ac:dyDescent="0.25">
      <c r="D5056" s="28"/>
      <c r="F5056" s="28"/>
      <c r="H5056" s="28"/>
    </row>
    <row r="5057" spans="4:8" x14ac:dyDescent="0.25">
      <c r="D5057" s="28"/>
      <c r="F5057" s="28"/>
      <c r="H5057" s="28"/>
    </row>
    <row r="5058" spans="4:8" x14ac:dyDescent="0.25">
      <c r="D5058" s="28"/>
      <c r="F5058" s="28"/>
      <c r="H5058" s="28"/>
    </row>
    <row r="5059" spans="4:8" x14ac:dyDescent="0.25">
      <c r="D5059" s="28"/>
      <c r="F5059" s="28"/>
      <c r="H5059" s="28"/>
    </row>
    <row r="5060" spans="4:8" x14ac:dyDescent="0.25">
      <c r="D5060" s="28"/>
      <c r="F5060" s="28"/>
      <c r="H5060" s="28"/>
    </row>
    <row r="5061" spans="4:8" x14ac:dyDescent="0.25">
      <c r="D5061" s="28"/>
      <c r="F5061" s="28"/>
      <c r="H5061" s="28"/>
    </row>
    <row r="5062" spans="4:8" x14ac:dyDescent="0.25">
      <c r="D5062" s="28"/>
      <c r="F5062" s="28"/>
      <c r="H5062" s="28"/>
    </row>
    <row r="5063" spans="4:8" x14ac:dyDescent="0.25">
      <c r="D5063" s="28"/>
      <c r="F5063" s="28"/>
      <c r="H5063" s="28"/>
    </row>
    <row r="5064" spans="4:8" x14ac:dyDescent="0.25">
      <c r="D5064" s="28"/>
      <c r="F5064" s="28"/>
      <c r="H5064" s="28"/>
    </row>
    <row r="5065" spans="4:8" x14ac:dyDescent="0.25">
      <c r="D5065" s="28"/>
      <c r="F5065" s="28"/>
      <c r="H5065" s="28"/>
    </row>
    <row r="5066" spans="4:8" x14ac:dyDescent="0.25">
      <c r="D5066" s="28"/>
      <c r="F5066" s="28"/>
      <c r="H5066" s="28"/>
    </row>
    <row r="5067" spans="4:8" x14ac:dyDescent="0.25">
      <c r="D5067" s="28"/>
      <c r="F5067" s="28"/>
      <c r="H5067" s="28"/>
    </row>
    <row r="5068" spans="4:8" x14ac:dyDescent="0.25">
      <c r="D5068" s="28"/>
      <c r="F5068" s="28"/>
      <c r="H5068" s="28"/>
    </row>
    <row r="5069" spans="4:8" x14ac:dyDescent="0.25">
      <c r="D5069" s="28"/>
      <c r="F5069" s="28"/>
      <c r="H5069" s="28"/>
    </row>
    <row r="5070" spans="4:8" x14ac:dyDescent="0.25">
      <c r="D5070" s="28"/>
      <c r="F5070" s="28"/>
      <c r="H5070" s="28"/>
    </row>
    <row r="5071" spans="4:8" x14ac:dyDescent="0.25">
      <c r="D5071" s="28"/>
      <c r="F5071" s="28"/>
      <c r="H5071" s="28"/>
    </row>
    <row r="5072" spans="4:8" x14ac:dyDescent="0.25">
      <c r="D5072" s="28"/>
      <c r="F5072" s="28"/>
      <c r="H5072" s="28"/>
    </row>
    <row r="5073" spans="4:8" x14ac:dyDescent="0.25">
      <c r="D5073" s="28"/>
      <c r="F5073" s="28"/>
      <c r="H5073" s="28"/>
    </row>
    <row r="5074" spans="4:8" x14ac:dyDescent="0.25">
      <c r="D5074" s="28"/>
      <c r="F5074" s="28"/>
      <c r="H5074" s="28"/>
    </row>
    <row r="5075" spans="4:8" x14ac:dyDescent="0.25">
      <c r="D5075" s="28"/>
      <c r="F5075" s="28"/>
      <c r="H5075" s="28"/>
    </row>
    <row r="5076" spans="4:8" x14ac:dyDescent="0.25">
      <c r="D5076" s="28"/>
      <c r="F5076" s="28"/>
      <c r="H5076" s="28"/>
    </row>
    <row r="5077" spans="4:8" x14ac:dyDescent="0.25">
      <c r="D5077" s="28"/>
      <c r="F5077" s="28"/>
      <c r="H5077" s="28"/>
    </row>
    <row r="5078" spans="4:8" x14ac:dyDescent="0.25">
      <c r="D5078" s="28"/>
      <c r="F5078" s="28"/>
      <c r="H5078" s="28"/>
    </row>
    <row r="5079" spans="4:8" x14ac:dyDescent="0.25">
      <c r="D5079" s="28"/>
      <c r="F5079" s="28"/>
      <c r="H5079" s="28"/>
    </row>
    <row r="5080" spans="4:8" x14ac:dyDescent="0.25">
      <c r="D5080" s="28"/>
      <c r="F5080" s="28"/>
      <c r="H5080" s="28"/>
    </row>
    <row r="5081" spans="4:8" x14ac:dyDescent="0.25">
      <c r="D5081" s="28"/>
      <c r="F5081" s="28"/>
      <c r="H5081" s="28"/>
    </row>
    <row r="5082" spans="4:8" x14ac:dyDescent="0.25">
      <c r="D5082" s="28"/>
      <c r="F5082" s="28"/>
      <c r="H5082" s="28"/>
    </row>
    <row r="5083" spans="4:8" x14ac:dyDescent="0.25">
      <c r="D5083" s="28"/>
      <c r="F5083" s="28"/>
      <c r="H5083" s="28"/>
    </row>
    <row r="5084" spans="4:8" x14ac:dyDescent="0.25">
      <c r="D5084" s="28"/>
      <c r="F5084" s="28"/>
      <c r="H5084" s="28"/>
    </row>
    <row r="5085" spans="4:8" x14ac:dyDescent="0.25">
      <c r="D5085" s="28"/>
      <c r="F5085" s="28"/>
      <c r="H5085" s="28"/>
    </row>
    <row r="5086" spans="4:8" x14ac:dyDescent="0.25">
      <c r="D5086" s="28"/>
      <c r="F5086" s="28"/>
      <c r="H5086" s="28"/>
    </row>
    <row r="5087" spans="4:8" x14ac:dyDescent="0.25">
      <c r="D5087" s="28"/>
      <c r="F5087" s="28"/>
      <c r="H5087" s="28"/>
    </row>
    <row r="5088" spans="4:8" x14ac:dyDescent="0.25">
      <c r="D5088" s="28"/>
      <c r="F5088" s="28"/>
      <c r="H5088" s="28"/>
    </row>
    <row r="5089" spans="4:8" x14ac:dyDescent="0.25">
      <c r="D5089" s="28"/>
      <c r="F5089" s="28"/>
      <c r="H5089" s="28"/>
    </row>
    <row r="5090" spans="4:8" x14ac:dyDescent="0.25">
      <c r="D5090" s="28"/>
      <c r="F5090" s="28"/>
      <c r="H5090" s="28"/>
    </row>
    <row r="5091" spans="4:8" x14ac:dyDescent="0.25">
      <c r="D5091" s="28"/>
      <c r="F5091" s="28"/>
      <c r="H5091" s="28"/>
    </row>
    <row r="5092" spans="4:8" x14ac:dyDescent="0.25">
      <c r="D5092" s="28"/>
      <c r="F5092" s="28"/>
      <c r="H5092" s="28"/>
    </row>
    <row r="5093" spans="4:8" x14ac:dyDescent="0.25">
      <c r="D5093" s="28"/>
      <c r="F5093" s="28"/>
      <c r="H5093" s="28"/>
    </row>
    <row r="5094" spans="4:8" x14ac:dyDescent="0.25">
      <c r="D5094" s="28"/>
      <c r="F5094" s="28"/>
      <c r="H5094" s="28"/>
    </row>
    <row r="5095" spans="4:8" x14ac:dyDescent="0.25">
      <c r="D5095" s="28"/>
      <c r="F5095" s="28"/>
      <c r="H5095" s="28"/>
    </row>
    <row r="5096" spans="4:8" x14ac:dyDescent="0.25">
      <c r="D5096" s="28"/>
      <c r="F5096" s="28"/>
      <c r="H5096" s="28"/>
    </row>
    <row r="5097" spans="4:8" x14ac:dyDescent="0.25">
      <c r="D5097" s="28"/>
      <c r="F5097" s="28"/>
      <c r="H5097" s="28"/>
    </row>
    <row r="5098" spans="4:8" x14ac:dyDescent="0.25">
      <c r="D5098" s="28"/>
      <c r="F5098" s="28"/>
      <c r="H5098" s="28"/>
    </row>
    <row r="5099" spans="4:8" x14ac:dyDescent="0.25">
      <c r="D5099" s="28"/>
      <c r="F5099" s="28"/>
      <c r="H5099" s="28"/>
    </row>
    <row r="5100" spans="4:8" x14ac:dyDescent="0.25">
      <c r="D5100" s="28"/>
      <c r="F5100" s="28"/>
      <c r="H5100" s="28"/>
    </row>
    <row r="5101" spans="4:8" x14ac:dyDescent="0.25">
      <c r="D5101" s="28"/>
      <c r="F5101" s="28"/>
      <c r="H5101" s="28"/>
    </row>
    <row r="5102" spans="4:8" x14ac:dyDescent="0.25">
      <c r="D5102" s="28"/>
      <c r="F5102" s="28"/>
      <c r="H5102" s="28"/>
    </row>
    <row r="5103" spans="4:8" x14ac:dyDescent="0.25">
      <c r="D5103" s="28"/>
      <c r="F5103" s="28"/>
      <c r="H5103" s="28"/>
    </row>
    <row r="5104" spans="4:8" x14ac:dyDescent="0.25">
      <c r="D5104" s="28"/>
      <c r="F5104" s="28"/>
      <c r="H5104" s="28"/>
    </row>
    <row r="5105" spans="4:8" x14ac:dyDescent="0.25">
      <c r="D5105" s="28"/>
      <c r="F5105" s="28"/>
      <c r="H5105" s="28"/>
    </row>
    <row r="5106" spans="4:8" x14ac:dyDescent="0.25">
      <c r="D5106" s="28"/>
      <c r="F5106" s="28"/>
      <c r="H5106" s="28"/>
    </row>
    <row r="5107" spans="4:8" x14ac:dyDescent="0.25">
      <c r="D5107" s="28"/>
      <c r="F5107" s="28"/>
      <c r="H5107" s="28"/>
    </row>
    <row r="5108" spans="4:8" x14ac:dyDescent="0.25">
      <c r="D5108" s="28"/>
      <c r="F5108" s="28"/>
      <c r="H5108" s="28"/>
    </row>
    <row r="5109" spans="4:8" x14ac:dyDescent="0.25">
      <c r="D5109" s="28"/>
      <c r="F5109" s="28"/>
      <c r="H5109" s="28"/>
    </row>
    <row r="5110" spans="4:8" x14ac:dyDescent="0.25">
      <c r="D5110" s="28"/>
      <c r="F5110" s="28"/>
      <c r="H5110" s="28"/>
    </row>
    <row r="5111" spans="4:8" x14ac:dyDescent="0.25">
      <c r="D5111" s="28"/>
      <c r="F5111" s="28"/>
      <c r="H5111" s="28"/>
    </row>
    <row r="5112" spans="4:8" x14ac:dyDescent="0.25">
      <c r="D5112" s="28"/>
      <c r="F5112" s="28"/>
      <c r="H5112" s="28"/>
    </row>
    <row r="5113" spans="4:8" x14ac:dyDescent="0.25">
      <c r="D5113" s="28"/>
      <c r="F5113" s="28"/>
      <c r="H5113" s="28"/>
    </row>
    <row r="5114" spans="4:8" x14ac:dyDescent="0.25">
      <c r="D5114" s="28"/>
      <c r="F5114" s="28"/>
      <c r="H5114" s="28"/>
    </row>
    <row r="5115" spans="4:8" x14ac:dyDescent="0.25">
      <c r="D5115" s="28"/>
      <c r="F5115" s="28"/>
      <c r="H5115" s="28"/>
    </row>
    <row r="5116" spans="4:8" x14ac:dyDescent="0.25">
      <c r="D5116" s="28"/>
      <c r="F5116" s="28"/>
      <c r="H5116" s="28"/>
    </row>
    <row r="5117" spans="4:8" x14ac:dyDescent="0.25">
      <c r="D5117" s="28"/>
      <c r="F5117" s="28"/>
      <c r="H5117" s="28"/>
    </row>
    <row r="5118" spans="4:8" x14ac:dyDescent="0.25">
      <c r="D5118" s="28"/>
      <c r="F5118" s="28"/>
      <c r="H5118" s="28"/>
    </row>
    <row r="5119" spans="4:8" x14ac:dyDescent="0.25">
      <c r="D5119" s="28"/>
      <c r="F5119" s="28"/>
      <c r="H5119" s="28"/>
    </row>
    <row r="5120" spans="4:8" x14ac:dyDescent="0.25">
      <c r="D5120" s="28"/>
      <c r="F5120" s="28"/>
      <c r="H5120" s="28"/>
    </row>
    <row r="5121" spans="4:8" x14ac:dyDescent="0.25">
      <c r="D5121" s="28"/>
      <c r="F5121" s="28"/>
      <c r="H5121" s="28"/>
    </row>
    <row r="5122" spans="4:8" x14ac:dyDescent="0.25">
      <c r="D5122" s="28"/>
      <c r="F5122" s="28"/>
      <c r="H5122" s="28"/>
    </row>
    <row r="5123" spans="4:8" x14ac:dyDescent="0.25">
      <c r="D5123" s="28"/>
      <c r="F5123" s="28"/>
      <c r="H5123" s="28"/>
    </row>
    <row r="5124" spans="4:8" x14ac:dyDescent="0.25">
      <c r="D5124" s="28"/>
      <c r="F5124" s="28"/>
      <c r="H5124" s="28"/>
    </row>
    <row r="5125" spans="4:8" x14ac:dyDescent="0.25">
      <c r="D5125" s="28"/>
      <c r="F5125" s="28"/>
      <c r="H5125" s="28"/>
    </row>
    <row r="5126" spans="4:8" x14ac:dyDescent="0.25">
      <c r="D5126" s="28"/>
      <c r="F5126" s="28"/>
      <c r="H5126" s="28"/>
    </row>
    <row r="5127" spans="4:8" x14ac:dyDescent="0.25">
      <c r="D5127" s="28"/>
      <c r="F5127" s="28"/>
      <c r="H5127" s="28"/>
    </row>
    <row r="5128" spans="4:8" x14ac:dyDescent="0.25">
      <c r="D5128" s="28"/>
      <c r="F5128" s="28"/>
      <c r="H5128" s="28"/>
    </row>
    <row r="5129" spans="4:8" x14ac:dyDescent="0.25">
      <c r="D5129" s="28"/>
      <c r="F5129" s="28"/>
      <c r="H5129" s="28"/>
    </row>
    <row r="5130" spans="4:8" x14ac:dyDescent="0.25">
      <c r="D5130" s="28"/>
      <c r="F5130" s="28"/>
      <c r="H5130" s="28"/>
    </row>
    <row r="5131" spans="4:8" x14ac:dyDescent="0.25">
      <c r="D5131" s="28"/>
      <c r="F5131" s="28"/>
      <c r="H5131" s="28"/>
    </row>
    <row r="5132" spans="4:8" x14ac:dyDescent="0.25">
      <c r="D5132" s="28"/>
      <c r="F5132" s="28"/>
      <c r="H5132" s="28"/>
    </row>
    <row r="5133" spans="4:8" x14ac:dyDescent="0.25">
      <c r="D5133" s="28"/>
      <c r="F5133" s="28"/>
      <c r="H5133" s="28"/>
    </row>
    <row r="5134" spans="4:8" x14ac:dyDescent="0.25">
      <c r="D5134" s="28"/>
      <c r="F5134" s="28"/>
      <c r="H5134" s="28"/>
    </row>
    <row r="5135" spans="4:8" x14ac:dyDescent="0.25">
      <c r="D5135" s="28"/>
      <c r="F5135" s="28"/>
      <c r="H5135" s="28"/>
    </row>
    <row r="5136" spans="4:8" x14ac:dyDescent="0.25">
      <c r="D5136" s="28"/>
      <c r="F5136" s="28"/>
      <c r="H5136" s="28"/>
    </row>
    <row r="5137" spans="4:8" x14ac:dyDescent="0.25">
      <c r="D5137" s="28"/>
      <c r="F5137" s="28"/>
      <c r="H5137" s="28"/>
    </row>
    <row r="5138" spans="4:8" x14ac:dyDescent="0.25">
      <c r="D5138" s="28"/>
      <c r="F5138" s="28"/>
      <c r="H5138" s="28"/>
    </row>
    <row r="5139" spans="4:8" x14ac:dyDescent="0.25">
      <c r="D5139" s="28"/>
      <c r="F5139" s="28"/>
      <c r="H5139" s="28"/>
    </row>
    <row r="5140" spans="4:8" x14ac:dyDescent="0.25">
      <c r="D5140" s="28"/>
      <c r="F5140" s="28"/>
      <c r="H5140" s="28"/>
    </row>
    <row r="5141" spans="4:8" x14ac:dyDescent="0.25">
      <c r="D5141" s="28"/>
      <c r="F5141" s="28"/>
      <c r="H5141" s="28"/>
    </row>
    <row r="5142" spans="4:8" x14ac:dyDescent="0.25">
      <c r="D5142" s="28"/>
      <c r="F5142" s="28"/>
      <c r="H5142" s="28"/>
    </row>
    <row r="5143" spans="4:8" x14ac:dyDescent="0.25">
      <c r="D5143" s="28"/>
      <c r="F5143" s="28"/>
      <c r="H5143" s="28"/>
    </row>
    <row r="5144" spans="4:8" x14ac:dyDescent="0.25">
      <c r="D5144" s="28"/>
      <c r="F5144" s="28"/>
      <c r="H5144" s="28"/>
    </row>
    <row r="5145" spans="4:8" x14ac:dyDescent="0.25">
      <c r="D5145" s="28"/>
      <c r="F5145" s="28"/>
      <c r="H5145" s="28"/>
    </row>
    <row r="5146" spans="4:8" x14ac:dyDescent="0.25">
      <c r="D5146" s="28"/>
      <c r="F5146" s="28"/>
      <c r="H5146" s="28"/>
    </row>
    <row r="5147" spans="4:8" x14ac:dyDescent="0.25">
      <c r="D5147" s="28"/>
      <c r="F5147" s="28"/>
      <c r="H5147" s="28"/>
    </row>
    <row r="5148" spans="4:8" x14ac:dyDescent="0.25">
      <c r="D5148" s="28"/>
      <c r="F5148" s="28"/>
      <c r="H5148" s="28"/>
    </row>
    <row r="5149" spans="4:8" x14ac:dyDescent="0.25">
      <c r="D5149" s="28"/>
      <c r="F5149" s="28"/>
      <c r="H5149" s="28"/>
    </row>
    <row r="5150" spans="4:8" x14ac:dyDescent="0.25">
      <c r="D5150" s="28"/>
      <c r="F5150" s="28"/>
      <c r="H5150" s="28"/>
    </row>
    <row r="5151" spans="4:8" x14ac:dyDescent="0.25">
      <c r="D5151" s="28"/>
      <c r="F5151" s="28"/>
      <c r="H5151" s="28"/>
    </row>
    <row r="5152" spans="4:8" x14ac:dyDescent="0.25">
      <c r="D5152" s="28"/>
      <c r="F5152" s="28"/>
      <c r="H5152" s="28"/>
    </row>
    <row r="5153" spans="4:8" x14ac:dyDescent="0.25">
      <c r="D5153" s="28"/>
      <c r="F5153" s="28"/>
      <c r="H5153" s="28"/>
    </row>
    <row r="5154" spans="4:8" x14ac:dyDescent="0.25">
      <c r="D5154" s="28"/>
      <c r="F5154" s="28"/>
      <c r="H5154" s="28"/>
    </row>
    <row r="5155" spans="4:8" x14ac:dyDescent="0.25">
      <c r="D5155" s="28"/>
      <c r="F5155" s="28"/>
      <c r="H5155" s="28"/>
    </row>
    <row r="5156" spans="4:8" x14ac:dyDescent="0.25">
      <c r="D5156" s="28"/>
      <c r="F5156" s="28"/>
      <c r="H5156" s="28"/>
    </row>
    <row r="5157" spans="4:8" x14ac:dyDescent="0.25">
      <c r="D5157" s="28"/>
      <c r="F5157" s="28"/>
      <c r="H5157" s="28"/>
    </row>
    <row r="5158" spans="4:8" x14ac:dyDescent="0.25">
      <c r="D5158" s="28"/>
      <c r="F5158" s="28"/>
      <c r="H5158" s="28"/>
    </row>
    <row r="5159" spans="4:8" x14ac:dyDescent="0.25">
      <c r="D5159" s="28"/>
      <c r="F5159" s="28"/>
      <c r="H5159" s="28"/>
    </row>
    <row r="5160" spans="4:8" x14ac:dyDescent="0.25">
      <c r="D5160" s="28"/>
      <c r="F5160" s="28"/>
      <c r="H5160" s="28"/>
    </row>
    <row r="5161" spans="4:8" x14ac:dyDescent="0.25">
      <c r="D5161" s="28"/>
      <c r="F5161" s="28"/>
      <c r="H5161" s="28"/>
    </row>
    <row r="5162" spans="4:8" x14ac:dyDescent="0.25">
      <c r="D5162" s="28"/>
      <c r="F5162" s="28"/>
      <c r="H5162" s="28"/>
    </row>
    <row r="5163" spans="4:8" x14ac:dyDescent="0.25">
      <c r="D5163" s="28"/>
      <c r="F5163" s="28"/>
      <c r="H5163" s="28"/>
    </row>
    <row r="5164" spans="4:8" x14ac:dyDescent="0.25">
      <c r="D5164" s="28"/>
      <c r="F5164" s="28"/>
      <c r="H5164" s="28"/>
    </row>
    <row r="5165" spans="4:8" x14ac:dyDescent="0.25">
      <c r="D5165" s="28"/>
      <c r="F5165" s="28"/>
      <c r="H5165" s="28"/>
    </row>
    <row r="5166" spans="4:8" x14ac:dyDescent="0.25">
      <c r="D5166" s="28"/>
      <c r="F5166" s="28"/>
      <c r="H5166" s="28"/>
    </row>
    <row r="5167" spans="4:8" x14ac:dyDescent="0.25">
      <c r="D5167" s="28"/>
      <c r="F5167" s="28"/>
      <c r="H5167" s="28"/>
    </row>
    <row r="5168" spans="4:8" x14ac:dyDescent="0.25">
      <c r="D5168" s="28"/>
      <c r="F5168" s="28"/>
      <c r="H5168" s="28"/>
    </row>
    <row r="5169" spans="4:8" x14ac:dyDescent="0.25">
      <c r="D5169" s="28"/>
      <c r="F5169" s="28"/>
      <c r="H5169" s="28"/>
    </row>
    <row r="5170" spans="4:8" x14ac:dyDescent="0.25">
      <c r="D5170" s="28"/>
      <c r="F5170" s="28"/>
      <c r="H5170" s="28"/>
    </row>
    <row r="5171" spans="4:8" x14ac:dyDescent="0.25">
      <c r="D5171" s="28"/>
      <c r="F5171" s="28"/>
      <c r="H5171" s="28"/>
    </row>
    <row r="5172" spans="4:8" x14ac:dyDescent="0.25">
      <c r="D5172" s="28"/>
      <c r="F5172" s="28"/>
      <c r="H5172" s="28"/>
    </row>
    <row r="5173" spans="4:8" x14ac:dyDescent="0.25">
      <c r="D5173" s="28"/>
      <c r="F5173" s="28"/>
      <c r="H5173" s="28"/>
    </row>
    <row r="5174" spans="4:8" x14ac:dyDescent="0.25">
      <c r="D5174" s="28"/>
      <c r="F5174" s="28"/>
      <c r="H5174" s="28"/>
    </row>
    <row r="5175" spans="4:8" x14ac:dyDescent="0.25">
      <c r="D5175" s="28"/>
      <c r="F5175" s="28"/>
      <c r="H5175" s="28"/>
    </row>
    <row r="5176" spans="4:8" x14ac:dyDescent="0.25">
      <c r="D5176" s="28"/>
      <c r="F5176" s="28"/>
      <c r="H5176" s="28"/>
    </row>
    <row r="5177" spans="4:8" x14ac:dyDescent="0.25">
      <c r="D5177" s="28"/>
      <c r="F5177" s="28"/>
      <c r="H5177" s="28"/>
    </row>
    <row r="5178" spans="4:8" x14ac:dyDescent="0.25">
      <c r="D5178" s="28"/>
      <c r="F5178" s="28"/>
      <c r="H5178" s="28"/>
    </row>
    <row r="5179" spans="4:8" x14ac:dyDescent="0.25">
      <c r="D5179" s="28"/>
      <c r="F5179" s="28"/>
      <c r="H5179" s="28"/>
    </row>
    <row r="5180" spans="4:8" x14ac:dyDescent="0.25">
      <c r="D5180" s="28"/>
      <c r="F5180" s="28"/>
      <c r="H5180" s="28"/>
    </row>
    <row r="5181" spans="4:8" x14ac:dyDescent="0.25">
      <c r="D5181" s="28"/>
      <c r="F5181" s="28"/>
      <c r="H5181" s="28"/>
    </row>
    <row r="5182" spans="4:8" x14ac:dyDescent="0.25">
      <c r="D5182" s="28"/>
      <c r="F5182" s="28"/>
      <c r="H5182" s="28"/>
    </row>
    <row r="5183" spans="4:8" x14ac:dyDescent="0.25">
      <c r="D5183" s="28"/>
      <c r="F5183" s="28"/>
      <c r="H5183" s="28"/>
    </row>
    <row r="5184" spans="4:8" x14ac:dyDescent="0.25">
      <c r="D5184" s="28"/>
      <c r="F5184" s="28"/>
      <c r="H5184" s="28"/>
    </row>
    <row r="5185" spans="4:8" x14ac:dyDescent="0.25">
      <c r="D5185" s="28"/>
      <c r="F5185" s="28"/>
      <c r="H5185" s="28"/>
    </row>
    <row r="5186" spans="4:8" x14ac:dyDescent="0.25">
      <c r="D5186" s="28"/>
      <c r="F5186" s="28"/>
      <c r="H5186" s="28"/>
    </row>
    <row r="5187" spans="4:8" x14ac:dyDescent="0.25">
      <c r="D5187" s="28"/>
      <c r="F5187" s="28"/>
      <c r="H5187" s="28"/>
    </row>
    <row r="5188" spans="4:8" x14ac:dyDescent="0.25">
      <c r="D5188" s="28"/>
      <c r="F5188" s="28"/>
      <c r="H5188" s="28"/>
    </row>
    <row r="5189" spans="4:8" x14ac:dyDescent="0.25">
      <c r="D5189" s="28"/>
      <c r="F5189" s="28"/>
      <c r="H5189" s="28"/>
    </row>
    <row r="5190" spans="4:8" x14ac:dyDescent="0.25">
      <c r="D5190" s="28"/>
      <c r="F5190" s="28"/>
      <c r="H5190" s="28"/>
    </row>
    <row r="5191" spans="4:8" x14ac:dyDescent="0.25">
      <c r="D5191" s="28"/>
      <c r="F5191" s="28"/>
      <c r="H5191" s="28"/>
    </row>
    <row r="5192" spans="4:8" x14ac:dyDescent="0.25">
      <c r="D5192" s="28"/>
      <c r="F5192" s="28"/>
      <c r="H5192" s="28"/>
    </row>
    <row r="5193" spans="4:8" x14ac:dyDescent="0.25">
      <c r="D5193" s="28"/>
      <c r="F5193" s="28"/>
      <c r="H5193" s="28"/>
    </row>
    <row r="5194" spans="4:8" x14ac:dyDescent="0.25">
      <c r="D5194" s="28"/>
      <c r="F5194" s="28"/>
      <c r="H5194" s="28"/>
    </row>
    <row r="5195" spans="4:8" x14ac:dyDescent="0.25">
      <c r="D5195" s="28"/>
      <c r="F5195" s="28"/>
      <c r="H5195" s="28"/>
    </row>
    <row r="5196" spans="4:8" x14ac:dyDescent="0.25">
      <c r="D5196" s="28"/>
      <c r="F5196" s="28"/>
      <c r="H5196" s="28"/>
    </row>
    <row r="5197" spans="4:8" x14ac:dyDescent="0.25">
      <c r="D5197" s="28"/>
      <c r="F5197" s="28"/>
      <c r="H5197" s="28"/>
    </row>
    <row r="5198" spans="4:8" x14ac:dyDescent="0.25">
      <c r="D5198" s="28"/>
      <c r="F5198" s="28"/>
      <c r="H5198" s="28"/>
    </row>
    <row r="5199" spans="4:8" x14ac:dyDescent="0.25">
      <c r="D5199" s="28"/>
      <c r="F5199" s="28"/>
      <c r="H5199" s="28"/>
    </row>
    <row r="5200" spans="4:8" x14ac:dyDescent="0.25">
      <c r="D5200" s="28"/>
      <c r="F5200" s="28"/>
      <c r="H5200" s="28"/>
    </row>
    <row r="5201" spans="4:8" x14ac:dyDescent="0.25">
      <c r="D5201" s="28"/>
      <c r="F5201" s="28"/>
      <c r="H5201" s="28"/>
    </row>
    <row r="5202" spans="4:8" x14ac:dyDescent="0.25">
      <c r="D5202" s="28"/>
      <c r="F5202" s="28"/>
      <c r="H5202" s="28"/>
    </row>
    <row r="5203" spans="4:8" x14ac:dyDescent="0.25">
      <c r="D5203" s="28"/>
      <c r="F5203" s="28"/>
      <c r="H5203" s="28"/>
    </row>
    <row r="5204" spans="4:8" x14ac:dyDescent="0.25">
      <c r="D5204" s="28"/>
      <c r="F5204" s="28"/>
      <c r="H5204" s="28"/>
    </row>
    <row r="5205" spans="4:8" x14ac:dyDescent="0.25">
      <c r="D5205" s="28"/>
      <c r="F5205" s="28"/>
      <c r="H5205" s="28"/>
    </row>
    <row r="5206" spans="4:8" x14ac:dyDescent="0.25">
      <c r="D5206" s="28"/>
      <c r="F5206" s="28"/>
      <c r="H5206" s="28"/>
    </row>
    <row r="5207" spans="4:8" x14ac:dyDescent="0.25">
      <c r="D5207" s="28"/>
      <c r="F5207" s="28"/>
      <c r="H5207" s="28"/>
    </row>
    <row r="5208" spans="4:8" x14ac:dyDescent="0.25">
      <c r="D5208" s="28"/>
      <c r="F5208" s="28"/>
      <c r="H5208" s="28"/>
    </row>
    <row r="5209" spans="4:8" x14ac:dyDescent="0.25">
      <c r="D5209" s="28"/>
      <c r="F5209" s="28"/>
      <c r="H5209" s="28"/>
    </row>
    <row r="5210" spans="4:8" x14ac:dyDescent="0.25">
      <c r="D5210" s="28"/>
      <c r="F5210" s="28"/>
      <c r="H5210" s="28"/>
    </row>
    <row r="5211" spans="4:8" x14ac:dyDescent="0.25">
      <c r="D5211" s="28"/>
      <c r="F5211" s="28"/>
      <c r="H5211" s="28"/>
    </row>
    <row r="5212" spans="4:8" x14ac:dyDescent="0.25">
      <c r="D5212" s="28"/>
      <c r="F5212" s="28"/>
      <c r="H5212" s="28"/>
    </row>
    <row r="5213" spans="4:8" x14ac:dyDescent="0.25">
      <c r="D5213" s="28"/>
      <c r="F5213" s="28"/>
      <c r="H5213" s="28"/>
    </row>
    <row r="5214" spans="4:8" x14ac:dyDescent="0.25">
      <c r="D5214" s="28"/>
      <c r="F5214" s="28"/>
      <c r="H5214" s="28"/>
    </row>
    <row r="5215" spans="4:8" x14ac:dyDescent="0.25">
      <c r="D5215" s="28"/>
      <c r="F5215" s="28"/>
      <c r="H5215" s="28"/>
    </row>
    <row r="5216" spans="4:8" x14ac:dyDescent="0.25">
      <c r="D5216" s="28"/>
      <c r="F5216" s="28"/>
      <c r="H5216" s="28"/>
    </row>
    <row r="5217" spans="4:8" x14ac:dyDescent="0.25">
      <c r="D5217" s="28"/>
      <c r="F5217" s="28"/>
      <c r="H5217" s="28"/>
    </row>
    <row r="5218" spans="4:8" x14ac:dyDescent="0.25">
      <c r="D5218" s="28"/>
      <c r="F5218" s="28"/>
      <c r="H5218" s="28"/>
    </row>
    <row r="5219" spans="4:8" x14ac:dyDescent="0.25">
      <c r="D5219" s="28"/>
      <c r="F5219" s="28"/>
      <c r="H5219" s="28"/>
    </row>
    <row r="5220" spans="4:8" x14ac:dyDescent="0.25">
      <c r="D5220" s="28"/>
      <c r="F5220" s="28"/>
      <c r="H5220" s="28"/>
    </row>
    <row r="5221" spans="4:8" x14ac:dyDescent="0.25">
      <c r="D5221" s="28"/>
      <c r="F5221" s="28"/>
      <c r="H5221" s="28"/>
    </row>
    <row r="5222" spans="4:8" x14ac:dyDescent="0.25">
      <c r="D5222" s="28"/>
      <c r="F5222" s="28"/>
      <c r="H5222" s="28"/>
    </row>
    <row r="5223" spans="4:8" x14ac:dyDescent="0.25">
      <c r="D5223" s="28"/>
      <c r="F5223" s="28"/>
      <c r="H5223" s="28"/>
    </row>
    <row r="5224" spans="4:8" x14ac:dyDescent="0.25">
      <c r="D5224" s="28"/>
      <c r="F5224" s="28"/>
      <c r="H5224" s="28"/>
    </row>
    <row r="5225" spans="4:8" x14ac:dyDescent="0.25">
      <c r="D5225" s="28"/>
      <c r="F5225" s="28"/>
      <c r="H5225" s="28"/>
    </row>
    <row r="5226" spans="4:8" x14ac:dyDescent="0.25">
      <c r="D5226" s="28"/>
      <c r="F5226" s="28"/>
      <c r="H5226" s="28"/>
    </row>
    <row r="5227" spans="4:8" x14ac:dyDescent="0.25">
      <c r="D5227" s="28"/>
      <c r="F5227" s="28"/>
      <c r="H5227" s="28"/>
    </row>
    <row r="5228" spans="4:8" x14ac:dyDescent="0.25">
      <c r="D5228" s="28"/>
      <c r="F5228" s="28"/>
      <c r="H5228" s="28"/>
    </row>
    <row r="5229" spans="4:8" x14ac:dyDescent="0.25">
      <c r="D5229" s="28"/>
      <c r="F5229" s="28"/>
      <c r="H5229" s="28"/>
    </row>
    <row r="5230" spans="4:8" x14ac:dyDescent="0.25">
      <c r="D5230" s="28"/>
      <c r="F5230" s="28"/>
      <c r="H5230" s="28"/>
    </row>
    <row r="5231" spans="4:8" x14ac:dyDescent="0.25">
      <c r="D5231" s="28"/>
      <c r="F5231" s="28"/>
      <c r="H5231" s="28"/>
    </row>
    <row r="5232" spans="4:8" x14ac:dyDescent="0.25">
      <c r="D5232" s="28"/>
      <c r="F5232" s="28"/>
      <c r="H5232" s="28"/>
    </row>
    <row r="5233" spans="4:8" x14ac:dyDescent="0.25">
      <c r="D5233" s="28"/>
      <c r="F5233" s="28"/>
      <c r="H5233" s="28"/>
    </row>
    <row r="5234" spans="4:8" x14ac:dyDescent="0.25">
      <c r="D5234" s="28"/>
      <c r="F5234" s="28"/>
      <c r="H5234" s="28"/>
    </row>
    <row r="5235" spans="4:8" x14ac:dyDescent="0.25">
      <c r="D5235" s="28"/>
      <c r="F5235" s="28"/>
      <c r="H5235" s="28"/>
    </row>
    <row r="5236" spans="4:8" x14ac:dyDescent="0.25">
      <c r="D5236" s="28"/>
      <c r="F5236" s="28"/>
      <c r="H5236" s="28"/>
    </row>
    <row r="5237" spans="4:8" x14ac:dyDescent="0.25">
      <c r="D5237" s="28"/>
      <c r="F5237" s="28"/>
      <c r="H5237" s="28"/>
    </row>
    <row r="5238" spans="4:8" x14ac:dyDescent="0.25">
      <c r="D5238" s="28"/>
      <c r="F5238" s="28"/>
      <c r="H5238" s="28"/>
    </row>
    <row r="5239" spans="4:8" x14ac:dyDescent="0.25">
      <c r="D5239" s="28"/>
      <c r="F5239" s="28"/>
      <c r="H5239" s="28"/>
    </row>
    <row r="5240" spans="4:8" x14ac:dyDescent="0.25">
      <c r="D5240" s="28"/>
      <c r="F5240" s="28"/>
      <c r="H5240" s="28"/>
    </row>
    <row r="5241" spans="4:8" x14ac:dyDescent="0.25">
      <c r="D5241" s="28"/>
      <c r="F5241" s="28"/>
      <c r="H5241" s="28"/>
    </row>
    <row r="5242" spans="4:8" x14ac:dyDescent="0.25">
      <c r="D5242" s="28"/>
      <c r="F5242" s="28"/>
      <c r="H5242" s="28"/>
    </row>
    <row r="5243" spans="4:8" x14ac:dyDescent="0.25">
      <c r="D5243" s="28"/>
      <c r="F5243" s="28"/>
      <c r="H5243" s="28"/>
    </row>
    <row r="5244" spans="4:8" x14ac:dyDescent="0.25">
      <c r="D5244" s="28"/>
      <c r="F5244" s="28"/>
      <c r="H5244" s="28"/>
    </row>
    <row r="5245" spans="4:8" x14ac:dyDescent="0.25">
      <c r="D5245" s="28"/>
      <c r="F5245" s="28"/>
      <c r="H5245" s="28"/>
    </row>
    <row r="5246" spans="4:8" x14ac:dyDescent="0.25">
      <c r="D5246" s="28"/>
      <c r="F5246" s="28"/>
      <c r="H5246" s="28"/>
    </row>
    <row r="5247" spans="4:8" x14ac:dyDescent="0.25">
      <c r="D5247" s="28"/>
      <c r="F5247" s="28"/>
      <c r="H5247" s="28"/>
    </row>
    <row r="5248" spans="4:8" x14ac:dyDescent="0.25">
      <c r="D5248" s="28"/>
      <c r="F5248" s="28"/>
      <c r="H5248" s="28"/>
    </row>
    <row r="5249" spans="4:8" x14ac:dyDescent="0.25">
      <c r="D5249" s="28"/>
      <c r="F5249" s="28"/>
      <c r="H5249" s="28"/>
    </row>
    <row r="5250" spans="4:8" x14ac:dyDescent="0.25">
      <c r="D5250" s="28"/>
      <c r="F5250" s="28"/>
      <c r="H5250" s="28"/>
    </row>
    <row r="5251" spans="4:8" x14ac:dyDescent="0.25">
      <c r="D5251" s="28"/>
      <c r="F5251" s="28"/>
      <c r="H5251" s="28"/>
    </row>
    <row r="5252" spans="4:8" x14ac:dyDescent="0.25">
      <c r="D5252" s="28"/>
      <c r="F5252" s="28"/>
      <c r="H5252" s="28"/>
    </row>
    <row r="5253" spans="4:8" x14ac:dyDescent="0.25">
      <c r="D5253" s="28"/>
      <c r="F5253" s="28"/>
      <c r="H5253" s="28"/>
    </row>
    <row r="5254" spans="4:8" x14ac:dyDescent="0.25">
      <c r="D5254" s="28"/>
      <c r="F5254" s="28"/>
      <c r="H5254" s="28"/>
    </row>
    <row r="5255" spans="4:8" x14ac:dyDescent="0.25">
      <c r="D5255" s="28"/>
      <c r="F5255" s="28"/>
      <c r="H5255" s="28"/>
    </row>
    <row r="5256" spans="4:8" x14ac:dyDescent="0.25">
      <c r="D5256" s="28"/>
      <c r="F5256" s="28"/>
      <c r="H5256" s="28"/>
    </row>
    <row r="5257" spans="4:8" x14ac:dyDescent="0.25">
      <c r="D5257" s="28"/>
      <c r="F5257" s="28"/>
      <c r="H5257" s="28"/>
    </row>
    <row r="5258" spans="4:8" x14ac:dyDescent="0.25">
      <c r="D5258" s="28"/>
      <c r="F5258" s="28"/>
      <c r="H5258" s="28"/>
    </row>
    <row r="5259" spans="4:8" x14ac:dyDescent="0.25">
      <c r="D5259" s="28"/>
      <c r="F5259" s="28"/>
      <c r="H5259" s="28"/>
    </row>
    <row r="5260" spans="4:8" x14ac:dyDescent="0.25">
      <c r="D5260" s="28"/>
      <c r="F5260" s="28"/>
      <c r="H5260" s="28"/>
    </row>
    <row r="5261" spans="4:8" x14ac:dyDescent="0.25">
      <c r="D5261" s="28"/>
      <c r="F5261" s="28"/>
      <c r="H5261" s="28"/>
    </row>
    <row r="5262" spans="4:8" x14ac:dyDescent="0.25">
      <c r="D5262" s="28"/>
      <c r="F5262" s="28"/>
      <c r="H5262" s="28"/>
    </row>
    <row r="5263" spans="4:8" x14ac:dyDescent="0.25">
      <c r="D5263" s="28"/>
      <c r="F5263" s="28"/>
      <c r="H5263" s="28"/>
    </row>
    <row r="5264" spans="4:8" x14ac:dyDescent="0.25">
      <c r="D5264" s="28"/>
      <c r="F5264" s="28"/>
      <c r="H5264" s="28"/>
    </row>
    <row r="5265" spans="4:8" x14ac:dyDescent="0.25">
      <c r="D5265" s="28"/>
      <c r="F5265" s="28"/>
      <c r="H5265" s="28"/>
    </row>
    <row r="5266" spans="4:8" x14ac:dyDescent="0.25">
      <c r="D5266" s="28"/>
      <c r="F5266" s="28"/>
      <c r="H5266" s="28"/>
    </row>
    <row r="5267" spans="4:8" x14ac:dyDescent="0.25">
      <c r="D5267" s="28"/>
      <c r="F5267" s="28"/>
      <c r="H5267" s="28"/>
    </row>
    <row r="5268" spans="4:8" x14ac:dyDescent="0.25">
      <c r="D5268" s="28"/>
      <c r="F5268" s="28"/>
      <c r="H5268" s="28"/>
    </row>
    <row r="5269" spans="4:8" x14ac:dyDescent="0.25">
      <c r="D5269" s="28"/>
      <c r="F5269" s="28"/>
      <c r="H5269" s="28"/>
    </row>
    <row r="5270" spans="4:8" x14ac:dyDescent="0.25">
      <c r="D5270" s="28"/>
      <c r="F5270" s="28"/>
      <c r="H5270" s="28"/>
    </row>
    <row r="5271" spans="4:8" x14ac:dyDescent="0.25">
      <c r="D5271" s="28"/>
      <c r="F5271" s="28"/>
      <c r="H5271" s="28"/>
    </row>
    <row r="5272" spans="4:8" x14ac:dyDescent="0.25">
      <c r="D5272" s="28"/>
      <c r="F5272" s="28"/>
      <c r="H5272" s="28"/>
    </row>
    <row r="5273" spans="4:8" x14ac:dyDescent="0.25">
      <c r="D5273" s="28"/>
      <c r="F5273" s="28"/>
      <c r="H5273" s="28"/>
    </row>
    <row r="5274" spans="4:8" x14ac:dyDescent="0.25">
      <c r="D5274" s="28"/>
      <c r="F5274" s="28"/>
      <c r="H5274" s="28"/>
    </row>
    <row r="5275" spans="4:8" x14ac:dyDescent="0.25">
      <c r="D5275" s="28"/>
      <c r="F5275" s="28"/>
      <c r="H5275" s="28"/>
    </row>
    <row r="5276" spans="4:8" x14ac:dyDescent="0.25">
      <c r="D5276" s="28"/>
      <c r="F5276" s="28"/>
      <c r="H5276" s="28"/>
    </row>
    <row r="5277" spans="4:8" x14ac:dyDescent="0.25">
      <c r="D5277" s="28"/>
      <c r="F5277" s="28"/>
      <c r="H5277" s="28"/>
    </row>
    <row r="5278" spans="4:8" x14ac:dyDescent="0.25">
      <c r="D5278" s="28"/>
      <c r="F5278" s="28"/>
      <c r="H5278" s="28"/>
    </row>
    <row r="5279" spans="4:8" x14ac:dyDescent="0.25">
      <c r="D5279" s="28"/>
      <c r="F5279" s="28"/>
      <c r="H5279" s="28"/>
    </row>
    <row r="5280" spans="4:8" x14ac:dyDescent="0.25">
      <c r="D5280" s="28"/>
      <c r="F5280" s="28"/>
      <c r="H5280" s="28"/>
    </row>
    <row r="5281" spans="4:8" x14ac:dyDescent="0.25">
      <c r="D5281" s="28"/>
      <c r="F5281" s="28"/>
      <c r="H5281" s="28"/>
    </row>
    <row r="5282" spans="4:8" x14ac:dyDescent="0.25">
      <c r="D5282" s="28"/>
      <c r="F5282" s="28"/>
      <c r="H5282" s="28"/>
    </row>
    <row r="5283" spans="4:8" x14ac:dyDescent="0.25">
      <c r="D5283" s="28"/>
      <c r="F5283" s="28"/>
      <c r="H5283" s="28"/>
    </row>
    <row r="5284" spans="4:8" x14ac:dyDescent="0.25">
      <c r="D5284" s="28"/>
      <c r="F5284" s="28"/>
      <c r="H5284" s="28"/>
    </row>
    <row r="5285" spans="4:8" x14ac:dyDescent="0.25">
      <c r="D5285" s="28"/>
      <c r="F5285" s="28"/>
      <c r="H5285" s="28"/>
    </row>
    <row r="5286" spans="4:8" x14ac:dyDescent="0.25">
      <c r="D5286" s="28"/>
      <c r="F5286" s="28"/>
      <c r="H5286" s="28"/>
    </row>
    <row r="5287" spans="4:8" x14ac:dyDescent="0.25">
      <c r="D5287" s="28"/>
      <c r="F5287" s="28"/>
      <c r="H5287" s="28"/>
    </row>
    <row r="5288" spans="4:8" x14ac:dyDescent="0.25">
      <c r="D5288" s="28"/>
      <c r="F5288" s="28"/>
      <c r="H5288" s="28"/>
    </row>
    <row r="5289" spans="4:8" x14ac:dyDescent="0.25">
      <c r="D5289" s="28"/>
      <c r="F5289" s="28"/>
      <c r="H5289" s="28"/>
    </row>
    <row r="5290" spans="4:8" x14ac:dyDescent="0.25">
      <c r="D5290" s="28"/>
      <c r="F5290" s="28"/>
      <c r="H5290" s="28"/>
    </row>
    <row r="5291" spans="4:8" x14ac:dyDescent="0.25">
      <c r="D5291" s="28"/>
      <c r="F5291" s="28"/>
      <c r="H5291" s="28"/>
    </row>
    <row r="5292" spans="4:8" x14ac:dyDescent="0.25">
      <c r="D5292" s="28"/>
      <c r="F5292" s="28"/>
      <c r="H5292" s="28"/>
    </row>
    <row r="5293" spans="4:8" x14ac:dyDescent="0.25">
      <c r="D5293" s="28"/>
      <c r="F5293" s="28"/>
      <c r="H5293" s="28"/>
    </row>
    <row r="5294" spans="4:8" x14ac:dyDescent="0.25">
      <c r="D5294" s="28"/>
      <c r="F5294" s="28"/>
      <c r="H5294" s="28"/>
    </row>
    <row r="5295" spans="4:8" x14ac:dyDescent="0.25">
      <c r="D5295" s="28"/>
      <c r="F5295" s="28"/>
      <c r="H5295" s="28"/>
    </row>
    <row r="5296" spans="4:8" x14ac:dyDescent="0.25">
      <c r="D5296" s="28"/>
      <c r="F5296" s="28"/>
      <c r="H5296" s="28"/>
    </row>
    <row r="5297" spans="4:8" x14ac:dyDescent="0.25">
      <c r="D5297" s="28"/>
      <c r="F5297" s="28"/>
      <c r="H5297" s="28"/>
    </row>
    <row r="5298" spans="4:8" x14ac:dyDescent="0.25">
      <c r="D5298" s="28"/>
      <c r="F5298" s="28"/>
      <c r="H5298" s="28"/>
    </row>
    <row r="5299" spans="4:8" x14ac:dyDescent="0.25">
      <c r="D5299" s="28"/>
      <c r="F5299" s="28"/>
      <c r="H5299" s="28"/>
    </row>
    <row r="5300" spans="4:8" x14ac:dyDescent="0.25">
      <c r="D5300" s="28"/>
      <c r="F5300" s="28"/>
      <c r="H5300" s="28"/>
    </row>
    <row r="5301" spans="4:8" x14ac:dyDescent="0.25">
      <c r="D5301" s="28"/>
      <c r="F5301" s="28"/>
      <c r="H5301" s="28"/>
    </row>
    <row r="5302" spans="4:8" x14ac:dyDescent="0.25">
      <c r="D5302" s="28"/>
      <c r="F5302" s="28"/>
      <c r="H5302" s="28"/>
    </row>
    <row r="5303" spans="4:8" x14ac:dyDescent="0.25">
      <c r="D5303" s="28"/>
      <c r="F5303" s="28"/>
      <c r="H5303" s="28"/>
    </row>
    <row r="5304" spans="4:8" x14ac:dyDescent="0.25">
      <c r="D5304" s="28"/>
      <c r="F5304" s="28"/>
      <c r="H5304" s="28"/>
    </row>
    <row r="5305" spans="4:8" x14ac:dyDescent="0.25">
      <c r="D5305" s="28"/>
      <c r="F5305" s="28"/>
      <c r="H5305" s="28"/>
    </row>
    <row r="5306" spans="4:8" x14ac:dyDescent="0.25">
      <c r="D5306" s="28"/>
      <c r="F5306" s="28"/>
      <c r="H5306" s="28"/>
    </row>
    <row r="5307" spans="4:8" x14ac:dyDescent="0.25">
      <c r="D5307" s="28"/>
      <c r="F5307" s="28"/>
      <c r="H5307" s="28"/>
    </row>
    <row r="5308" spans="4:8" x14ac:dyDescent="0.25">
      <c r="D5308" s="28"/>
      <c r="F5308" s="28"/>
      <c r="H5308" s="28"/>
    </row>
    <row r="5309" spans="4:8" x14ac:dyDescent="0.25">
      <c r="D5309" s="28"/>
      <c r="F5309" s="28"/>
      <c r="H5309" s="28"/>
    </row>
    <row r="5310" spans="4:8" x14ac:dyDescent="0.25">
      <c r="D5310" s="28"/>
      <c r="F5310" s="28"/>
      <c r="H5310" s="28"/>
    </row>
    <row r="5311" spans="4:8" x14ac:dyDescent="0.25">
      <c r="D5311" s="28"/>
      <c r="F5311" s="28"/>
      <c r="H5311" s="28"/>
    </row>
    <row r="5312" spans="4:8" x14ac:dyDescent="0.25">
      <c r="D5312" s="28"/>
      <c r="F5312" s="28"/>
      <c r="H5312" s="28"/>
    </row>
    <row r="5313" spans="4:8" x14ac:dyDescent="0.25">
      <c r="D5313" s="28"/>
      <c r="F5313" s="28"/>
      <c r="H5313" s="28"/>
    </row>
    <row r="5314" spans="4:8" x14ac:dyDescent="0.25">
      <c r="D5314" s="28"/>
      <c r="F5314" s="28"/>
      <c r="H5314" s="28"/>
    </row>
    <row r="5315" spans="4:8" x14ac:dyDescent="0.25">
      <c r="D5315" s="28"/>
      <c r="F5315" s="28"/>
      <c r="H5315" s="28"/>
    </row>
    <row r="5316" spans="4:8" x14ac:dyDescent="0.25">
      <c r="D5316" s="28"/>
      <c r="F5316" s="28"/>
      <c r="H5316" s="28"/>
    </row>
    <row r="5317" spans="4:8" x14ac:dyDescent="0.25">
      <c r="D5317" s="28"/>
      <c r="F5317" s="28"/>
      <c r="H5317" s="28"/>
    </row>
    <row r="5318" spans="4:8" x14ac:dyDescent="0.25">
      <c r="D5318" s="28"/>
      <c r="F5318" s="28"/>
      <c r="H5318" s="28"/>
    </row>
    <row r="5319" spans="4:8" x14ac:dyDescent="0.25">
      <c r="D5319" s="28"/>
      <c r="F5319" s="28"/>
      <c r="H5319" s="28"/>
    </row>
    <row r="5320" spans="4:8" x14ac:dyDescent="0.25">
      <c r="D5320" s="28"/>
      <c r="F5320" s="28"/>
      <c r="H5320" s="28"/>
    </row>
    <row r="5321" spans="4:8" x14ac:dyDescent="0.25">
      <c r="D5321" s="28"/>
      <c r="F5321" s="28"/>
      <c r="H5321" s="28"/>
    </row>
    <row r="5322" spans="4:8" x14ac:dyDescent="0.25">
      <c r="D5322" s="28"/>
      <c r="F5322" s="28"/>
      <c r="H5322" s="28"/>
    </row>
    <row r="5323" spans="4:8" x14ac:dyDescent="0.25">
      <c r="D5323" s="28"/>
      <c r="F5323" s="28"/>
      <c r="H5323" s="28"/>
    </row>
    <row r="5324" spans="4:8" x14ac:dyDescent="0.25">
      <c r="D5324" s="28"/>
      <c r="F5324" s="28"/>
      <c r="H5324" s="28"/>
    </row>
    <row r="5325" spans="4:8" x14ac:dyDescent="0.25">
      <c r="D5325" s="28"/>
      <c r="F5325" s="28"/>
      <c r="H5325" s="28"/>
    </row>
    <row r="5326" spans="4:8" x14ac:dyDescent="0.25">
      <c r="D5326" s="28"/>
      <c r="F5326" s="28"/>
      <c r="H5326" s="28"/>
    </row>
    <row r="5327" spans="4:8" x14ac:dyDescent="0.25">
      <c r="D5327" s="28"/>
      <c r="F5327" s="28"/>
      <c r="H5327" s="28"/>
    </row>
    <row r="5328" spans="4:8" x14ac:dyDescent="0.25">
      <c r="D5328" s="28"/>
      <c r="F5328" s="28"/>
      <c r="H5328" s="28"/>
    </row>
    <row r="5329" spans="4:8" x14ac:dyDescent="0.25">
      <c r="D5329" s="28"/>
      <c r="F5329" s="28"/>
      <c r="H5329" s="28"/>
    </row>
    <row r="5330" spans="4:8" x14ac:dyDescent="0.25">
      <c r="D5330" s="28"/>
      <c r="F5330" s="28"/>
      <c r="H5330" s="28"/>
    </row>
    <row r="5331" spans="4:8" x14ac:dyDescent="0.25">
      <c r="D5331" s="28"/>
      <c r="F5331" s="28"/>
      <c r="H5331" s="28"/>
    </row>
    <row r="5332" spans="4:8" x14ac:dyDescent="0.25">
      <c r="D5332" s="28"/>
      <c r="F5332" s="28"/>
      <c r="H5332" s="28"/>
    </row>
    <row r="5333" spans="4:8" x14ac:dyDescent="0.25">
      <c r="D5333" s="28"/>
      <c r="F5333" s="28"/>
      <c r="H5333" s="28"/>
    </row>
    <row r="5334" spans="4:8" x14ac:dyDescent="0.25">
      <c r="D5334" s="28"/>
      <c r="F5334" s="28"/>
      <c r="H5334" s="28"/>
    </row>
    <row r="5335" spans="4:8" x14ac:dyDescent="0.25">
      <c r="D5335" s="28"/>
      <c r="F5335" s="28"/>
      <c r="H5335" s="28"/>
    </row>
    <row r="5336" spans="4:8" x14ac:dyDescent="0.25">
      <c r="D5336" s="28"/>
      <c r="F5336" s="28"/>
      <c r="H5336" s="28"/>
    </row>
    <row r="5337" spans="4:8" x14ac:dyDescent="0.25">
      <c r="D5337" s="28"/>
      <c r="F5337" s="28"/>
      <c r="H5337" s="28"/>
    </row>
    <row r="5338" spans="4:8" x14ac:dyDescent="0.25">
      <c r="D5338" s="28"/>
      <c r="F5338" s="28"/>
      <c r="H5338" s="28"/>
    </row>
    <row r="5339" spans="4:8" x14ac:dyDescent="0.25">
      <c r="D5339" s="28"/>
      <c r="F5339" s="28"/>
      <c r="H5339" s="28"/>
    </row>
    <row r="5340" spans="4:8" x14ac:dyDescent="0.25">
      <c r="D5340" s="28"/>
      <c r="F5340" s="28"/>
      <c r="H5340" s="28"/>
    </row>
    <row r="5341" spans="4:8" x14ac:dyDescent="0.25">
      <c r="D5341" s="28"/>
      <c r="F5341" s="28"/>
      <c r="H5341" s="28"/>
    </row>
    <row r="5342" spans="4:8" x14ac:dyDescent="0.25">
      <c r="D5342" s="28"/>
      <c r="F5342" s="28"/>
      <c r="H5342" s="28"/>
    </row>
    <row r="5343" spans="4:8" x14ac:dyDescent="0.25">
      <c r="D5343" s="28"/>
      <c r="F5343" s="28"/>
      <c r="H5343" s="28"/>
    </row>
    <row r="5344" spans="4:8" x14ac:dyDescent="0.25">
      <c r="D5344" s="28"/>
      <c r="F5344" s="28"/>
      <c r="H5344" s="28"/>
    </row>
    <row r="5345" spans="4:8" x14ac:dyDescent="0.25">
      <c r="D5345" s="28"/>
      <c r="F5345" s="28"/>
      <c r="H5345" s="28"/>
    </row>
    <row r="5346" spans="4:8" x14ac:dyDescent="0.25">
      <c r="D5346" s="28"/>
      <c r="F5346" s="28"/>
      <c r="H5346" s="28"/>
    </row>
    <row r="5347" spans="4:8" x14ac:dyDescent="0.25">
      <c r="D5347" s="28"/>
      <c r="F5347" s="28"/>
      <c r="H5347" s="28"/>
    </row>
    <row r="5348" spans="4:8" x14ac:dyDescent="0.25">
      <c r="D5348" s="28"/>
      <c r="F5348" s="28"/>
      <c r="H5348" s="28"/>
    </row>
    <row r="5349" spans="4:8" x14ac:dyDescent="0.25">
      <c r="D5349" s="28"/>
      <c r="F5349" s="28"/>
      <c r="H5349" s="28"/>
    </row>
    <row r="5350" spans="4:8" x14ac:dyDescent="0.25">
      <c r="D5350" s="28"/>
      <c r="F5350" s="28"/>
      <c r="H5350" s="28"/>
    </row>
    <row r="5351" spans="4:8" x14ac:dyDescent="0.25">
      <c r="D5351" s="28"/>
      <c r="F5351" s="28"/>
      <c r="H5351" s="28"/>
    </row>
    <row r="5352" spans="4:8" x14ac:dyDescent="0.25">
      <c r="D5352" s="28"/>
      <c r="F5352" s="28"/>
      <c r="H5352" s="28"/>
    </row>
    <row r="5353" spans="4:8" x14ac:dyDescent="0.25">
      <c r="D5353" s="28"/>
      <c r="F5353" s="28"/>
      <c r="H5353" s="28"/>
    </row>
    <row r="5354" spans="4:8" x14ac:dyDescent="0.25">
      <c r="D5354" s="28"/>
      <c r="F5354" s="28"/>
      <c r="H5354" s="28"/>
    </row>
    <row r="5355" spans="4:8" x14ac:dyDescent="0.25">
      <c r="D5355" s="28"/>
      <c r="F5355" s="28"/>
      <c r="H5355" s="28"/>
    </row>
    <row r="5356" spans="4:8" x14ac:dyDescent="0.25">
      <c r="D5356" s="28"/>
      <c r="F5356" s="28"/>
      <c r="H5356" s="28"/>
    </row>
    <row r="5357" spans="4:8" x14ac:dyDescent="0.25">
      <c r="D5357" s="28"/>
      <c r="F5357" s="28"/>
      <c r="H5357" s="28"/>
    </row>
    <row r="5358" spans="4:8" x14ac:dyDescent="0.25">
      <c r="D5358" s="28"/>
      <c r="F5358" s="28"/>
      <c r="H5358" s="28"/>
    </row>
    <row r="5359" spans="4:8" x14ac:dyDescent="0.25">
      <c r="D5359" s="28"/>
      <c r="F5359" s="28"/>
      <c r="H5359" s="28"/>
    </row>
    <row r="5360" spans="4:8" x14ac:dyDescent="0.25">
      <c r="D5360" s="28"/>
      <c r="F5360" s="28"/>
      <c r="H5360" s="28"/>
    </row>
    <row r="5361" spans="4:8" x14ac:dyDescent="0.25">
      <c r="D5361" s="28"/>
      <c r="F5361" s="28"/>
      <c r="H5361" s="28"/>
    </row>
    <row r="5362" spans="4:8" x14ac:dyDescent="0.25">
      <c r="D5362" s="28"/>
      <c r="F5362" s="28"/>
      <c r="H5362" s="28"/>
    </row>
    <row r="5363" spans="4:8" x14ac:dyDescent="0.25">
      <c r="D5363" s="28"/>
      <c r="F5363" s="28"/>
      <c r="H5363" s="28"/>
    </row>
    <row r="5364" spans="4:8" x14ac:dyDescent="0.25">
      <c r="D5364" s="28"/>
      <c r="F5364" s="28"/>
      <c r="H5364" s="28"/>
    </row>
    <row r="5365" spans="4:8" x14ac:dyDescent="0.25">
      <c r="D5365" s="28"/>
      <c r="F5365" s="28"/>
      <c r="H5365" s="28"/>
    </row>
    <row r="5366" spans="4:8" x14ac:dyDescent="0.25">
      <c r="D5366" s="28"/>
      <c r="F5366" s="28"/>
      <c r="H5366" s="28"/>
    </row>
    <row r="5367" spans="4:8" x14ac:dyDescent="0.25">
      <c r="D5367" s="28"/>
      <c r="F5367" s="28"/>
      <c r="H5367" s="28"/>
    </row>
    <row r="5368" spans="4:8" x14ac:dyDescent="0.25">
      <c r="D5368" s="28"/>
      <c r="F5368" s="28"/>
      <c r="H5368" s="28"/>
    </row>
    <row r="5369" spans="4:8" x14ac:dyDescent="0.25">
      <c r="D5369" s="28"/>
      <c r="F5369" s="28"/>
      <c r="H5369" s="28"/>
    </row>
    <row r="5370" spans="4:8" x14ac:dyDescent="0.25">
      <c r="D5370" s="28"/>
      <c r="F5370" s="28"/>
      <c r="H5370" s="28"/>
    </row>
    <row r="5371" spans="4:8" x14ac:dyDescent="0.25">
      <c r="D5371" s="28"/>
      <c r="F5371" s="28"/>
      <c r="H5371" s="28"/>
    </row>
    <row r="5372" spans="4:8" x14ac:dyDescent="0.25">
      <c r="D5372" s="28"/>
      <c r="F5372" s="28"/>
      <c r="H5372" s="28"/>
    </row>
    <row r="5373" spans="4:8" x14ac:dyDescent="0.25">
      <c r="D5373" s="28"/>
      <c r="F5373" s="28"/>
      <c r="H5373" s="28"/>
    </row>
    <row r="5374" spans="4:8" x14ac:dyDescent="0.25">
      <c r="D5374" s="28"/>
      <c r="F5374" s="28"/>
      <c r="H5374" s="28"/>
    </row>
    <row r="5375" spans="4:8" x14ac:dyDescent="0.25">
      <c r="D5375" s="28"/>
      <c r="F5375" s="28"/>
      <c r="H5375" s="28"/>
    </row>
    <row r="5376" spans="4:8" x14ac:dyDescent="0.25">
      <c r="D5376" s="28"/>
      <c r="F5376" s="28"/>
      <c r="H5376" s="28"/>
    </row>
    <row r="5377" spans="4:8" x14ac:dyDescent="0.25">
      <c r="D5377" s="28"/>
      <c r="F5377" s="28"/>
      <c r="H5377" s="28"/>
    </row>
    <row r="5378" spans="4:8" x14ac:dyDescent="0.25">
      <c r="D5378" s="28"/>
      <c r="F5378" s="28"/>
      <c r="H5378" s="28"/>
    </row>
    <row r="5379" spans="4:8" x14ac:dyDescent="0.25">
      <c r="D5379" s="28"/>
      <c r="F5379" s="28"/>
      <c r="H5379" s="28"/>
    </row>
    <row r="5380" spans="4:8" x14ac:dyDescent="0.25">
      <c r="D5380" s="28"/>
      <c r="F5380" s="28"/>
      <c r="H5380" s="28"/>
    </row>
    <row r="5381" spans="4:8" x14ac:dyDescent="0.25">
      <c r="D5381" s="28"/>
      <c r="F5381" s="28"/>
      <c r="H5381" s="28"/>
    </row>
    <row r="5382" spans="4:8" x14ac:dyDescent="0.25">
      <c r="D5382" s="28"/>
      <c r="F5382" s="28"/>
      <c r="H5382" s="28"/>
    </row>
    <row r="5383" spans="4:8" x14ac:dyDescent="0.25">
      <c r="D5383" s="28"/>
      <c r="F5383" s="28"/>
      <c r="H5383" s="28"/>
    </row>
    <row r="5384" spans="4:8" x14ac:dyDescent="0.25">
      <c r="D5384" s="28"/>
      <c r="F5384" s="28"/>
      <c r="H5384" s="28"/>
    </row>
    <row r="5385" spans="4:8" x14ac:dyDescent="0.25">
      <c r="D5385" s="28"/>
      <c r="F5385" s="28"/>
      <c r="H5385" s="28"/>
    </row>
    <row r="5386" spans="4:8" x14ac:dyDescent="0.25">
      <c r="D5386" s="28"/>
      <c r="F5386" s="28"/>
      <c r="H5386" s="28"/>
    </row>
    <row r="5387" spans="4:8" x14ac:dyDescent="0.25">
      <c r="D5387" s="28"/>
      <c r="F5387" s="28"/>
      <c r="H5387" s="28"/>
    </row>
    <row r="5388" spans="4:8" x14ac:dyDescent="0.25">
      <c r="D5388" s="28"/>
      <c r="F5388" s="28"/>
      <c r="H5388" s="28"/>
    </row>
    <row r="5389" spans="4:8" x14ac:dyDescent="0.25">
      <c r="D5389" s="28"/>
      <c r="F5389" s="28"/>
      <c r="H5389" s="28"/>
    </row>
    <row r="5390" spans="4:8" x14ac:dyDescent="0.25">
      <c r="D5390" s="28"/>
      <c r="F5390" s="28"/>
      <c r="H5390" s="28"/>
    </row>
    <row r="5391" spans="4:8" x14ac:dyDescent="0.25">
      <c r="D5391" s="28"/>
      <c r="F5391" s="28"/>
      <c r="H5391" s="28"/>
    </row>
    <row r="5392" spans="4:8" x14ac:dyDescent="0.25">
      <c r="D5392" s="28"/>
      <c r="F5392" s="28"/>
      <c r="H5392" s="28"/>
    </row>
    <row r="5393" spans="4:8" x14ac:dyDescent="0.25">
      <c r="D5393" s="28"/>
      <c r="F5393" s="28"/>
      <c r="H5393" s="28"/>
    </row>
    <row r="5394" spans="4:8" x14ac:dyDescent="0.25">
      <c r="D5394" s="28"/>
      <c r="F5394" s="28"/>
      <c r="H5394" s="28"/>
    </row>
    <row r="5395" spans="4:8" x14ac:dyDescent="0.25">
      <c r="D5395" s="28"/>
      <c r="F5395" s="28"/>
      <c r="H5395" s="28"/>
    </row>
    <row r="5396" spans="4:8" x14ac:dyDescent="0.25">
      <c r="D5396" s="28"/>
      <c r="F5396" s="28"/>
      <c r="H5396" s="28"/>
    </row>
    <row r="5397" spans="4:8" x14ac:dyDescent="0.25">
      <c r="D5397" s="28"/>
      <c r="F5397" s="28"/>
      <c r="H5397" s="28"/>
    </row>
    <row r="5398" spans="4:8" x14ac:dyDescent="0.25">
      <c r="D5398" s="28"/>
      <c r="F5398" s="28"/>
      <c r="H5398" s="28"/>
    </row>
    <row r="5399" spans="4:8" x14ac:dyDescent="0.25">
      <c r="D5399" s="28"/>
      <c r="F5399" s="28"/>
      <c r="H5399" s="28"/>
    </row>
    <row r="5400" spans="4:8" x14ac:dyDescent="0.25">
      <c r="D5400" s="28"/>
      <c r="F5400" s="28"/>
      <c r="H5400" s="28"/>
    </row>
    <row r="5401" spans="4:8" x14ac:dyDescent="0.25">
      <c r="D5401" s="28"/>
      <c r="F5401" s="28"/>
      <c r="H5401" s="28"/>
    </row>
    <row r="5402" spans="4:8" x14ac:dyDescent="0.25">
      <c r="D5402" s="28"/>
      <c r="F5402" s="28"/>
      <c r="H5402" s="28"/>
    </row>
    <row r="5403" spans="4:8" x14ac:dyDescent="0.25">
      <c r="D5403" s="28"/>
      <c r="F5403" s="28"/>
      <c r="H5403" s="28"/>
    </row>
    <row r="5404" spans="4:8" x14ac:dyDescent="0.25">
      <c r="D5404" s="28"/>
      <c r="F5404" s="28"/>
      <c r="H5404" s="28"/>
    </row>
    <row r="5405" spans="4:8" x14ac:dyDescent="0.25">
      <c r="D5405" s="28"/>
      <c r="F5405" s="28"/>
      <c r="H5405" s="28"/>
    </row>
    <row r="5406" spans="4:8" x14ac:dyDescent="0.25">
      <c r="D5406" s="28"/>
      <c r="F5406" s="28"/>
      <c r="H5406" s="28"/>
    </row>
    <row r="5407" spans="4:8" x14ac:dyDescent="0.25">
      <c r="D5407" s="28"/>
      <c r="F5407" s="28"/>
      <c r="H5407" s="28"/>
    </row>
    <row r="5408" spans="4:8" x14ac:dyDescent="0.25">
      <c r="D5408" s="28"/>
      <c r="F5408" s="28"/>
      <c r="H5408" s="28"/>
    </row>
    <row r="5409" spans="4:8" x14ac:dyDescent="0.25">
      <c r="D5409" s="28"/>
      <c r="F5409" s="28"/>
      <c r="H5409" s="28"/>
    </row>
    <row r="5410" spans="4:8" x14ac:dyDescent="0.25">
      <c r="D5410" s="28"/>
      <c r="F5410" s="28"/>
      <c r="H5410" s="28"/>
    </row>
    <row r="5411" spans="4:8" x14ac:dyDescent="0.25">
      <c r="D5411" s="28"/>
      <c r="F5411" s="28"/>
      <c r="H5411" s="28"/>
    </row>
    <row r="5412" spans="4:8" x14ac:dyDescent="0.25">
      <c r="D5412" s="28"/>
      <c r="F5412" s="28"/>
      <c r="H5412" s="28"/>
    </row>
    <row r="5413" spans="4:8" x14ac:dyDescent="0.25">
      <c r="D5413" s="28"/>
      <c r="F5413" s="28"/>
      <c r="H5413" s="28"/>
    </row>
    <row r="5414" spans="4:8" x14ac:dyDescent="0.25">
      <c r="D5414" s="28"/>
      <c r="F5414" s="28"/>
      <c r="H5414" s="28"/>
    </row>
    <row r="5415" spans="4:8" x14ac:dyDescent="0.25">
      <c r="D5415" s="28"/>
      <c r="F5415" s="28"/>
      <c r="H5415" s="28"/>
    </row>
    <row r="5416" spans="4:8" x14ac:dyDescent="0.25">
      <c r="D5416" s="28"/>
      <c r="F5416" s="28"/>
      <c r="H5416" s="28"/>
    </row>
    <row r="5417" spans="4:8" x14ac:dyDescent="0.25">
      <c r="D5417" s="28"/>
      <c r="F5417" s="28"/>
      <c r="H5417" s="28"/>
    </row>
    <row r="5418" spans="4:8" x14ac:dyDescent="0.25">
      <c r="D5418" s="28"/>
      <c r="F5418" s="28"/>
      <c r="H5418" s="28"/>
    </row>
    <row r="5419" spans="4:8" x14ac:dyDescent="0.25">
      <c r="D5419" s="28"/>
      <c r="F5419" s="28"/>
      <c r="H5419" s="28"/>
    </row>
    <row r="5420" spans="4:8" x14ac:dyDescent="0.25">
      <c r="D5420" s="28"/>
      <c r="F5420" s="28"/>
      <c r="H5420" s="28"/>
    </row>
    <row r="5421" spans="4:8" x14ac:dyDescent="0.25">
      <c r="D5421" s="28"/>
      <c r="F5421" s="28"/>
      <c r="H5421" s="28"/>
    </row>
    <row r="5422" spans="4:8" x14ac:dyDescent="0.25">
      <c r="D5422" s="28"/>
      <c r="F5422" s="28"/>
      <c r="H5422" s="28"/>
    </row>
    <row r="5423" spans="4:8" x14ac:dyDescent="0.25">
      <c r="D5423" s="28"/>
      <c r="F5423" s="28"/>
      <c r="H5423" s="28"/>
    </row>
    <row r="5424" spans="4:8" x14ac:dyDescent="0.25">
      <c r="D5424" s="28"/>
      <c r="F5424" s="28"/>
      <c r="H5424" s="28"/>
    </row>
    <row r="5425" spans="4:8" x14ac:dyDescent="0.25">
      <c r="D5425" s="28"/>
      <c r="F5425" s="28"/>
      <c r="H5425" s="28"/>
    </row>
    <row r="5426" spans="4:8" x14ac:dyDescent="0.25">
      <c r="D5426" s="28"/>
      <c r="F5426" s="28"/>
      <c r="H5426" s="28"/>
    </row>
    <row r="5427" spans="4:8" x14ac:dyDescent="0.25">
      <c r="D5427" s="28"/>
      <c r="F5427" s="28"/>
      <c r="H5427" s="28"/>
    </row>
    <row r="5428" spans="4:8" x14ac:dyDescent="0.25">
      <c r="D5428" s="28"/>
      <c r="F5428" s="28"/>
      <c r="H5428" s="28"/>
    </row>
    <row r="5429" spans="4:8" x14ac:dyDescent="0.25">
      <c r="D5429" s="28"/>
      <c r="F5429" s="28"/>
      <c r="H5429" s="28"/>
    </row>
    <row r="5430" spans="4:8" x14ac:dyDescent="0.25">
      <c r="D5430" s="28"/>
      <c r="F5430" s="28"/>
      <c r="H5430" s="28"/>
    </row>
    <row r="5431" spans="4:8" x14ac:dyDescent="0.25">
      <c r="D5431" s="28"/>
      <c r="F5431" s="28"/>
      <c r="H5431" s="28"/>
    </row>
    <row r="5432" spans="4:8" x14ac:dyDescent="0.25">
      <c r="D5432" s="28"/>
      <c r="F5432" s="28"/>
      <c r="H5432" s="28"/>
    </row>
    <row r="5433" spans="4:8" x14ac:dyDescent="0.25">
      <c r="D5433" s="28"/>
      <c r="F5433" s="28"/>
      <c r="H5433" s="28"/>
    </row>
    <row r="5434" spans="4:8" x14ac:dyDescent="0.25">
      <c r="D5434" s="28"/>
      <c r="F5434" s="28"/>
      <c r="H5434" s="28"/>
    </row>
    <row r="5435" spans="4:8" x14ac:dyDescent="0.25">
      <c r="D5435" s="28"/>
      <c r="F5435" s="28"/>
      <c r="H5435" s="28"/>
    </row>
    <row r="5436" spans="4:8" x14ac:dyDescent="0.25">
      <c r="D5436" s="28"/>
      <c r="F5436" s="28"/>
      <c r="H5436" s="28"/>
    </row>
    <row r="5437" spans="4:8" x14ac:dyDescent="0.25">
      <c r="D5437" s="28"/>
      <c r="F5437" s="28"/>
      <c r="H5437" s="28"/>
    </row>
    <row r="5438" spans="4:8" x14ac:dyDescent="0.25">
      <c r="D5438" s="28"/>
      <c r="F5438" s="28"/>
      <c r="H5438" s="28"/>
    </row>
    <row r="5439" spans="4:8" x14ac:dyDescent="0.25">
      <c r="D5439" s="28"/>
      <c r="F5439" s="28"/>
      <c r="H5439" s="28"/>
    </row>
    <row r="5440" spans="4:8" x14ac:dyDescent="0.25">
      <c r="D5440" s="28"/>
      <c r="F5440" s="28"/>
      <c r="H5440" s="28"/>
    </row>
    <row r="5441" spans="4:8" x14ac:dyDescent="0.25">
      <c r="D5441" s="28"/>
      <c r="F5441" s="28"/>
      <c r="H5441" s="28"/>
    </row>
    <row r="5442" spans="4:8" x14ac:dyDescent="0.25">
      <c r="D5442" s="28"/>
      <c r="F5442" s="28"/>
      <c r="H5442" s="28"/>
    </row>
    <row r="5443" spans="4:8" x14ac:dyDescent="0.25">
      <c r="D5443" s="28"/>
      <c r="F5443" s="28"/>
      <c r="H5443" s="28"/>
    </row>
    <row r="5444" spans="4:8" x14ac:dyDescent="0.25">
      <c r="D5444" s="28"/>
      <c r="F5444" s="28"/>
      <c r="H5444" s="28"/>
    </row>
    <row r="5445" spans="4:8" x14ac:dyDescent="0.25">
      <c r="D5445" s="28"/>
      <c r="F5445" s="28"/>
      <c r="H5445" s="28"/>
    </row>
    <row r="5446" spans="4:8" x14ac:dyDescent="0.25">
      <c r="D5446" s="28"/>
      <c r="F5446" s="28"/>
      <c r="H5446" s="28"/>
    </row>
    <row r="5447" spans="4:8" x14ac:dyDescent="0.25">
      <c r="D5447" s="28"/>
      <c r="F5447" s="28"/>
      <c r="H5447" s="28"/>
    </row>
    <row r="5448" spans="4:8" x14ac:dyDescent="0.25">
      <c r="D5448" s="28"/>
      <c r="F5448" s="28"/>
      <c r="H5448" s="28"/>
    </row>
    <row r="5449" spans="4:8" x14ac:dyDescent="0.25">
      <c r="D5449" s="28"/>
      <c r="F5449" s="28"/>
      <c r="H5449" s="28"/>
    </row>
    <row r="5450" spans="4:8" x14ac:dyDescent="0.25">
      <c r="D5450" s="28"/>
      <c r="F5450" s="28"/>
      <c r="H5450" s="28"/>
    </row>
    <row r="5451" spans="4:8" x14ac:dyDescent="0.25">
      <c r="D5451" s="28"/>
      <c r="F5451" s="28"/>
      <c r="H5451" s="28"/>
    </row>
    <row r="5452" spans="4:8" x14ac:dyDescent="0.25">
      <c r="D5452" s="28"/>
      <c r="F5452" s="28"/>
      <c r="H5452" s="28"/>
    </row>
    <row r="5453" spans="4:8" x14ac:dyDescent="0.25">
      <c r="D5453" s="28"/>
      <c r="F5453" s="28"/>
      <c r="H5453" s="28"/>
    </row>
    <row r="5454" spans="4:8" x14ac:dyDescent="0.25">
      <c r="D5454" s="28"/>
      <c r="F5454" s="28"/>
      <c r="H5454" s="28"/>
    </row>
    <row r="5455" spans="4:8" x14ac:dyDescent="0.25">
      <c r="D5455" s="28"/>
      <c r="F5455" s="28"/>
      <c r="H5455" s="28"/>
    </row>
    <row r="5456" spans="4:8" x14ac:dyDescent="0.25">
      <c r="D5456" s="28"/>
      <c r="F5456" s="28"/>
      <c r="H5456" s="28"/>
    </row>
    <row r="5457" spans="4:8" x14ac:dyDescent="0.25">
      <c r="D5457" s="28"/>
      <c r="F5457" s="28"/>
      <c r="H5457" s="28"/>
    </row>
    <row r="5458" spans="4:8" x14ac:dyDescent="0.25">
      <c r="D5458" s="28"/>
      <c r="F5458" s="28"/>
      <c r="H5458" s="28"/>
    </row>
    <row r="5459" spans="4:8" x14ac:dyDescent="0.25">
      <c r="D5459" s="28"/>
      <c r="F5459" s="28"/>
      <c r="H5459" s="28"/>
    </row>
    <row r="5460" spans="4:8" x14ac:dyDescent="0.25">
      <c r="D5460" s="28"/>
      <c r="F5460" s="28"/>
      <c r="H5460" s="28"/>
    </row>
    <row r="5461" spans="4:8" x14ac:dyDescent="0.25">
      <c r="D5461" s="28"/>
      <c r="F5461" s="28"/>
      <c r="H5461" s="28"/>
    </row>
    <row r="5462" spans="4:8" x14ac:dyDescent="0.25">
      <c r="D5462" s="28"/>
      <c r="F5462" s="28"/>
      <c r="H5462" s="28"/>
    </row>
    <row r="5463" spans="4:8" x14ac:dyDescent="0.25">
      <c r="D5463" s="28"/>
      <c r="F5463" s="28"/>
      <c r="H5463" s="28"/>
    </row>
    <row r="5464" spans="4:8" x14ac:dyDescent="0.25">
      <c r="D5464" s="28"/>
      <c r="F5464" s="28"/>
      <c r="H5464" s="28"/>
    </row>
    <row r="5465" spans="4:8" x14ac:dyDescent="0.25">
      <c r="D5465" s="28"/>
      <c r="F5465" s="28"/>
      <c r="H5465" s="28"/>
    </row>
    <row r="5466" spans="4:8" x14ac:dyDescent="0.25">
      <c r="D5466" s="28"/>
      <c r="F5466" s="28"/>
      <c r="H5466" s="28"/>
    </row>
    <row r="5467" spans="4:8" x14ac:dyDescent="0.25">
      <c r="D5467" s="28"/>
      <c r="F5467" s="28"/>
      <c r="H5467" s="28"/>
    </row>
    <row r="5468" spans="4:8" x14ac:dyDescent="0.25">
      <c r="D5468" s="28"/>
      <c r="F5468" s="28"/>
      <c r="H5468" s="28"/>
    </row>
    <row r="5469" spans="4:8" x14ac:dyDescent="0.25">
      <c r="D5469" s="28"/>
      <c r="F5469" s="28"/>
      <c r="H5469" s="28"/>
    </row>
    <row r="5470" spans="4:8" x14ac:dyDescent="0.25">
      <c r="D5470" s="28"/>
      <c r="F5470" s="28"/>
      <c r="H5470" s="28"/>
    </row>
    <row r="5471" spans="4:8" x14ac:dyDescent="0.25">
      <c r="D5471" s="28"/>
      <c r="F5471" s="28"/>
      <c r="H5471" s="28"/>
    </row>
    <row r="5472" spans="4:8" x14ac:dyDescent="0.25">
      <c r="D5472" s="28"/>
      <c r="F5472" s="28"/>
      <c r="H5472" s="28"/>
    </row>
    <row r="5473" spans="4:8" x14ac:dyDescent="0.25">
      <c r="D5473" s="28"/>
      <c r="F5473" s="28"/>
      <c r="H5473" s="28"/>
    </row>
    <row r="5474" spans="4:8" x14ac:dyDescent="0.25">
      <c r="D5474" s="28"/>
      <c r="F5474" s="28"/>
      <c r="H5474" s="28"/>
    </row>
    <row r="5475" spans="4:8" x14ac:dyDescent="0.25">
      <c r="D5475" s="28"/>
      <c r="F5475" s="28"/>
      <c r="H5475" s="28"/>
    </row>
    <row r="5476" spans="4:8" x14ac:dyDescent="0.25">
      <c r="D5476" s="28"/>
      <c r="F5476" s="28"/>
      <c r="H5476" s="28"/>
    </row>
    <row r="5477" spans="4:8" x14ac:dyDescent="0.25">
      <c r="D5477" s="28"/>
      <c r="F5477" s="28"/>
      <c r="H5477" s="28"/>
    </row>
    <row r="5478" spans="4:8" x14ac:dyDescent="0.25">
      <c r="D5478" s="28"/>
      <c r="F5478" s="28"/>
      <c r="H5478" s="28"/>
    </row>
    <row r="5479" spans="4:8" x14ac:dyDescent="0.25">
      <c r="D5479" s="28"/>
      <c r="F5479" s="28"/>
      <c r="H5479" s="28"/>
    </row>
    <row r="5480" spans="4:8" x14ac:dyDescent="0.25">
      <c r="D5480" s="28"/>
      <c r="F5480" s="28"/>
      <c r="H5480" s="28"/>
    </row>
    <row r="5481" spans="4:8" x14ac:dyDescent="0.25">
      <c r="D5481" s="28"/>
      <c r="F5481" s="28"/>
      <c r="H5481" s="28"/>
    </row>
    <row r="5482" spans="4:8" x14ac:dyDescent="0.25">
      <c r="D5482" s="28"/>
      <c r="F5482" s="28"/>
      <c r="H5482" s="28"/>
    </row>
    <row r="5483" spans="4:8" x14ac:dyDescent="0.25">
      <c r="D5483" s="28"/>
      <c r="F5483" s="28"/>
      <c r="H5483" s="28"/>
    </row>
    <row r="5484" spans="4:8" x14ac:dyDescent="0.25">
      <c r="D5484" s="28"/>
      <c r="F5484" s="28"/>
      <c r="H5484" s="28"/>
    </row>
    <row r="5485" spans="4:8" x14ac:dyDescent="0.25">
      <c r="D5485" s="28"/>
      <c r="F5485" s="28"/>
      <c r="H5485" s="28"/>
    </row>
    <row r="5486" spans="4:8" x14ac:dyDescent="0.25">
      <c r="D5486" s="28"/>
      <c r="F5486" s="28"/>
      <c r="H5486" s="28"/>
    </row>
    <row r="5487" spans="4:8" x14ac:dyDescent="0.25">
      <c r="D5487" s="28"/>
      <c r="F5487" s="28"/>
      <c r="H5487" s="28"/>
    </row>
    <row r="5488" spans="4:8" x14ac:dyDescent="0.25">
      <c r="D5488" s="28"/>
      <c r="F5488" s="28"/>
      <c r="H5488" s="28"/>
    </row>
    <row r="5489" spans="4:8" x14ac:dyDescent="0.25">
      <c r="D5489" s="28"/>
      <c r="F5489" s="28"/>
      <c r="H5489" s="28"/>
    </row>
    <row r="5490" spans="4:8" x14ac:dyDescent="0.25">
      <c r="D5490" s="28"/>
      <c r="F5490" s="28"/>
      <c r="H5490" s="28"/>
    </row>
    <row r="5491" spans="4:8" x14ac:dyDescent="0.25">
      <c r="D5491" s="28"/>
      <c r="F5491" s="28"/>
      <c r="H5491" s="28"/>
    </row>
    <row r="5492" spans="4:8" x14ac:dyDescent="0.25">
      <c r="D5492" s="28"/>
      <c r="F5492" s="28"/>
      <c r="H5492" s="28"/>
    </row>
    <row r="5493" spans="4:8" x14ac:dyDescent="0.25">
      <c r="D5493" s="28"/>
      <c r="F5493" s="28"/>
      <c r="H5493" s="28"/>
    </row>
    <row r="5494" spans="4:8" x14ac:dyDescent="0.25">
      <c r="D5494" s="28"/>
      <c r="F5494" s="28"/>
      <c r="H5494" s="28"/>
    </row>
    <row r="5495" spans="4:8" x14ac:dyDescent="0.25">
      <c r="D5495" s="28"/>
      <c r="F5495" s="28"/>
      <c r="H5495" s="28"/>
    </row>
    <row r="5496" spans="4:8" x14ac:dyDescent="0.25">
      <c r="D5496" s="28"/>
      <c r="F5496" s="28"/>
      <c r="H5496" s="28"/>
    </row>
    <row r="5497" spans="4:8" x14ac:dyDescent="0.25">
      <c r="D5497" s="28"/>
      <c r="F5497" s="28"/>
      <c r="H5497" s="28"/>
    </row>
    <row r="5498" spans="4:8" x14ac:dyDescent="0.25">
      <c r="D5498" s="28"/>
      <c r="F5498" s="28"/>
      <c r="H5498" s="28"/>
    </row>
    <row r="5499" spans="4:8" x14ac:dyDescent="0.25">
      <c r="D5499" s="28"/>
      <c r="F5499" s="28"/>
      <c r="H5499" s="28"/>
    </row>
    <row r="5500" spans="4:8" x14ac:dyDescent="0.25">
      <c r="D5500" s="28"/>
      <c r="F5500" s="28"/>
      <c r="H5500" s="28"/>
    </row>
    <row r="5501" spans="4:8" x14ac:dyDescent="0.25">
      <c r="D5501" s="28"/>
      <c r="F5501" s="28"/>
      <c r="H5501" s="28"/>
    </row>
    <row r="5502" spans="4:8" x14ac:dyDescent="0.25">
      <c r="D5502" s="28"/>
      <c r="F5502" s="28"/>
      <c r="H5502" s="28"/>
    </row>
    <row r="5503" spans="4:8" x14ac:dyDescent="0.25">
      <c r="D5503" s="28"/>
      <c r="F5503" s="28"/>
      <c r="H5503" s="28"/>
    </row>
    <row r="5504" spans="4:8" x14ac:dyDescent="0.25">
      <c r="D5504" s="28"/>
      <c r="F5504" s="28"/>
      <c r="H5504" s="28"/>
    </row>
    <row r="5505" spans="4:8" x14ac:dyDescent="0.25">
      <c r="D5505" s="28"/>
      <c r="F5505" s="28"/>
      <c r="H5505" s="28"/>
    </row>
    <row r="5506" spans="4:8" x14ac:dyDescent="0.25">
      <c r="D5506" s="28"/>
      <c r="F5506" s="28"/>
      <c r="H5506" s="28"/>
    </row>
    <row r="5507" spans="4:8" x14ac:dyDescent="0.25">
      <c r="D5507" s="28"/>
      <c r="F5507" s="28"/>
      <c r="H5507" s="28"/>
    </row>
    <row r="5508" spans="4:8" x14ac:dyDescent="0.25">
      <c r="D5508" s="28"/>
      <c r="F5508" s="28"/>
      <c r="H5508" s="28"/>
    </row>
    <row r="5509" spans="4:8" x14ac:dyDescent="0.25">
      <c r="D5509" s="28"/>
      <c r="F5509" s="28"/>
      <c r="H5509" s="28"/>
    </row>
    <row r="5510" spans="4:8" x14ac:dyDescent="0.25">
      <c r="D5510" s="28"/>
      <c r="F5510" s="28"/>
      <c r="H5510" s="28"/>
    </row>
    <row r="5511" spans="4:8" x14ac:dyDescent="0.25">
      <c r="D5511" s="28"/>
      <c r="F5511" s="28"/>
      <c r="H5511" s="28"/>
    </row>
    <row r="5512" spans="4:8" x14ac:dyDescent="0.25">
      <c r="D5512" s="28"/>
      <c r="F5512" s="28"/>
      <c r="H5512" s="28"/>
    </row>
    <row r="5513" spans="4:8" x14ac:dyDescent="0.25">
      <c r="D5513" s="28"/>
      <c r="F5513" s="28"/>
      <c r="H5513" s="28"/>
    </row>
    <row r="5514" spans="4:8" x14ac:dyDescent="0.25">
      <c r="D5514" s="28"/>
      <c r="F5514" s="28"/>
      <c r="H5514" s="28"/>
    </row>
    <row r="5515" spans="4:8" x14ac:dyDescent="0.25">
      <c r="D5515" s="28"/>
      <c r="F5515" s="28"/>
      <c r="H5515" s="28"/>
    </row>
    <row r="5516" spans="4:8" x14ac:dyDescent="0.25">
      <c r="D5516" s="28"/>
      <c r="F5516" s="28"/>
      <c r="H5516" s="28"/>
    </row>
    <row r="5517" spans="4:8" x14ac:dyDescent="0.25">
      <c r="D5517" s="28"/>
      <c r="F5517" s="28"/>
      <c r="H5517" s="28"/>
    </row>
    <row r="5518" spans="4:8" x14ac:dyDescent="0.25">
      <c r="D5518" s="28"/>
      <c r="F5518" s="28"/>
      <c r="H5518" s="28"/>
    </row>
    <row r="5519" spans="4:8" x14ac:dyDescent="0.25">
      <c r="D5519" s="28"/>
      <c r="F5519" s="28"/>
      <c r="H5519" s="28"/>
    </row>
    <row r="5520" spans="4:8" x14ac:dyDescent="0.25">
      <c r="D5520" s="28"/>
      <c r="F5520" s="28"/>
      <c r="H5520" s="28"/>
    </row>
    <row r="5521" spans="4:8" x14ac:dyDescent="0.25">
      <c r="D5521" s="28"/>
      <c r="F5521" s="28"/>
      <c r="H5521" s="28"/>
    </row>
    <row r="5522" spans="4:8" x14ac:dyDescent="0.25">
      <c r="D5522" s="28"/>
      <c r="F5522" s="28"/>
      <c r="H5522" s="28"/>
    </row>
    <row r="5523" spans="4:8" x14ac:dyDescent="0.25">
      <c r="D5523" s="28"/>
      <c r="F5523" s="28"/>
      <c r="H5523" s="28"/>
    </row>
    <row r="5524" spans="4:8" x14ac:dyDescent="0.25">
      <c r="D5524" s="28"/>
      <c r="F5524" s="28"/>
      <c r="H5524" s="28"/>
    </row>
    <row r="5525" spans="4:8" x14ac:dyDescent="0.25">
      <c r="D5525" s="28"/>
      <c r="F5525" s="28"/>
      <c r="H5525" s="28"/>
    </row>
    <row r="5526" spans="4:8" x14ac:dyDescent="0.25">
      <c r="D5526" s="28"/>
      <c r="F5526" s="28"/>
      <c r="H5526" s="28"/>
    </row>
    <row r="5527" spans="4:8" x14ac:dyDescent="0.25">
      <c r="D5527" s="28"/>
      <c r="F5527" s="28"/>
      <c r="H5527" s="28"/>
    </row>
    <row r="5528" spans="4:8" x14ac:dyDescent="0.25">
      <c r="D5528" s="28"/>
      <c r="F5528" s="28"/>
      <c r="H5528" s="28"/>
    </row>
    <row r="5529" spans="4:8" x14ac:dyDescent="0.25">
      <c r="D5529" s="28"/>
      <c r="F5529" s="28"/>
      <c r="H5529" s="28"/>
    </row>
    <row r="5530" spans="4:8" x14ac:dyDescent="0.25">
      <c r="D5530" s="28"/>
      <c r="F5530" s="28"/>
      <c r="H5530" s="28"/>
    </row>
    <row r="5531" spans="4:8" x14ac:dyDescent="0.25">
      <c r="D5531" s="28"/>
      <c r="F5531" s="28"/>
      <c r="H5531" s="28"/>
    </row>
    <row r="5532" spans="4:8" x14ac:dyDescent="0.25">
      <c r="D5532" s="28"/>
      <c r="F5532" s="28"/>
      <c r="H5532" s="28"/>
    </row>
    <row r="5533" spans="4:8" x14ac:dyDescent="0.25">
      <c r="D5533" s="28"/>
      <c r="F5533" s="28"/>
      <c r="H5533" s="28"/>
    </row>
    <row r="5534" spans="4:8" x14ac:dyDescent="0.25">
      <c r="D5534" s="28"/>
      <c r="F5534" s="28"/>
      <c r="H5534" s="28"/>
    </row>
    <row r="5535" spans="4:8" x14ac:dyDescent="0.25">
      <c r="D5535" s="28"/>
      <c r="F5535" s="28"/>
      <c r="H5535" s="28"/>
    </row>
    <row r="5536" spans="4:8" x14ac:dyDescent="0.25">
      <c r="D5536" s="28"/>
      <c r="F5536" s="28"/>
      <c r="H5536" s="28"/>
    </row>
    <row r="5537" spans="4:8" x14ac:dyDescent="0.25">
      <c r="D5537" s="28"/>
      <c r="F5537" s="28"/>
      <c r="H5537" s="28"/>
    </row>
    <row r="5538" spans="4:8" x14ac:dyDescent="0.25">
      <c r="D5538" s="28"/>
      <c r="F5538" s="28"/>
      <c r="H5538" s="28"/>
    </row>
    <row r="5539" spans="4:8" x14ac:dyDescent="0.25">
      <c r="D5539" s="28"/>
      <c r="F5539" s="28"/>
      <c r="H5539" s="28"/>
    </row>
    <row r="5540" spans="4:8" x14ac:dyDescent="0.25">
      <c r="D5540" s="28"/>
      <c r="F5540" s="28"/>
      <c r="H5540" s="28"/>
    </row>
    <row r="5541" spans="4:8" x14ac:dyDescent="0.25">
      <c r="D5541" s="28"/>
      <c r="F5541" s="28"/>
      <c r="H5541" s="28"/>
    </row>
    <row r="5542" spans="4:8" x14ac:dyDescent="0.25">
      <c r="D5542" s="28"/>
      <c r="F5542" s="28"/>
      <c r="H5542" s="28"/>
    </row>
    <row r="5543" spans="4:8" x14ac:dyDescent="0.25">
      <c r="D5543" s="28"/>
      <c r="F5543" s="28"/>
      <c r="H5543" s="28"/>
    </row>
    <row r="5544" spans="4:8" x14ac:dyDescent="0.25">
      <c r="D5544" s="28"/>
      <c r="F5544" s="28"/>
      <c r="H5544" s="28"/>
    </row>
    <row r="5545" spans="4:8" x14ac:dyDescent="0.25">
      <c r="D5545" s="28"/>
      <c r="F5545" s="28"/>
      <c r="H5545" s="28"/>
    </row>
    <row r="5546" spans="4:8" x14ac:dyDescent="0.25">
      <c r="D5546" s="28"/>
      <c r="F5546" s="28"/>
      <c r="H5546" s="28"/>
    </row>
    <row r="5547" spans="4:8" x14ac:dyDescent="0.25">
      <c r="D5547" s="28"/>
      <c r="F5547" s="28"/>
      <c r="H5547" s="28"/>
    </row>
    <row r="5548" spans="4:8" x14ac:dyDescent="0.25">
      <c r="D5548" s="28"/>
      <c r="F5548" s="28"/>
      <c r="H5548" s="28"/>
    </row>
    <row r="5549" spans="4:8" x14ac:dyDescent="0.25">
      <c r="D5549" s="28"/>
      <c r="F5549" s="28"/>
      <c r="H5549" s="28"/>
    </row>
    <row r="5550" spans="4:8" x14ac:dyDescent="0.25">
      <c r="D5550" s="28"/>
      <c r="F5550" s="28"/>
      <c r="H5550" s="28"/>
    </row>
    <row r="5551" spans="4:8" x14ac:dyDescent="0.25">
      <c r="D5551" s="28"/>
      <c r="F5551" s="28"/>
      <c r="H5551" s="28"/>
    </row>
    <row r="5552" spans="4:8" x14ac:dyDescent="0.25">
      <c r="D5552" s="28"/>
      <c r="F5552" s="28"/>
      <c r="H5552" s="28"/>
    </row>
    <row r="5553" spans="4:8" x14ac:dyDescent="0.25">
      <c r="D5553" s="28"/>
      <c r="F5553" s="28"/>
      <c r="H5553" s="28"/>
    </row>
    <row r="5554" spans="4:8" x14ac:dyDescent="0.25">
      <c r="D5554" s="28"/>
      <c r="F5554" s="28"/>
      <c r="H5554" s="28"/>
    </row>
    <row r="5555" spans="4:8" x14ac:dyDescent="0.25">
      <c r="D5555" s="28"/>
      <c r="F5555" s="28"/>
      <c r="H5555" s="28"/>
    </row>
    <row r="5556" spans="4:8" x14ac:dyDescent="0.25">
      <c r="D5556" s="28"/>
      <c r="F5556" s="28"/>
      <c r="H5556" s="28"/>
    </row>
    <row r="5557" spans="4:8" x14ac:dyDescent="0.25">
      <c r="D5557" s="28"/>
      <c r="F5557" s="28"/>
      <c r="H5557" s="28"/>
    </row>
    <row r="5558" spans="4:8" x14ac:dyDescent="0.25">
      <c r="D5558" s="28"/>
      <c r="F5558" s="28"/>
      <c r="H5558" s="28"/>
    </row>
    <row r="5559" spans="4:8" x14ac:dyDescent="0.25">
      <c r="D5559" s="28"/>
      <c r="F5559" s="28"/>
      <c r="H5559" s="28"/>
    </row>
    <row r="5560" spans="4:8" x14ac:dyDescent="0.25">
      <c r="D5560" s="28"/>
      <c r="F5560" s="28"/>
      <c r="H5560" s="28"/>
    </row>
    <row r="5561" spans="4:8" x14ac:dyDescent="0.25">
      <c r="D5561" s="28"/>
      <c r="F5561" s="28"/>
      <c r="H5561" s="28"/>
    </row>
    <row r="5562" spans="4:8" x14ac:dyDescent="0.25">
      <c r="D5562" s="28"/>
      <c r="F5562" s="28"/>
      <c r="H5562" s="28"/>
    </row>
    <row r="5563" spans="4:8" x14ac:dyDescent="0.25">
      <c r="D5563" s="28"/>
      <c r="F5563" s="28"/>
      <c r="H5563" s="28"/>
    </row>
    <row r="5564" spans="4:8" x14ac:dyDescent="0.25">
      <c r="D5564" s="28"/>
      <c r="F5564" s="28"/>
      <c r="H5564" s="28"/>
    </row>
    <row r="5565" spans="4:8" x14ac:dyDescent="0.25">
      <c r="D5565" s="28"/>
      <c r="F5565" s="28"/>
      <c r="H5565" s="28"/>
    </row>
    <row r="5566" spans="4:8" x14ac:dyDescent="0.25">
      <c r="D5566" s="28"/>
      <c r="F5566" s="28"/>
      <c r="H5566" s="28"/>
    </row>
    <row r="5567" spans="4:8" x14ac:dyDescent="0.25">
      <c r="D5567" s="28"/>
      <c r="F5567" s="28"/>
      <c r="H5567" s="28"/>
    </row>
    <row r="5568" spans="4:8" x14ac:dyDescent="0.25">
      <c r="D5568" s="28"/>
      <c r="F5568" s="28"/>
      <c r="H5568" s="28"/>
    </row>
    <row r="5569" spans="4:8" x14ac:dyDescent="0.25">
      <c r="D5569" s="28"/>
      <c r="F5569" s="28"/>
      <c r="H5569" s="28"/>
    </row>
    <row r="5570" spans="4:8" x14ac:dyDescent="0.25">
      <c r="D5570" s="28"/>
      <c r="F5570" s="28"/>
      <c r="H5570" s="28"/>
    </row>
    <row r="5571" spans="4:8" x14ac:dyDescent="0.25">
      <c r="D5571" s="28"/>
      <c r="F5571" s="28"/>
      <c r="H5571" s="28"/>
    </row>
    <row r="5572" spans="4:8" x14ac:dyDescent="0.25">
      <c r="D5572" s="28"/>
      <c r="F5572" s="28"/>
      <c r="H5572" s="28"/>
    </row>
    <row r="5573" spans="4:8" x14ac:dyDescent="0.25">
      <c r="D5573" s="28"/>
      <c r="F5573" s="28"/>
      <c r="H5573" s="28"/>
    </row>
    <row r="5574" spans="4:8" x14ac:dyDescent="0.25">
      <c r="D5574" s="28"/>
      <c r="F5574" s="28"/>
      <c r="H5574" s="28"/>
    </row>
    <row r="5575" spans="4:8" x14ac:dyDescent="0.25">
      <c r="D5575" s="28"/>
      <c r="F5575" s="28"/>
      <c r="H5575" s="28"/>
    </row>
    <row r="5576" spans="4:8" x14ac:dyDescent="0.25">
      <c r="D5576" s="28"/>
      <c r="F5576" s="28"/>
      <c r="H5576" s="28"/>
    </row>
    <row r="5577" spans="4:8" x14ac:dyDescent="0.25">
      <c r="D5577" s="28"/>
      <c r="F5577" s="28"/>
      <c r="H5577" s="28"/>
    </row>
    <row r="5578" spans="4:8" x14ac:dyDescent="0.25">
      <c r="D5578" s="28"/>
      <c r="F5578" s="28"/>
      <c r="H5578" s="28"/>
    </row>
    <row r="5579" spans="4:8" x14ac:dyDescent="0.25">
      <c r="D5579" s="28"/>
      <c r="F5579" s="28"/>
      <c r="H5579" s="28"/>
    </row>
    <row r="5580" spans="4:8" x14ac:dyDescent="0.25">
      <c r="D5580" s="28"/>
      <c r="F5580" s="28"/>
      <c r="H5580" s="28"/>
    </row>
    <row r="5581" spans="4:8" x14ac:dyDescent="0.25">
      <c r="D5581" s="28"/>
      <c r="F5581" s="28"/>
      <c r="H5581" s="28"/>
    </row>
    <row r="5582" spans="4:8" x14ac:dyDescent="0.25">
      <c r="D5582" s="28"/>
      <c r="F5582" s="28"/>
      <c r="H5582" s="28"/>
    </row>
    <row r="5583" spans="4:8" x14ac:dyDescent="0.25">
      <c r="D5583" s="28"/>
      <c r="F5583" s="28"/>
      <c r="H5583" s="28"/>
    </row>
    <row r="5584" spans="4:8" x14ac:dyDescent="0.25">
      <c r="D5584" s="28"/>
      <c r="F5584" s="28"/>
      <c r="H5584" s="28"/>
    </row>
    <row r="5585" spans="4:8" x14ac:dyDescent="0.25">
      <c r="D5585" s="28"/>
      <c r="F5585" s="28"/>
      <c r="H5585" s="28"/>
    </row>
    <row r="5586" spans="4:8" x14ac:dyDescent="0.25">
      <c r="D5586" s="28"/>
      <c r="F5586" s="28"/>
      <c r="H5586" s="28"/>
    </row>
    <row r="5587" spans="4:8" x14ac:dyDescent="0.25">
      <c r="D5587" s="28"/>
      <c r="F5587" s="28"/>
      <c r="H5587" s="28"/>
    </row>
    <row r="5588" spans="4:8" x14ac:dyDescent="0.25">
      <c r="D5588" s="28"/>
      <c r="F5588" s="28"/>
      <c r="H5588" s="28"/>
    </row>
    <row r="5589" spans="4:8" x14ac:dyDescent="0.25">
      <c r="D5589" s="28"/>
      <c r="F5589" s="28"/>
      <c r="H5589" s="28"/>
    </row>
    <row r="5590" spans="4:8" x14ac:dyDescent="0.25">
      <c r="D5590" s="28"/>
      <c r="F5590" s="28"/>
      <c r="H5590" s="28"/>
    </row>
    <row r="5591" spans="4:8" x14ac:dyDescent="0.25">
      <c r="D5591" s="28"/>
      <c r="F5591" s="28"/>
      <c r="H5591" s="28"/>
    </row>
    <row r="5592" spans="4:8" x14ac:dyDescent="0.25">
      <c r="D5592" s="28"/>
      <c r="F5592" s="28"/>
      <c r="H5592" s="28"/>
    </row>
    <row r="5593" spans="4:8" x14ac:dyDescent="0.25">
      <c r="D5593" s="28"/>
      <c r="F5593" s="28"/>
      <c r="H5593" s="28"/>
    </row>
    <row r="5594" spans="4:8" x14ac:dyDescent="0.25">
      <c r="D5594" s="28"/>
      <c r="F5594" s="28"/>
      <c r="H5594" s="28"/>
    </row>
    <row r="5595" spans="4:8" x14ac:dyDescent="0.25">
      <c r="D5595" s="28"/>
      <c r="F5595" s="28"/>
      <c r="H5595" s="28"/>
    </row>
    <row r="5596" spans="4:8" x14ac:dyDescent="0.25">
      <c r="D5596" s="28"/>
      <c r="F5596" s="28"/>
      <c r="H5596" s="28"/>
    </row>
    <row r="5597" spans="4:8" x14ac:dyDescent="0.25">
      <c r="D5597" s="28"/>
      <c r="F5597" s="28"/>
      <c r="H5597" s="28"/>
    </row>
    <row r="5598" spans="4:8" x14ac:dyDescent="0.25">
      <c r="D5598" s="28"/>
      <c r="F5598" s="28"/>
      <c r="H5598" s="28"/>
    </row>
    <row r="5599" spans="4:8" x14ac:dyDescent="0.25">
      <c r="D5599" s="28"/>
      <c r="F5599" s="28"/>
      <c r="H5599" s="28"/>
    </row>
    <row r="5600" spans="4:8" x14ac:dyDescent="0.25">
      <c r="D5600" s="28"/>
      <c r="F5600" s="28"/>
      <c r="H5600" s="28"/>
    </row>
    <row r="5601" spans="4:8" x14ac:dyDescent="0.25">
      <c r="D5601" s="28"/>
      <c r="F5601" s="28"/>
      <c r="H5601" s="28"/>
    </row>
    <row r="5602" spans="4:8" x14ac:dyDescent="0.25">
      <c r="D5602" s="28"/>
      <c r="F5602" s="28"/>
      <c r="H5602" s="28"/>
    </row>
    <row r="5603" spans="4:8" x14ac:dyDescent="0.25">
      <c r="D5603" s="28"/>
      <c r="F5603" s="28"/>
      <c r="H5603" s="28"/>
    </row>
    <row r="5604" spans="4:8" x14ac:dyDescent="0.25">
      <c r="D5604" s="28"/>
      <c r="F5604" s="28"/>
      <c r="H5604" s="28"/>
    </row>
    <row r="5605" spans="4:8" x14ac:dyDescent="0.25">
      <c r="D5605" s="28"/>
      <c r="F5605" s="28"/>
      <c r="H5605" s="28"/>
    </row>
    <row r="5606" spans="4:8" x14ac:dyDescent="0.25">
      <c r="D5606" s="28"/>
      <c r="F5606" s="28"/>
      <c r="H5606" s="28"/>
    </row>
    <row r="5607" spans="4:8" x14ac:dyDescent="0.25">
      <c r="D5607" s="28"/>
      <c r="F5607" s="28"/>
      <c r="H5607" s="28"/>
    </row>
    <row r="5608" spans="4:8" x14ac:dyDescent="0.25">
      <c r="D5608" s="28"/>
      <c r="F5608" s="28"/>
      <c r="H5608" s="28"/>
    </row>
    <row r="5609" spans="4:8" x14ac:dyDescent="0.25">
      <c r="D5609" s="28"/>
      <c r="F5609" s="28"/>
      <c r="H5609" s="28"/>
    </row>
    <row r="5610" spans="4:8" x14ac:dyDescent="0.25">
      <c r="D5610" s="28"/>
      <c r="F5610" s="28"/>
      <c r="H5610" s="28"/>
    </row>
    <row r="5611" spans="4:8" x14ac:dyDescent="0.25">
      <c r="D5611" s="28"/>
      <c r="F5611" s="28"/>
      <c r="H5611" s="28"/>
    </row>
    <row r="5612" spans="4:8" x14ac:dyDescent="0.25">
      <c r="D5612" s="28"/>
      <c r="F5612" s="28"/>
      <c r="H5612" s="28"/>
    </row>
    <row r="5613" spans="4:8" x14ac:dyDescent="0.25">
      <c r="D5613" s="28"/>
      <c r="F5613" s="28"/>
      <c r="H5613" s="28"/>
    </row>
    <row r="5614" spans="4:8" x14ac:dyDescent="0.25">
      <c r="D5614" s="28"/>
      <c r="F5614" s="28"/>
      <c r="H5614" s="28"/>
    </row>
    <row r="5615" spans="4:8" x14ac:dyDescent="0.25">
      <c r="D5615" s="28"/>
      <c r="F5615" s="28"/>
      <c r="H5615" s="28"/>
    </row>
    <row r="5616" spans="4:8" x14ac:dyDescent="0.25">
      <c r="D5616" s="28"/>
      <c r="F5616" s="28"/>
      <c r="H5616" s="28"/>
    </row>
    <row r="5617" spans="4:8" x14ac:dyDescent="0.25">
      <c r="D5617" s="28"/>
      <c r="F5617" s="28"/>
      <c r="H5617" s="28"/>
    </row>
    <row r="5618" spans="4:8" x14ac:dyDescent="0.25">
      <c r="D5618" s="28"/>
      <c r="F5618" s="28"/>
      <c r="H5618" s="28"/>
    </row>
    <row r="5619" spans="4:8" x14ac:dyDescent="0.25">
      <c r="D5619" s="28"/>
      <c r="F5619" s="28"/>
      <c r="H5619" s="28"/>
    </row>
    <row r="5620" spans="4:8" x14ac:dyDescent="0.25">
      <c r="D5620" s="28"/>
      <c r="F5620" s="28"/>
      <c r="H5620" s="28"/>
    </row>
    <row r="5621" spans="4:8" x14ac:dyDescent="0.25">
      <c r="D5621" s="28"/>
      <c r="F5621" s="28"/>
      <c r="H5621" s="28"/>
    </row>
    <row r="5622" spans="4:8" x14ac:dyDescent="0.25">
      <c r="D5622" s="28"/>
      <c r="F5622" s="28"/>
      <c r="H5622" s="28"/>
    </row>
    <row r="5623" spans="4:8" x14ac:dyDescent="0.25">
      <c r="D5623" s="28"/>
      <c r="F5623" s="28"/>
      <c r="H5623" s="28"/>
    </row>
    <row r="5624" spans="4:8" x14ac:dyDescent="0.25">
      <c r="D5624" s="28"/>
      <c r="F5624" s="28"/>
      <c r="H5624" s="28"/>
    </row>
    <row r="5625" spans="4:8" x14ac:dyDescent="0.25">
      <c r="D5625" s="28"/>
      <c r="F5625" s="28"/>
      <c r="H5625" s="28"/>
    </row>
    <row r="5626" spans="4:8" x14ac:dyDescent="0.25">
      <c r="D5626" s="28"/>
      <c r="F5626" s="28"/>
      <c r="H5626" s="28"/>
    </row>
    <row r="5627" spans="4:8" x14ac:dyDescent="0.25">
      <c r="D5627" s="28"/>
      <c r="F5627" s="28"/>
      <c r="H5627" s="28"/>
    </row>
    <row r="5628" spans="4:8" x14ac:dyDescent="0.25">
      <c r="D5628" s="28"/>
      <c r="F5628" s="28"/>
      <c r="H5628" s="28"/>
    </row>
    <row r="5629" spans="4:8" x14ac:dyDescent="0.25">
      <c r="D5629" s="28"/>
      <c r="F5629" s="28"/>
      <c r="H5629" s="28"/>
    </row>
    <row r="5630" spans="4:8" x14ac:dyDescent="0.25">
      <c r="D5630" s="28"/>
      <c r="F5630" s="28"/>
      <c r="H5630" s="28"/>
    </row>
    <row r="5631" spans="4:8" x14ac:dyDescent="0.25">
      <c r="D5631" s="28"/>
      <c r="F5631" s="28"/>
      <c r="H5631" s="28"/>
    </row>
    <row r="5632" spans="4:8" x14ac:dyDescent="0.25">
      <c r="D5632" s="28"/>
      <c r="F5632" s="28"/>
      <c r="H5632" s="28"/>
    </row>
    <row r="5633" spans="4:8" x14ac:dyDescent="0.25">
      <c r="D5633" s="28"/>
      <c r="F5633" s="28"/>
      <c r="H5633" s="28"/>
    </row>
    <row r="5634" spans="4:8" x14ac:dyDescent="0.25">
      <c r="D5634" s="28"/>
      <c r="F5634" s="28"/>
      <c r="H5634" s="28"/>
    </row>
    <row r="5635" spans="4:8" x14ac:dyDescent="0.25">
      <c r="D5635" s="28"/>
      <c r="F5635" s="28"/>
      <c r="H5635" s="28"/>
    </row>
    <row r="5636" spans="4:8" x14ac:dyDescent="0.25">
      <c r="D5636" s="28"/>
      <c r="F5636" s="28"/>
      <c r="H5636" s="28"/>
    </row>
    <row r="5637" spans="4:8" x14ac:dyDescent="0.25">
      <c r="D5637" s="28"/>
      <c r="F5637" s="28"/>
      <c r="H5637" s="28"/>
    </row>
    <row r="5638" spans="4:8" x14ac:dyDescent="0.25">
      <c r="D5638" s="28"/>
      <c r="F5638" s="28"/>
      <c r="H5638" s="28"/>
    </row>
    <row r="5639" spans="4:8" x14ac:dyDescent="0.25">
      <c r="D5639" s="28"/>
      <c r="F5639" s="28"/>
      <c r="H5639" s="28"/>
    </row>
    <row r="5640" spans="4:8" x14ac:dyDescent="0.25">
      <c r="D5640" s="28"/>
      <c r="F5640" s="28"/>
      <c r="H5640" s="28"/>
    </row>
    <row r="5641" spans="4:8" x14ac:dyDescent="0.25">
      <c r="D5641" s="28"/>
      <c r="F5641" s="28"/>
      <c r="H5641" s="28"/>
    </row>
    <row r="5642" spans="4:8" x14ac:dyDescent="0.25">
      <c r="D5642" s="28"/>
      <c r="F5642" s="28"/>
      <c r="H5642" s="28"/>
    </row>
    <row r="5643" spans="4:8" x14ac:dyDescent="0.25">
      <c r="D5643" s="28"/>
      <c r="F5643" s="28"/>
      <c r="H5643" s="28"/>
    </row>
    <row r="5644" spans="4:8" x14ac:dyDescent="0.25">
      <c r="D5644" s="28"/>
      <c r="F5644" s="28"/>
      <c r="H5644" s="28"/>
    </row>
    <row r="5645" spans="4:8" x14ac:dyDescent="0.25">
      <c r="D5645" s="28"/>
      <c r="F5645" s="28"/>
      <c r="H5645" s="28"/>
    </row>
    <row r="5646" spans="4:8" x14ac:dyDescent="0.25">
      <c r="D5646" s="28"/>
      <c r="F5646" s="28"/>
      <c r="H5646" s="28"/>
    </row>
    <row r="5647" spans="4:8" x14ac:dyDescent="0.25">
      <c r="D5647" s="28"/>
      <c r="F5647" s="28"/>
      <c r="H5647" s="28"/>
    </row>
    <row r="5648" spans="4:8" x14ac:dyDescent="0.25">
      <c r="D5648" s="28"/>
      <c r="F5648" s="28"/>
      <c r="H5648" s="28"/>
    </row>
    <row r="5649" spans="4:8" x14ac:dyDescent="0.25">
      <c r="D5649" s="28"/>
      <c r="F5649" s="28"/>
      <c r="H5649" s="28"/>
    </row>
    <row r="5650" spans="4:8" x14ac:dyDescent="0.25">
      <c r="D5650" s="28"/>
      <c r="F5650" s="28"/>
      <c r="H5650" s="28"/>
    </row>
    <row r="5651" spans="4:8" x14ac:dyDescent="0.25">
      <c r="D5651" s="28"/>
      <c r="F5651" s="28"/>
      <c r="H5651" s="28"/>
    </row>
    <row r="5652" spans="4:8" x14ac:dyDescent="0.25">
      <c r="D5652" s="28"/>
      <c r="F5652" s="28"/>
      <c r="H5652" s="28"/>
    </row>
    <row r="5653" spans="4:8" x14ac:dyDescent="0.25">
      <c r="D5653" s="28"/>
      <c r="F5653" s="28"/>
      <c r="H5653" s="28"/>
    </row>
    <row r="5654" spans="4:8" x14ac:dyDescent="0.25">
      <c r="D5654" s="28"/>
      <c r="F5654" s="28"/>
      <c r="H5654" s="28"/>
    </row>
    <row r="5655" spans="4:8" x14ac:dyDescent="0.25">
      <c r="D5655" s="28"/>
      <c r="F5655" s="28"/>
      <c r="H5655" s="28"/>
    </row>
    <row r="5656" spans="4:8" x14ac:dyDescent="0.25">
      <c r="D5656" s="28"/>
      <c r="F5656" s="28"/>
      <c r="H5656" s="28"/>
    </row>
    <row r="5657" spans="4:8" x14ac:dyDescent="0.25">
      <c r="D5657" s="28"/>
      <c r="F5657" s="28"/>
      <c r="H5657" s="28"/>
    </row>
    <row r="5658" spans="4:8" x14ac:dyDescent="0.25">
      <c r="D5658" s="28"/>
      <c r="F5658" s="28"/>
      <c r="H5658" s="28"/>
    </row>
    <row r="5659" spans="4:8" x14ac:dyDescent="0.25">
      <c r="D5659" s="28"/>
      <c r="F5659" s="28"/>
      <c r="H5659" s="28"/>
    </row>
    <row r="5660" spans="4:8" x14ac:dyDescent="0.25">
      <c r="D5660" s="28"/>
      <c r="F5660" s="28"/>
      <c r="H5660" s="28"/>
    </row>
    <row r="5661" spans="4:8" x14ac:dyDescent="0.25">
      <c r="D5661" s="28"/>
      <c r="F5661" s="28"/>
      <c r="H5661" s="28"/>
    </row>
    <row r="5662" spans="4:8" x14ac:dyDescent="0.25">
      <c r="D5662" s="28"/>
      <c r="F5662" s="28"/>
      <c r="H5662" s="28"/>
    </row>
    <row r="5663" spans="4:8" x14ac:dyDescent="0.25">
      <c r="D5663" s="28"/>
      <c r="F5663" s="28"/>
      <c r="H5663" s="28"/>
    </row>
    <row r="5664" spans="4:8" x14ac:dyDescent="0.25">
      <c r="D5664" s="28"/>
      <c r="F5664" s="28"/>
      <c r="H5664" s="28"/>
    </row>
    <row r="5665" spans="4:8" x14ac:dyDescent="0.25">
      <c r="D5665" s="28"/>
      <c r="F5665" s="28"/>
      <c r="H5665" s="28"/>
    </row>
    <row r="5666" spans="4:8" x14ac:dyDescent="0.25">
      <c r="D5666" s="28"/>
      <c r="F5666" s="28"/>
      <c r="H5666" s="28"/>
    </row>
    <row r="5667" spans="4:8" x14ac:dyDescent="0.25">
      <c r="D5667" s="28"/>
      <c r="F5667" s="28"/>
      <c r="H5667" s="28"/>
    </row>
    <row r="5668" spans="4:8" x14ac:dyDescent="0.25">
      <c r="D5668" s="28"/>
      <c r="F5668" s="28"/>
      <c r="H5668" s="28"/>
    </row>
    <row r="5669" spans="4:8" x14ac:dyDescent="0.25">
      <c r="D5669" s="28"/>
      <c r="F5669" s="28"/>
      <c r="H5669" s="28"/>
    </row>
    <row r="5670" spans="4:8" x14ac:dyDescent="0.25">
      <c r="D5670" s="28"/>
      <c r="F5670" s="28"/>
      <c r="H5670" s="28"/>
    </row>
    <row r="5671" spans="4:8" x14ac:dyDescent="0.25">
      <c r="D5671" s="28"/>
      <c r="F5671" s="28"/>
      <c r="H5671" s="28"/>
    </row>
    <row r="5672" spans="4:8" x14ac:dyDescent="0.25">
      <c r="D5672" s="28"/>
      <c r="F5672" s="28"/>
      <c r="H5672" s="28"/>
    </row>
    <row r="5673" spans="4:8" x14ac:dyDescent="0.25">
      <c r="D5673" s="28"/>
      <c r="F5673" s="28"/>
      <c r="H5673" s="28"/>
    </row>
    <row r="5674" spans="4:8" x14ac:dyDescent="0.25">
      <c r="D5674" s="28"/>
      <c r="F5674" s="28"/>
      <c r="H5674" s="28"/>
    </row>
    <row r="5675" spans="4:8" x14ac:dyDescent="0.25">
      <c r="D5675" s="28"/>
      <c r="F5675" s="28"/>
      <c r="H5675" s="28"/>
    </row>
    <row r="5676" spans="4:8" x14ac:dyDescent="0.25">
      <c r="D5676" s="28"/>
      <c r="F5676" s="28"/>
      <c r="H5676" s="28"/>
    </row>
    <row r="5677" spans="4:8" x14ac:dyDescent="0.25">
      <c r="D5677" s="28"/>
      <c r="F5677" s="28"/>
      <c r="H5677" s="28"/>
    </row>
    <row r="5678" spans="4:8" x14ac:dyDescent="0.25">
      <c r="D5678" s="28"/>
      <c r="F5678" s="28"/>
      <c r="H5678" s="28"/>
    </row>
    <row r="5679" spans="4:8" x14ac:dyDescent="0.25">
      <c r="D5679" s="28"/>
      <c r="F5679" s="28"/>
      <c r="H5679" s="28"/>
    </row>
    <row r="5680" spans="4:8" x14ac:dyDescent="0.25">
      <c r="D5680" s="28"/>
      <c r="F5680" s="28"/>
      <c r="H5680" s="28"/>
    </row>
    <row r="5681" spans="4:8" x14ac:dyDescent="0.25">
      <c r="D5681" s="28"/>
      <c r="F5681" s="28"/>
      <c r="H5681" s="28"/>
    </row>
    <row r="5682" spans="4:8" x14ac:dyDescent="0.25">
      <c r="D5682" s="28"/>
      <c r="F5682" s="28"/>
      <c r="H5682" s="28"/>
    </row>
    <row r="5683" spans="4:8" x14ac:dyDescent="0.25">
      <c r="D5683" s="28"/>
      <c r="F5683" s="28"/>
      <c r="H5683" s="28"/>
    </row>
    <row r="5684" spans="4:8" x14ac:dyDescent="0.25">
      <c r="D5684" s="28"/>
      <c r="F5684" s="28"/>
      <c r="H5684" s="28"/>
    </row>
    <row r="5685" spans="4:8" x14ac:dyDescent="0.25">
      <c r="D5685" s="28"/>
      <c r="F5685" s="28"/>
      <c r="H5685" s="28"/>
    </row>
    <row r="5686" spans="4:8" x14ac:dyDescent="0.25">
      <c r="D5686" s="28"/>
      <c r="F5686" s="28"/>
      <c r="H5686" s="28"/>
    </row>
    <row r="5687" spans="4:8" x14ac:dyDescent="0.25">
      <c r="D5687" s="28"/>
      <c r="F5687" s="28"/>
      <c r="H5687" s="28"/>
    </row>
    <row r="5688" spans="4:8" x14ac:dyDescent="0.25">
      <c r="D5688" s="28"/>
      <c r="F5688" s="28"/>
      <c r="H5688" s="28"/>
    </row>
    <row r="5689" spans="4:8" x14ac:dyDescent="0.25">
      <c r="D5689" s="28"/>
      <c r="F5689" s="28"/>
      <c r="H5689" s="28"/>
    </row>
    <row r="5690" spans="4:8" x14ac:dyDescent="0.25">
      <c r="D5690" s="28"/>
      <c r="F5690" s="28"/>
      <c r="H5690" s="28"/>
    </row>
    <row r="5691" spans="4:8" x14ac:dyDescent="0.25">
      <c r="D5691" s="28"/>
      <c r="F5691" s="28"/>
      <c r="H5691" s="28"/>
    </row>
    <row r="5692" spans="4:8" x14ac:dyDescent="0.25">
      <c r="D5692" s="28"/>
      <c r="F5692" s="28"/>
      <c r="H5692" s="28"/>
    </row>
    <row r="5693" spans="4:8" x14ac:dyDescent="0.25">
      <c r="D5693" s="28"/>
      <c r="F5693" s="28"/>
      <c r="H5693" s="28"/>
    </row>
    <row r="5694" spans="4:8" x14ac:dyDescent="0.25">
      <c r="D5694" s="28"/>
      <c r="F5694" s="28"/>
      <c r="H5694" s="28"/>
    </row>
    <row r="5695" spans="4:8" x14ac:dyDescent="0.25">
      <c r="D5695" s="28"/>
      <c r="F5695" s="28"/>
      <c r="H5695" s="28"/>
    </row>
    <row r="5696" spans="4:8" x14ac:dyDescent="0.25">
      <c r="D5696" s="28"/>
      <c r="F5696" s="28"/>
      <c r="H5696" s="28"/>
    </row>
    <row r="5697" spans="4:8" x14ac:dyDescent="0.25">
      <c r="D5697" s="28"/>
      <c r="F5697" s="28"/>
      <c r="H5697" s="28"/>
    </row>
    <row r="5698" spans="4:8" x14ac:dyDescent="0.25">
      <c r="D5698" s="28"/>
      <c r="F5698" s="28"/>
      <c r="H5698" s="28"/>
    </row>
    <row r="5699" spans="4:8" x14ac:dyDescent="0.25">
      <c r="D5699" s="28"/>
      <c r="F5699" s="28"/>
      <c r="H5699" s="28"/>
    </row>
    <row r="5700" spans="4:8" x14ac:dyDescent="0.25">
      <c r="D5700" s="28"/>
      <c r="F5700" s="28"/>
      <c r="H5700" s="28"/>
    </row>
    <row r="5701" spans="4:8" x14ac:dyDescent="0.25">
      <c r="D5701" s="28"/>
      <c r="F5701" s="28"/>
      <c r="H5701" s="28"/>
    </row>
    <row r="5702" spans="4:8" x14ac:dyDescent="0.25">
      <c r="D5702" s="28"/>
      <c r="F5702" s="28"/>
      <c r="H5702" s="28"/>
    </row>
    <row r="5703" spans="4:8" x14ac:dyDescent="0.25">
      <c r="D5703" s="28"/>
      <c r="F5703" s="28"/>
      <c r="H5703" s="28"/>
    </row>
    <row r="5704" spans="4:8" x14ac:dyDescent="0.25">
      <c r="D5704" s="28"/>
      <c r="F5704" s="28"/>
      <c r="H5704" s="28"/>
    </row>
    <row r="5705" spans="4:8" x14ac:dyDescent="0.25">
      <c r="D5705" s="28"/>
      <c r="F5705" s="28"/>
      <c r="H5705" s="28"/>
    </row>
    <row r="5706" spans="4:8" x14ac:dyDescent="0.25">
      <c r="D5706" s="28"/>
      <c r="F5706" s="28"/>
      <c r="H5706" s="28"/>
    </row>
    <row r="5707" spans="4:8" x14ac:dyDescent="0.25">
      <c r="D5707" s="28"/>
      <c r="F5707" s="28"/>
      <c r="H5707" s="28"/>
    </row>
    <row r="5708" spans="4:8" x14ac:dyDescent="0.25">
      <c r="D5708" s="28"/>
      <c r="F5708" s="28"/>
      <c r="H5708" s="28"/>
    </row>
    <row r="5709" spans="4:8" x14ac:dyDescent="0.25">
      <c r="D5709" s="28"/>
      <c r="F5709" s="28"/>
      <c r="H5709" s="28"/>
    </row>
    <row r="5710" spans="4:8" x14ac:dyDescent="0.25">
      <c r="D5710" s="28"/>
      <c r="F5710" s="28"/>
      <c r="H5710" s="28"/>
    </row>
    <row r="5711" spans="4:8" x14ac:dyDescent="0.25">
      <c r="D5711" s="28"/>
      <c r="F5711" s="28"/>
      <c r="H5711" s="28"/>
    </row>
    <row r="5712" spans="4:8" x14ac:dyDescent="0.25">
      <c r="D5712" s="28"/>
      <c r="F5712" s="28"/>
      <c r="H5712" s="28"/>
    </row>
    <row r="5713" spans="4:8" x14ac:dyDescent="0.25">
      <c r="D5713" s="28"/>
      <c r="F5713" s="28"/>
      <c r="H5713" s="28"/>
    </row>
    <row r="5714" spans="4:8" x14ac:dyDescent="0.25">
      <c r="D5714" s="28"/>
      <c r="F5714" s="28"/>
      <c r="H5714" s="28"/>
    </row>
    <row r="5715" spans="4:8" x14ac:dyDescent="0.25">
      <c r="D5715" s="28"/>
      <c r="F5715" s="28"/>
      <c r="H5715" s="28"/>
    </row>
    <row r="5716" spans="4:8" x14ac:dyDescent="0.25">
      <c r="D5716" s="28"/>
      <c r="F5716" s="28"/>
      <c r="H5716" s="28"/>
    </row>
    <row r="5717" spans="4:8" x14ac:dyDescent="0.25">
      <c r="D5717" s="28"/>
      <c r="F5717" s="28"/>
      <c r="H5717" s="28"/>
    </row>
    <row r="5718" spans="4:8" x14ac:dyDescent="0.25">
      <c r="D5718" s="28"/>
      <c r="F5718" s="28"/>
      <c r="H5718" s="28"/>
    </row>
    <row r="5719" spans="4:8" x14ac:dyDescent="0.25">
      <c r="D5719" s="28"/>
      <c r="F5719" s="28"/>
      <c r="H5719" s="28"/>
    </row>
    <row r="5720" spans="4:8" x14ac:dyDescent="0.25">
      <c r="D5720" s="28"/>
      <c r="F5720" s="28"/>
      <c r="H5720" s="28"/>
    </row>
    <row r="5721" spans="4:8" x14ac:dyDescent="0.25">
      <c r="D5721" s="28"/>
      <c r="F5721" s="28"/>
      <c r="H5721" s="28"/>
    </row>
    <row r="5722" spans="4:8" x14ac:dyDescent="0.25">
      <c r="D5722" s="28"/>
      <c r="F5722" s="28"/>
      <c r="H5722" s="28"/>
    </row>
    <row r="5723" spans="4:8" x14ac:dyDescent="0.25">
      <c r="D5723" s="28"/>
      <c r="F5723" s="28"/>
      <c r="H5723" s="28"/>
    </row>
    <row r="5724" spans="4:8" x14ac:dyDescent="0.25">
      <c r="D5724" s="28"/>
      <c r="F5724" s="28"/>
      <c r="H5724" s="28"/>
    </row>
    <row r="5725" spans="4:8" x14ac:dyDescent="0.25">
      <c r="D5725" s="28"/>
      <c r="F5725" s="28"/>
      <c r="H5725" s="28"/>
    </row>
    <row r="5726" spans="4:8" x14ac:dyDescent="0.25">
      <c r="D5726" s="28"/>
      <c r="F5726" s="28"/>
      <c r="H5726" s="28"/>
    </row>
    <row r="5727" spans="4:8" x14ac:dyDescent="0.25">
      <c r="D5727" s="28"/>
      <c r="F5727" s="28"/>
      <c r="H5727" s="28"/>
    </row>
    <row r="5728" spans="4:8" x14ac:dyDescent="0.25">
      <c r="D5728" s="28"/>
      <c r="F5728" s="28"/>
      <c r="H5728" s="28"/>
    </row>
    <row r="5729" spans="4:8" x14ac:dyDescent="0.25">
      <c r="D5729" s="28"/>
      <c r="F5729" s="28"/>
      <c r="H5729" s="28"/>
    </row>
    <row r="5730" spans="4:8" x14ac:dyDescent="0.25">
      <c r="D5730" s="28"/>
      <c r="F5730" s="28"/>
      <c r="H5730" s="28"/>
    </row>
    <row r="5731" spans="4:8" x14ac:dyDescent="0.25">
      <c r="D5731" s="28"/>
      <c r="F5731" s="28"/>
      <c r="H5731" s="28"/>
    </row>
    <row r="5732" spans="4:8" x14ac:dyDescent="0.25">
      <c r="D5732" s="28"/>
      <c r="F5732" s="28"/>
      <c r="H5732" s="28"/>
    </row>
    <row r="5733" spans="4:8" x14ac:dyDescent="0.25">
      <c r="D5733" s="28"/>
      <c r="F5733" s="28"/>
      <c r="H5733" s="28"/>
    </row>
    <row r="5734" spans="4:8" x14ac:dyDescent="0.25">
      <c r="D5734" s="28"/>
      <c r="F5734" s="28"/>
      <c r="H5734" s="28"/>
    </row>
    <row r="5735" spans="4:8" x14ac:dyDescent="0.25">
      <c r="D5735" s="28"/>
      <c r="F5735" s="28"/>
      <c r="H5735" s="28"/>
    </row>
    <row r="5736" spans="4:8" x14ac:dyDescent="0.25">
      <c r="D5736" s="28"/>
      <c r="F5736" s="28"/>
      <c r="H5736" s="28"/>
    </row>
    <row r="5737" spans="4:8" x14ac:dyDescent="0.25">
      <c r="D5737" s="28"/>
      <c r="F5737" s="28"/>
      <c r="H5737" s="28"/>
    </row>
    <row r="5738" spans="4:8" x14ac:dyDescent="0.25">
      <c r="D5738" s="28"/>
      <c r="F5738" s="28"/>
      <c r="H5738" s="28"/>
    </row>
    <row r="5739" spans="4:8" x14ac:dyDescent="0.25">
      <c r="D5739" s="28"/>
      <c r="F5739" s="28"/>
      <c r="H5739" s="28"/>
    </row>
    <row r="5740" spans="4:8" x14ac:dyDescent="0.25">
      <c r="D5740" s="28"/>
      <c r="F5740" s="28"/>
      <c r="H5740" s="28"/>
    </row>
    <row r="5741" spans="4:8" x14ac:dyDescent="0.25">
      <c r="D5741" s="28"/>
      <c r="F5741" s="28"/>
      <c r="H5741" s="28"/>
    </row>
    <row r="5742" spans="4:8" x14ac:dyDescent="0.25">
      <c r="D5742" s="28"/>
      <c r="F5742" s="28"/>
      <c r="H5742" s="28"/>
    </row>
    <row r="5743" spans="4:8" x14ac:dyDescent="0.25">
      <c r="D5743" s="28"/>
      <c r="F5743" s="28"/>
      <c r="H5743" s="28"/>
    </row>
    <row r="5744" spans="4:8" x14ac:dyDescent="0.25">
      <c r="D5744" s="28"/>
      <c r="F5744" s="28"/>
      <c r="H5744" s="28"/>
    </row>
    <row r="5745" spans="4:8" x14ac:dyDescent="0.25">
      <c r="D5745" s="28"/>
      <c r="F5745" s="28"/>
      <c r="H5745" s="28"/>
    </row>
    <row r="5746" spans="4:8" x14ac:dyDescent="0.25">
      <c r="D5746" s="28"/>
      <c r="F5746" s="28"/>
      <c r="H5746" s="28"/>
    </row>
    <row r="5747" spans="4:8" x14ac:dyDescent="0.25">
      <c r="D5747" s="28"/>
      <c r="F5747" s="28"/>
      <c r="H5747" s="28"/>
    </row>
    <row r="5748" spans="4:8" x14ac:dyDescent="0.25">
      <c r="D5748" s="28"/>
      <c r="F5748" s="28"/>
      <c r="H5748" s="28"/>
    </row>
    <row r="5749" spans="4:8" x14ac:dyDescent="0.25">
      <c r="D5749" s="28"/>
      <c r="F5749" s="28"/>
      <c r="H5749" s="28"/>
    </row>
    <row r="5750" spans="4:8" x14ac:dyDescent="0.25">
      <c r="D5750" s="28"/>
      <c r="F5750" s="28"/>
      <c r="H5750" s="28"/>
    </row>
    <row r="5751" spans="4:8" x14ac:dyDescent="0.25">
      <c r="D5751" s="28"/>
      <c r="F5751" s="28"/>
      <c r="H5751" s="28"/>
    </row>
    <row r="5752" spans="4:8" x14ac:dyDescent="0.25">
      <c r="D5752" s="28"/>
      <c r="F5752" s="28"/>
      <c r="H5752" s="28"/>
    </row>
    <row r="5753" spans="4:8" x14ac:dyDescent="0.25">
      <c r="D5753" s="28"/>
      <c r="F5753" s="28"/>
      <c r="H5753" s="28"/>
    </row>
    <row r="5754" spans="4:8" x14ac:dyDescent="0.25">
      <c r="D5754" s="28"/>
      <c r="F5754" s="28"/>
      <c r="H5754" s="28"/>
    </row>
    <row r="5755" spans="4:8" x14ac:dyDescent="0.25">
      <c r="D5755" s="28"/>
      <c r="F5755" s="28"/>
      <c r="H5755" s="28"/>
    </row>
    <row r="5756" spans="4:8" x14ac:dyDescent="0.25">
      <c r="D5756" s="28"/>
      <c r="F5756" s="28"/>
      <c r="H5756" s="28"/>
    </row>
    <row r="5757" spans="4:8" x14ac:dyDescent="0.25">
      <c r="D5757" s="28"/>
      <c r="F5757" s="28"/>
      <c r="H5757" s="28"/>
    </row>
    <row r="5758" spans="4:8" x14ac:dyDescent="0.25">
      <c r="D5758" s="28"/>
      <c r="F5758" s="28"/>
      <c r="H5758" s="28"/>
    </row>
    <row r="5759" spans="4:8" x14ac:dyDescent="0.25">
      <c r="D5759" s="28"/>
      <c r="F5759" s="28"/>
      <c r="H5759" s="28"/>
    </row>
    <row r="5760" spans="4:8" x14ac:dyDescent="0.25">
      <c r="D5760" s="28"/>
      <c r="F5760" s="28"/>
      <c r="H5760" s="28"/>
    </row>
    <row r="5761" spans="4:8" x14ac:dyDescent="0.25">
      <c r="D5761" s="28"/>
      <c r="F5761" s="28"/>
      <c r="H5761" s="28"/>
    </row>
    <row r="5762" spans="4:8" x14ac:dyDescent="0.25">
      <c r="D5762" s="28"/>
      <c r="F5762" s="28"/>
      <c r="H5762" s="28"/>
    </row>
    <row r="5763" spans="4:8" x14ac:dyDescent="0.25">
      <c r="D5763" s="28"/>
      <c r="F5763" s="28"/>
      <c r="H5763" s="28"/>
    </row>
    <row r="5764" spans="4:8" x14ac:dyDescent="0.25">
      <c r="D5764" s="28"/>
      <c r="F5764" s="28"/>
      <c r="H5764" s="28"/>
    </row>
    <row r="5765" spans="4:8" x14ac:dyDescent="0.25">
      <c r="D5765" s="28"/>
      <c r="F5765" s="28"/>
      <c r="H5765" s="28"/>
    </row>
    <row r="5766" spans="4:8" x14ac:dyDescent="0.25">
      <c r="D5766" s="28"/>
      <c r="F5766" s="28"/>
      <c r="H5766" s="28"/>
    </row>
    <row r="5767" spans="4:8" x14ac:dyDescent="0.25">
      <c r="D5767" s="28"/>
      <c r="F5767" s="28"/>
      <c r="H5767" s="28"/>
    </row>
    <row r="5768" spans="4:8" x14ac:dyDescent="0.25">
      <c r="D5768" s="28"/>
      <c r="F5768" s="28"/>
      <c r="H5768" s="28"/>
    </row>
    <row r="5769" spans="4:8" x14ac:dyDescent="0.25">
      <c r="D5769" s="28"/>
      <c r="F5769" s="28"/>
      <c r="H5769" s="28"/>
    </row>
    <row r="5770" spans="4:8" x14ac:dyDescent="0.25">
      <c r="D5770" s="28"/>
      <c r="F5770" s="28"/>
      <c r="H5770" s="28"/>
    </row>
    <row r="5771" spans="4:8" x14ac:dyDescent="0.25">
      <c r="D5771" s="28"/>
      <c r="F5771" s="28"/>
      <c r="H5771" s="28"/>
    </row>
    <row r="5772" spans="4:8" x14ac:dyDescent="0.25">
      <c r="D5772" s="28"/>
      <c r="F5772" s="28"/>
      <c r="H5772" s="28"/>
    </row>
    <row r="5773" spans="4:8" x14ac:dyDescent="0.25">
      <c r="D5773" s="28"/>
      <c r="F5773" s="28"/>
      <c r="H5773" s="28"/>
    </row>
    <row r="5774" spans="4:8" x14ac:dyDescent="0.25">
      <c r="D5774" s="28"/>
      <c r="F5774" s="28"/>
      <c r="H5774" s="28"/>
    </row>
    <row r="5775" spans="4:8" x14ac:dyDescent="0.25">
      <c r="D5775" s="28"/>
      <c r="F5775" s="28"/>
      <c r="H5775" s="28"/>
    </row>
    <row r="5776" spans="4:8" x14ac:dyDescent="0.25">
      <c r="D5776" s="28"/>
      <c r="F5776" s="28"/>
      <c r="H5776" s="28"/>
    </row>
    <row r="5777" spans="4:8" x14ac:dyDescent="0.25">
      <c r="D5777" s="28"/>
      <c r="F5777" s="28"/>
      <c r="H5777" s="28"/>
    </row>
    <row r="5778" spans="4:8" x14ac:dyDescent="0.25">
      <c r="D5778" s="28"/>
      <c r="F5778" s="28"/>
      <c r="H5778" s="28"/>
    </row>
    <row r="5779" spans="4:8" x14ac:dyDescent="0.25">
      <c r="D5779" s="28"/>
      <c r="F5779" s="28"/>
      <c r="H5779" s="28"/>
    </row>
    <row r="5780" spans="4:8" x14ac:dyDescent="0.25">
      <c r="D5780" s="28"/>
      <c r="F5780" s="28"/>
      <c r="H5780" s="28"/>
    </row>
    <row r="5781" spans="4:8" x14ac:dyDescent="0.25">
      <c r="D5781" s="28"/>
      <c r="F5781" s="28"/>
      <c r="H5781" s="28"/>
    </row>
    <row r="5782" spans="4:8" x14ac:dyDescent="0.25">
      <c r="D5782" s="28"/>
      <c r="F5782" s="28"/>
      <c r="H5782" s="28"/>
    </row>
    <row r="5783" spans="4:8" x14ac:dyDescent="0.25">
      <c r="D5783" s="28"/>
      <c r="F5783" s="28"/>
      <c r="H5783" s="28"/>
    </row>
    <row r="5784" spans="4:8" x14ac:dyDescent="0.25">
      <c r="D5784" s="28"/>
      <c r="F5784" s="28"/>
      <c r="H5784" s="28"/>
    </row>
    <row r="5785" spans="4:8" x14ac:dyDescent="0.25">
      <c r="D5785" s="28"/>
      <c r="F5785" s="28"/>
      <c r="H5785" s="28"/>
    </row>
    <row r="5786" spans="4:8" x14ac:dyDescent="0.25">
      <c r="D5786" s="28"/>
      <c r="F5786" s="28"/>
      <c r="H5786" s="28"/>
    </row>
    <row r="5787" spans="4:8" x14ac:dyDescent="0.25">
      <c r="D5787" s="28"/>
      <c r="F5787" s="28"/>
      <c r="H5787" s="28"/>
    </row>
    <row r="5788" spans="4:8" x14ac:dyDescent="0.25">
      <c r="D5788" s="28"/>
      <c r="F5788" s="28"/>
      <c r="H5788" s="28"/>
    </row>
    <row r="5789" spans="4:8" x14ac:dyDescent="0.25">
      <c r="D5789" s="28"/>
      <c r="F5789" s="28"/>
      <c r="H5789" s="28"/>
    </row>
    <row r="5790" spans="4:8" x14ac:dyDescent="0.25">
      <c r="D5790" s="28"/>
      <c r="F5790" s="28"/>
      <c r="H5790" s="28"/>
    </row>
    <row r="5791" spans="4:8" x14ac:dyDescent="0.25">
      <c r="D5791" s="28"/>
      <c r="F5791" s="28"/>
      <c r="H5791" s="28"/>
    </row>
    <row r="5792" spans="4:8" x14ac:dyDescent="0.25">
      <c r="D5792" s="28"/>
      <c r="F5792" s="28"/>
      <c r="H5792" s="28"/>
    </row>
    <row r="5793" spans="4:8" x14ac:dyDescent="0.25">
      <c r="D5793" s="28"/>
      <c r="F5793" s="28"/>
      <c r="H5793" s="28"/>
    </row>
    <row r="5794" spans="4:8" x14ac:dyDescent="0.25">
      <c r="D5794" s="28"/>
      <c r="F5794" s="28"/>
      <c r="H5794" s="28"/>
    </row>
    <row r="5795" spans="4:8" x14ac:dyDescent="0.25">
      <c r="D5795" s="28"/>
      <c r="F5795" s="28"/>
      <c r="H5795" s="28"/>
    </row>
    <row r="5796" spans="4:8" x14ac:dyDescent="0.25">
      <c r="D5796" s="28"/>
      <c r="F5796" s="28"/>
      <c r="H5796" s="28"/>
    </row>
    <row r="5797" spans="4:8" x14ac:dyDescent="0.25">
      <c r="D5797" s="28"/>
      <c r="F5797" s="28"/>
      <c r="H5797" s="28"/>
    </row>
    <row r="5798" spans="4:8" x14ac:dyDescent="0.25">
      <c r="D5798" s="28"/>
      <c r="F5798" s="28"/>
      <c r="H5798" s="28"/>
    </row>
    <row r="5799" spans="4:8" x14ac:dyDescent="0.25">
      <c r="D5799" s="28"/>
      <c r="F5799" s="28"/>
      <c r="H5799" s="28"/>
    </row>
    <row r="5800" spans="4:8" x14ac:dyDescent="0.25">
      <c r="D5800" s="28"/>
      <c r="F5800" s="28"/>
      <c r="H5800" s="28"/>
    </row>
    <row r="5801" spans="4:8" x14ac:dyDescent="0.25">
      <c r="D5801" s="28"/>
      <c r="F5801" s="28"/>
      <c r="H5801" s="28"/>
    </row>
    <row r="5802" spans="4:8" x14ac:dyDescent="0.25">
      <c r="D5802" s="28"/>
      <c r="F5802" s="28"/>
      <c r="H5802" s="28"/>
    </row>
    <row r="5803" spans="4:8" x14ac:dyDescent="0.25">
      <c r="D5803" s="28"/>
      <c r="F5803" s="28"/>
      <c r="H5803" s="28"/>
    </row>
    <row r="5804" spans="4:8" x14ac:dyDescent="0.25">
      <c r="D5804" s="28"/>
      <c r="F5804" s="28"/>
      <c r="H5804" s="28"/>
    </row>
    <row r="5805" spans="4:8" x14ac:dyDescent="0.25">
      <c r="D5805" s="28"/>
      <c r="F5805" s="28"/>
      <c r="H5805" s="28"/>
    </row>
    <row r="5806" spans="4:8" x14ac:dyDescent="0.25">
      <c r="D5806" s="28"/>
      <c r="F5806" s="28"/>
      <c r="H5806" s="28"/>
    </row>
    <row r="5807" spans="4:8" x14ac:dyDescent="0.25">
      <c r="D5807" s="28"/>
      <c r="F5807" s="28"/>
      <c r="H5807" s="28"/>
    </row>
    <row r="5808" spans="4:8" x14ac:dyDescent="0.25">
      <c r="D5808" s="28"/>
      <c r="F5808" s="28"/>
      <c r="H5808" s="28"/>
    </row>
    <row r="5809" spans="4:8" x14ac:dyDescent="0.25">
      <c r="D5809" s="28"/>
      <c r="F5809" s="28"/>
      <c r="H5809" s="28"/>
    </row>
    <row r="5810" spans="4:8" x14ac:dyDescent="0.25">
      <c r="D5810" s="28"/>
      <c r="F5810" s="28"/>
      <c r="H5810" s="28"/>
    </row>
    <row r="5811" spans="4:8" x14ac:dyDescent="0.25">
      <c r="D5811" s="28"/>
      <c r="F5811" s="28"/>
      <c r="H5811" s="28"/>
    </row>
    <row r="5812" spans="4:8" x14ac:dyDescent="0.25">
      <c r="D5812" s="28"/>
      <c r="F5812" s="28"/>
      <c r="H5812" s="28"/>
    </row>
    <row r="5813" spans="4:8" x14ac:dyDescent="0.25">
      <c r="D5813" s="28"/>
      <c r="F5813" s="28"/>
      <c r="H5813" s="28"/>
    </row>
    <row r="5814" spans="4:8" x14ac:dyDescent="0.25">
      <c r="D5814" s="28"/>
      <c r="F5814" s="28"/>
      <c r="H5814" s="28"/>
    </row>
    <row r="5815" spans="4:8" x14ac:dyDescent="0.25">
      <c r="D5815" s="28"/>
      <c r="F5815" s="28"/>
      <c r="H5815" s="28"/>
    </row>
    <row r="5816" spans="4:8" x14ac:dyDescent="0.25">
      <c r="D5816" s="28"/>
      <c r="F5816" s="28"/>
      <c r="H5816" s="28"/>
    </row>
    <row r="5817" spans="4:8" x14ac:dyDescent="0.25">
      <c r="D5817" s="28"/>
      <c r="F5817" s="28"/>
      <c r="H5817" s="28"/>
    </row>
    <row r="5818" spans="4:8" x14ac:dyDescent="0.25">
      <c r="D5818" s="28"/>
      <c r="F5818" s="28"/>
      <c r="H5818" s="28"/>
    </row>
    <row r="5819" spans="4:8" x14ac:dyDescent="0.25">
      <c r="D5819" s="28"/>
      <c r="F5819" s="28"/>
      <c r="H5819" s="28"/>
    </row>
    <row r="5820" spans="4:8" x14ac:dyDescent="0.25">
      <c r="D5820" s="28"/>
      <c r="F5820" s="28"/>
      <c r="H5820" s="28"/>
    </row>
    <row r="5821" spans="4:8" x14ac:dyDescent="0.25">
      <c r="D5821" s="28"/>
      <c r="F5821" s="28"/>
      <c r="H5821" s="28"/>
    </row>
    <row r="5822" spans="4:8" x14ac:dyDescent="0.25">
      <c r="D5822" s="28"/>
      <c r="F5822" s="28"/>
      <c r="H5822" s="28"/>
    </row>
    <row r="5823" spans="4:8" x14ac:dyDescent="0.25">
      <c r="D5823" s="28"/>
      <c r="F5823" s="28"/>
      <c r="H5823" s="28"/>
    </row>
    <row r="5824" spans="4:8" x14ac:dyDescent="0.25">
      <c r="D5824" s="28"/>
      <c r="F5824" s="28"/>
      <c r="H5824" s="28"/>
    </row>
    <row r="5825" spans="4:8" x14ac:dyDescent="0.25">
      <c r="D5825" s="28"/>
      <c r="F5825" s="28"/>
      <c r="H5825" s="28"/>
    </row>
    <row r="5826" spans="4:8" x14ac:dyDescent="0.25">
      <c r="D5826" s="28"/>
      <c r="F5826" s="28"/>
      <c r="H5826" s="28"/>
    </row>
    <row r="5827" spans="4:8" x14ac:dyDescent="0.25">
      <c r="D5827" s="28"/>
      <c r="F5827" s="28"/>
      <c r="H5827" s="28"/>
    </row>
    <row r="5828" spans="4:8" x14ac:dyDescent="0.25">
      <c r="D5828" s="28"/>
      <c r="F5828" s="28"/>
      <c r="H5828" s="28"/>
    </row>
    <row r="5829" spans="4:8" x14ac:dyDescent="0.25">
      <c r="D5829" s="28"/>
      <c r="F5829" s="28"/>
      <c r="H5829" s="28"/>
    </row>
    <row r="5830" spans="4:8" x14ac:dyDescent="0.25">
      <c r="D5830" s="28"/>
      <c r="F5830" s="28"/>
      <c r="H5830" s="28"/>
    </row>
    <row r="5831" spans="4:8" x14ac:dyDescent="0.25">
      <c r="D5831" s="28"/>
      <c r="F5831" s="28"/>
      <c r="H5831" s="28"/>
    </row>
    <row r="5832" spans="4:8" x14ac:dyDescent="0.25">
      <c r="D5832" s="28"/>
      <c r="F5832" s="28"/>
      <c r="H5832" s="28"/>
    </row>
    <row r="5833" spans="4:8" x14ac:dyDescent="0.25">
      <c r="D5833" s="28"/>
      <c r="F5833" s="28"/>
      <c r="H5833" s="28"/>
    </row>
    <row r="5834" spans="4:8" x14ac:dyDescent="0.25">
      <c r="D5834" s="28"/>
      <c r="F5834" s="28"/>
      <c r="H5834" s="28"/>
    </row>
    <row r="5835" spans="4:8" x14ac:dyDescent="0.25">
      <c r="D5835" s="28"/>
      <c r="F5835" s="28"/>
      <c r="H5835" s="28"/>
    </row>
    <row r="5836" spans="4:8" x14ac:dyDescent="0.25">
      <c r="D5836" s="28"/>
      <c r="F5836" s="28"/>
      <c r="H5836" s="28"/>
    </row>
    <row r="5837" spans="4:8" x14ac:dyDescent="0.25">
      <c r="D5837" s="28"/>
      <c r="F5837" s="28"/>
      <c r="H5837" s="28"/>
    </row>
    <row r="5838" spans="4:8" x14ac:dyDescent="0.25">
      <c r="D5838" s="28"/>
      <c r="F5838" s="28"/>
      <c r="H5838" s="28"/>
    </row>
    <row r="5839" spans="4:8" x14ac:dyDescent="0.25">
      <c r="D5839" s="28"/>
      <c r="F5839" s="28"/>
      <c r="H5839" s="28"/>
    </row>
    <row r="5840" spans="4:8" x14ac:dyDescent="0.25">
      <c r="D5840" s="28"/>
      <c r="F5840" s="28"/>
      <c r="H5840" s="28"/>
    </row>
    <row r="5841" spans="4:8" x14ac:dyDescent="0.25">
      <c r="D5841" s="28"/>
      <c r="F5841" s="28"/>
      <c r="H5841" s="28"/>
    </row>
    <row r="5842" spans="4:8" x14ac:dyDescent="0.25">
      <c r="D5842" s="28"/>
      <c r="F5842" s="28"/>
      <c r="H5842" s="28"/>
    </row>
    <row r="5843" spans="4:8" x14ac:dyDescent="0.25">
      <c r="D5843" s="28"/>
      <c r="F5843" s="28"/>
      <c r="H5843" s="28"/>
    </row>
    <row r="5844" spans="4:8" x14ac:dyDescent="0.25">
      <c r="D5844" s="28"/>
      <c r="F5844" s="28"/>
      <c r="H5844" s="28"/>
    </row>
    <row r="5845" spans="4:8" x14ac:dyDescent="0.25">
      <c r="D5845" s="28"/>
      <c r="F5845" s="28"/>
      <c r="H5845" s="28"/>
    </row>
    <row r="5846" spans="4:8" x14ac:dyDescent="0.25">
      <c r="D5846" s="28"/>
      <c r="F5846" s="28"/>
      <c r="H5846" s="28"/>
    </row>
    <row r="5847" spans="4:8" x14ac:dyDescent="0.25">
      <c r="D5847" s="28"/>
      <c r="F5847" s="28"/>
      <c r="H5847" s="28"/>
    </row>
    <row r="5848" spans="4:8" x14ac:dyDescent="0.25">
      <c r="D5848" s="28"/>
      <c r="F5848" s="28"/>
      <c r="H5848" s="28"/>
    </row>
    <row r="5849" spans="4:8" x14ac:dyDescent="0.25">
      <c r="D5849" s="28"/>
      <c r="F5849" s="28"/>
      <c r="H5849" s="28"/>
    </row>
    <row r="5850" spans="4:8" x14ac:dyDescent="0.25">
      <c r="D5850" s="28"/>
      <c r="F5850" s="28"/>
      <c r="H5850" s="28"/>
    </row>
    <row r="5851" spans="4:8" x14ac:dyDescent="0.25">
      <c r="D5851" s="28"/>
      <c r="F5851" s="28"/>
      <c r="H5851" s="28"/>
    </row>
    <row r="5852" spans="4:8" x14ac:dyDescent="0.25">
      <c r="D5852" s="28"/>
      <c r="F5852" s="28"/>
      <c r="H5852" s="28"/>
    </row>
    <row r="5853" spans="4:8" x14ac:dyDescent="0.25">
      <c r="D5853" s="28"/>
      <c r="F5853" s="28"/>
      <c r="H5853" s="28"/>
    </row>
    <row r="5854" spans="4:8" x14ac:dyDescent="0.25">
      <c r="D5854" s="28"/>
      <c r="F5854" s="28"/>
      <c r="H5854" s="28"/>
    </row>
    <row r="5855" spans="4:8" x14ac:dyDescent="0.25">
      <c r="D5855" s="28"/>
      <c r="F5855" s="28"/>
      <c r="H5855" s="28"/>
    </row>
    <row r="5856" spans="4:8" x14ac:dyDescent="0.25">
      <c r="D5856" s="28"/>
      <c r="F5856" s="28"/>
      <c r="H5856" s="28"/>
    </row>
    <row r="5857" spans="4:8" x14ac:dyDescent="0.25">
      <c r="D5857" s="28"/>
      <c r="F5857" s="28"/>
      <c r="H5857" s="28"/>
    </row>
    <row r="5858" spans="4:8" x14ac:dyDescent="0.25">
      <c r="D5858" s="28"/>
      <c r="F5858" s="28"/>
      <c r="H5858" s="28"/>
    </row>
    <row r="5859" spans="4:8" x14ac:dyDescent="0.25">
      <c r="D5859" s="28"/>
      <c r="F5859" s="28"/>
      <c r="H5859" s="28"/>
    </row>
    <row r="5860" spans="4:8" x14ac:dyDescent="0.25">
      <c r="D5860" s="28"/>
      <c r="F5860" s="28"/>
      <c r="H5860" s="28"/>
    </row>
    <row r="5861" spans="4:8" x14ac:dyDescent="0.25">
      <c r="D5861" s="28"/>
      <c r="F5861" s="28"/>
      <c r="H5861" s="28"/>
    </row>
    <row r="5862" spans="4:8" x14ac:dyDescent="0.25">
      <c r="D5862" s="28"/>
      <c r="F5862" s="28"/>
      <c r="H5862" s="28"/>
    </row>
    <row r="5863" spans="4:8" x14ac:dyDescent="0.25">
      <c r="D5863" s="28"/>
      <c r="F5863" s="28"/>
      <c r="H5863" s="28"/>
    </row>
    <row r="5864" spans="4:8" x14ac:dyDescent="0.25">
      <c r="D5864" s="28"/>
      <c r="F5864" s="28"/>
      <c r="H5864" s="28"/>
    </row>
    <row r="5865" spans="4:8" x14ac:dyDescent="0.25">
      <c r="D5865" s="28"/>
      <c r="F5865" s="28"/>
      <c r="H5865" s="28"/>
    </row>
    <row r="5866" spans="4:8" x14ac:dyDescent="0.25">
      <c r="D5866" s="28"/>
      <c r="F5866" s="28"/>
      <c r="H5866" s="28"/>
    </row>
    <row r="5867" spans="4:8" x14ac:dyDescent="0.25">
      <c r="D5867" s="28"/>
      <c r="F5867" s="28"/>
      <c r="H5867" s="28"/>
    </row>
    <row r="5868" spans="4:8" x14ac:dyDescent="0.25">
      <c r="D5868" s="28"/>
      <c r="F5868" s="28"/>
      <c r="H5868" s="28"/>
    </row>
    <row r="5869" spans="4:8" x14ac:dyDescent="0.25">
      <c r="D5869" s="28"/>
      <c r="F5869" s="28"/>
      <c r="H5869" s="28"/>
    </row>
    <row r="5870" spans="4:8" x14ac:dyDescent="0.25">
      <c r="D5870" s="28"/>
      <c r="F5870" s="28"/>
      <c r="H5870" s="28"/>
    </row>
    <row r="5871" spans="4:8" x14ac:dyDescent="0.25">
      <c r="D5871" s="28"/>
      <c r="F5871" s="28"/>
      <c r="H5871" s="28"/>
    </row>
    <row r="5872" spans="4:8" x14ac:dyDescent="0.25">
      <c r="D5872" s="28"/>
      <c r="F5872" s="28"/>
      <c r="H5872" s="28"/>
    </row>
    <row r="5873" spans="4:8" x14ac:dyDescent="0.25">
      <c r="D5873" s="28"/>
      <c r="F5873" s="28"/>
      <c r="H5873" s="28"/>
    </row>
    <row r="5874" spans="4:8" x14ac:dyDescent="0.25">
      <c r="D5874" s="28"/>
      <c r="F5874" s="28"/>
      <c r="H5874" s="28"/>
    </row>
    <row r="5875" spans="4:8" x14ac:dyDescent="0.25">
      <c r="D5875" s="28"/>
      <c r="F5875" s="28"/>
      <c r="H5875" s="28"/>
    </row>
    <row r="5876" spans="4:8" x14ac:dyDescent="0.25">
      <c r="D5876" s="28"/>
      <c r="F5876" s="28"/>
      <c r="H5876" s="28"/>
    </row>
    <row r="5877" spans="4:8" x14ac:dyDescent="0.25">
      <c r="D5877" s="28"/>
      <c r="F5877" s="28"/>
      <c r="H5877" s="28"/>
    </row>
    <row r="5878" spans="4:8" x14ac:dyDescent="0.25">
      <c r="D5878" s="28"/>
      <c r="F5878" s="28"/>
      <c r="H5878" s="28"/>
    </row>
    <row r="5879" spans="4:8" x14ac:dyDescent="0.25">
      <c r="D5879" s="28"/>
      <c r="F5879" s="28"/>
      <c r="H5879" s="28"/>
    </row>
    <row r="5880" spans="4:8" x14ac:dyDescent="0.25">
      <c r="D5880" s="28"/>
      <c r="F5880" s="28"/>
      <c r="H5880" s="28"/>
    </row>
    <row r="5881" spans="4:8" x14ac:dyDescent="0.25">
      <c r="D5881" s="28"/>
      <c r="F5881" s="28"/>
      <c r="H5881" s="28"/>
    </row>
    <row r="5882" spans="4:8" x14ac:dyDescent="0.25">
      <c r="D5882" s="28"/>
      <c r="F5882" s="28"/>
      <c r="H5882" s="28"/>
    </row>
    <row r="5883" spans="4:8" x14ac:dyDescent="0.25">
      <c r="D5883" s="28"/>
      <c r="F5883" s="28"/>
      <c r="H5883" s="28"/>
    </row>
    <row r="5884" spans="4:8" x14ac:dyDescent="0.25">
      <c r="D5884" s="28"/>
      <c r="F5884" s="28"/>
      <c r="H5884" s="28"/>
    </row>
    <row r="5885" spans="4:8" x14ac:dyDescent="0.25">
      <c r="D5885" s="28"/>
      <c r="F5885" s="28"/>
      <c r="H5885" s="28"/>
    </row>
    <row r="5886" spans="4:8" x14ac:dyDescent="0.25">
      <c r="D5886" s="28"/>
      <c r="F5886" s="28"/>
      <c r="H5886" s="28"/>
    </row>
    <row r="5887" spans="4:8" x14ac:dyDescent="0.25">
      <c r="D5887" s="28"/>
      <c r="F5887" s="28"/>
      <c r="H5887" s="28"/>
    </row>
    <row r="5888" spans="4:8" x14ac:dyDescent="0.25">
      <c r="D5888" s="28"/>
      <c r="F5888" s="28"/>
      <c r="H5888" s="28"/>
    </row>
    <row r="5889" spans="4:8" x14ac:dyDescent="0.25">
      <c r="D5889" s="28"/>
      <c r="F5889" s="28"/>
      <c r="H5889" s="28"/>
    </row>
    <row r="5890" spans="4:8" x14ac:dyDescent="0.25">
      <c r="D5890" s="28"/>
      <c r="F5890" s="28"/>
      <c r="H5890" s="28"/>
    </row>
    <row r="5891" spans="4:8" x14ac:dyDescent="0.25">
      <c r="D5891" s="28"/>
      <c r="F5891" s="28"/>
      <c r="H5891" s="28"/>
    </row>
    <row r="5892" spans="4:8" x14ac:dyDescent="0.25">
      <c r="D5892" s="28"/>
      <c r="F5892" s="28"/>
      <c r="H5892" s="28"/>
    </row>
    <row r="5893" spans="4:8" x14ac:dyDescent="0.25">
      <c r="D5893" s="28"/>
      <c r="F5893" s="28"/>
      <c r="H5893" s="28"/>
    </row>
    <row r="5894" spans="4:8" x14ac:dyDescent="0.25">
      <c r="D5894" s="28"/>
      <c r="F5894" s="28"/>
      <c r="H5894" s="28"/>
    </row>
    <row r="5895" spans="4:8" x14ac:dyDescent="0.25">
      <c r="D5895" s="28"/>
      <c r="F5895" s="28"/>
      <c r="H5895" s="28"/>
    </row>
    <row r="5896" spans="4:8" x14ac:dyDescent="0.25">
      <c r="D5896" s="28"/>
      <c r="F5896" s="28"/>
      <c r="H5896" s="28"/>
    </row>
    <row r="5897" spans="4:8" x14ac:dyDescent="0.25">
      <c r="D5897" s="28"/>
      <c r="F5897" s="28"/>
      <c r="H5897" s="28"/>
    </row>
    <row r="5898" spans="4:8" x14ac:dyDescent="0.25">
      <c r="D5898" s="28"/>
      <c r="F5898" s="28"/>
      <c r="H5898" s="28"/>
    </row>
    <row r="5899" spans="4:8" x14ac:dyDescent="0.25">
      <c r="D5899" s="28"/>
      <c r="F5899" s="28"/>
      <c r="H5899" s="28"/>
    </row>
    <row r="5900" spans="4:8" x14ac:dyDescent="0.25">
      <c r="D5900" s="28"/>
      <c r="F5900" s="28"/>
      <c r="H5900" s="28"/>
    </row>
    <row r="5901" spans="4:8" x14ac:dyDescent="0.25">
      <c r="D5901" s="28"/>
      <c r="F5901" s="28"/>
      <c r="H5901" s="28"/>
    </row>
    <row r="5902" spans="4:8" x14ac:dyDescent="0.25">
      <c r="D5902" s="28"/>
      <c r="F5902" s="28"/>
      <c r="H5902" s="28"/>
    </row>
    <row r="5903" spans="4:8" x14ac:dyDescent="0.25">
      <c r="D5903" s="28"/>
      <c r="F5903" s="28"/>
      <c r="H5903" s="28"/>
    </row>
    <row r="5904" spans="4:8" x14ac:dyDescent="0.25">
      <c r="D5904" s="28"/>
      <c r="F5904" s="28"/>
      <c r="H5904" s="28"/>
    </row>
    <row r="5905" spans="4:8" x14ac:dyDescent="0.25">
      <c r="D5905" s="28"/>
      <c r="F5905" s="28"/>
      <c r="H5905" s="28"/>
    </row>
    <row r="5906" spans="4:8" x14ac:dyDescent="0.25">
      <c r="D5906" s="28"/>
      <c r="F5906" s="28"/>
      <c r="H5906" s="28"/>
    </row>
    <row r="5907" spans="4:8" x14ac:dyDescent="0.25">
      <c r="D5907" s="28"/>
      <c r="F5907" s="28"/>
      <c r="H5907" s="28"/>
    </row>
    <row r="5908" spans="4:8" x14ac:dyDescent="0.25">
      <c r="D5908" s="28"/>
      <c r="F5908" s="28"/>
      <c r="H5908" s="28"/>
    </row>
    <row r="5909" spans="4:8" x14ac:dyDescent="0.25">
      <c r="D5909" s="28"/>
      <c r="F5909" s="28"/>
      <c r="H5909" s="28"/>
    </row>
    <row r="5910" spans="4:8" x14ac:dyDescent="0.25">
      <c r="D5910" s="28"/>
      <c r="F5910" s="28"/>
      <c r="H5910" s="28"/>
    </row>
    <row r="5911" spans="4:8" x14ac:dyDescent="0.25">
      <c r="D5911" s="28"/>
      <c r="F5911" s="28"/>
      <c r="H5911" s="28"/>
    </row>
    <row r="5912" spans="4:8" x14ac:dyDescent="0.25">
      <c r="D5912" s="28"/>
      <c r="F5912" s="28"/>
      <c r="H5912" s="28"/>
    </row>
    <row r="5913" spans="4:8" x14ac:dyDescent="0.25">
      <c r="D5913" s="28"/>
      <c r="F5913" s="28"/>
      <c r="H5913" s="28"/>
    </row>
    <row r="5914" spans="4:8" x14ac:dyDescent="0.25">
      <c r="D5914" s="28"/>
      <c r="F5914" s="28"/>
      <c r="H5914" s="28"/>
    </row>
    <row r="5915" spans="4:8" x14ac:dyDescent="0.25">
      <c r="D5915" s="28"/>
      <c r="F5915" s="28"/>
      <c r="H5915" s="28"/>
    </row>
    <row r="5916" spans="4:8" x14ac:dyDescent="0.25">
      <c r="D5916" s="28"/>
      <c r="F5916" s="28"/>
      <c r="H5916" s="28"/>
    </row>
    <row r="5917" spans="4:8" x14ac:dyDescent="0.25">
      <c r="D5917" s="28"/>
      <c r="F5917" s="28"/>
      <c r="H5917" s="28"/>
    </row>
    <row r="5918" spans="4:8" x14ac:dyDescent="0.25">
      <c r="D5918" s="28"/>
      <c r="F5918" s="28"/>
      <c r="H5918" s="28"/>
    </row>
    <row r="5919" spans="4:8" x14ac:dyDescent="0.25">
      <c r="D5919" s="28"/>
      <c r="F5919" s="28"/>
      <c r="H5919" s="28"/>
    </row>
    <row r="5920" spans="4:8" x14ac:dyDescent="0.25">
      <c r="D5920" s="28"/>
      <c r="F5920" s="28"/>
      <c r="H5920" s="28"/>
    </row>
    <row r="5921" spans="4:8" x14ac:dyDescent="0.25">
      <c r="D5921" s="28"/>
      <c r="F5921" s="28"/>
      <c r="H5921" s="28"/>
    </row>
    <row r="5922" spans="4:8" x14ac:dyDescent="0.25">
      <c r="D5922" s="28"/>
      <c r="F5922" s="28"/>
      <c r="H5922" s="28"/>
    </row>
    <row r="5923" spans="4:8" x14ac:dyDescent="0.25">
      <c r="D5923" s="28"/>
      <c r="F5923" s="28"/>
      <c r="H5923" s="28"/>
    </row>
    <row r="5924" spans="4:8" x14ac:dyDescent="0.25">
      <c r="D5924" s="28"/>
      <c r="F5924" s="28"/>
      <c r="H5924" s="28"/>
    </row>
    <row r="5925" spans="4:8" x14ac:dyDescent="0.25">
      <c r="D5925" s="28"/>
      <c r="F5925" s="28"/>
      <c r="H5925" s="28"/>
    </row>
    <row r="5926" spans="4:8" x14ac:dyDescent="0.25">
      <c r="D5926" s="28"/>
      <c r="F5926" s="28"/>
      <c r="H5926" s="28"/>
    </row>
    <row r="5927" spans="4:8" x14ac:dyDescent="0.25">
      <c r="D5927" s="28"/>
      <c r="F5927" s="28"/>
      <c r="H5927" s="28"/>
    </row>
    <row r="5928" spans="4:8" x14ac:dyDescent="0.25">
      <c r="D5928" s="28"/>
      <c r="F5928" s="28"/>
      <c r="H5928" s="28"/>
    </row>
    <row r="5929" spans="4:8" x14ac:dyDescent="0.25">
      <c r="D5929" s="28"/>
      <c r="F5929" s="28"/>
      <c r="H5929" s="28"/>
    </row>
    <row r="5930" spans="4:8" x14ac:dyDescent="0.25">
      <c r="D5930" s="28"/>
      <c r="F5930" s="28"/>
      <c r="H5930" s="28"/>
    </row>
    <row r="5931" spans="4:8" x14ac:dyDescent="0.25">
      <c r="D5931" s="28"/>
      <c r="F5931" s="28"/>
      <c r="H5931" s="28"/>
    </row>
    <row r="5932" spans="4:8" x14ac:dyDescent="0.25">
      <c r="D5932" s="28"/>
      <c r="F5932" s="28"/>
      <c r="H5932" s="28"/>
    </row>
    <row r="5933" spans="4:8" x14ac:dyDescent="0.25">
      <c r="D5933" s="28"/>
      <c r="F5933" s="28"/>
      <c r="H5933" s="28"/>
    </row>
    <row r="5934" spans="4:8" x14ac:dyDescent="0.25">
      <c r="D5934" s="28"/>
      <c r="F5934" s="28"/>
      <c r="H5934" s="28"/>
    </row>
    <row r="5935" spans="4:8" x14ac:dyDescent="0.25">
      <c r="D5935" s="28"/>
      <c r="F5935" s="28"/>
      <c r="H5935" s="28"/>
    </row>
    <row r="5936" spans="4:8" x14ac:dyDescent="0.25">
      <c r="D5936" s="28"/>
      <c r="F5936" s="28"/>
      <c r="H5936" s="28"/>
    </row>
    <row r="5937" spans="4:8" x14ac:dyDescent="0.25">
      <c r="D5937" s="28"/>
      <c r="F5937" s="28"/>
      <c r="H5937" s="28"/>
    </row>
    <row r="5938" spans="4:8" x14ac:dyDescent="0.25">
      <c r="D5938" s="28"/>
      <c r="F5938" s="28"/>
      <c r="H5938" s="28"/>
    </row>
    <row r="5939" spans="4:8" x14ac:dyDescent="0.25">
      <c r="D5939" s="28"/>
      <c r="F5939" s="28"/>
      <c r="H5939" s="28"/>
    </row>
    <row r="5940" spans="4:8" x14ac:dyDescent="0.25">
      <c r="D5940" s="28"/>
      <c r="F5940" s="28"/>
      <c r="H5940" s="28"/>
    </row>
    <row r="5941" spans="4:8" x14ac:dyDescent="0.25">
      <c r="D5941" s="28"/>
      <c r="F5941" s="28"/>
      <c r="H5941" s="28"/>
    </row>
    <row r="5942" spans="4:8" x14ac:dyDescent="0.25">
      <c r="D5942" s="28"/>
      <c r="F5942" s="28"/>
      <c r="H5942" s="28"/>
    </row>
    <row r="5943" spans="4:8" x14ac:dyDescent="0.25">
      <c r="D5943" s="28"/>
      <c r="F5943" s="28"/>
      <c r="H5943" s="28"/>
    </row>
    <row r="5944" spans="4:8" x14ac:dyDescent="0.25">
      <c r="D5944" s="28"/>
      <c r="F5944" s="28"/>
      <c r="H5944" s="28"/>
    </row>
    <row r="5945" spans="4:8" x14ac:dyDescent="0.25">
      <c r="D5945" s="28"/>
      <c r="F5945" s="28"/>
      <c r="H5945" s="28"/>
    </row>
    <row r="5946" spans="4:8" x14ac:dyDescent="0.25">
      <c r="D5946" s="28"/>
      <c r="F5946" s="28"/>
      <c r="H5946" s="28"/>
    </row>
    <row r="5947" spans="4:8" x14ac:dyDescent="0.25">
      <c r="D5947" s="28"/>
      <c r="F5947" s="28"/>
      <c r="H5947" s="28"/>
    </row>
    <row r="5948" spans="4:8" x14ac:dyDescent="0.25">
      <c r="D5948" s="28"/>
      <c r="F5948" s="28"/>
      <c r="H5948" s="28"/>
    </row>
    <row r="5949" spans="4:8" x14ac:dyDescent="0.25">
      <c r="D5949" s="28"/>
      <c r="F5949" s="28"/>
      <c r="H5949" s="28"/>
    </row>
    <row r="5950" spans="4:8" x14ac:dyDescent="0.25">
      <c r="D5950" s="28"/>
      <c r="F5950" s="28"/>
      <c r="H5950" s="28"/>
    </row>
    <row r="5951" spans="4:8" x14ac:dyDescent="0.25">
      <c r="D5951" s="28"/>
      <c r="F5951" s="28"/>
      <c r="H5951" s="28"/>
    </row>
    <row r="5952" spans="4:8" x14ac:dyDescent="0.25">
      <c r="D5952" s="28"/>
      <c r="F5952" s="28"/>
      <c r="H5952" s="28"/>
    </row>
    <row r="5953" spans="4:8" x14ac:dyDescent="0.25">
      <c r="D5953" s="28"/>
      <c r="F5953" s="28"/>
      <c r="H5953" s="28"/>
    </row>
    <row r="5954" spans="4:8" x14ac:dyDescent="0.25">
      <c r="D5954" s="28"/>
      <c r="F5954" s="28"/>
      <c r="H5954" s="28"/>
    </row>
    <row r="5955" spans="4:8" x14ac:dyDescent="0.25">
      <c r="D5955" s="28"/>
      <c r="F5955" s="28"/>
      <c r="H5955" s="28"/>
    </row>
    <row r="5956" spans="4:8" x14ac:dyDescent="0.25">
      <c r="D5956" s="28"/>
      <c r="F5956" s="28"/>
      <c r="H5956" s="28"/>
    </row>
    <row r="5957" spans="4:8" x14ac:dyDescent="0.25">
      <c r="D5957" s="28"/>
      <c r="F5957" s="28"/>
      <c r="H5957" s="28"/>
    </row>
    <row r="5958" spans="4:8" x14ac:dyDescent="0.25">
      <c r="D5958" s="28"/>
      <c r="F5958" s="28"/>
      <c r="H5958" s="28"/>
    </row>
    <row r="5959" spans="4:8" x14ac:dyDescent="0.25">
      <c r="D5959" s="28"/>
      <c r="F5959" s="28"/>
      <c r="H5959" s="28"/>
    </row>
    <row r="5960" spans="4:8" x14ac:dyDescent="0.25">
      <c r="D5960" s="28"/>
      <c r="F5960" s="28"/>
      <c r="H5960" s="28"/>
    </row>
    <row r="5961" spans="4:8" x14ac:dyDescent="0.25">
      <c r="D5961" s="28"/>
      <c r="F5961" s="28"/>
      <c r="H5961" s="28"/>
    </row>
    <row r="5962" spans="4:8" x14ac:dyDescent="0.25">
      <c r="D5962" s="28"/>
      <c r="F5962" s="28"/>
      <c r="H5962" s="28"/>
    </row>
    <row r="5963" spans="4:8" x14ac:dyDescent="0.25">
      <c r="D5963" s="28"/>
      <c r="F5963" s="28"/>
      <c r="H5963" s="28"/>
    </row>
    <row r="5964" spans="4:8" x14ac:dyDescent="0.25">
      <c r="D5964" s="28"/>
      <c r="F5964" s="28"/>
      <c r="H5964" s="28"/>
    </row>
    <row r="5965" spans="4:8" x14ac:dyDescent="0.25">
      <c r="D5965" s="28"/>
      <c r="F5965" s="28"/>
      <c r="H5965" s="28"/>
    </row>
    <row r="5966" spans="4:8" x14ac:dyDescent="0.25">
      <c r="D5966" s="28"/>
      <c r="F5966" s="28"/>
      <c r="H5966" s="28"/>
    </row>
    <row r="5967" spans="4:8" x14ac:dyDescent="0.25">
      <c r="D5967" s="28"/>
      <c r="F5967" s="28"/>
      <c r="H5967" s="28"/>
    </row>
    <row r="5968" spans="4:8" x14ac:dyDescent="0.25">
      <c r="D5968" s="28"/>
      <c r="F5968" s="28"/>
      <c r="H5968" s="28"/>
    </row>
    <row r="5969" spans="4:8" x14ac:dyDescent="0.25">
      <c r="D5969" s="28"/>
      <c r="F5969" s="28"/>
      <c r="H5969" s="28"/>
    </row>
    <row r="5970" spans="4:8" x14ac:dyDescent="0.25">
      <c r="D5970" s="28"/>
      <c r="F5970" s="28"/>
      <c r="H5970" s="28"/>
    </row>
    <row r="5971" spans="4:8" x14ac:dyDescent="0.25">
      <c r="D5971" s="28"/>
      <c r="F5971" s="28"/>
      <c r="H5971" s="28"/>
    </row>
    <row r="5972" spans="4:8" x14ac:dyDescent="0.25">
      <c r="D5972" s="28"/>
      <c r="F5972" s="28"/>
      <c r="H5972" s="28"/>
    </row>
    <row r="5973" spans="4:8" x14ac:dyDescent="0.25">
      <c r="D5973" s="28"/>
      <c r="F5973" s="28"/>
      <c r="H5973" s="28"/>
    </row>
    <row r="5974" spans="4:8" x14ac:dyDescent="0.25">
      <c r="D5974" s="28"/>
      <c r="F5974" s="28"/>
      <c r="H5974" s="28"/>
    </row>
    <row r="5975" spans="4:8" x14ac:dyDescent="0.25">
      <c r="D5975" s="28"/>
      <c r="F5975" s="28"/>
      <c r="H5975" s="28"/>
    </row>
    <row r="5976" spans="4:8" x14ac:dyDescent="0.25">
      <c r="D5976" s="28"/>
      <c r="F5976" s="28"/>
      <c r="H5976" s="28"/>
    </row>
    <row r="5977" spans="4:8" x14ac:dyDescent="0.25">
      <c r="D5977" s="28"/>
      <c r="F5977" s="28"/>
      <c r="H5977" s="28"/>
    </row>
    <row r="5978" spans="4:8" x14ac:dyDescent="0.25">
      <c r="D5978" s="28"/>
      <c r="F5978" s="28"/>
      <c r="H5978" s="28"/>
    </row>
    <row r="5979" spans="4:8" x14ac:dyDescent="0.25">
      <c r="D5979" s="28"/>
      <c r="F5979" s="28"/>
      <c r="H5979" s="28"/>
    </row>
    <row r="5980" spans="4:8" x14ac:dyDescent="0.25">
      <c r="D5980" s="28"/>
      <c r="F5980" s="28"/>
      <c r="H5980" s="28"/>
    </row>
    <row r="5981" spans="4:8" x14ac:dyDescent="0.25">
      <c r="D5981" s="28"/>
      <c r="F5981" s="28"/>
      <c r="H5981" s="28"/>
    </row>
    <row r="5982" spans="4:8" x14ac:dyDescent="0.25">
      <c r="D5982" s="28"/>
      <c r="F5982" s="28"/>
      <c r="H5982" s="28"/>
    </row>
    <row r="5983" spans="4:8" x14ac:dyDescent="0.25">
      <c r="D5983" s="28"/>
      <c r="F5983" s="28"/>
      <c r="H5983" s="28"/>
    </row>
    <row r="5984" spans="4:8" x14ac:dyDescent="0.25">
      <c r="D5984" s="28"/>
      <c r="F5984" s="28"/>
      <c r="H5984" s="28"/>
    </row>
    <row r="5985" spans="4:8" x14ac:dyDescent="0.25">
      <c r="D5985" s="28"/>
      <c r="F5985" s="28"/>
      <c r="H5985" s="28"/>
    </row>
    <row r="5986" spans="4:8" x14ac:dyDescent="0.25">
      <c r="D5986" s="28"/>
      <c r="F5986" s="28"/>
      <c r="H5986" s="28"/>
    </row>
    <row r="5987" spans="4:8" x14ac:dyDescent="0.25">
      <c r="D5987" s="28"/>
      <c r="F5987" s="28"/>
      <c r="H5987" s="28"/>
    </row>
    <row r="5988" spans="4:8" x14ac:dyDescent="0.25">
      <c r="D5988" s="28"/>
      <c r="F5988" s="28"/>
      <c r="H5988" s="28"/>
    </row>
    <row r="5989" spans="4:8" x14ac:dyDescent="0.25">
      <c r="D5989" s="28"/>
      <c r="F5989" s="28"/>
      <c r="H5989" s="28"/>
    </row>
    <row r="5990" spans="4:8" x14ac:dyDescent="0.25">
      <c r="D5990" s="28"/>
      <c r="F5990" s="28"/>
      <c r="H5990" s="28"/>
    </row>
    <row r="5991" spans="4:8" x14ac:dyDescent="0.25">
      <c r="D5991" s="28"/>
      <c r="F5991" s="28"/>
      <c r="H5991" s="28"/>
    </row>
    <row r="5992" spans="4:8" x14ac:dyDescent="0.25">
      <c r="D5992" s="28"/>
      <c r="F5992" s="28"/>
      <c r="H5992" s="28"/>
    </row>
    <row r="5993" spans="4:8" x14ac:dyDescent="0.25">
      <c r="D5993" s="28"/>
      <c r="F5993" s="28"/>
      <c r="H5993" s="28"/>
    </row>
    <row r="5994" spans="4:8" x14ac:dyDescent="0.25">
      <c r="D5994" s="28"/>
      <c r="F5994" s="28"/>
      <c r="H5994" s="28"/>
    </row>
    <row r="5995" spans="4:8" x14ac:dyDescent="0.25">
      <c r="D5995" s="28"/>
      <c r="F5995" s="28"/>
      <c r="H5995" s="28"/>
    </row>
    <row r="5996" spans="4:8" x14ac:dyDescent="0.25">
      <c r="D5996" s="28"/>
      <c r="F5996" s="28"/>
      <c r="H5996" s="28"/>
    </row>
    <row r="5997" spans="4:8" x14ac:dyDescent="0.25">
      <c r="D5997" s="28"/>
      <c r="F5997" s="28"/>
      <c r="H5997" s="28"/>
    </row>
    <row r="5998" spans="4:8" x14ac:dyDescent="0.25">
      <c r="D5998" s="28"/>
      <c r="F5998" s="28"/>
      <c r="H5998" s="28"/>
    </row>
    <row r="5999" spans="4:8" x14ac:dyDescent="0.25">
      <c r="D5999" s="28"/>
      <c r="F5999" s="28"/>
      <c r="H5999" s="28"/>
    </row>
    <row r="6000" spans="4:8" x14ac:dyDescent="0.25">
      <c r="D6000" s="28"/>
      <c r="F6000" s="28"/>
      <c r="H6000" s="28"/>
    </row>
    <row r="6001" spans="4:8" x14ac:dyDescent="0.25">
      <c r="D6001" s="28"/>
      <c r="F6001" s="28"/>
      <c r="H6001" s="28"/>
    </row>
    <row r="6002" spans="4:8" x14ac:dyDescent="0.25">
      <c r="D6002" s="28"/>
      <c r="F6002" s="28"/>
      <c r="H6002" s="28"/>
    </row>
    <row r="6003" spans="4:8" x14ac:dyDescent="0.25">
      <c r="D6003" s="28"/>
      <c r="F6003" s="28"/>
      <c r="H6003" s="28"/>
    </row>
    <row r="6004" spans="4:8" x14ac:dyDescent="0.25">
      <c r="D6004" s="28"/>
      <c r="F6004" s="28"/>
      <c r="H6004" s="28"/>
    </row>
    <row r="6005" spans="4:8" x14ac:dyDescent="0.25">
      <c r="D6005" s="28"/>
      <c r="F6005" s="28"/>
      <c r="H6005" s="28"/>
    </row>
    <row r="6006" spans="4:8" x14ac:dyDescent="0.25">
      <c r="D6006" s="28"/>
      <c r="F6006" s="28"/>
      <c r="H6006" s="28"/>
    </row>
    <row r="6007" spans="4:8" x14ac:dyDescent="0.25">
      <c r="D6007" s="28"/>
      <c r="F6007" s="28"/>
      <c r="H6007" s="28"/>
    </row>
    <row r="6008" spans="4:8" x14ac:dyDescent="0.25">
      <c r="D6008" s="28"/>
      <c r="F6008" s="28"/>
      <c r="H6008" s="28"/>
    </row>
    <row r="6009" spans="4:8" x14ac:dyDescent="0.25">
      <c r="D6009" s="28"/>
      <c r="F6009" s="28"/>
      <c r="H6009" s="28"/>
    </row>
    <row r="6010" spans="4:8" x14ac:dyDescent="0.25">
      <c r="D6010" s="28"/>
      <c r="F6010" s="28"/>
      <c r="H6010" s="28"/>
    </row>
    <row r="6011" spans="4:8" x14ac:dyDescent="0.25">
      <c r="D6011" s="28"/>
      <c r="F6011" s="28"/>
      <c r="H6011" s="28"/>
    </row>
    <row r="6012" spans="4:8" x14ac:dyDescent="0.25">
      <c r="D6012" s="28"/>
      <c r="F6012" s="28"/>
      <c r="H6012" s="28"/>
    </row>
    <row r="6013" spans="4:8" x14ac:dyDescent="0.25">
      <c r="D6013" s="28"/>
      <c r="F6013" s="28"/>
      <c r="H6013" s="28"/>
    </row>
    <row r="6014" spans="4:8" x14ac:dyDescent="0.25">
      <c r="D6014" s="28"/>
      <c r="F6014" s="28"/>
      <c r="H6014" s="28"/>
    </row>
    <row r="6015" spans="4:8" x14ac:dyDescent="0.25">
      <c r="D6015" s="28"/>
      <c r="F6015" s="28"/>
      <c r="H6015" s="28"/>
    </row>
    <row r="6016" spans="4:8" x14ac:dyDescent="0.25">
      <c r="D6016" s="28"/>
      <c r="F6016" s="28"/>
      <c r="H6016" s="28"/>
    </row>
    <row r="6017" spans="4:8" x14ac:dyDescent="0.25">
      <c r="D6017" s="28"/>
      <c r="F6017" s="28"/>
      <c r="H6017" s="28"/>
    </row>
    <row r="6018" spans="4:8" x14ac:dyDescent="0.25">
      <c r="D6018" s="28"/>
      <c r="F6018" s="28"/>
      <c r="H6018" s="28"/>
    </row>
    <row r="6019" spans="4:8" x14ac:dyDescent="0.25">
      <c r="D6019" s="28"/>
      <c r="F6019" s="28"/>
      <c r="H6019" s="28"/>
    </row>
    <row r="6020" spans="4:8" x14ac:dyDescent="0.25">
      <c r="D6020" s="28"/>
      <c r="F6020" s="28"/>
      <c r="H6020" s="28"/>
    </row>
    <row r="6021" spans="4:8" x14ac:dyDescent="0.25">
      <c r="D6021" s="28"/>
      <c r="F6021" s="28"/>
      <c r="H6021" s="28"/>
    </row>
    <row r="6022" spans="4:8" x14ac:dyDescent="0.25">
      <c r="D6022" s="28"/>
      <c r="F6022" s="28"/>
      <c r="H6022" s="28"/>
    </row>
    <row r="6023" spans="4:8" x14ac:dyDescent="0.25">
      <c r="D6023" s="28"/>
      <c r="F6023" s="28"/>
      <c r="H6023" s="28"/>
    </row>
    <row r="6024" spans="4:8" x14ac:dyDescent="0.25">
      <c r="D6024" s="28"/>
      <c r="F6024" s="28"/>
      <c r="H6024" s="28"/>
    </row>
    <row r="6025" spans="4:8" x14ac:dyDescent="0.25">
      <c r="D6025" s="28"/>
      <c r="F6025" s="28"/>
      <c r="H6025" s="28"/>
    </row>
    <row r="6026" spans="4:8" x14ac:dyDescent="0.25">
      <c r="D6026" s="28"/>
      <c r="F6026" s="28"/>
      <c r="H6026" s="28"/>
    </row>
    <row r="6027" spans="4:8" x14ac:dyDescent="0.25">
      <c r="D6027" s="28"/>
      <c r="F6027" s="28"/>
      <c r="H6027" s="28"/>
    </row>
    <row r="6028" spans="4:8" x14ac:dyDescent="0.25">
      <c r="D6028" s="28"/>
      <c r="F6028" s="28"/>
      <c r="H6028" s="28"/>
    </row>
    <row r="6029" spans="4:8" x14ac:dyDescent="0.25">
      <c r="D6029" s="28"/>
      <c r="F6029" s="28"/>
      <c r="H6029" s="28"/>
    </row>
    <row r="6030" spans="4:8" x14ac:dyDescent="0.25">
      <c r="D6030" s="28"/>
      <c r="F6030" s="28"/>
      <c r="H6030" s="28"/>
    </row>
    <row r="6031" spans="4:8" x14ac:dyDescent="0.25">
      <c r="D6031" s="28"/>
      <c r="F6031" s="28"/>
      <c r="H6031" s="28"/>
    </row>
    <row r="6032" spans="4:8" x14ac:dyDescent="0.25">
      <c r="D6032" s="28"/>
      <c r="F6032" s="28"/>
      <c r="H6032" s="28"/>
    </row>
    <row r="6033" spans="4:8" x14ac:dyDescent="0.25">
      <c r="D6033" s="28"/>
      <c r="F6033" s="28"/>
      <c r="H6033" s="28"/>
    </row>
    <row r="6034" spans="4:8" x14ac:dyDescent="0.25">
      <c r="D6034" s="28"/>
      <c r="F6034" s="28"/>
      <c r="H6034" s="28"/>
    </row>
    <row r="6035" spans="4:8" x14ac:dyDescent="0.25">
      <c r="D6035" s="28"/>
      <c r="F6035" s="28"/>
      <c r="H6035" s="28"/>
    </row>
    <row r="6036" spans="4:8" x14ac:dyDescent="0.25">
      <c r="D6036" s="28"/>
      <c r="F6036" s="28"/>
      <c r="H6036" s="28"/>
    </row>
    <row r="6037" spans="4:8" x14ac:dyDescent="0.25">
      <c r="D6037" s="28"/>
      <c r="F6037" s="28"/>
      <c r="H6037" s="28"/>
    </row>
    <row r="6038" spans="4:8" x14ac:dyDescent="0.25">
      <c r="D6038" s="28"/>
      <c r="F6038" s="28"/>
      <c r="H6038" s="28"/>
    </row>
    <row r="6039" spans="4:8" x14ac:dyDescent="0.25">
      <c r="D6039" s="28"/>
      <c r="F6039" s="28"/>
      <c r="H6039" s="28"/>
    </row>
    <row r="6040" spans="4:8" x14ac:dyDescent="0.25">
      <c r="D6040" s="28"/>
      <c r="F6040" s="28"/>
      <c r="H6040" s="28"/>
    </row>
    <row r="6041" spans="4:8" x14ac:dyDescent="0.25">
      <c r="D6041" s="28"/>
      <c r="F6041" s="28"/>
      <c r="H6041" s="28"/>
    </row>
    <row r="6042" spans="4:8" x14ac:dyDescent="0.25">
      <c r="D6042" s="28"/>
      <c r="F6042" s="28"/>
      <c r="H6042" s="28"/>
    </row>
    <row r="6043" spans="4:8" x14ac:dyDescent="0.25">
      <c r="D6043" s="28"/>
      <c r="F6043" s="28"/>
      <c r="H6043" s="28"/>
    </row>
    <row r="6044" spans="4:8" x14ac:dyDescent="0.25">
      <c r="D6044" s="28"/>
      <c r="F6044" s="28"/>
      <c r="H6044" s="28"/>
    </row>
    <row r="6045" spans="4:8" x14ac:dyDescent="0.25">
      <c r="D6045" s="28"/>
      <c r="F6045" s="28"/>
      <c r="H6045" s="28"/>
    </row>
    <row r="6046" spans="4:8" x14ac:dyDescent="0.25">
      <c r="D6046" s="28"/>
      <c r="F6046" s="28"/>
      <c r="H6046" s="28"/>
    </row>
    <row r="6047" spans="4:8" x14ac:dyDescent="0.25">
      <c r="D6047" s="28"/>
      <c r="F6047" s="28"/>
      <c r="H6047" s="28"/>
    </row>
    <row r="6048" spans="4:8" x14ac:dyDescent="0.25">
      <c r="D6048" s="28"/>
      <c r="F6048" s="28"/>
      <c r="H6048" s="28"/>
    </row>
    <row r="6049" spans="4:8" x14ac:dyDescent="0.25">
      <c r="D6049" s="28"/>
      <c r="F6049" s="28"/>
      <c r="H6049" s="28"/>
    </row>
    <row r="6050" spans="4:8" x14ac:dyDescent="0.25">
      <c r="D6050" s="28"/>
      <c r="F6050" s="28"/>
      <c r="H6050" s="28"/>
    </row>
    <row r="6051" spans="4:8" x14ac:dyDescent="0.25">
      <c r="D6051" s="28"/>
      <c r="F6051" s="28"/>
      <c r="H6051" s="28"/>
    </row>
    <row r="6052" spans="4:8" x14ac:dyDescent="0.25">
      <c r="D6052" s="28"/>
      <c r="F6052" s="28"/>
      <c r="H6052" s="28"/>
    </row>
    <row r="6053" spans="4:8" x14ac:dyDescent="0.25">
      <c r="D6053" s="28"/>
      <c r="F6053" s="28"/>
      <c r="H6053" s="28"/>
    </row>
    <row r="6054" spans="4:8" x14ac:dyDescent="0.25">
      <c r="D6054" s="28"/>
      <c r="F6054" s="28"/>
      <c r="H6054" s="28"/>
    </row>
    <row r="6055" spans="4:8" x14ac:dyDescent="0.25">
      <c r="D6055" s="28"/>
      <c r="F6055" s="28"/>
      <c r="H6055" s="28"/>
    </row>
    <row r="6056" spans="4:8" x14ac:dyDescent="0.25">
      <c r="D6056" s="28"/>
      <c r="F6056" s="28"/>
      <c r="H6056" s="28"/>
    </row>
    <row r="6057" spans="4:8" x14ac:dyDescent="0.25">
      <c r="D6057" s="28"/>
      <c r="F6057" s="28"/>
      <c r="H6057" s="28"/>
    </row>
    <row r="6058" spans="4:8" x14ac:dyDescent="0.25">
      <c r="D6058" s="28"/>
      <c r="F6058" s="28"/>
      <c r="H6058" s="28"/>
    </row>
    <row r="6059" spans="4:8" x14ac:dyDescent="0.25">
      <c r="D6059" s="28"/>
      <c r="F6059" s="28"/>
      <c r="H6059" s="28"/>
    </row>
    <row r="6060" spans="4:8" x14ac:dyDescent="0.25">
      <c r="D6060" s="28"/>
      <c r="F6060" s="28"/>
      <c r="H6060" s="28"/>
    </row>
    <row r="6061" spans="4:8" x14ac:dyDescent="0.25">
      <c r="D6061" s="28"/>
      <c r="F6061" s="28"/>
      <c r="H6061" s="28"/>
    </row>
    <row r="6062" spans="4:8" x14ac:dyDescent="0.25">
      <c r="D6062" s="28"/>
      <c r="F6062" s="28"/>
      <c r="H6062" s="28"/>
    </row>
    <row r="6063" spans="4:8" x14ac:dyDescent="0.25">
      <c r="D6063" s="28"/>
      <c r="F6063" s="28"/>
      <c r="H6063" s="28"/>
    </row>
    <row r="6064" spans="4:8" x14ac:dyDescent="0.25">
      <c r="D6064" s="28"/>
      <c r="F6064" s="28"/>
      <c r="H6064" s="28"/>
    </row>
    <row r="6065" spans="4:8" x14ac:dyDescent="0.25">
      <c r="D6065" s="28"/>
      <c r="F6065" s="28"/>
      <c r="H6065" s="28"/>
    </row>
    <row r="6066" spans="4:8" x14ac:dyDescent="0.25">
      <c r="D6066" s="28"/>
      <c r="F6066" s="28"/>
      <c r="H6066" s="28"/>
    </row>
    <row r="6067" spans="4:8" x14ac:dyDescent="0.25">
      <c r="D6067" s="28"/>
      <c r="F6067" s="28"/>
      <c r="H6067" s="28"/>
    </row>
    <row r="6068" spans="4:8" x14ac:dyDescent="0.25">
      <c r="D6068" s="28"/>
      <c r="F6068" s="28"/>
      <c r="H6068" s="28"/>
    </row>
    <row r="6069" spans="4:8" x14ac:dyDescent="0.25">
      <c r="D6069" s="28"/>
      <c r="F6069" s="28"/>
      <c r="H6069" s="28"/>
    </row>
    <row r="6070" spans="4:8" x14ac:dyDescent="0.25">
      <c r="D6070" s="28"/>
      <c r="F6070" s="28"/>
      <c r="H6070" s="28"/>
    </row>
    <row r="6071" spans="4:8" x14ac:dyDescent="0.25">
      <c r="D6071" s="28"/>
      <c r="F6071" s="28"/>
      <c r="H6071" s="28"/>
    </row>
    <row r="6072" spans="4:8" x14ac:dyDescent="0.25">
      <c r="D6072" s="28"/>
      <c r="F6072" s="28"/>
      <c r="H6072" s="28"/>
    </row>
    <row r="6073" spans="4:8" x14ac:dyDescent="0.25">
      <c r="D6073" s="28"/>
      <c r="F6073" s="28"/>
      <c r="H6073" s="28"/>
    </row>
    <row r="6074" spans="4:8" x14ac:dyDescent="0.25">
      <c r="D6074" s="28"/>
      <c r="F6074" s="28"/>
      <c r="H6074" s="28"/>
    </row>
    <row r="6075" spans="4:8" x14ac:dyDescent="0.25">
      <c r="D6075" s="28"/>
      <c r="F6075" s="28"/>
      <c r="H6075" s="28"/>
    </row>
    <row r="6076" spans="4:8" x14ac:dyDescent="0.25">
      <c r="D6076" s="28"/>
      <c r="F6076" s="28"/>
      <c r="H6076" s="28"/>
    </row>
    <row r="6077" spans="4:8" x14ac:dyDescent="0.25">
      <c r="D6077" s="28"/>
      <c r="F6077" s="28"/>
      <c r="H6077" s="28"/>
    </row>
    <row r="6078" spans="4:8" x14ac:dyDescent="0.25">
      <c r="D6078" s="28"/>
      <c r="F6078" s="28"/>
      <c r="H6078" s="28"/>
    </row>
    <row r="6079" spans="4:8" x14ac:dyDescent="0.25">
      <c r="D6079" s="28"/>
      <c r="F6079" s="28"/>
      <c r="H6079" s="28"/>
    </row>
    <row r="6080" spans="4:8" x14ac:dyDescent="0.25">
      <c r="D6080" s="28"/>
      <c r="F6080" s="28"/>
      <c r="H6080" s="28"/>
    </row>
    <row r="6081" spans="4:8" x14ac:dyDescent="0.25">
      <c r="D6081" s="28"/>
      <c r="F6081" s="28"/>
      <c r="H6081" s="28"/>
    </row>
    <row r="6082" spans="4:8" x14ac:dyDescent="0.25">
      <c r="D6082" s="28"/>
      <c r="F6082" s="28"/>
      <c r="H6082" s="28"/>
    </row>
    <row r="6083" spans="4:8" x14ac:dyDescent="0.25">
      <c r="D6083" s="28"/>
      <c r="F6083" s="28"/>
      <c r="H6083" s="28"/>
    </row>
    <row r="6084" spans="4:8" x14ac:dyDescent="0.25">
      <c r="D6084" s="28"/>
      <c r="F6084" s="28"/>
      <c r="H6084" s="28"/>
    </row>
    <row r="6085" spans="4:8" x14ac:dyDescent="0.25">
      <c r="D6085" s="28"/>
      <c r="F6085" s="28"/>
      <c r="H6085" s="28"/>
    </row>
    <row r="6086" spans="4:8" x14ac:dyDescent="0.25">
      <c r="D6086" s="28"/>
      <c r="F6086" s="28"/>
      <c r="H6086" s="28"/>
    </row>
    <row r="6087" spans="4:8" x14ac:dyDescent="0.25">
      <c r="D6087" s="28"/>
      <c r="F6087" s="28"/>
      <c r="H6087" s="28"/>
    </row>
    <row r="6088" spans="4:8" x14ac:dyDescent="0.25">
      <c r="D6088" s="28"/>
      <c r="F6088" s="28"/>
      <c r="H6088" s="28"/>
    </row>
    <row r="6089" spans="4:8" x14ac:dyDescent="0.25">
      <c r="D6089" s="28"/>
      <c r="F6089" s="28"/>
      <c r="H6089" s="28"/>
    </row>
    <row r="6090" spans="4:8" x14ac:dyDescent="0.25">
      <c r="D6090" s="28"/>
      <c r="F6090" s="28"/>
      <c r="H6090" s="28"/>
    </row>
    <row r="6091" spans="4:8" x14ac:dyDescent="0.25">
      <c r="D6091" s="28"/>
      <c r="F6091" s="28"/>
      <c r="H6091" s="28"/>
    </row>
    <row r="6092" spans="4:8" x14ac:dyDescent="0.25">
      <c r="D6092" s="28"/>
      <c r="F6092" s="28"/>
      <c r="H6092" s="28"/>
    </row>
    <row r="6093" spans="4:8" x14ac:dyDescent="0.25">
      <c r="D6093" s="28"/>
      <c r="F6093" s="28"/>
      <c r="H6093" s="28"/>
    </row>
    <row r="6094" spans="4:8" x14ac:dyDescent="0.25">
      <c r="D6094" s="28"/>
      <c r="F6094" s="28"/>
      <c r="H6094" s="28"/>
    </row>
    <row r="6095" spans="4:8" x14ac:dyDescent="0.25">
      <c r="D6095" s="28"/>
      <c r="F6095" s="28"/>
      <c r="H6095" s="28"/>
    </row>
    <row r="6096" spans="4:8" x14ac:dyDescent="0.25">
      <c r="D6096" s="28"/>
      <c r="F6096" s="28"/>
      <c r="H6096" s="28"/>
    </row>
    <row r="6097" spans="4:8" x14ac:dyDescent="0.25">
      <c r="D6097" s="28"/>
      <c r="F6097" s="28"/>
      <c r="H6097" s="28"/>
    </row>
    <row r="6098" spans="4:8" x14ac:dyDescent="0.25">
      <c r="D6098" s="28"/>
      <c r="F6098" s="28"/>
      <c r="H6098" s="28"/>
    </row>
    <row r="6099" spans="4:8" x14ac:dyDescent="0.25">
      <c r="D6099" s="28"/>
      <c r="F6099" s="28"/>
      <c r="H6099" s="28"/>
    </row>
    <row r="6100" spans="4:8" x14ac:dyDescent="0.25">
      <c r="D6100" s="28"/>
      <c r="F6100" s="28"/>
      <c r="H6100" s="28"/>
    </row>
    <row r="6101" spans="4:8" x14ac:dyDescent="0.25">
      <c r="D6101" s="28"/>
      <c r="F6101" s="28"/>
      <c r="H6101" s="28"/>
    </row>
    <row r="6102" spans="4:8" x14ac:dyDescent="0.25">
      <c r="D6102" s="28"/>
      <c r="F6102" s="28"/>
      <c r="H6102" s="28"/>
    </row>
    <row r="6103" spans="4:8" x14ac:dyDescent="0.25">
      <c r="D6103" s="28"/>
      <c r="F6103" s="28"/>
      <c r="H6103" s="28"/>
    </row>
    <row r="6104" spans="4:8" x14ac:dyDescent="0.25">
      <c r="D6104" s="28"/>
      <c r="F6104" s="28"/>
      <c r="H6104" s="28"/>
    </row>
    <row r="6105" spans="4:8" x14ac:dyDescent="0.25">
      <c r="D6105" s="28"/>
      <c r="F6105" s="28"/>
      <c r="H6105" s="28"/>
    </row>
    <row r="6106" spans="4:8" x14ac:dyDescent="0.25">
      <c r="D6106" s="28"/>
      <c r="F6106" s="28"/>
      <c r="H6106" s="28"/>
    </row>
    <row r="6107" spans="4:8" x14ac:dyDescent="0.25">
      <c r="D6107" s="28"/>
      <c r="F6107" s="28"/>
      <c r="H6107" s="28"/>
    </row>
    <row r="6108" spans="4:8" x14ac:dyDescent="0.25">
      <c r="D6108" s="28"/>
      <c r="F6108" s="28"/>
      <c r="H6108" s="28"/>
    </row>
    <row r="6109" spans="4:8" x14ac:dyDescent="0.25">
      <c r="D6109" s="28"/>
      <c r="F6109" s="28"/>
      <c r="H6109" s="28"/>
    </row>
    <row r="6110" spans="4:8" x14ac:dyDescent="0.25">
      <c r="D6110" s="28"/>
      <c r="F6110" s="28"/>
      <c r="H6110" s="28"/>
    </row>
    <row r="6111" spans="4:8" x14ac:dyDescent="0.25">
      <c r="D6111" s="28"/>
      <c r="F6111" s="28"/>
      <c r="H6111" s="28"/>
    </row>
    <row r="6112" spans="4:8" x14ac:dyDescent="0.25">
      <c r="D6112" s="28"/>
      <c r="F6112" s="28"/>
      <c r="H6112" s="28"/>
    </row>
    <row r="6113" spans="4:8" x14ac:dyDescent="0.25">
      <c r="D6113" s="28"/>
      <c r="F6113" s="28"/>
      <c r="H6113" s="28"/>
    </row>
    <row r="6114" spans="4:8" x14ac:dyDescent="0.25">
      <c r="D6114" s="28"/>
      <c r="F6114" s="28"/>
      <c r="H6114" s="28"/>
    </row>
    <row r="6115" spans="4:8" x14ac:dyDescent="0.25">
      <c r="D6115" s="28"/>
      <c r="F6115" s="28"/>
      <c r="H6115" s="28"/>
    </row>
    <row r="6116" spans="4:8" x14ac:dyDescent="0.25">
      <c r="D6116" s="28"/>
      <c r="F6116" s="28"/>
      <c r="H6116" s="28"/>
    </row>
    <row r="6117" spans="4:8" x14ac:dyDescent="0.25">
      <c r="D6117" s="28"/>
      <c r="F6117" s="28"/>
      <c r="H6117" s="28"/>
    </row>
    <row r="6118" spans="4:8" x14ac:dyDescent="0.25">
      <c r="D6118" s="28"/>
      <c r="F6118" s="28"/>
      <c r="H6118" s="28"/>
    </row>
    <row r="6119" spans="4:8" x14ac:dyDescent="0.25">
      <c r="D6119" s="28"/>
      <c r="F6119" s="28"/>
      <c r="H6119" s="28"/>
    </row>
    <row r="6120" spans="4:8" x14ac:dyDescent="0.25">
      <c r="D6120" s="28"/>
      <c r="F6120" s="28"/>
      <c r="H6120" s="28"/>
    </row>
    <row r="6121" spans="4:8" x14ac:dyDescent="0.25">
      <c r="D6121" s="28"/>
      <c r="F6121" s="28"/>
      <c r="H6121" s="28"/>
    </row>
    <row r="6122" spans="4:8" x14ac:dyDescent="0.25">
      <c r="D6122" s="28"/>
      <c r="F6122" s="28"/>
      <c r="H6122" s="28"/>
    </row>
    <row r="6123" spans="4:8" x14ac:dyDescent="0.25">
      <c r="D6123" s="28"/>
      <c r="F6123" s="28"/>
      <c r="H6123" s="28"/>
    </row>
    <row r="6124" spans="4:8" x14ac:dyDescent="0.25">
      <c r="D6124" s="28"/>
      <c r="F6124" s="28"/>
      <c r="H6124" s="28"/>
    </row>
    <row r="6125" spans="4:8" x14ac:dyDescent="0.25">
      <c r="D6125" s="28"/>
      <c r="F6125" s="28"/>
      <c r="H6125" s="28"/>
    </row>
    <row r="6126" spans="4:8" x14ac:dyDescent="0.25">
      <c r="D6126" s="28"/>
      <c r="F6126" s="28"/>
      <c r="H6126" s="28"/>
    </row>
    <row r="6127" spans="4:8" x14ac:dyDescent="0.25">
      <c r="D6127" s="28"/>
      <c r="F6127" s="28"/>
      <c r="H6127" s="28"/>
    </row>
    <row r="6128" spans="4:8" x14ac:dyDescent="0.25">
      <c r="D6128" s="28"/>
      <c r="F6128" s="28"/>
      <c r="H6128" s="28"/>
    </row>
    <row r="6129" spans="4:8" x14ac:dyDescent="0.25">
      <c r="D6129" s="28"/>
      <c r="F6129" s="28"/>
      <c r="H6129" s="28"/>
    </row>
    <row r="6130" spans="4:8" x14ac:dyDescent="0.25">
      <c r="D6130" s="28"/>
      <c r="F6130" s="28"/>
      <c r="H6130" s="28"/>
    </row>
    <row r="6131" spans="4:8" x14ac:dyDescent="0.25">
      <c r="D6131" s="28"/>
      <c r="F6131" s="28"/>
      <c r="H6131" s="28"/>
    </row>
    <row r="6132" spans="4:8" x14ac:dyDescent="0.25">
      <c r="D6132" s="28"/>
      <c r="F6132" s="28"/>
      <c r="H6132" s="28"/>
    </row>
    <row r="6133" spans="4:8" x14ac:dyDescent="0.25">
      <c r="D6133" s="28"/>
      <c r="F6133" s="28"/>
      <c r="H6133" s="28"/>
    </row>
    <row r="6134" spans="4:8" x14ac:dyDescent="0.25">
      <c r="D6134" s="28"/>
      <c r="F6134" s="28"/>
      <c r="H6134" s="28"/>
    </row>
    <row r="6135" spans="4:8" x14ac:dyDescent="0.25">
      <c r="D6135" s="28"/>
      <c r="F6135" s="28"/>
      <c r="H6135" s="28"/>
    </row>
    <row r="6136" spans="4:8" x14ac:dyDescent="0.25">
      <c r="D6136" s="28"/>
      <c r="F6136" s="28"/>
      <c r="H6136" s="28"/>
    </row>
    <row r="6137" spans="4:8" x14ac:dyDescent="0.25">
      <c r="D6137" s="28"/>
      <c r="F6137" s="28"/>
      <c r="H6137" s="28"/>
    </row>
    <row r="6138" spans="4:8" x14ac:dyDescent="0.25">
      <c r="D6138" s="28"/>
      <c r="F6138" s="28"/>
      <c r="H6138" s="28"/>
    </row>
    <row r="6139" spans="4:8" x14ac:dyDescent="0.25">
      <c r="D6139" s="28"/>
      <c r="F6139" s="28"/>
      <c r="H6139" s="28"/>
    </row>
    <row r="6140" spans="4:8" x14ac:dyDescent="0.25">
      <c r="D6140" s="28"/>
      <c r="F6140" s="28"/>
      <c r="H6140" s="28"/>
    </row>
    <row r="6141" spans="4:8" x14ac:dyDescent="0.25">
      <c r="D6141" s="28"/>
      <c r="F6141" s="28"/>
      <c r="H6141" s="28"/>
    </row>
    <row r="6142" spans="4:8" x14ac:dyDescent="0.25">
      <c r="D6142" s="28"/>
      <c r="F6142" s="28"/>
      <c r="H6142" s="28"/>
    </row>
    <row r="6143" spans="4:8" x14ac:dyDescent="0.25">
      <c r="D6143" s="28"/>
      <c r="F6143" s="28"/>
      <c r="H6143" s="28"/>
    </row>
    <row r="6144" spans="4:8" x14ac:dyDescent="0.25">
      <c r="D6144" s="28"/>
      <c r="F6144" s="28"/>
      <c r="H6144" s="28"/>
    </row>
    <row r="6145" spans="4:8" x14ac:dyDescent="0.25">
      <c r="D6145" s="28"/>
      <c r="F6145" s="28"/>
      <c r="H6145" s="28"/>
    </row>
    <row r="6146" spans="4:8" x14ac:dyDescent="0.25">
      <c r="D6146" s="28"/>
      <c r="F6146" s="28"/>
      <c r="H6146" s="28"/>
    </row>
    <row r="6147" spans="4:8" x14ac:dyDescent="0.25">
      <c r="D6147" s="28"/>
      <c r="F6147" s="28"/>
      <c r="H6147" s="28"/>
    </row>
    <row r="6148" spans="4:8" x14ac:dyDescent="0.25">
      <c r="D6148" s="28"/>
      <c r="F6148" s="28"/>
      <c r="H6148" s="28"/>
    </row>
    <row r="6149" spans="4:8" x14ac:dyDescent="0.25">
      <c r="D6149" s="28"/>
      <c r="F6149" s="28"/>
      <c r="H6149" s="28"/>
    </row>
    <row r="6150" spans="4:8" x14ac:dyDescent="0.25">
      <c r="D6150" s="28"/>
      <c r="F6150" s="28"/>
      <c r="H6150" s="28"/>
    </row>
    <row r="6151" spans="4:8" x14ac:dyDescent="0.25">
      <c r="D6151" s="28"/>
      <c r="F6151" s="28"/>
      <c r="H6151" s="28"/>
    </row>
    <row r="6152" spans="4:8" x14ac:dyDescent="0.25">
      <c r="D6152" s="28"/>
      <c r="F6152" s="28"/>
      <c r="H6152" s="28"/>
    </row>
    <row r="6153" spans="4:8" x14ac:dyDescent="0.25">
      <c r="D6153" s="28"/>
      <c r="F6153" s="28"/>
      <c r="H6153" s="28"/>
    </row>
    <row r="6154" spans="4:8" x14ac:dyDescent="0.25">
      <c r="D6154" s="28"/>
      <c r="F6154" s="28"/>
      <c r="H6154" s="28"/>
    </row>
    <row r="6155" spans="4:8" x14ac:dyDescent="0.25">
      <c r="D6155" s="28"/>
      <c r="F6155" s="28"/>
      <c r="H6155" s="28"/>
    </row>
    <row r="6156" spans="4:8" x14ac:dyDescent="0.25">
      <c r="D6156" s="28"/>
      <c r="F6156" s="28"/>
      <c r="H6156" s="28"/>
    </row>
    <row r="6157" spans="4:8" x14ac:dyDescent="0.25">
      <c r="D6157" s="28"/>
      <c r="F6157" s="28"/>
      <c r="H6157" s="28"/>
    </row>
    <row r="6158" spans="4:8" x14ac:dyDescent="0.25">
      <c r="D6158" s="28"/>
      <c r="F6158" s="28"/>
      <c r="H6158" s="28"/>
    </row>
    <row r="6159" spans="4:8" x14ac:dyDescent="0.25">
      <c r="D6159" s="28"/>
      <c r="F6159" s="28"/>
      <c r="H6159" s="28"/>
    </row>
    <row r="6160" spans="4:8" x14ac:dyDescent="0.25">
      <c r="D6160" s="28"/>
      <c r="F6160" s="28"/>
      <c r="H6160" s="28"/>
    </row>
    <row r="6161" spans="4:8" x14ac:dyDescent="0.25">
      <c r="D6161" s="28"/>
      <c r="F6161" s="28"/>
      <c r="H6161" s="28"/>
    </row>
    <row r="6162" spans="4:8" x14ac:dyDescent="0.25">
      <c r="D6162" s="28"/>
      <c r="F6162" s="28"/>
      <c r="H6162" s="28"/>
    </row>
    <row r="6163" spans="4:8" x14ac:dyDescent="0.25">
      <c r="D6163" s="28"/>
      <c r="F6163" s="28"/>
      <c r="H6163" s="28"/>
    </row>
    <row r="6164" spans="4:8" x14ac:dyDescent="0.25">
      <c r="D6164" s="28"/>
      <c r="F6164" s="28"/>
      <c r="H6164" s="28"/>
    </row>
    <row r="6165" spans="4:8" x14ac:dyDescent="0.25">
      <c r="D6165" s="28"/>
      <c r="F6165" s="28"/>
      <c r="H6165" s="28"/>
    </row>
    <row r="6166" spans="4:8" x14ac:dyDescent="0.25">
      <c r="D6166" s="28"/>
      <c r="F6166" s="28"/>
      <c r="H6166" s="28"/>
    </row>
    <row r="6167" spans="4:8" x14ac:dyDescent="0.25">
      <c r="D6167" s="28"/>
      <c r="F6167" s="28"/>
      <c r="H6167" s="28"/>
    </row>
    <row r="6168" spans="4:8" x14ac:dyDescent="0.25">
      <c r="D6168" s="28"/>
      <c r="F6168" s="28"/>
      <c r="H6168" s="28"/>
    </row>
    <row r="6169" spans="4:8" x14ac:dyDescent="0.25">
      <c r="D6169" s="28"/>
      <c r="F6169" s="28"/>
      <c r="H6169" s="28"/>
    </row>
    <row r="6170" spans="4:8" x14ac:dyDescent="0.25">
      <c r="D6170" s="28"/>
      <c r="F6170" s="28"/>
      <c r="H6170" s="28"/>
    </row>
    <row r="6171" spans="4:8" x14ac:dyDescent="0.25">
      <c r="D6171" s="28"/>
      <c r="F6171" s="28"/>
      <c r="H6171" s="28"/>
    </row>
    <row r="6172" spans="4:8" x14ac:dyDescent="0.25">
      <c r="D6172" s="28"/>
      <c r="F6172" s="28"/>
      <c r="H6172" s="28"/>
    </row>
    <row r="6173" spans="4:8" x14ac:dyDescent="0.25">
      <c r="D6173" s="28"/>
      <c r="F6173" s="28"/>
      <c r="H6173" s="28"/>
    </row>
    <row r="6174" spans="4:8" x14ac:dyDescent="0.25">
      <c r="D6174" s="28"/>
      <c r="F6174" s="28"/>
      <c r="H6174" s="28"/>
    </row>
    <row r="6175" spans="4:8" x14ac:dyDescent="0.25">
      <c r="D6175" s="28"/>
      <c r="F6175" s="28"/>
      <c r="H6175" s="28"/>
    </row>
    <row r="6176" spans="4:8" x14ac:dyDescent="0.25">
      <c r="D6176" s="28"/>
      <c r="F6176" s="28"/>
      <c r="H6176" s="28"/>
    </row>
    <row r="6177" spans="4:8" x14ac:dyDescent="0.25">
      <c r="D6177" s="28"/>
      <c r="F6177" s="28"/>
      <c r="H6177" s="28"/>
    </row>
    <row r="6178" spans="4:8" x14ac:dyDescent="0.25">
      <c r="D6178" s="28"/>
      <c r="F6178" s="28"/>
      <c r="H6178" s="28"/>
    </row>
    <row r="6179" spans="4:8" x14ac:dyDescent="0.25">
      <c r="D6179" s="28"/>
      <c r="F6179" s="28"/>
      <c r="H6179" s="28"/>
    </row>
    <row r="6180" spans="4:8" x14ac:dyDescent="0.25">
      <c r="D6180" s="28"/>
      <c r="F6180" s="28"/>
      <c r="H6180" s="28"/>
    </row>
    <row r="6181" spans="4:8" x14ac:dyDescent="0.25">
      <c r="D6181" s="28"/>
      <c r="F6181" s="28"/>
      <c r="H6181" s="28"/>
    </row>
    <row r="6182" spans="4:8" x14ac:dyDescent="0.25">
      <c r="D6182" s="28"/>
      <c r="F6182" s="28"/>
      <c r="H6182" s="28"/>
    </row>
    <row r="6183" spans="4:8" x14ac:dyDescent="0.25">
      <c r="D6183" s="28"/>
      <c r="F6183" s="28"/>
      <c r="H6183" s="28"/>
    </row>
    <row r="6184" spans="4:8" x14ac:dyDescent="0.25">
      <c r="D6184" s="28"/>
      <c r="F6184" s="28"/>
      <c r="H6184" s="28"/>
    </row>
    <row r="6185" spans="4:8" x14ac:dyDescent="0.25">
      <c r="D6185" s="28"/>
      <c r="F6185" s="28"/>
      <c r="H6185" s="28"/>
    </row>
    <row r="6186" spans="4:8" x14ac:dyDescent="0.25">
      <c r="D6186" s="28"/>
      <c r="F6186" s="28"/>
      <c r="H6186" s="28"/>
    </row>
    <row r="6187" spans="4:8" x14ac:dyDescent="0.25">
      <c r="D6187" s="28"/>
      <c r="F6187" s="28"/>
      <c r="H6187" s="28"/>
    </row>
    <row r="6188" spans="4:8" x14ac:dyDescent="0.25">
      <c r="D6188" s="28"/>
      <c r="F6188" s="28"/>
      <c r="H6188" s="28"/>
    </row>
    <row r="6189" spans="4:8" x14ac:dyDescent="0.25">
      <c r="D6189" s="28"/>
      <c r="F6189" s="28"/>
      <c r="H6189" s="28"/>
    </row>
    <row r="6190" spans="4:8" x14ac:dyDescent="0.25">
      <c r="D6190" s="28"/>
      <c r="F6190" s="28"/>
      <c r="H6190" s="28"/>
    </row>
    <row r="6191" spans="4:8" x14ac:dyDescent="0.25">
      <c r="D6191" s="28"/>
      <c r="F6191" s="28"/>
      <c r="H6191" s="28"/>
    </row>
    <row r="6192" spans="4:8" x14ac:dyDescent="0.25">
      <c r="D6192" s="28"/>
      <c r="F6192" s="28"/>
      <c r="H6192" s="28"/>
    </row>
    <row r="6193" spans="4:8" x14ac:dyDescent="0.25">
      <c r="D6193" s="28"/>
      <c r="F6193" s="28"/>
      <c r="H6193" s="28"/>
    </row>
    <row r="6194" spans="4:8" x14ac:dyDescent="0.25">
      <c r="D6194" s="28"/>
      <c r="F6194" s="28"/>
      <c r="H6194" s="28"/>
    </row>
    <row r="6195" spans="4:8" x14ac:dyDescent="0.25">
      <c r="D6195" s="28"/>
      <c r="F6195" s="28"/>
      <c r="H6195" s="28"/>
    </row>
    <row r="6196" spans="4:8" x14ac:dyDescent="0.25">
      <c r="D6196" s="28"/>
      <c r="F6196" s="28"/>
      <c r="H6196" s="28"/>
    </row>
    <row r="6197" spans="4:8" x14ac:dyDescent="0.25">
      <c r="D6197" s="28"/>
      <c r="F6197" s="28"/>
      <c r="H6197" s="28"/>
    </row>
    <row r="6198" spans="4:8" x14ac:dyDescent="0.25">
      <c r="D6198" s="28"/>
      <c r="F6198" s="28"/>
      <c r="H6198" s="28"/>
    </row>
    <row r="6199" spans="4:8" x14ac:dyDescent="0.25">
      <c r="D6199" s="28"/>
      <c r="F6199" s="28"/>
      <c r="H6199" s="28"/>
    </row>
    <row r="6200" spans="4:8" x14ac:dyDescent="0.25">
      <c r="D6200" s="28"/>
      <c r="F6200" s="28"/>
      <c r="H6200" s="28"/>
    </row>
    <row r="6201" spans="4:8" x14ac:dyDescent="0.25">
      <c r="D6201" s="28"/>
      <c r="F6201" s="28"/>
      <c r="H6201" s="28"/>
    </row>
    <row r="6202" spans="4:8" x14ac:dyDescent="0.25">
      <c r="D6202" s="28"/>
      <c r="F6202" s="28"/>
      <c r="H6202" s="28"/>
    </row>
    <row r="6203" spans="4:8" x14ac:dyDescent="0.25">
      <c r="D6203" s="28"/>
      <c r="F6203" s="28"/>
      <c r="H6203" s="28"/>
    </row>
    <row r="6204" spans="4:8" x14ac:dyDescent="0.25">
      <c r="D6204" s="28"/>
      <c r="F6204" s="28"/>
      <c r="H6204" s="28"/>
    </row>
    <row r="6205" spans="4:8" x14ac:dyDescent="0.25">
      <c r="D6205" s="28"/>
      <c r="F6205" s="28"/>
      <c r="H6205" s="28"/>
    </row>
    <row r="6206" spans="4:8" x14ac:dyDescent="0.25">
      <c r="D6206" s="28"/>
      <c r="F6206" s="28"/>
      <c r="H6206" s="28"/>
    </row>
    <row r="6207" spans="4:8" x14ac:dyDescent="0.25">
      <c r="D6207" s="28"/>
      <c r="F6207" s="28"/>
      <c r="H6207" s="28"/>
    </row>
    <row r="6208" spans="4:8" x14ac:dyDescent="0.25">
      <c r="D6208" s="28"/>
      <c r="F6208" s="28"/>
      <c r="H6208" s="28"/>
    </row>
    <row r="6209" spans="4:8" x14ac:dyDescent="0.25">
      <c r="D6209" s="28"/>
      <c r="F6209" s="28"/>
      <c r="H6209" s="28"/>
    </row>
    <row r="6210" spans="4:8" x14ac:dyDescent="0.25">
      <c r="D6210" s="28"/>
      <c r="F6210" s="28"/>
      <c r="H6210" s="28"/>
    </row>
    <row r="6211" spans="4:8" x14ac:dyDescent="0.25">
      <c r="D6211" s="28"/>
      <c r="F6211" s="28"/>
      <c r="H6211" s="28"/>
    </row>
    <row r="6212" spans="4:8" x14ac:dyDescent="0.25">
      <c r="D6212" s="28"/>
      <c r="F6212" s="28"/>
      <c r="H6212" s="28"/>
    </row>
    <row r="6213" spans="4:8" x14ac:dyDescent="0.25">
      <c r="D6213" s="28"/>
      <c r="F6213" s="28"/>
      <c r="H6213" s="28"/>
    </row>
    <row r="6214" spans="4:8" x14ac:dyDescent="0.25">
      <c r="D6214" s="28"/>
      <c r="F6214" s="28"/>
      <c r="H6214" s="28"/>
    </row>
    <row r="6215" spans="4:8" x14ac:dyDescent="0.25">
      <c r="D6215" s="28"/>
      <c r="F6215" s="28"/>
      <c r="H6215" s="28"/>
    </row>
    <row r="6216" spans="4:8" x14ac:dyDescent="0.25">
      <c r="D6216" s="28"/>
      <c r="F6216" s="28"/>
      <c r="H6216" s="28"/>
    </row>
    <row r="6217" spans="4:8" x14ac:dyDescent="0.25">
      <c r="D6217" s="28"/>
      <c r="F6217" s="28"/>
      <c r="H6217" s="28"/>
    </row>
    <row r="6218" spans="4:8" x14ac:dyDescent="0.25">
      <c r="D6218" s="28"/>
      <c r="F6218" s="28"/>
      <c r="H6218" s="28"/>
    </row>
    <row r="6219" spans="4:8" x14ac:dyDescent="0.25">
      <c r="D6219" s="28"/>
      <c r="F6219" s="28"/>
      <c r="H6219" s="28"/>
    </row>
    <row r="6220" spans="4:8" x14ac:dyDescent="0.25">
      <c r="D6220" s="28"/>
      <c r="F6220" s="28"/>
      <c r="H6220" s="28"/>
    </row>
    <row r="6221" spans="4:8" x14ac:dyDescent="0.25">
      <c r="D6221" s="28"/>
      <c r="F6221" s="28"/>
      <c r="H6221" s="28"/>
    </row>
    <row r="6222" spans="4:8" x14ac:dyDescent="0.25">
      <c r="D6222" s="28"/>
      <c r="F6222" s="28"/>
      <c r="H6222" s="28"/>
    </row>
    <row r="6223" spans="4:8" x14ac:dyDescent="0.25">
      <c r="D6223" s="28"/>
      <c r="F6223" s="28"/>
      <c r="H6223" s="28"/>
    </row>
    <row r="6224" spans="4:8" x14ac:dyDescent="0.25">
      <c r="D6224" s="28"/>
      <c r="F6224" s="28"/>
      <c r="H6224" s="28"/>
    </row>
    <row r="6225" spans="4:8" x14ac:dyDescent="0.25">
      <c r="D6225" s="28"/>
      <c r="F6225" s="28"/>
      <c r="H6225" s="28"/>
    </row>
    <row r="6226" spans="4:8" x14ac:dyDescent="0.25">
      <c r="D6226" s="28"/>
      <c r="F6226" s="28"/>
      <c r="H6226" s="28"/>
    </row>
    <row r="6227" spans="4:8" x14ac:dyDescent="0.25">
      <c r="D6227" s="28"/>
      <c r="F6227" s="28"/>
      <c r="H6227" s="28"/>
    </row>
    <row r="6228" spans="4:8" x14ac:dyDescent="0.25">
      <c r="D6228" s="28"/>
      <c r="F6228" s="28"/>
      <c r="H6228" s="28"/>
    </row>
    <row r="6229" spans="4:8" x14ac:dyDescent="0.25">
      <c r="D6229" s="28"/>
      <c r="F6229" s="28"/>
      <c r="H6229" s="28"/>
    </row>
    <row r="6230" spans="4:8" x14ac:dyDescent="0.25">
      <c r="D6230" s="28"/>
      <c r="F6230" s="28"/>
      <c r="H6230" s="28"/>
    </row>
    <row r="6231" spans="4:8" x14ac:dyDescent="0.25">
      <c r="D6231" s="28"/>
      <c r="F6231" s="28"/>
      <c r="H6231" s="28"/>
    </row>
    <row r="6232" spans="4:8" x14ac:dyDescent="0.25">
      <c r="D6232" s="28"/>
      <c r="F6232" s="28"/>
      <c r="H6232" s="28"/>
    </row>
    <row r="6233" spans="4:8" x14ac:dyDescent="0.25">
      <c r="D6233" s="28"/>
      <c r="F6233" s="28"/>
      <c r="H6233" s="28"/>
    </row>
    <row r="6234" spans="4:8" x14ac:dyDescent="0.25">
      <c r="D6234" s="28"/>
      <c r="F6234" s="28"/>
      <c r="H6234" s="28"/>
    </row>
    <row r="6235" spans="4:8" x14ac:dyDescent="0.25">
      <c r="D6235" s="28"/>
      <c r="F6235" s="28"/>
      <c r="H6235" s="28"/>
    </row>
    <row r="6236" spans="4:8" x14ac:dyDescent="0.25">
      <c r="D6236" s="28"/>
      <c r="F6236" s="28"/>
      <c r="H6236" s="28"/>
    </row>
    <row r="6237" spans="4:8" x14ac:dyDescent="0.25">
      <c r="D6237" s="28"/>
      <c r="F6237" s="28"/>
      <c r="H6237" s="28"/>
    </row>
    <row r="6238" spans="4:8" x14ac:dyDescent="0.25">
      <c r="D6238" s="28"/>
      <c r="F6238" s="28"/>
      <c r="H6238" s="28"/>
    </row>
    <row r="6239" spans="4:8" x14ac:dyDescent="0.25">
      <c r="D6239" s="28"/>
      <c r="F6239" s="28"/>
      <c r="H6239" s="28"/>
    </row>
    <row r="6240" spans="4:8" x14ac:dyDescent="0.25">
      <c r="D6240" s="28"/>
      <c r="F6240" s="28"/>
      <c r="H6240" s="28"/>
    </row>
    <row r="6241" spans="4:8" x14ac:dyDescent="0.25">
      <c r="D6241" s="28"/>
      <c r="F6241" s="28"/>
      <c r="H6241" s="28"/>
    </row>
    <row r="6242" spans="4:8" x14ac:dyDescent="0.25">
      <c r="D6242" s="28"/>
      <c r="F6242" s="28"/>
      <c r="H6242" s="28"/>
    </row>
    <row r="6243" spans="4:8" x14ac:dyDescent="0.25">
      <c r="D6243" s="28"/>
      <c r="F6243" s="28"/>
      <c r="H6243" s="28"/>
    </row>
    <row r="6244" spans="4:8" x14ac:dyDescent="0.25">
      <c r="D6244" s="28"/>
      <c r="F6244" s="28"/>
      <c r="H6244" s="28"/>
    </row>
    <row r="6245" spans="4:8" x14ac:dyDescent="0.25">
      <c r="D6245" s="28"/>
      <c r="F6245" s="28"/>
      <c r="H6245" s="28"/>
    </row>
    <row r="6246" spans="4:8" x14ac:dyDescent="0.25">
      <c r="D6246" s="28"/>
      <c r="F6246" s="28"/>
      <c r="H6246" s="28"/>
    </row>
    <row r="6247" spans="4:8" x14ac:dyDescent="0.25">
      <c r="D6247" s="28"/>
      <c r="F6247" s="28"/>
      <c r="H6247" s="28"/>
    </row>
    <row r="6248" spans="4:8" x14ac:dyDescent="0.25">
      <c r="D6248" s="28"/>
      <c r="F6248" s="28"/>
      <c r="H6248" s="28"/>
    </row>
    <row r="6249" spans="4:8" x14ac:dyDescent="0.25">
      <c r="D6249" s="28"/>
      <c r="F6249" s="28"/>
      <c r="H6249" s="28"/>
    </row>
    <row r="6250" spans="4:8" x14ac:dyDescent="0.25">
      <c r="D6250" s="28"/>
      <c r="F6250" s="28"/>
      <c r="H6250" s="28"/>
    </row>
    <row r="6251" spans="4:8" x14ac:dyDescent="0.25">
      <c r="D6251" s="28"/>
      <c r="F6251" s="28"/>
      <c r="H6251" s="28"/>
    </row>
    <row r="6252" spans="4:8" x14ac:dyDescent="0.25">
      <c r="D6252" s="28"/>
      <c r="F6252" s="28"/>
      <c r="H6252" s="28"/>
    </row>
    <row r="6253" spans="4:8" x14ac:dyDescent="0.25">
      <c r="D6253" s="28"/>
      <c r="F6253" s="28"/>
      <c r="H6253" s="28"/>
    </row>
    <row r="6254" spans="4:8" x14ac:dyDescent="0.25">
      <c r="D6254" s="28"/>
      <c r="F6254" s="28"/>
      <c r="H6254" s="28"/>
    </row>
    <row r="6255" spans="4:8" x14ac:dyDescent="0.25">
      <c r="D6255" s="28"/>
      <c r="F6255" s="28"/>
      <c r="H6255" s="28"/>
    </row>
    <row r="6256" spans="4:8" x14ac:dyDescent="0.25">
      <c r="D6256" s="28"/>
      <c r="F6256" s="28"/>
      <c r="H6256" s="28"/>
    </row>
    <row r="6257" spans="4:8" x14ac:dyDescent="0.25">
      <c r="D6257" s="28"/>
      <c r="F6257" s="28"/>
      <c r="H6257" s="28"/>
    </row>
    <row r="6258" spans="4:8" x14ac:dyDescent="0.25">
      <c r="D6258" s="28"/>
      <c r="F6258" s="28"/>
      <c r="H6258" s="28"/>
    </row>
    <row r="6259" spans="4:8" x14ac:dyDescent="0.25">
      <c r="D6259" s="28"/>
      <c r="F6259" s="28"/>
      <c r="H6259" s="28"/>
    </row>
    <row r="6260" spans="4:8" x14ac:dyDescent="0.25">
      <c r="D6260" s="28"/>
      <c r="F6260" s="28"/>
      <c r="H6260" s="28"/>
    </row>
    <row r="6261" spans="4:8" x14ac:dyDescent="0.25">
      <c r="D6261" s="28"/>
      <c r="F6261" s="28"/>
      <c r="H6261" s="28"/>
    </row>
    <row r="6262" spans="4:8" x14ac:dyDescent="0.25">
      <c r="D6262" s="28"/>
      <c r="F6262" s="28"/>
      <c r="H6262" s="28"/>
    </row>
    <row r="6263" spans="4:8" x14ac:dyDescent="0.25">
      <c r="D6263" s="28"/>
      <c r="F6263" s="28"/>
      <c r="H6263" s="28"/>
    </row>
    <row r="6264" spans="4:8" x14ac:dyDescent="0.25">
      <c r="D6264" s="28"/>
      <c r="F6264" s="28"/>
      <c r="H6264" s="28"/>
    </row>
    <row r="6265" spans="4:8" x14ac:dyDescent="0.25">
      <c r="D6265" s="28"/>
      <c r="F6265" s="28"/>
      <c r="H6265" s="28"/>
    </row>
    <row r="6266" spans="4:8" x14ac:dyDescent="0.25">
      <c r="D6266" s="28"/>
      <c r="F6266" s="28"/>
      <c r="H6266" s="28"/>
    </row>
    <row r="6267" spans="4:8" x14ac:dyDescent="0.25">
      <c r="D6267" s="28"/>
      <c r="F6267" s="28"/>
      <c r="H6267" s="28"/>
    </row>
    <row r="6268" spans="4:8" x14ac:dyDescent="0.25">
      <c r="D6268" s="28"/>
      <c r="F6268" s="28"/>
      <c r="H6268" s="28"/>
    </row>
    <row r="6269" spans="4:8" x14ac:dyDescent="0.25">
      <c r="D6269" s="28"/>
      <c r="F6269" s="28"/>
      <c r="H6269" s="28"/>
    </row>
    <row r="6270" spans="4:8" x14ac:dyDescent="0.25">
      <c r="D6270" s="28"/>
      <c r="F6270" s="28"/>
      <c r="H6270" s="28"/>
    </row>
    <row r="6271" spans="4:8" x14ac:dyDescent="0.25">
      <c r="D6271" s="28"/>
      <c r="F6271" s="28"/>
      <c r="H6271" s="28"/>
    </row>
    <row r="6272" spans="4:8" x14ac:dyDescent="0.25">
      <c r="D6272" s="28"/>
      <c r="F6272" s="28"/>
      <c r="H6272" s="28"/>
    </row>
    <row r="6273" spans="4:8" x14ac:dyDescent="0.25">
      <c r="D6273" s="28"/>
      <c r="F6273" s="28"/>
      <c r="H6273" s="28"/>
    </row>
    <row r="6274" spans="4:8" x14ac:dyDescent="0.25">
      <c r="D6274" s="28"/>
      <c r="F6274" s="28"/>
      <c r="H6274" s="28"/>
    </row>
    <row r="6275" spans="4:8" x14ac:dyDescent="0.25">
      <c r="D6275" s="28"/>
      <c r="F6275" s="28"/>
      <c r="H6275" s="28"/>
    </row>
    <row r="6276" spans="4:8" x14ac:dyDescent="0.25">
      <c r="D6276" s="28"/>
      <c r="F6276" s="28"/>
      <c r="H6276" s="28"/>
    </row>
    <row r="6277" spans="4:8" x14ac:dyDescent="0.25">
      <c r="D6277" s="28"/>
      <c r="F6277" s="28"/>
      <c r="H6277" s="28"/>
    </row>
    <row r="6278" spans="4:8" x14ac:dyDescent="0.25">
      <c r="D6278" s="28"/>
      <c r="F6278" s="28"/>
      <c r="H6278" s="28"/>
    </row>
    <row r="6279" spans="4:8" x14ac:dyDescent="0.25">
      <c r="D6279" s="28"/>
      <c r="F6279" s="28"/>
      <c r="H6279" s="28"/>
    </row>
    <row r="6280" spans="4:8" x14ac:dyDescent="0.25">
      <c r="D6280" s="28"/>
      <c r="F6280" s="28"/>
      <c r="H6280" s="28"/>
    </row>
    <row r="6281" spans="4:8" x14ac:dyDescent="0.25">
      <c r="D6281" s="28"/>
      <c r="F6281" s="28"/>
      <c r="H6281" s="28"/>
    </row>
    <row r="6282" spans="4:8" x14ac:dyDescent="0.25">
      <c r="D6282" s="28"/>
      <c r="F6282" s="28"/>
      <c r="H6282" s="28"/>
    </row>
    <row r="6283" spans="4:8" x14ac:dyDescent="0.25">
      <c r="D6283" s="28"/>
      <c r="F6283" s="28"/>
      <c r="H6283" s="28"/>
    </row>
    <row r="6284" spans="4:8" x14ac:dyDescent="0.25">
      <c r="D6284" s="28"/>
      <c r="F6284" s="28"/>
      <c r="H6284" s="28"/>
    </row>
    <row r="6285" spans="4:8" x14ac:dyDescent="0.25">
      <c r="D6285" s="28"/>
      <c r="F6285" s="28"/>
      <c r="H6285" s="28"/>
    </row>
    <row r="6286" spans="4:8" x14ac:dyDescent="0.25">
      <c r="D6286" s="28"/>
      <c r="F6286" s="28"/>
      <c r="H6286" s="28"/>
    </row>
    <row r="6287" spans="4:8" x14ac:dyDescent="0.25">
      <c r="D6287" s="28"/>
      <c r="F6287" s="28"/>
      <c r="H6287" s="28"/>
    </row>
    <row r="6288" spans="4:8" x14ac:dyDescent="0.25">
      <c r="D6288" s="28"/>
      <c r="F6288" s="28"/>
      <c r="H6288" s="28"/>
    </row>
    <row r="6289" spans="4:8" x14ac:dyDescent="0.25">
      <c r="D6289" s="28"/>
      <c r="F6289" s="28"/>
      <c r="H6289" s="28"/>
    </row>
    <row r="6290" spans="4:8" x14ac:dyDescent="0.25">
      <c r="D6290" s="28"/>
      <c r="F6290" s="28"/>
      <c r="H6290" s="28"/>
    </row>
    <row r="6291" spans="4:8" x14ac:dyDescent="0.25">
      <c r="D6291" s="28"/>
      <c r="F6291" s="28"/>
      <c r="H6291" s="28"/>
    </row>
    <row r="6292" spans="4:8" x14ac:dyDescent="0.25">
      <c r="D6292" s="28"/>
      <c r="F6292" s="28"/>
      <c r="H6292" s="28"/>
    </row>
    <row r="6293" spans="4:8" x14ac:dyDescent="0.25">
      <c r="D6293" s="28"/>
      <c r="F6293" s="28"/>
      <c r="H6293" s="28"/>
    </row>
    <row r="6294" spans="4:8" x14ac:dyDescent="0.25">
      <c r="D6294" s="28"/>
      <c r="F6294" s="28"/>
      <c r="H6294" s="28"/>
    </row>
    <row r="6295" spans="4:8" x14ac:dyDescent="0.25">
      <c r="D6295" s="28"/>
      <c r="F6295" s="28"/>
      <c r="H6295" s="28"/>
    </row>
    <row r="6296" spans="4:8" x14ac:dyDescent="0.25">
      <c r="D6296" s="28"/>
      <c r="F6296" s="28"/>
      <c r="H6296" s="28"/>
    </row>
    <row r="6297" spans="4:8" x14ac:dyDescent="0.25">
      <c r="D6297" s="28"/>
      <c r="F6297" s="28"/>
      <c r="H6297" s="28"/>
    </row>
    <row r="6298" spans="4:8" x14ac:dyDescent="0.25">
      <c r="D6298" s="28"/>
      <c r="F6298" s="28"/>
      <c r="H6298" s="28"/>
    </row>
    <row r="6299" spans="4:8" x14ac:dyDescent="0.25">
      <c r="D6299" s="28"/>
      <c r="F6299" s="28"/>
      <c r="H6299" s="28"/>
    </row>
    <row r="6300" spans="4:8" x14ac:dyDescent="0.25">
      <c r="D6300" s="28"/>
      <c r="F6300" s="28"/>
      <c r="H6300" s="28"/>
    </row>
    <row r="6301" spans="4:8" x14ac:dyDescent="0.25">
      <c r="D6301" s="28"/>
      <c r="F6301" s="28"/>
      <c r="H6301" s="28"/>
    </row>
    <row r="6302" spans="4:8" x14ac:dyDescent="0.25">
      <c r="D6302" s="28"/>
      <c r="F6302" s="28"/>
      <c r="H6302" s="28"/>
    </row>
    <row r="6303" spans="4:8" x14ac:dyDescent="0.25">
      <c r="D6303" s="28"/>
      <c r="F6303" s="28"/>
      <c r="H6303" s="28"/>
    </row>
    <row r="6304" spans="4:8" x14ac:dyDescent="0.25">
      <c r="D6304" s="28"/>
      <c r="F6304" s="28"/>
      <c r="H6304" s="28"/>
    </row>
    <row r="6305" spans="4:8" x14ac:dyDescent="0.25">
      <c r="D6305" s="28"/>
      <c r="F6305" s="28"/>
      <c r="H6305" s="28"/>
    </row>
    <row r="6306" spans="4:8" x14ac:dyDescent="0.25">
      <c r="D6306" s="28"/>
      <c r="F6306" s="28"/>
      <c r="H6306" s="28"/>
    </row>
    <row r="6307" spans="4:8" x14ac:dyDescent="0.25">
      <c r="D6307" s="28"/>
      <c r="F6307" s="28"/>
      <c r="H6307" s="28"/>
    </row>
    <row r="6308" spans="4:8" x14ac:dyDescent="0.25">
      <c r="D6308" s="28"/>
      <c r="F6308" s="28"/>
      <c r="H6308" s="28"/>
    </row>
    <row r="6309" spans="4:8" x14ac:dyDescent="0.25">
      <c r="D6309" s="28"/>
      <c r="F6309" s="28"/>
      <c r="H6309" s="28"/>
    </row>
    <row r="6310" spans="4:8" x14ac:dyDescent="0.25">
      <c r="D6310" s="28"/>
      <c r="F6310" s="28"/>
      <c r="H6310" s="28"/>
    </row>
    <row r="6311" spans="4:8" x14ac:dyDescent="0.25">
      <c r="D6311" s="28"/>
      <c r="F6311" s="28"/>
      <c r="H6311" s="28"/>
    </row>
    <row r="6312" spans="4:8" x14ac:dyDescent="0.25">
      <c r="D6312" s="28"/>
      <c r="F6312" s="28"/>
      <c r="H6312" s="28"/>
    </row>
    <row r="6313" spans="4:8" x14ac:dyDescent="0.25">
      <c r="D6313" s="28"/>
      <c r="F6313" s="28"/>
      <c r="H6313" s="28"/>
    </row>
    <row r="6314" spans="4:8" x14ac:dyDescent="0.25">
      <c r="D6314" s="28"/>
      <c r="F6314" s="28"/>
      <c r="H6314" s="28"/>
    </row>
    <row r="6315" spans="4:8" x14ac:dyDescent="0.25">
      <c r="D6315" s="28"/>
      <c r="F6315" s="28"/>
      <c r="H6315" s="28"/>
    </row>
    <row r="6316" spans="4:8" x14ac:dyDescent="0.25">
      <c r="D6316" s="28"/>
      <c r="F6316" s="28"/>
      <c r="H6316" s="28"/>
    </row>
    <row r="6317" spans="4:8" x14ac:dyDescent="0.25">
      <c r="D6317" s="28"/>
      <c r="F6317" s="28"/>
      <c r="H6317" s="28"/>
    </row>
    <row r="6318" spans="4:8" x14ac:dyDescent="0.25">
      <c r="D6318" s="28"/>
      <c r="F6318" s="28"/>
      <c r="H6318" s="28"/>
    </row>
    <row r="6319" spans="4:8" x14ac:dyDescent="0.25">
      <c r="D6319" s="28"/>
      <c r="F6319" s="28"/>
      <c r="H6319" s="28"/>
    </row>
    <row r="6320" spans="4:8" x14ac:dyDescent="0.25">
      <c r="D6320" s="28"/>
      <c r="F6320" s="28"/>
      <c r="H6320" s="28"/>
    </row>
    <row r="6321" spans="4:8" x14ac:dyDescent="0.25">
      <c r="D6321" s="28"/>
      <c r="F6321" s="28"/>
      <c r="H6321" s="28"/>
    </row>
    <row r="6322" spans="4:8" x14ac:dyDescent="0.25">
      <c r="D6322" s="28"/>
      <c r="F6322" s="28"/>
      <c r="H6322" s="28"/>
    </row>
    <row r="6323" spans="4:8" x14ac:dyDescent="0.25">
      <c r="D6323" s="28"/>
      <c r="F6323" s="28"/>
      <c r="H6323" s="28"/>
    </row>
    <row r="6324" spans="4:8" x14ac:dyDescent="0.25">
      <c r="D6324" s="28"/>
      <c r="F6324" s="28"/>
      <c r="H6324" s="28"/>
    </row>
    <row r="6325" spans="4:8" x14ac:dyDescent="0.25">
      <c r="D6325" s="28"/>
      <c r="F6325" s="28"/>
      <c r="H6325" s="28"/>
    </row>
    <row r="6326" spans="4:8" x14ac:dyDescent="0.25">
      <c r="D6326" s="28"/>
      <c r="F6326" s="28"/>
      <c r="H6326" s="28"/>
    </row>
    <row r="6327" spans="4:8" x14ac:dyDescent="0.25">
      <c r="D6327" s="28"/>
      <c r="F6327" s="28"/>
      <c r="H6327" s="28"/>
    </row>
    <row r="6328" spans="4:8" x14ac:dyDescent="0.25">
      <c r="D6328" s="28"/>
      <c r="F6328" s="28"/>
      <c r="H6328" s="28"/>
    </row>
    <row r="6329" spans="4:8" x14ac:dyDescent="0.25">
      <c r="D6329" s="28"/>
      <c r="F6329" s="28"/>
      <c r="H6329" s="28"/>
    </row>
    <row r="6330" spans="4:8" x14ac:dyDescent="0.25">
      <c r="D6330" s="28"/>
      <c r="F6330" s="28"/>
      <c r="H6330" s="28"/>
    </row>
    <row r="6331" spans="4:8" x14ac:dyDescent="0.25">
      <c r="D6331" s="28"/>
      <c r="F6331" s="28"/>
      <c r="H6331" s="28"/>
    </row>
    <row r="6332" spans="4:8" x14ac:dyDescent="0.25">
      <c r="D6332" s="28"/>
      <c r="F6332" s="28"/>
      <c r="H6332" s="28"/>
    </row>
    <row r="6333" spans="4:8" x14ac:dyDescent="0.25">
      <c r="D6333" s="28"/>
      <c r="F6333" s="28"/>
      <c r="H6333" s="28"/>
    </row>
    <row r="6334" spans="4:8" x14ac:dyDescent="0.25">
      <c r="D6334" s="28"/>
      <c r="F6334" s="28"/>
      <c r="H6334" s="28"/>
    </row>
    <row r="6335" spans="4:8" x14ac:dyDescent="0.25">
      <c r="D6335" s="28"/>
      <c r="F6335" s="28"/>
      <c r="H6335" s="28"/>
    </row>
    <row r="6336" spans="4:8" x14ac:dyDescent="0.25">
      <c r="D6336" s="28"/>
      <c r="F6336" s="28"/>
      <c r="H6336" s="28"/>
    </row>
    <row r="6337" spans="4:8" x14ac:dyDescent="0.25">
      <c r="D6337" s="28"/>
      <c r="F6337" s="28"/>
      <c r="H6337" s="28"/>
    </row>
    <row r="6338" spans="4:8" x14ac:dyDescent="0.25">
      <c r="D6338" s="28"/>
      <c r="F6338" s="28"/>
      <c r="H6338" s="28"/>
    </row>
    <row r="6339" spans="4:8" x14ac:dyDescent="0.25">
      <c r="D6339" s="28"/>
      <c r="F6339" s="28"/>
      <c r="H6339" s="28"/>
    </row>
    <row r="6340" spans="4:8" x14ac:dyDescent="0.25">
      <c r="D6340" s="28"/>
      <c r="F6340" s="28"/>
      <c r="H6340" s="28"/>
    </row>
    <row r="6341" spans="4:8" x14ac:dyDescent="0.25">
      <c r="D6341" s="28"/>
      <c r="F6341" s="28"/>
      <c r="H6341" s="28"/>
    </row>
    <row r="6342" spans="4:8" x14ac:dyDescent="0.25">
      <c r="D6342" s="28"/>
      <c r="F6342" s="28"/>
      <c r="H6342" s="28"/>
    </row>
    <row r="6343" spans="4:8" x14ac:dyDescent="0.25">
      <c r="D6343" s="28"/>
      <c r="F6343" s="28"/>
      <c r="H6343" s="28"/>
    </row>
    <row r="6344" spans="4:8" x14ac:dyDescent="0.25">
      <c r="D6344" s="28"/>
      <c r="F6344" s="28"/>
      <c r="H6344" s="28"/>
    </row>
    <row r="6345" spans="4:8" x14ac:dyDescent="0.25">
      <c r="D6345" s="28"/>
      <c r="F6345" s="28"/>
      <c r="H6345" s="28"/>
    </row>
    <row r="6346" spans="4:8" x14ac:dyDescent="0.25">
      <c r="D6346" s="28"/>
      <c r="F6346" s="28"/>
      <c r="H6346" s="28"/>
    </row>
    <row r="6347" spans="4:8" x14ac:dyDescent="0.25">
      <c r="D6347" s="28"/>
      <c r="F6347" s="28"/>
      <c r="H6347" s="28"/>
    </row>
    <row r="6348" spans="4:8" x14ac:dyDescent="0.25">
      <c r="D6348" s="28"/>
      <c r="F6348" s="28"/>
      <c r="H6348" s="28"/>
    </row>
    <row r="6349" spans="4:8" x14ac:dyDescent="0.25">
      <c r="D6349" s="28"/>
      <c r="F6349" s="28"/>
      <c r="H6349" s="28"/>
    </row>
    <row r="6350" spans="4:8" x14ac:dyDescent="0.25">
      <c r="D6350" s="28"/>
      <c r="F6350" s="28"/>
      <c r="H6350" s="28"/>
    </row>
    <row r="6351" spans="4:8" x14ac:dyDescent="0.25">
      <c r="D6351" s="28"/>
      <c r="F6351" s="28"/>
      <c r="H6351" s="28"/>
    </row>
    <row r="6352" spans="4:8" x14ac:dyDescent="0.25">
      <c r="D6352" s="28"/>
      <c r="F6352" s="28"/>
      <c r="H6352" s="28"/>
    </row>
    <row r="6353" spans="4:8" x14ac:dyDescent="0.25">
      <c r="D6353" s="28"/>
      <c r="F6353" s="28"/>
      <c r="H6353" s="28"/>
    </row>
    <row r="6354" spans="4:8" x14ac:dyDescent="0.25">
      <c r="D6354" s="28"/>
      <c r="F6354" s="28"/>
      <c r="H6354" s="28"/>
    </row>
    <row r="6355" spans="4:8" x14ac:dyDescent="0.25">
      <c r="D6355" s="28"/>
      <c r="F6355" s="28"/>
      <c r="H6355" s="28"/>
    </row>
    <row r="6356" spans="4:8" x14ac:dyDescent="0.25">
      <c r="D6356" s="28"/>
      <c r="F6356" s="28"/>
      <c r="H6356" s="28"/>
    </row>
    <row r="6357" spans="4:8" x14ac:dyDescent="0.25">
      <c r="D6357" s="28"/>
      <c r="F6357" s="28"/>
      <c r="H6357" s="28"/>
    </row>
    <row r="6358" spans="4:8" x14ac:dyDescent="0.25">
      <c r="D6358" s="28"/>
      <c r="F6358" s="28"/>
      <c r="H6358" s="28"/>
    </row>
    <row r="6359" spans="4:8" x14ac:dyDescent="0.25">
      <c r="D6359" s="28"/>
      <c r="F6359" s="28"/>
      <c r="H6359" s="28"/>
    </row>
    <row r="6360" spans="4:8" x14ac:dyDescent="0.25">
      <c r="D6360" s="28"/>
      <c r="F6360" s="28"/>
      <c r="H6360" s="28"/>
    </row>
    <row r="6361" spans="4:8" x14ac:dyDescent="0.25">
      <c r="D6361" s="28"/>
      <c r="F6361" s="28"/>
      <c r="H6361" s="28"/>
    </row>
    <row r="6362" spans="4:8" x14ac:dyDescent="0.25">
      <c r="D6362" s="28"/>
      <c r="F6362" s="28"/>
      <c r="H6362" s="28"/>
    </row>
    <row r="6363" spans="4:8" x14ac:dyDescent="0.25">
      <c r="D6363" s="28"/>
      <c r="F6363" s="28"/>
      <c r="H6363" s="28"/>
    </row>
    <row r="6364" spans="4:8" x14ac:dyDescent="0.25">
      <c r="D6364" s="28"/>
      <c r="F6364" s="28"/>
      <c r="H6364" s="28"/>
    </row>
    <row r="6365" spans="4:8" x14ac:dyDescent="0.25">
      <c r="D6365" s="28"/>
      <c r="F6365" s="28"/>
      <c r="H6365" s="28"/>
    </row>
    <row r="6366" spans="4:8" x14ac:dyDescent="0.25">
      <c r="D6366" s="28"/>
      <c r="F6366" s="28"/>
      <c r="H6366" s="28"/>
    </row>
    <row r="6367" spans="4:8" x14ac:dyDescent="0.25">
      <c r="D6367" s="28"/>
      <c r="F6367" s="28"/>
      <c r="H6367" s="28"/>
    </row>
    <row r="6368" spans="4:8" x14ac:dyDescent="0.25">
      <c r="D6368" s="28"/>
      <c r="F6368" s="28"/>
      <c r="H6368" s="28"/>
    </row>
    <row r="6369" spans="4:8" x14ac:dyDescent="0.25">
      <c r="D6369" s="28"/>
      <c r="F6369" s="28"/>
      <c r="H6369" s="28"/>
    </row>
    <row r="6370" spans="4:8" x14ac:dyDescent="0.25">
      <c r="D6370" s="28"/>
      <c r="F6370" s="28"/>
      <c r="H6370" s="28"/>
    </row>
    <row r="6371" spans="4:8" x14ac:dyDescent="0.25">
      <c r="D6371" s="28"/>
      <c r="F6371" s="28"/>
      <c r="H6371" s="28"/>
    </row>
    <row r="6372" spans="4:8" x14ac:dyDescent="0.25">
      <c r="D6372" s="28"/>
      <c r="F6372" s="28"/>
      <c r="H6372" s="28"/>
    </row>
    <row r="6373" spans="4:8" x14ac:dyDescent="0.25">
      <c r="D6373" s="28"/>
      <c r="F6373" s="28"/>
      <c r="H6373" s="28"/>
    </row>
    <row r="6374" spans="4:8" x14ac:dyDescent="0.25">
      <c r="D6374" s="28"/>
      <c r="F6374" s="28"/>
      <c r="H6374" s="28"/>
    </row>
    <row r="6375" spans="4:8" x14ac:dyDescent="0.25">
      <c r="D6375" s="28"/>
      <c r="F6375" s="28"/>
      <c r="H6375" s="28"/>
    </row>
    <row r="6376" spans="4:8" x14ac:dyDescent="0.25">
      <c r="D6376" s="28"/>
      <c r="F6376" s="28"/>
      <c r="H6376" s="28"/>
    </row>
    <row r="6377" spans="4:8" x14ac:dyDescent="0.25">
      <c r="D6377" s="28"/>
      <c r="F6377" s="28"/>
      <c r="H6377" s="28"/>
    </row>
    <row r="6378" spans="4:8" x14ac:dyDescent="0.25">
      <c r="D6378" s="28"/>
      <c r="F6378" s="28"/>
      <c r="H6378" s="28"/>
    </row>
    <row r="6379" spans="4:8" x14ac:dyDescent="0.25">
      <c r="D6379" s="28"/>
      <c r="F6379" s="28"/>
      <c r="H6379" s="28"/>
    </row>
    <row r="6380" spans="4:8" x14ac:dyDescent="0.25">
      <c r="D6380" s="28"/>
      <c r="F6380" s="28"/>
      <c r="H6380" s="28"/>
    </row>
    <row r="6381" spans="4:8" x14ac:dyDescent="0.25">
      <c r="D6381" s="28"/>
      <c r="F6381" s="28"/>
      <c r="H6381" s="28"/>
    </row>
    <row r="6382" spans="4:8" x14ac:dyDescent="0.25">
      <c r="D6382" s="28"/>
      <c r="F6382" s="28"/>
      <c r="H6382" s="28"/>
    </row>
    <row r="6383" spans="4:8" x14ac:dyDescent="0.25">
      <c r="D6383" s="28"/>
      <c r="F6383" s="28"/>
      <c r="H6383" s="28"/>
    </row>
    <row r="6384" spans="4:8" x14ac:dyDescent="0.25">
      <c r="D6384" s="28"/>
      <c r="F6384" s="28"/>
      <c r="H6384" s="28"/>
    </row>
    <row r="6385" spans="4:8" x14ac:dyDescent="0.25">
      <c r="D6385" s="28"/>
      <c r="F6385" s="28"/>
      <c r="H6385" s="28"/>
    </row>
    <row r="6386" spans="4:8" x14ac:dyDescent="0.25">
      <c r="D6386" s="28"/>
      <c r="F6386" s="28"/>
      <c r="H6386" s="28"/>
    </row>
    <row r="6387" spans="4:8" x14ac:dyDescent="0.25">
      <c r="D6387" s="28"/>
      <c r="F6387" s="28"/>
      <c r="H6387" s="28"/>
    </row>
    <row r="6388" spans="4:8" x14ac:dyDescent="0.25">
      <c r="D6388" s="28"/>
      <c r="F6388" s="28"/>
      <c r="H6388" s="28"/>
    </row>
    <row r="6389" spans="4:8" x14ac:dyDescent="0.25">
      <c r="D6389" s="28"/>
      <c r="F6389" s="28"/>
      <c r="H6389" s="28"/>
    </row>
    <row r="6390" spans="4:8" x14ac:dyDescent="0.25">
      <c r="D6390" s="28"/>
      <c r="F6390" s="28"/>
      <c r="H6390" s="28"/>
    </row>
    <row r="6391" spans="4:8" x14ac:dyDescent="0.25">
      <c r="D6391" s="28"/>
      <c r="F6391" s="28"/>
      <c r="H6391" s="28"/>
    </row>
    <row r="6392" spans="4:8" x14ac:dyDescent="0.25">
      <c r="D6392" s="28"/>
      <c r="F6392" s="28"/>
      <c r="H6392" s="28"/>
    </row>
    <row r="6393" spans="4:8" x14ac:dyDescent="0.25">
      <c r="D6393" s="28"/>
      <c r="F6393" s="28"/>
      <c r="H6393" s="28"/>
    </row>
    <row r="6394" spans="4:8" x14ac:dyDescent="0.25">
      <c r="D6394" s="28"/>
      <c r="F6394" s="28"/>
      <c r="H6394" s="28"/>
    </row>
    <row r="6395" spans="4:8" x14ac:dyDescent="0.25">
      <c r="D6395" s="28"/>
      <c r="F6395" s="28"/>
      <c r="H6395" s="28"/>
    </row>
    <row r="6396" spans="4:8" x14ac:dyDescent="0.25">
      <c r="D6396" s="28"/>
      <c r="F6396" s="28"/>
      <c r="H6396" s="28"/>
    </row>
    <row r="6397" spans="4:8" x14ac:dyDescent="0.25">
      <c r="D6397" s="28"/>
      <c r="F6397" s="28"/>
      <c r="H6397" s="28"/>
    </row>
    <row r="6398" spans="4:8" x14ac:dyDescent="0.25">
      <c r="D6398" s="28"/>
      <c r="F6398" s="28"/>
      <c r="H6398" s="28"/>
    </row>
    <row r="6399" spans="4:8" x14ac:dyDescent="0.25">
      <c r="D6399" s="28"/>
      <c r="F6399" s="28"/>
      <c r="H6399" s="28"/>
    </row>
    <row r="6400" spans="4:8" x14ac:dyDescent="0.25">
      <c r="D6400" s="28"/>
      <c r="F6400" s="28"/>
      <c r="H6400" s="28"/>
    </row>
    <row r="6401" spans="4:8" x14ac:dyDescent="0.25">
      <c r="D6401" s="28"/>
      <c r="F6401" s="28"/>
      <c r="H6401" s="28"/>
    </row>
    <row r="6402" spans="4:8" x14ac:dyDescent="0.25">
      <c r="D6402" s="28"/>
      <c r="F6402" s="28"/>
      <c r="H6402" s="28"/>
    </row>
    <row r="6403" spans="4:8" x14ac:dyDescent="0.25">
      <c r="D6403" s="28"/>
      <c r="F6403" s="28"/>
      <c r="H6403" s="28"/>
    </row>
    <row r="6404" spans="4:8" x14ac:dyDescent="0.25">
      <c r="D6404" s="28"/>
      <c r="F6404" s="28"/>
      <c r="H6404" s="28"/>
    </row>
    <row r="6405" spans="4:8" x14ac:dyDescent="0.25">
      <c r="D6405" s="28"/>
      <c r="F6405" s="28"/>
      <c r="H6405" s="28"/>
    </row>
    <row r="6406" spans="4:8" x14ac:dyDescent="0.25">
      <c r="D6406" s="28"/>
      <c r="F6406" s="28"/>
      <c r="H6406" s="28"/>
    </row>
    <row r="6407" spans="4:8" x14ac:dyDescent="0.25">
      <c r="D6407" s="28"/>
      <c r="F6407" s="28"/>
      <c r="H6407" s="28"/>
    </row>
    <row r="6408" spans="4:8" x14ac:dyDescent="0.25">
      <c r="D6408" s="28"/>
      <c r="F6408" s="28"/>
      <c r="H6408" s="28"/>
    </row>
    <row r="6409" spans="4:8" x14ac:dyDescent="0.25">
      <c r="D6409" s="28"/>
      <c r="F6409" s="28"/>
      <c r="H6409" s="28"/>
    </row>
    <row r="6410" spans="4:8" x14ac:dyDescent="0.25">
      <c r="D6410" s="28"/>
      <c r="F6410" s="28"/>
      <c r="H6410" s="28"/>
    </row>
    <row r="6411" spans="4:8" x14ac:dyDescent="0.25">
      <c r="D6411" s="28"/>
      <c r="F6411" s="28"/>
      <c r="H6411" s="28"/>
    </row>
    <row r="6412" spans="4:8" x14ac:dyDescent="0.25">
      <c r="D6412" s="28"/>
      <c r="F6412" s="28"/>
      <c r="H6412" s="28"/>
    </row>
    <row r="6413" spans="4:8" x14ac:dyDescent="0.25">
      <c r="D6413" s="28"/>
      <c r="F6413" s="28"/>
      <c r="H6413" s="28"/>
    </row>
    <row r="6414" spans="4:8" x14ac:dyDescent="0.25">
      <c r="D6414" s="28"/>
      <c r="F6414" s="28"/>
      <c r="H6414" s="28"/>
    </row>
    <row r="6415" spans="4:8" x14ac:dyDescent="0.25">
      <c r="D6415" s="28"/>
      <c r="F6415" s="28"/>
      <c r="H6415" s="28"/>
    </row>
    <row r="6416" spans="4:8" x14ac:dyDescent="0.25">
      <c r="D6416" s="28"/>
      <c r="F6416" s="28"/>
      <c r="H6416" s="28"/>
    </row>
    <row r="6417" spans="4:8" x14ac:dyDescent="0.25">
      <c r="D6417" s="28"/>
      <c r="F6417" s="28"/>
      <c r="H6417" s="28"/>
    </row>
    <row r="6418" spans="4:8" x14ac:dyDescent="0.25">
      <c r="D6418" s="28"/>
      <c r="F6418" s="28"/>
      <c r="H6418" s="28"/>
    </row>
    <row r="6419" spans="4:8" x14ac:dyDescent="0.25">
      <c r="D6419" s="28"/>
      <c r="F6419" s="28"/>
      <c r="H6419" s="28"/>
    </row>
    <row r="6420" spans="4:8" x14ac:dyDescent="0.25">
      <c r="D6420" s="28"/>
      <c r="F6420" s="28"/>
      <c r="H6420" s="28"/>
    </row>
    <row r="6421" spans="4:8" x14ac:dyDescent="0.25">
      <c r="D6421" s="28"/>
      <c r="F6421" s="28"/>
      <c r="H6421" s="28"/>
    </row>
    <row r="6422" spans="4:8" x14ac:dyDescent="0.25">
      <c r="D6422" s="28"/>
      <c r="F6422" s="28"/>
      <c r="H6422" s="28"/>
    </row>
    <row r="6423" spans="4:8" x14ac:dyDescent="0.25">
      <c r="D6423" s="28"/>
      <c r="F6423" s="28"/>
      <c r="H6423" s="28"/>
    </row>
    <row r="6424" spans="4:8" x14ac:dyDescent="0.25">
      <c r="D6424" s="28"/>
      <c r="F6424" s="28"/>
      <c r="H6424" s="28"/>
    </row>
    <row r="6425" spans="4:8" x14ac:dyDescent="0.25">
      <c r="D6425" s="28"/>
      <c r="F6425" s="28"/>
      <c r="H6425" s="28"/>
    </row>
    <row r="6426" spans="4:8" x14ac:dyDescent="0.25">
      <c r="D6426" s="28"/>
      <c r="F6426" s="28"/>
      <c r="H6426" s="28"/>
    </row>
    <row r="6427" spans="4:8" x14ac:dyDescent="0.25">
      <c r="D6427" s="28"/>
      <c r="F6427" s="28"/>
      <c r="H6427" s="28"/>
    </row>
    <row r="6428" spans="4:8" x14ac:dyDescent="0.25">
      <c r="D6428" s="28"/>
      <c r="F6428" s="28"/>
      <c r="H6428" s="28"/>
    </row>
    <row r="6429" spans="4:8" x14ac:dyDescent="0.25">
      <c r="D6429" s="28"/>
      <c r="F6429" s="28"/>
      <c r="H6429" s="28"/>
    </row>
    <row r="6430" spans="4:8" x14ac:dyDescent="0.25">
      <c r="D6430" s="28"/>
      <c r="F6430" s="28"/>
      <c r="H6430" s="28"/>
    </row>
    <row r="6431" spans="4:8" x14ac:dyDescent="0.25">
      <c r="D6431" s="28"/>
      <c r="F6431" s="28"/>
      <c r="H6431" s="28"/>
    </row>
    <row r="6432" spans="4:8" x14ac:dyDescent="0.25">
      <c r="D6432" s="28"/>
      <c r="F6432" s="28"/>
      <c r="H6432" s="28"/>
    </row>
    <row r="6433" spans="4:8" x14ac:dyDescent="0.25">
      <c r="D6433" s="28"/>
      <c r="F6433" s="28"/>
      <c r="H6433" s="28"/>
    </row>
    <row r="6434" spans="4:8" x14ac:dyDescent="0.25">
      <c r="D6434" s="28"/>
      <c r="F6434" s="28"/>
      <c r="H6434" s="28"/>
    </row>
    <row r="6435" spans="4:8" x14ac:dyDescent="0.25">
      <c r="D6435" s="28"/>
      <c r="F6435" s="28"/>
      <c r="H6435" s="28"/>
    </row>
    <row r="6436" spans="4:8" x14ac:dyDescent="0.25">
      <c r="D6436" s="28"/>
      <c r="F6436" s="28"/>
      <c r="H6436" s="28"/>
    </row>
    <row r="6437" spans="4:8" x14ac:dyDescent="0.25">
      <c r="D6437" s="28"/>
      <c r="F6437" s="28"/>
      <c r="H6437" s="28"/>
    </row>
    <row r="6438" spans="4:8" x14ac:dyDescent="0.25">
      <c r="D6438" s="28"/>
      <c r="F6438" s="28"/>
      <c r="H6438" s="28"/>
    </row>
    <row r="6439" spans="4:8" x14ac:dyDescent="0.25">
      <c r="D6439" s="28"/>
      <c r="F6439" s="28"/>
      <c r="H6439" s="28"/>
    </row>
    <row r="6440" spans="4:8" x14ac:dyDescent="0.25">
      <c r="D6440" s="28"/>
      <c r="F6440" s="28"/>
      <c r="H6440" s="28"/>
    </row>
    <row r="6441" spans="4:8" x14ac:dyDescent="0.25">
      <c r="D6441" s="28"/>
      <c r="F6441" s="28"/>
      <c r="H6441" s="28"/>
    </row>
    <row r="6442" spans="4:8" x14ac:dyDescent="0.25">
      <c r="D6442" s="28"/>
      <c r="F6442" s="28"/>
      <c r="H6442" s="28"/>
    </row>
    <row r="6443" spans="4:8" x14ac:dyDescent="0.25">
      <c r="D6443" s="28"/>
      <c r="F6443" s="28"/>
      <c r="H6443" s="28"/>
    </row>
    <row r="6444" spans="4:8" x14ac:dyDescent="0.25">
      <c r="D6444" s="28"/>
      <c r="F6444" s="28"/>
      <c r="H6444" s="28"/>
    </row>
    <row r="6445" spans="4:8" x14ac:dyDescent="0.25">
      <c r="D6445" s="28"/>
      <c r="F6445" s="28"/>
      <c r="H6445" s="28"/>
    </row>
    <row r="6446" spans="4:8" x14ac:dyDescent="0.25">
      <c r="D6446" s="28"/>
      <c r="F6446" s="28"/>
      <c r="H6446" s="28"/>
    </row>
    <row r="6447" spans="4:8" x14ac:dyDescent="0.25">
      <c r="D6447" s="28"/>
      <c r="F6447" s="28"/>
      <c r="H6447" s="28"/>
    </row>
    <row r="6448" spans="4:8" x14ac:dyDescent="0.25">
      <c r="D6448" s="28"/>
      <c r="F6448" s="28"/>
      <c r="H6448" s="28"/>
    </row>
    <row r="6449" spans="4:8" x14ac:dyDescent="0.25">
      <c r="D6449" s="28"/>
      <c r="F6449" s="28"/>
      <c r="H6449" s="28"/>
    </row>
    <row r="6450" spans="4:8" x14ac:dyDescent="0.25">
      <c r="D6450" s="28"/>
      <c r="F6450" s="28"/>
      <c r="H6450" s="28"/>
    </row>
    <row r="6451" spans="4:8" x14ac:dyDescent="0.25">
      <c r="D6451" s="28"/>
      <c r="F6451" s="28"/>
      <c r="H6451" s="28"/>
    </row>
    <row r="6452" spans="4:8" x14ac:dyDescent="0.25">
      <c r="D6452" s="28"/>
      <c r="F6452" s="28"/>
      <c r="H6452" s="28"/>
    </row>
    <row r="6453" spans="4:8" x14ac:dyDescent="0.25">
      <c r="D6453" s="28"/>
      <c r="F6453" s="28"/>
      <c r="H6453" s="28"/>
    </row>
    <row r="6454" spans="4:8" x14ac:dyDescent="0.25">
      <c r="D6454" s="28"/>
      <c r="F6454" s="28"/>
      <c r="H6454" s="28"/>
    </row>
    <row r="6455" spans="4:8" x14ac:dyDescent="0.25">
      <c r="D6455" s="28"/>
      <c r="F6455" s="28"/>
      <c r="H6455" s="28"/>
    </row>
    <row r="6456" spans="4:8" x14ac:dyDescent="0.25">
      <c r="D6456" s="28"/>
      <c r="F6456" s="28"/>
      <c r="H6456" s="28"/>
    </row>
    <row r="6457" spans="4:8" x14ac:dyDescent="0.25">
      <c r="D6457" s="28"/>
      <c r="F6457" s="28"/>
      <c r="H6457" s="28"/>
    </row>
    <row r="6458" spans="4:8" x14ac:dyDescent="0.25">
      <c r="D6458" s="28"/>
      <c r="F6458" s="28"/>
      <c r="H6458" s="28"/>
    </row>
    <row r="6459" spans="4:8" x14ac:dyDescent="0.25">
      <c r="D6459" s="28"/>
      <c r="F6459" s="28"/>
      <c r="H6459" s="28"/>
    </row>
    <row r="6460" spans="4:8" x14ac:dyDescent="0.25">
      <c r="D6460" s="28"/>
      <c r="F6460" s="28"/>
      <c r="H6460" s="28"/>
    </row>
    <row r="6461" spans="4:8" x14ac:dyDescent="0.25">
      <c r="D6461" s="28"/>
      <c r="F6461" s="28"/>
      <c r="H6461" s="28"/>
    </row>
    <row r="6462" spans="4:8" x14ac:dyDescent="0.25">
      <c r="D6462" s="28"/>
      <c r="F6462" s="28"/>
      <c r="H6462" s="28"/>
    </row>
    <row r="6463" spans="4:8" x14ac:dyDescent="0.25">
      <c r="D6463" s="28"/>
      <c r="F6463" s="28"/>
      <c r="H6463" s="28"/>
    </row>
    <row r="6464" spans="4:8" x14ac:dyDescent="0.25">
      <c r="D6464" s="28"/>
      <c r="F6464" s="28"/>
      <c r="H6464" s="28"/>
    </row>
    <row r="6465" spans="4:8" x14ac:dyDescent="0.25">
      <c r="D6465" s="28"/>
      <c r="F6465" s="28"/>
      <c r="H6465" s="28"/>
    </row>
    <row r="6466" spans="4:8" x14ac:dyDescent="0.25">
      <c r="D6466" s="28"/>
      <c r="F6466" s="28"/>
      <c r="H6466" s="28"/>
    </row>
    <row r="6467" spans="4:8" x14ac:dyDescent="0.25">
      <c r="D6467" s="28"/>
      <c r="F6467" s="28"/>
      <c r="H6467" s="28"/>
    </row>
    <row r="6468" spans="4:8" x14ac:dyDescent="0.25">
      <c r="D6468" s="28"/>
      <c r="F6468" s="28"/>
      <c r="H6468" s="28"/>
    </row>
    <row r="6469" spans="4:8" x14ac:dyDescent="0.25">
      <c r="D6469" s="28"/>
      <c r="F6469" s="28"/>
      <c r="H6469" s="28"/>
    </row>
    <row r="6470" spans="4:8" x14ac:dyDescent="0.25">
      <c r="D6470" s="28"/>
      <c r="F6470" s="28"/>
      <c r="H6470" s="28"/>
    </row>
    <row r="6471" spans="4:8" x14ac:dyDescent="0.25">
      <c r="D6471" s="28"/>
      <c r="F6471" s="28"/>
      <c r="H6471" s="28"/>
    </row>
    <row r="6472" spans="4:8" x14ac:dyDescent="0.25">
      <c r="D6472" s="28"/>
      <c r="F6472" s="28"/>
      <c r="H6472" s="28"/>
    </row>
    <row r="6473" spans="4:8" x14ac:dyDescent="0.25">
      <c r="D6473" s="28"/>
      <c r="F6473" s="28"/>
      <c r="H6473" s="28"/>
    </row>
    <row r="6474" spans="4:8" x14ac:dyDescent="0.25">
      <c r="D6474" s="28"/>
      <c r="F6474" s="28"/>
      <c r="H6474" s="28"/>
    </row>
    <row r="6475" spans="4:8" x14ac:dyDescent="0.25">
      <c r="D6475" s="28"/>
      <c r="F6475" s="28"/>
      <c r="H6475" s="28"/>
    </row>
    <row r="6476" spans="4:8" x14ac:dyDescent="0.25">
      <c r="D6476" s="28"/>
      <c r="F6476" s="28"/>
      <c r="H6476" s="28"/>
    </row>
    <row r="6477" spans="4:8" x14ac:dyDescent="0.25">
      <c r="D6477" s="28"/>
      <c r="F6477" s="28"/>
      <c r="H6477" s="28"/>
    </row>
    <row r="6478" spans="4:8" x14ac:dyDescent="0.25">
      <c r="D6478" s="28"/>
      <c r="F6478" s="28"/>
      <c r="H6478" s="28"/>
    </row>
    <row r="6479" spans="4:8" x14ac:dyDescent="0.25">
      <c r="D6479" s="28"/>
      <c r="F6479" s="28"/>
      <c r="H6479" s="28"/>
    </row>
    <row r="6480" spans="4:8" x14ac:dyDescent="0.25">
      <c r="D6480" s="28"/>
      <c r="F6480" s="28"/>
      <c r="H6480" s="28"/>
    </row>
    <row r="6481" spans="4:8" x14ac:dyDescent="0.25">
      <c r="D6481" s="28"/>
      <c r="F6481" s="28"/>
      <c r="H6481" s="28"/>
    </row>
    <row r="6482" spans="4:8" x14ac:dyDescent="0.25">
      <c r="D6482" s="28"/>
      <c r="F6482" s="28"/>
      <c r="H6482" s="28"/>
    </row>
    <row r="6483" spans="4:8" x14ac:dyDescent="0.25">
      <c r="D6483" s="28"/>
      <c r="F6483" s="28"/>
      <c r="H6483" s="28"/>
    </row>
    <row r="6484" spans="4:8" x14ac:dyDescent="0.25">
      <c r="D6484" s="28"/>
      <c r="F6484" s="28"/>
      <c r="H6484" s="28"/>
    </row>
    <row r="6485" spans="4:8" x14ac:dyDescent="0.25">
      <c r="D6485" s="28"/>
      <c r="F6485" s="28"/>
      <c r="H6485" s="28"/>
    </row>
    <row r="6486" spans="4:8" x14ac:dyDescent="0.25">
      <c r="D6486" s="28"/>
      <c r="F6486" s="28"/>
      <c r="H6486" s="28"/>
    </row>
    <row r="6487" spans="4:8" x14ac:dyDescent="0.25">
      <c r="D6487" s="28"/>
      <c r="F6487" s="28"/>
      <c r="H6487" s="28"/>
    </row>
    <row r="6488" spans="4:8" x14ac:dyDescent="0.25">
      <c r="D6488" s="28"/>
      <c r="F6488" s="28"/>
      <c r="H6488" s="28"/>
    </row>
    <row r="6489" spans="4:8" x14ac:dyDescent="0.25">
      <c r="D6489" s="28"/>
      <c r="F6489" s="28"/>
      <c r="H6489" s="28"/>
    </row>
    <row r="6490" spans="4:8" x14ac:dyDescent="0.25">
      <c r="D6490" s="28"/>
      <c r="F6490" s="28"/>
      <c r="H6490" s="28"/>
    </row>
    <row r="6491" spans="4:8" x14ac:dyDescent="0.25">
      <c r="D6491" s="28"/>
      <c r="F6491" s="28"/>
      <c r="H6491" s="28"/>
    </row>
    <row r="6492" spans="4:8" x14ac:dyDescent="0.25">
      <c r="D6492" s="28"/>
      <c r="F6492" s="28"/>
      <c r="H6492" s="28"/>
    </row>
    <row r="6493" spans="4:8" x14ac:dyDescent="0.25">
      <c r="D6493" s="28"/>
      <c r="F6493" s="28"/>
      <c r="H6493" s="28"/>
    </row>
    <row r="6494" spans="4:8" x14ac:dyDescent="0.25">
      <c r="D6494" s="28"/>
      <c r="F6494" s="28"/>
      <c r="H6494" s="28"/>
    </row>
    <row r="6495" spans="4:8" x14ac:dyDescent="0.25">
      <c r="D6495" s="28"/>
      <c r="F6495" s="28"/>
      <c r="H6495" s="28"/>
    </row>
    <row r="6496" spans="4:8" x14ac:dyDescent="0.25">
      <c r="D6496" s="28"/>
      <c r="F6496" s="28"/>
      <c r="H6496" s="28"/>
    </row>
    <row r="6497" spans="4:8" x14ac:dyDescent="0.25">
      <c r="D6497" s="28"/>
      <c r="F6497" s="28"/>
      <c r="H6497" s="28"/>
    </row>
    <row r="6498" spans="4:8" x14ac:dyDescent="0.25">
      <c r="D6498" s="28"/>
      <c r="F6498" s="28"/>
      <c r="H6498" s="28"/>
    </row>
    <row r="6499" spans="4:8" x14ac:dyDescent="0.25">
      <c r="D6499" s="28"/>
      <c r="F6499" s="28"/>
      <c r="H6499" s="28"/>
    </row>
    <row r="6500" spans="4:8" x14ac:dyDescent="0.25">
      <c r="D6500" s="28"/>
      <c r="F6500" s="28"/>
      <c r="H6500" s="28"/>
    </row>
    <row r="6501" spans="4:8" x14ac:dyDescent="0.25">
      <c r="D6501" s="28"/>
      <c r="F6501" s="28"/>
      <c r="H6501" s="28"/>
    </row>
    <row r="6502" spans="4:8" x14ac:dyDescent="0.25">
      <c r="D6502" s="28"/>
      <c r="F6502" s="28"/>
      <c r="H6502" s="28"/>
    </row>
    <row r="6503" spans="4:8" x14ac:dyDescent="0.25">
      <c r="D6503" s="28"/>
      <c r="F6503" s="28"/>
      <c r="H6503" s="28"/>
    </row>
    <row r="6504" spans="4:8" x14ac:dyDescent="0.25">
      <c r="D6504" s="28"/>
      <c r="F6504" s="28"/>
      <c r="H6504" s="28"/>
    </row>
    <row r="6505" spans="4:8" x14ac:dyDescent="0.25">
      <c r="D6505" s="28"/>
      <c r="F6505" s="28"/>
      <c r="H6505" s="28"/>
    </row>
    <row r="6506" spans="4:8" x14ac:dyDescent="0.25">
      <c r="D6506" s="28"/>
      <c r="F6506" s="28"/>
      <c r="H6506" s="28"/>
    </row>
    <row r="6507" spans="4:8" x14ac:dyDescent="0.25">
      <c r="D6507" s="28"/>
      <c r="F6507" s="28"/>
      <c r="H6507" s="28"/>
    </row>
    <row r="6508" spans="4:8" x14ac:dyDescent="0.25">
      <c r="D6508" s="28"/>
      <c r="F6508" s="28"/>
      <c r="H6508" s="28"/>
    </row>
    <row r="6509" spans="4:8" x14ac:dyDescent="0.25">
      <c r="D6509" s="28"/>
      <c r="F6509" s="28"/>
      <c r="H6509" s="28"/>
    </row>
    <row r="6510" spans="4:8" x14ac:dyDescent="0.25">
      <c r="D6510" s="28"/>
      <c r="F6510" s="28"/>
      <c r="H6510" s="28"/>
    </row>
    <row r="6511" spans="4:8" x14ac:dyDescent="0.25">
      <c r="D6511" s="28"/>
      <c r="F6511" s="28"/>
      <c r="H6511" s="28"/>
    </row>
    <row r="6512" spans="4:8" x14ac:dyDescent="0.25">
      <c r="D6512" s="28"/>
      <c r="F6512" s="28"/>
      <c r="H6512" s="28"/>
    </row>
    <row r="6513" spans="4:8" x14ac:dyDescent="0.25">
      <c r="D6513" s="28"/>
      <c r="F6513" s="28"/>
      <c r="H6513" s="28"/>
    </row>
    <row r="6514" spans="4:8" x14ac:dyDescent="0.25">
      <c r="D6514" s="28"/>
      <c r="F6514" s="28"/>
      <c r="H6514" s="28"/>
    </row>
    <row r="6515" spans="4:8" x14ac:dyDescent="0.25">
      <c r="D6515" s="28"/>
      <c r="F6515" s="28"/>
      <c r="H6515" s="28"/>
    </row>
    <row r="6516" spans="4:8" x14ac:dyDescent="0.25">
      <c r="D6516" s="28"/>
      <c r="F6516" s="28"/>
      <c r="H6516" s="28"/>
    </row>
    <row r="6517" spans="4:8" x14ac:dyDescent="0.25">
      <c r="D6517" s="28"/>
      <c r="F6517" s="28"/>
      <c r="H6517" s="28"/>
    </row>
    <row r="6518" spans="4:8" x14ac:dyDescent="0.25">
      <c r="D6518" s="28"/>
      <c r="F6518" s="28"/>
      <c r="H6518" s="28"/>
    </row>
    <row r="6519" spans="4:8" x14ac:dyDescent="0.25">
      <c r="D6519" s="28"/>
      <c r="F6519" s="28"/>
      <c r="H6519" s="28"/>
    </row>
    <row r="6520" spans="4:8" x14ac:dyDescent="0.25">
      <c r="D6520" s="28"/>
      <c r="F6520" s="28"/>
      <c r="H6520" s="28"/>
    </row>
    <row r="6521" spans="4:8" x14ac:dyDescent="0.25">
      <c r="D6521" s="28"/>
      <c r="F6521" s="28"/>
      <c r="H6521" s="28"/>
    </row>
    <row r="6522" spans="4:8" x14ac:dyDescent="0.25">
      <c r="D6522" s="28"/>
      <c r="F6522" s="28"/>
      <c r="H6522" s="28"/>
    </row>
    <row r="6523" spans="4:8" x14ac:dyDescent="0.25">
      <c r="D6523" s="28"/>
      <c r="F6523" s="28"/>
      <c r="H6523" s="28"/>
    </row>
    <row r="6524" spans="4:8" x14ac:dyDescent="0.25">
      <c r="D6524" s="28"/>
      <c r="F6524" s="28"/>
      <c r="H6524" s="28"/>
    </row>
    <row r="6525" spans="4:8" x14ac:dyDescent="0.25">
      <c r="D6525" s="28"/>
      <c r="F6525" s="28"/>
      <c r="H6525" s="28"/>
    </row>
    <row r="6526" spans="4:8" x14ac:dyDescent="0.25">
      <c r="D6526" s="28"/>
      <c r="F6526" s="28"/>
      <c r="H6526" s="28"/>
    </row>
    <row r="6527" spans="4:8" x14ac:dyDescent="0.25">
      <c r="D6527" s="28"/>
      <c r="F6527" s="28"/>
      <c r="H6527" s="28"/>
    </row>
    <row r="6528" spans="4:8" x14ac:dyDescent="0.25">
      <c r="D6528" s="28"/>
      <c r="F6528" s="28"/>
      <c r="H6528" s="28"/>
    </row>
    <row r="6529" spans="4:8" x14ac:dyDescent="0.25">
      <c r="D6529" s="28"/>
      <c r="F6529" s="28"/>
      <c r="H6529" s="28"/>
    </row>
    <row r="6530" spans="4:8" x14ac:dyDescent="0.25">
      <c r="D6530" s="28"/>
      <c r="F6530" s="28"/>
      <c r="H6530" s="28"/>
    </row>
    <row r="6531" spans="4:8" x14ac:dyDescent="0.25">
      <c r="D6531" s="28"/>
      <c r="F6531" s="28"/>
      <c r="H6531" s="28"/>
    </row>
    <row r="6532" spans="4:8" x14ac:dyDescent="0.25">
      <c r="D6532" s="28"/>
      <c r="F6532" s="28"/>
      <c r="H6532" s="28"/>
    </row>
    <row r="6533" spans="4:8" x14ac:dyDescent="0.25">
      <c r="D6533" s="28"/>
      <c r="F6533" s="28"/>
      <c r="H6533" s="28"/>
    </row>
    <row r="6534" spans="4:8" x14ac:dyDescent="0.25">
      <c r="D6534" s="28"/>
      <c r="F6534" s="28"/>
      <c r="H6534" s="28"/>
    </row>
    <row r="6535" spans="4:8" x14ac:dyDescent="0.25">
      <c r="D6535" s="28"/>
      <c r="F6535" s="28"/>
      <c r="H6535" s="28"/>
    </row>
    <row r="6536" spans="4:8" x14ac:dyDescent="0.25">
      <c r="D6536" s="28"/>
      <c r="F6536" s="28"/>
      <c r="H6536" s="28"/>
    </row>
    <row r="6537" spans="4:8" x14ac:dyDescent="0.25">
      <c r="D6537" s="28"/>
      <c r="F6537" s="28"/>
      <c r="H6537" s="28"/>
    </row>
    <row r="6538" spans="4:8" x14ac:dyDescent="0.25">
      <c r="D6538" s="28"/>
      <c r="F6538" s="28"/>
      <c r="H6538" s="28"/>
    </row>
    <row r="6539" spans="4:8" x14ac:dyDescent="0.25">
      <c r="D6539" s="28"/>
      <c r="F6539" s="28"/>
      <c r="H6539" s="28"/>
    </row>
    <row r="6540" spans="4:8" x14ac:dyDescent="0.25">
      <c r="D6540" s="28"/>
      <c r="F6540" s="28"/>
      <c r="H6540" s="28"/>
    </row>
    <row r="6541" spans="4:8" x14ac:dyDescent="0.25">
      <c r="D6541" s="28"/>
      <c r="F6541" s="28"/>
      <c r="H6541" s="28"/>
    </row>
    <row r="6542" spans="4:8" x14ac:dyDescent="0.25">
      <c r="D6542" s="28"/>
      <c r="F6542" s="28"/>
      <c r="H6542" s="28"/>
    </row>
    <row r="6543" spans="4:8" x14ac:dyDescent="0.25">
      <c r="D6543" s="28"/>
      <c r="F6543" s="28"/>
      <c r="H6543" s="28"/>
    </row>
    <row r="6544" spans="4:8" x14ac:dyDescent="0.25">
      <c r="D6544" s="28"/>
      <c r="F6544" s="28"/>
      <c r="H6544" s="28"/>
    </row>
    <row r="6545" spans="4:8" x14ac:dyDescent="0.25">
      <c r="D6545" s="28"/>
      <c r="F6545" s="28"/>
      <c r="H6545" s="28"/>
    </row>
    <row r="6546" spans="4:8" x14ac:dyDescent="0.25">
      <c r="D6546" s="28"/>
      <c r="F6546" s="28"/>
      <c r="H6546" s="28"/>
    </row>
    <row r="6547" spans="4:8" x14ac:dyDescent="0.25">
      <c r="D6547" s="28"/>
      <c r="F6547" s="28"/>
      <c r="H6547" s="28"/>
    </row>
    <row r="6548" spans="4:8" x14ac:dyDescent="0.25">
      <c r="D6548" s="28"/>
      <c r="F6548" s="28"/>
      <c r="H6548" s="28"/>
    </row>
    <row r="6549" spans="4:8" x14ac:dyDescent="0.25">
      <c r="D6549" s="28"/>
      <c r="F6549" s="28"/>
      <c r="H6549" s="28"/>
    </row>
    <row r="6550" spans="4:8" x14ac:dyDescent="0.25">
      <c r="D6550" s="28"/>
      <c r="F6550" s="28"/>
      <c r="H6550" s="28"/>
    </row>
    <row r="6551" spans="4:8" x14ac:dyDescent="0.25">
      <c r="D6551" s="28"/>
      <c r="F6551" s="28"/>
      <c r="H6551" s="28"/>
    </row>
    <row r="6552" spans="4:8" x14ac:dyDescent="0.25">
      <c r="D6552" s="28"/>
      <c r="F6552" s="28"/>
      <c r="H6552" s="28"/>
    </row>
    <row r="6553" spans="4:8" x14ac:dyDescent="0.25">
      <c r="D6553" s="28"/>
      <c r="F6553" s="28"/>
      <c r="H6553" s="28"/>
    </row>
    <row r="6554" spans="4:8" x14ac:dyDescent="0.25">
      <c r="D6554" s="28"/>
      <c r="F6554" s="28"/>
      <c r="H6554" s="28"/>
    </row>
    <row r="6555" spans="4:8" x14ac:dyDescent="0.25">
      <c r="D6555" s="28"/>
      <c r="F6555" s="28"/>
      <c r="H6555" s="28"/>
    </row>
    <row r="6556" spans="4:8" x14ac:dyDescent="0.25">
      <c r="D6556" s="28"/>
      <c r="F6556" s="28"/>
      <c r="H6556" s="28"/>
    </row>
    <row r="6557" spans="4:8" x14ac:dyDescent="0.25">
      <c r="D6557" s="28"/>
      <c r="F6557" s="28"/>
      <c r="H6557" s="28"/>
    </row>
    <row r="6558" spans="4:8" x14ac:dyDescent="0.25">
      <c r="D6558" s="28"/>
      <c r="F6558" s="28"/>
      <c r="H6558" s="28"/>
    </row>
    <row r="6559" spans="4:8" x14ac:dyDescent="0.25">
      <c r="D6559" s="28"/>
      <c r="F6559" s="28"/>
      <c r="H6559" s="28"/>
    </row>
    <row r="6560" spans="4:8" x14ac:dyDescent="0.25">
      <c r="D6560" s="28"/>
      <c r="F6560" s="28"/>
      <c r="H6560" s="28"/>
    </row>
    <row r="6561" spans="4:8" x14ac:dyDescent="0.25">
      <c r="D6561" s="28"/>
      <c r="F6561" s="28"/>
      <c r="H6561" s="28"/>
    </row>
    <row r="6562" spans="4:8" x14ac:dyDescent="0.25">
      <c r="D6562" s="28"/>
      <c r="F6562" s="28"/>
      <c r="H6562" s="28"/>
    </row>
    <row r="6563" spans="4:8" x14ac:dyDescent="0.25">
      <c r="D6563" s="28"/>
      <c r="F6563" s="28"/>
      <c r="H6563" s="28"/>
    </row>
    <row r="6564" spans="4:8" x14ac:dyDescent="0.25">
      <c r="D6564" s="28"/>
      <c r="F6564" s="28"/>
      <c r="H6564" s="28"/>
    </row>
    <row r="6565" spans="4:8" x14ac:dyDescent="0.25">
      <c r="D6565" s="28"/>
      <c r="F6565" s="28"/>
      <c r="H6565" s="28"/>
    </row>
    <row r="6566" spans="4:8" x14ac:dyDescent="0.25">
      <c r="D6566" s="28"/>
      <c r="F6566" s="28"/>
      <c r="H6566" s="28"/>
    </row>
    <row r="6567" spans="4:8" x14ac:dyDescent="0.25">
      <c r="D6567" s="28"/>
      <c r="F6567" s="28"/>
      <c r="H6567" s="28"/>
    </row>
    <row r="6568" spans="4:8" x14ac:dyDescent="0.25">
      <c r="D6568" s="28"/>
      <c r="F6568" s="28"/>
      <c r="H6568" s="28"/>
    </row>
    <row r="6569" spans="4:8" x14ac:dyDescent="0.25">
      <c r="D6569" s="28"/>
      <c r="F6569" s="28"/>
      <c r="H6569" s="28"/>
    </row>
    <row r="6570" spans="4:8" x14ac:dyDescent="0.25">
      <c r="D6570" s="28"/>
      <c r="F6570" s="28"/>
      <c r="H6570" s="28"/>
    </row>
    <row r="6571" spans="4:8" x14ac:dyDescent="0.25">
      <c r="D6571" s="28"/>
      <c r="F6571" s="28"/>
      <c r="H6571" s="28"/>
    </row>
    <row r="6572" spans="4:8" x14ac:dyDescent="0.25">
      <c r="D6572" s="28"/>
      <c r="F6572" s="28"/>
      <c r="H6572" s="28"/>
    </row>
    <row r="6573" spans="4:8" x14ac:dyDescent="0.25">
      <c r="D6573" s="28"/>
      <c r="F6573" s="28"/>
      <c r="H6573" s="28"/>
    </row>
    <row r="6574" spans="4:8" x14ac:dyDescent="0.25">
      <c r="D6574" s="28"/>
      <c r="F6574" s="28"/>
      <c r="H6574" s="28"/>
    </row>
    <row r="6575" spans="4:8" x14ac:dyDescent="0.25">
      <c r="D6575" s="28"/>
      <c r="F6575" s="28"/>
      <c r="H6575" s="28"/>
    </row>
    <row r="6576" spans="4:8" x14ac:dyDescent="0.25">
      <c r="D6576" s="28"/>
      <c r="F6576" s="28"/>
      <c r="H6576" s="28"/>
    </row>
    <row r="6577" spans="4:8" x14ac:dyDescent="0.25">
      <c r="D6577" s="28"/>
      <c r="F6577" s="28"/>
      <c r="H6577" s="28"/>
    </row>
    <row r="6578" spans="4:8" x14ac:dyDescent="0.25">
      <c r="D6578" s="28"/>
      <c r="F6578" s="28"/>
      <c r="H6578" s="28"/>
    </row>
    <row r="6579" spans="4:8" x14ac:dyDescent="0.25">
      <c r="D6579" s="28"/>
      <c r="F6579" s="28"/>
      <c r="H6579" s="28"/>
    </row>
    <row r="6580" spans="4:8" x14ac:dyDescent="0.25">
      <c r="D6580" s="28"/>
      <c r="F6580" s="28"/>
      <c r="H6580" s="28"/>
    </row>
    <row r="6581" spans="4:8" x14ac:dyDescent="0.25">
      <c r="D6581" s="28"/>
      <c r="F6581" s="28"/>
      <c r="H6581" s="28"/>
    </row>
    <row r="6582" spans="4:8" x14ac:dyDescent="0.25">
      <c r="D6582" s="28"/>
      <c r="F6582" s="28"/>
      <c r="H6582" s="28"/>
    </row>
    <row r="6583" spans="4:8" x14ac:dyDescent="0.25">
      <c r="D6583" s="28"/>
      <c r="F6583" s="28"/>
      <c r="H6583" s="28"/>
    </row>
    <row r="6584" spans="4:8" x14ac:dyDescent="0.25">
      <c r="D6584" s="28"/>
      <c r="F6584" s="28"/>
      <c r="H6584" s="28"/>
    </row>
    <row r="6585" spans="4:8" x14ac:dyDescent="0.25">
      <c r="D6585" s="28"/>
      <c r="F6585" s="28"/>
      <c r="H6585" s="28"/>
    </row>
    <row r="6586" spans="4:8" x14ac:dyDescent="0.25">
      <c r="D6586" s="28"/>
      <c r="F6586" s="28"/>
      <c r="H6586" s="28"/>
    </row>
    <row r="6587" spans="4:8" x14ac:dyDescent="0.25">
      <c r="D6587" s="28"/>
      <c r="F6587" s="28"/>
      <c r="H6587" s="28"/>
    </row>
    <row r="6588" spans="4:8" x14ac:dyDescent="0.25">
      <c r="D6588" s="28"/>
      <c r="F6588" s="28"/>
      <c r="H6588" s="28"/>
    </row>
    <row r="6589" spans="4:8" x14ac:dyDescent="0.25">
      <c r="D6589" s="28"/>
      <c r="F6589" s="28"/>
      <c r="H6589" s="28"/>
    </row>
    <row r="6590" spans="4:8" x14ac:dyDescent="0.25">
      <c r="D6590" s="28"/>
      <c r="F6590" s="28"/>
      <c r="H6590" s="28"/>
    </row>
    <row r="6591" spans="4:8" x14ac:dyDescent="0.25">
      <c r="D6591" s="28"/>
      <c r="F6591" s="28"/>
      <c r="H6591" s="28"/>
    </row>
    <row r="6592" spans="4:8" x14ac:dyDescent="0.25">
      <c r="D6592" s="28"/>
      <c r="F6592" s="28"/>
      <c r="H6592" s="28"/>
    </row>
    <row r="6593" spans="4:8" x14ac:dyDescent="0.25">
      <c r="D6593" s="28"/>
      <c r="F6593" s="28"/>
      <c r="H6593" s="28"/>
    </row>
    <row r="6594" spans="4:8" x14ac:dyDescent="0.25">
      <c r="D6594" s="28"/>
      <c r="F6594" s="28"/>
      <c r="H6594" s="28"/>
    </row>
    <row r="6595" spans="4:8" x14ac:dyDescent="0.25">
      <c r="D6595" s="28"/>
      <c r="F6595" s="28"/>
      <c r="H6595" s="28"/>
    </row>
    <row r="6596" spans="4:8" x14ac:dyDescent="0.25">
      <c r="D6596" s="28"/>
      <c r="F6596" s="28"/>
      <c r="H6596" s="28"/>
    </row>
    <row r="6597" spans="4:8" x14ac:dyDescent="0.25">
      <c r="D6597" s="28"/>
      <c r="F6597" s="28"/>
      <c r="H6597" s="28"/>
    </row>
    <row r="6598" spans="4:8" x14ac:dyDescent="0.25">
      <c r="D6598" s="28"/>
      <c r="F6598" s="28"/>
      <c r="H6598" s="28"/>
    </row>
    <row r="6599" spans="4:8" x14ac:dyDescent="0.25">
      <c r="D6599" s="28"/>
      <c r="F6599" s="28"/>
      <c r="H6599" s="28"/>
    </row>
    <row r="6600" spans="4:8" x14ac:dyDescent="0.25">
      <c r="D6600" s="28"/>
      <c r="F6600" s="28"/>
      <c r="H6600" s="28"/>
    </row>
    <row r="6601" spans="4:8" x14ac:dyDescent="0.25">
      <c r="D6601" s="28"/>
      <c r="F6601" s="28"/>
      <c r="H6601" s="28"/>
    </row>
    <row r="6602" spans="4:8" x14ac:dyDescent="0.25">
      <c r="D6602" s="28"/>
      <c r="F6602" s="28"/>
      <c r="H6602" s="28"/>
    </row>
    <row r="6603" spans="4:8" x14ac:dyDescent="0.25">
      <c r="D6603" s="28"/>
      <c r="F6603" s="28"/>
      <c r="H6603" s="28"/>
    </row>
    <row r="6604" spans="4:8" x14ac:dyDescent="0.25">
      <c r="D6604" s="28"/>
      <c r="F6604" s="28"/>
      <c r="H6604" s="28"/>
    </row>
    <row r="6605" spans="4:8" x14ac:dyDescent="0.25">
      <c r="D6605" s="28"/>
      <c r="F6605" s="28"/>
      <c r="H6605" s="28"/>
    </row>
    <row r="6606" spans="4:8" x14ac:dyDescent="0.25">
      <c r="D6606" s="28"/>
      <c r="F6606" s="28"/>
      <c r="H6606" s="28"/>
    </row>
    <row r="6607" spans="4:8" x14ac:dyDescent="0.25">
      <c r="D6607" s="28"/>
      <c r="F6607" s="28"/>
      <c r="H6607" s="28"/>
    </row>
    <row r="6608" spans="4:8" x14ac:dyDescent="0.25">
      <c r="D6608" s="28"/>
      <c r="F6608" s="28"/>
      <c r="H6608" s="28"/>
    </row>
    <row r="6609" spans="4:8" x14ac:dyDescent="0.25">
      <c r="D6609" s="28"/>
      <c r="F6609" s="28"/>
      <c r="H6609" s="28"/>
    </row>
    <row r="6610" spans="4:8" x14ac:dyDescent="0.25">
      <c r="D6610" s="28"/>
      <c r="F6610" s="28"/>
      <c r="H6610" s="28"/>
    </row>
    <row r="6611" spans="4:8" x14ac:dyDescent="0.25">
      <c r="D6611" s="28"/>
      <c r="F6611" s="28"/>
      <c r="H6611" s="28"/>
    </row>
    <row r="6612" spans="4:8" x14ac:dyDescent="0.25">
      <c r="D6612" s="28"/>
      <c r="F6612" s="28"/>
      <c r="H6612" s="28"/>
    </row>
    <row r="6613" spans="4:8" x14ac:dyDescent="0.25">
      <c r="D6613" s="28"/>
      <c r="F6613" s="28"/>
      <c r="H6613" s="28"/>
    </row>
    <row r="6614" spans="4:8" x14ac:dyDescent="0.25">
      <c r="D6614" s="28"/>
      <c r="F6614" s="28"/>
      <c r="H6614" s="28"/>
    </row>
    <row r="6615" spans="4:8" x14ac:dyDescent="0.25">
      <c r="D6615" s="28"/>
      <c r="F6615" s="28"/>
      <c r="H6615" s="28"/>
    </row>
    <row r="6616" spans="4:8" x14ac:dyDescent="0.25">
      <c r="D6616" s="28"/>
      <c r="F6616" s="28"/>
      <c r="H6616" s="28"/>
    </row>
    <row r="6617" spans="4:8" x14ac:dyDescent="0.25">
      <c r="D6617" s="28"/>
      <c r="F6617" s="28"/>
      <c r="H6617" s="28"/>
    </row>
    <row r="6618" spans="4:8" x14ac:dyDescent="0.25">
      <c r="D6618" s="28"/>
      <c r="F6618" s="28"/>
      <c r="H6618" s="28"/>
    </row>
    <row r="6619" spans="4:8" x14ac:dyDescent="0.25">
      <c r="D6619" s="28"/>
      <c r="F6619" s="28"/>
      <c r="H6619" s="28"/>
    </row>
    <row r="6620" spans="4:8" x14ac:dyDescent="0.25">
      <c r="D6620" s="28"/>
      <c r="F6620" s="28"/>
      <c r="H6620" s="28"/>
    </row>
    <row r="6621" spans="4:8" x14ac:dyDescent="0.25">
      <c r="D6621" s="28"/>
      <c r="F6621" s="28"/>
      <c r="H6621" s="28"/>
    </row>
    <row r="6622" spans="4:8" x14ac:dyDescent="0.25">
      <c r="D6622" s="28"/>
      <c r="F6622" s="28"/>
      <c r="H6622" s="28"/>
    </row>
    <row r="6623" spans="4:8" x14ac:dyDescent="0.25">
      <c r="D6623" s="28"/>
      <c r="F6623" s="28"/>
      <c r="H6623" s="28"/>
    </row>
    <row r="6624" spans="4:8" x14ac:dyDescent="0.25">
      <c r="D6624" s="28"/>
      <c r="F6624" s="28"/>
      <c r="H6624" s="28"/>
    </row>
    <row r="6625" spans="4:8" x14ac:dyDescent="0.25">
      <c r="D6625" s="28"/>
      <c r="F6625" s="28"/>
      <c r="H6625" s="28"/>
    </row>
    <row r="6626" spans="4:8" x14ac:dyDescent="0.25">
      <c r="D6626" s="28"/>
      <c r="F6626" s="28"/>
      <c r="H6626" s="28"/>
    </row>
    <row r="6627" spans="4:8" x14ac:dyDescent="0.25">
      <c r="D6627" s="28"/>
      <c r="F6627" s="28"/>
      <c r="H6627" s="28"/>
    </row>
    <row r="6628" spans="4:8" x14ac:dyDescent="0.25">
      <c r="D6628" s="28"/>
      <c r="F6628" s="28"/>
      <c r="H6628" s="28"/>
    </row>
    <row r="6629" spans="4:8" x14ac:dyDescent="0.25">
      <c r="D6629" s="28"/>
      <c r="F6629" s="28"/>
      <c r="H6629" s="28"/>
    </row>
    <row r="6630" spans="4:8" x14ac:dyDescent="0.25">
      <c r="D6630" s="28"/>
      <c r="F6630" s="28"/>
      <c r="H6630" s="28"/>
    </row>
    <row r="6631" spans="4:8" x14ac:dyDescent="0.25">
      <c r="D6631" s="28"/>
      <c r="F6631" s="28"/>
      <c r="H6631" s="28"/>
    </row>
    <row r="6632" spans="4:8" x14ac:dyDescent="0.25">
      <c r="D6632" s="28"/>
      <c r="F6632" s="28"/>
      <c r="H6632" s="28"/>
    </row>
    <row r="6633" spans="4:8" x14ac:dyDescent="0.25">
      <c r="D6633" s="28"/>
      <c r="F6633" s="28"/>
      <c r="H6633" s="28"/>
    </row>
    <row r="6634" spans="4:8" x14ac:dyDescent="0.25">
      <c r="D6634" s="28"/>
      <c r="F6634" s="28"/>
      <c r="H6634" s="28"/>
    </row>
    <row r="6635" spans="4:8" x14ac:dyDescent="0.25">
      <c r="D6635" s="28"/>
      <c r="F6635" s="28"/>
      <c r="H6635" s="28"/>
    </row>
    <row r="6636" spans="4:8" x14ac:dyDescent="0.25">
      <c r="D6636" s="28"/>
      <c r="F6636" s="28"/>
      <c r="H6636" s="28"/>
    </row>
    <row r="6637" spans="4:8" x14ac:dyDescent="0.25">
      <c r="D6637" s="28"/>
      <c r="F6637" s="28"/>
      <c r="H6637" s="28"/>
    </row>
    <row r="6638" spans="4:8" x14ac:dyDescent="0.25">
      <c r="D6638" s="28"/>
      <c r="F6638" s="28"/>
      <c r="H6638" s="28"/>
    </row>
    <row r="6639" spans="4:8" x14ac:dyDescent="0.25">
      <c r="D6639" s="28"/>
      <c r="F6639" s="28"/>
      <c r="H6639" s="28"/>
    </row>
    <row r="6640" spans="4:8" x14ac:dyDescent="0.25">
      <c r="D6640" s="28"/>
      <c r="F6640" s="28"/>
      <c r="H6640" s="28"/>
    </row>
    <row r="6641" spans="4:8" x14ac:dyDescent="0.25">
      <c r="D6641" s="28"/>
      <c r="F6641" s="28"/>
      <c r="H6641" s="28"/>
    </row>
    <row r="6642" spans="4:8" x14ac:dyDescent="0.25">
      <c r="D6642" s="28"/>
      <c r="F6642" s="28"/>
      <c r="H6642" s="28"/>
    </row>
    <row r="6643" spans="4:8" x14ac:dyDescent="0.25">
      <c r="D6643" s="28"/>
      <c r="F6643" s="28"/>
      <c r="H6643" s="28"/>
    </row>
    <row r="6644" spans="4:8" x14ac:dyDescent="0.25">
      <c r="D6644" s="28"/>
      <c r="F6644" s="28"/>
      <c r="H6644" s="28"/>
    </row>
    <row r="6645" spans="4:8" x14ac:dyDescent="0.25">
      <c r="D6645" s="28"/>
      <c r="F6645" s="28"/>
      <c r="H6645" s="28"/>
    </row>
    <row r="6646" spans="4:8" x14ac:dyDescent="0.25">
      <c r="D6646" s="28"/>
      <c r="F6646" s="28"/>
      <c r="H6646" s="28"/>
    </row>
    <row r="6647" spans="4:8" x14ac:dyDescent="0.25">
      <c r="D6647" s="28"/>
      <c r="F6647" s="28"/>
      <c r="H6647" s="28"/>
    </row>
    <row r="6648" spans="4:8" x14ac:dyDescent="0.25">
      <c r="D6648" s="28"/>
      <c r="F6648" s="28"/>
      <c r="H6648" s="28"/>
    </row>
    <row r="6649" spans="4:8" x14ac:dyDescent="0.25">
      <c r="D6649" s="28"/>
      <c r="F6649" s="28"/>
      <c r="H6649" s="28"/>
    </row>
    <row r="6650" spans="4:8" x14ac:dyDescent="0.25">
      <c r="D6650" s="28"/>
      <c r="F6650" s="28"/>
      <c r="H6650" s="28"/>
    </row>
    <row r="6651" spans="4:8" x14ac:dyDescent="0.25">
      <c r="D6651" s="28"/>
      <c r="F6651" s="28"/>
      <c r="H6651" s="28"/>
    </row>
    <row r="6652" spans="4:8" x14ac:dyDescent="0.25">
      <c r="D6652" s="28"/>
      <c r="F6652" s="28"/>
      <c r="H6652" s="28"/>
    </row>
    <row r="6653" spans="4:8" x14ac:dyDescent="0.25">
      <c r="D6653" s="28"/>
      <c r="F6653" s="28"/>
      <c r="H6653" s="28"/>
    </row>
    <row r="6654" spans="4:8" x14ac:dyDescent="0.25">
      <c r="D6654" s="28"/>
      <c r="F6654" s="28"/>
      <c r="H6654" s="28"/>
    </row>
    <row r="6655" spans="4:8" x14ac:dyDescent="0.25">
      <c r="D6655" s="28"/>
      <c r="F6655" s="28"/>
      <c r="H6655" s="28"/>
    </row>
    <row r="6656" spans="4:8" x14ac:dyDescent="0.25">
      <c r="D6656" s="28"/>
      <c r="F6656" s="28"/>
      <c r="H6656" s="28"/>
    </row>
    <row r="6657" spans="4:8" x14ac:dyDescent="0.25">
      <c r="D6657" s="28"/>
      <c r="F6657" s="28"/>
      <c r="H6657" s="28"/>
    </row>
    <row r="6658" spans="4:8" x14ac:dyDescent="0.25">
      <c r="D6658" s="28"/>
      <c r="F6658" s="28"/>
      <c r="H6658" s="28"/>
    </row>
    <row r="6659" spans="4:8" x14ac:dyDescent="0.25">
      <c r="D6659" s="28"/>
      <c r="F6659" s="28"/>
      <c r="H6659" s="28"/>
    </row>
    <row r="6660" spans="4:8" x14ac:dyDescent="0.25">
      <c r="D6660" s="28"/>
      <c r="F6660" s="28"/>
      <c r="H6660" s="28"/>
    </row>
    <row r="6661" spans="4:8" x14ac:dyDescent="0.25">
      <c r="D6661" s="28"/>
      <c r="F6661" s="28"/>
      <c r="H6661" s="28"/>
    </row>
    <row r="6662" spans="4:8" x14ac:dyDescent="0.25">
      <c r="D6662" s="28"/>
      <c r="F6662" s="28"/>
      <c r="H6662" s="28"/>
    </row>
    <row r="6663" spans="4:8" x14ac:dyDescent="0.25">
      <c r="D6663" s="28"/>
      <c r="F6663" s="28"/>
      <c r="H6663" s="28"/>
    </row>
    <row r="6664" spans="4:8" x14ac:dyDescent="0.25">
      <c r="D6664" s="28"/>
      <c r="F6664" s="28"/>
      <c r="H6664" s="28"/>
    </row>
    <row r="6665" spans="4:8" x14ac:dyDescent="0.25">
      <c r="D6665" s="28"/>
      <c r="F6665" s="28"/>
      <c r="H6665" s="28"/>
    </row>
    <row r="6666" spans="4:8" x14ac:dyDescent="0.25">
      <c r="D6666" s="28"/>
      <c r="F6666" s="28"/>
      <c r="H6666" s="28"/>
    </row>
    <row r="6667" spans="4:8" x14ac:dyDescent="0.25">
      <c r="D6667" s="28"/>
      <c r="F6667" s="28"/>
      <c r="H6667" s="28"/>
    </row>
    <row r="6668" spans="4:8" x14ac:dyDescent="0.25">
      <c r="D6668" s="28"/>
      <c r="F6668" s="28"/>
      <c r="H6668" s="28"/>
    </row>
    <row r="6669" spans="4:8" x14ac:dyDescent="0.25">
      <c r="D6669" s="28"/>
      <c r="F6669" s="28"/>
      <c r="H6669" s="28"/>
    </row>
    <row r="6670" spans="4:8" x14ac:dyDescent="0.25">
      <c r="D6670" s="28"/>
      <c r="F6670" s="28"/>
      <c r="H6670" s="28"/>
    </row>
    <row r="6671" spans="4:8" x14ac:dyDescent="0.25">
      <c r="D6671" s="28"/>
      <c r="F6671" s="28"/>
      <c r="H6671" s="28"/>
    </row>
    <row r="6672" spans="4:8" x14ac:dyDescent="0.25">
      <c r="D6672" s="28"/>
      <c r="F6672" s="28"/>
      <c r="H6672" s="28"/>
    </row>
    <row r="6673" spans="4:8" x14ac:dyDescent="0.25">
      <c r="D6673" s="28"/>
      <c r="F6673" s="28"/>
      <c r="H6673" s="28"/>
    </row>
    <row r="6674" spans="4:8" x14ac:dyDescent="0.25">
      <c r="D6674" s="28"/>
      <c r="F6674" s="28"/>
      <c r="H6674" s="28"/>
    </row>
    <row r="6675" spans="4:8" x14ac:dyDescent="0.25">
      <c r="D6675" s="28"/>
      <c r="F6675" s="28"/>
      <c r="H6675" s="28"/>
    </row>
    <row r="6676" spans="4:8" x14ac:dyDescent="0.25">
      <c r="D6676" s="28"/>
      <c r="F6676" s="28"/>
      <c r="H6676" s="28"/>
    </row>
    <row r="6677" spans="4:8" x14ac:dyDescent="0.25">
      <c r="D6677" s="28"/>
      <c r="F6677" s="28"/>
      <c r="H6677" s="28"/>
    </row>
    <row r="6678" spans="4:8" x14ac:dyDescent="0.25">
      <c r="D6678" s="28"/>
      <c r="F6678" s="28"/>
      <c r="H6678" s="28"/>
    </row>
    <row r="6679" spans="4:8" x14ac:dyDescent="0.25">
      <c r="D6679" s="28"/>
      <c r="F6679" s="28"/>
      <c r="H6679" s="28"/>
    </row>
    <row r="6680" spans="4:8" x14ac:dyDescent="0.25">
      <c r="D6680" s="28"/>
      <c r="F6680" s="28"/>
      <c r="H6680" s="28"/>
    </row>
    <row r="6681" spans="4:8" x14ac:dyDescent="0.25">
      <c r="D6681" s="28"/>
      <c r="F6681" s="28"/>
      <c r="H6681" s="28"/>
    </row>
    <row r="6682" spans="4:8" x14ac:dyDescent="0.25">
      <c r="D6682" s="28"/>
      <c r="F6682" s="28"/>
      <c r="H6682" s="28"/>
    </row>
    <row r="6683" spans="4:8" x14ac:dyDescent="0.25">
      <c r="D6683" s="28"/>
      <c r="F6683" s="28"/>
      <c r="H6683" s="28"/>
    </row>
    <row r="6684" spans="4:8" x14ac:dyDescent="0.25">
      <c r="D6684" s="28"/>
      <c r="F6684" s="28"/>
      <c r="H6684" s="28"/>
    </row>
    <row r="6685" spans="4:8" x14ac:dyDescent="0.25">
      <c r="D6685" s="28"/>
      <c r="F6685" s="28"/>
      <c r="H6685" s="28"/>
    </row>
    <row r="6686" spans="4:8" x14ac:dyDescent="0.25">
      <c r="D6686" s="28"/>
      <c r="F6686" s="28"/>
      <c r="H6686" s="28"/>
    </row>
    <row r="6687" spans="4:8" x14ac:dyDescent="0.25">
      <c r="D6687" s="28"/>
      <c r="F6687" s="28"/>
      <c r="H6687" s="28"/>
    </row>
    <row r="6688" spans="4:8" x14ac:dyDescent="0.25">
      <c r="D6688" s="28"/>
      <c r="F6688" s="28"/>
      <c r="H6688" s="28"/>
    </row>
    <row r="6689" spans="4:8" x14ac:dyDescent="0.25">
      <c r="D6689" s="28"/>
      <c r="F6689" s="28"/>
      <c r="H6689" s="28"/>
    </row>
    <row r="6690" spans="4:8" x14ac:dyDescent="0.25">
      <c r="D6690" s="28"/>
      <c r="F6690" s="28"/>
      <c r="H6690" s="28"/>
    </row>
    <row r="6691" spans="4:8" x14ac:dyDescent="0.25">
      <c r="D6691" s="28"/>
      <c r="F6691" s="28"/>
      <c r="H6691" s="28"/>
    </row>
    <row r="6692" spans="4:8" x14ac:dyDescent="0.25">
      <c r="D6692" s="28"/>
      <c r="F6692" s="28"/>
      <c r="H6692" s="28"/>
    </row>
    <row r="6693" spans="4:8" x14ac:dyDescent="0.25">
      <c r="D6693" s="28"/>
      <c r="F6693" s="28"/>
      <c r="H6693" s="28"/>
    </row>
    <row r="6694" spans="4:8" x14ac:dyDescent="0.25">
      <c r="D6694" s="28"/>
      <c r="F6694" s="28"/>
      <c r="H6694" s="28"/>
    </row>
    <row r="6695" spans="4:8" x14ac:dyDescent="0.25">
      <c r="D6695" s="28"/>
      <c r="F6695" s="28"/>
      <c r="H6695" s="28"/>
    </row>
    <row r="6696" spans="4:8" x14ac:dyDescent="0.25">
      <c r="D6696" s="28"/>
      <c r="F6696" s="28"/>
      <c r="H6696" s="28"/>
    </row>
    <row r="6697" spans="4:8" x14ac:dyDescent="0.25">
      <c r="D6697" s="28"/>
      <c r="F6697" s="28"/>
      <c r="H6697" s="28"/>
    </row>
    <row r="6698" spans="4:8" x14ac:dyDescent="0.25">
      <c r="D6698" s="28"/>
      <c r="F6698" s="28"/>
      <c r="H6698" s="28"/>
    </row>
    <row r="6699" spans="4:8" x14ac:dyDescent="0.25">
      <c r="D6699" s="28"/>
      <c r="F6699" s="28"/>
      <c r="H6699" s="28"/>
    </row>
    <row r="6700" spans="4:8" x14ac:dyDescent="0.25">
      <c r="D6700" s="28"/>
      <c r="F6700" s="28"/>
      <c r="H6700" s="28"/>
    </row>
    <row r="6701" spans="4:8" x14ac:dyDescent="0.25">
      <c r="D6701" s="28"/>
      <c r="F6701" s="28"/>
      <c r="H6701" s="28"/>
    </row>
    <row r="6702" spans="4:8" x14ac:dyDescent="0.25">
      <c r="D6702" s="28"/>
      <c r="F6702" s="28"/>
      <c r="H6702" s="28"/>
    </row>
    <row r="6703" spans="4:8" x14ac:dyDescent="0.25">
      <c r="D6703" s="28"/>
      <c r="F6703" s="28"/>
      <c r="H6703" s="28"/>
    </row>
    <row r="6704" spans="4:8" x14ac:dyDescent="0.25">
      <c r="D6704" s="28"/>
      <c r="F6704" s="28"/>
      <c r="H6704" s="28"/>
    </row>
    <row r="6705" spans="4:8" x14ac:dyDescent="0.25">
      <c r="D6705" s="28"/>
      <c r="F6705" s="28"/>
      <c r="H6705" s="28"/>
    </row>
    <row r="6706" spans="4:8" x14ac:dyDescent="0.25">
      <c r="D6706" s="28"/>
      <c r="F6706" s="28"/>
      <c r="H6706" s="28"/>
    </row>
    <row r="6707" spans="4:8" x14ac:dyDescent="0.25">
      <c r="D6707" s="28"/>
      <c r="F6707" s="28"/>
      <c r="H6707" s="28"/>
    </row>
    <row r="6708" spans="4:8" x14ac:dyDescent="0.25">
      <c r="D6708" s="28"/>
      <c r="F6708" s="28"/>
      <c r="H6708" s="28"/>
    </row>
    <row r="6709" spans="4:8" x14ac:dyDescent="0.25">
      <c r="D6709" s="28"/>
      <c r="F6709" s="28"/>
      <c r="H6709" s="28"/>
    </row>
    <row r="6710" spans="4:8" x14ac:dyDescent="0.25">
      <c r="D6710" s="28"/>
      <c r="F6710" s="28"/>
      <c r="H6710" s="28"/>
    </row>
    <row r="6711" spans="4:8" x14ac:dyDescent="0.25">
      <c r="D6711" s="28"/>
      <c r="F6711" s="28"/>
      <c r="H6711" s="28"/>
    </row>
    <row r="6712" spans="4:8" x14ac:dyDescent="0.25">
      <c r="D6712" s="28"/>
      <c r="F6712" s="28"/>
      <c r="H6712" s="28"/>
    </row>
    <row r="6713" spans="4:8" x14ac:dyDescent="0.25">
      <c r="D6713" s="28"/>
      <c r="F6713" s="28"/>
      <c r="H6713" s="28"/>
    </row>
    <row r="6714" spans="4:8" x14ac:dyDescent="0.25">
      <c r="D6714" s="28"/>
      <c r="F6714" s="28"/>
      <c r="H6714" s="28"/>
    </row>
    <row r="6715" spans="4:8" x14ac:dyDescent="0.25">
      <c r="D6715" s="28"/>
      <c r="F6715" s="28"/>
      <c r="H6715" s="28"/>
    </row>
    <row r="6716" spans="4:8" x14ac:dyDescent="0.25">
      <c r="D6716" s="28"/>
      <c r="F6716" s="28"/>
      <c r="H6716" s="28"/>
    </row>
    <row r="6717" spans="4:8" x14ac:dyDescent="0.25">
      <c r="D6717" s="28"/>
      <c r="F6717" s="28"/>
      <c r="H6717" s="28"/>
    </row>
    <row r="6718" spans="4:8" x14ac:dyDescent="0.25">
      <c r="D6718" s="28"/>
      <c r="F6718" s="28"/>
      <c r="H6718" s="28"/>
    </row>
    <row r="6719" spans="4:8" x14ac:dyDescent="0.25">
      <c r="D6719" s="28"/>
      <c r="F6719" s="28"/>
      <c r="H6719" s="28"/>
    </row>
    <row r="6720" spans="4:8" x14ac:dyDescent="0.25">
      <c r="D6720" s="28"/>
      <c r="F6720" s="28"/>
      <c r="H6720" s="28"/>
    </row>
    <row r="6721" spans="4:8" x14ac:dyDescent="0.25">
      <c r="D6721" s="28"/>
      <c r="F6721" s="28"/>
      <c r="H6721" s="28"/>
    </row>
    <row r="6722" spans="4:8" x14ac:dyDescent="0.25">
      <c r="D6722" s="28"/>
      <c r="F6722" s="28"/>
      <c r="H6722" s="28"/>
    </row>
    <row r="6723" spans="4:8" x14ac:dyDescent="0.25">
      <c r="D6723" s="28"/>
      <c r="F6723" s="28"/>
      <c r="H6723" s="28"/>
    </row>
    <row r="6724" spans="4:8" x14ac:dyDescent="0.25">
      <c r="D6724" s="28"/>
      <c r="F6724" s="28"/>
      <c r="H6724" s="28"/>
    </row>
    <row r="6725" spans="4:8" x14ac:dyDescent="0.25">
      <c r="D6725" s="28"/>
      <c r="F6725" s="28"/>
      <c r="H6725" s="28"/>
    </row>
    <row r="6726" spans="4:8" x14ac:dyDescent="0.25">
      <c r="D6726" s="28"/>
      <c r="F6726" s="28"/>
      <c r="H6726" s="28"/>
    </row>
    <row r="6727" spans="4:8" x14ac:dyDescent="0.25">
      <c r="D6727" s="28"/>
      <c r="F6727" s="28"/>
      <c r="H6727" s="28"/>
    </row>
    <row r="6728" spans="4:8" x14ac:dyDescent="0.25">
      <c r="D6728" s="28"/>
      <c r="F6728" s="28"/>
      <c r="H6728" s="28"/>
    </row>
    <row r="6729" spans="4:8" x14ac:dyDescent="0.25">
      <c r="D6729" s="28"/>
      <c r="F6729" s="28"/>
      <c r="H6729" s="28"/>
    </row>
    <row r="6730" spans="4:8" x14ac:dyDescent="0.25">
      <c r="D6730" s="28"/>
      <c r="F6730" s="28"/>
      <c r="H6730" s="28"/>
    </row>
    <row r="6731" spans="4:8" x14ac:dyDescent="0.25">
      <c r="D6731" s="28"/>
      <c r="F6731" s="28"/>
      <c r="H6731" s="28"/>
    </row>
    <row r="6732" spans="4:8" x14ac:dyDescent="0.25">
      <c r="D6732" s="28"/>
      <c r="F6732" s="28"/>
      <c r="H6732" s="28"/>
    </row>
    <row r="6733" spans="4:8" x14ac:dyDescent="0.25">
      <c r="D6733" s="28"/>
      <c r="F6733" s="28"/>
      <c r="H6733" s="28"/>
    </row>
    <row r="6734" spans="4:8" x14ac:dyDescent="0.25">
      <c r="D6734" s="28"/>
      <c r="F6734" s="28"/>
      <c r="H6734" s="28"/>
    </row>
    <row r="6735" spans="4:8" x14ac:dyDescent="0.25">
      <c r="D6735" s="28"/>
      <c r="F6735" s="28"/>
      <c r="H6735" s="28"/>
    </row>
    <row r="6736" spans="4:8" x14ac:dyDescent="0.25">
      <c r="D6736" s="28"/>
      <c r="F6736" s="28"/>
      <c r="H6736" s="28"/>
    </row>
    <row r="6737" spans="4:8" x14ac:dyDescent="0.25">
      <c r="D6737" s="28"/>
      <c r="F6737" s="28"/>
      <c r="H6737" s="28"/>
    </row>
    <row r="6738" spans="4:8" x14ac:dyDescent="0.25">
      <c r="D6738" s="28"/>
      <c r="F6738" s="28"/>
      <c r="H6738" s="28"/>
    </row>
    <row r="6739" spans="4:8" x14ac:dyDescent="0.25">
      <c r="D6739" s="28"/>
      <c r="F6739" s="28"/>
      <c r="H6739" s="28"/>
    </row>
    <row r="6740" spans="4:8" x14ac:dyDescent="0.25">
      <c r="D6740" s="28"/>
      <c r="F6740" s="28"/>
      <c r="H6740" s="28"/>
    </row>
    <row r="6741" spans="4:8" x14ac:dyDescent="0.25">
      <c r="D6741" s="28"/>
      <c r="F6741" s="28"/>
      <c r="H6741" s="28"/>
    </row>
    <row r="6742" spans="4:8" x14ac:dyDescent="0.25">
      <c r="D6742" s="28"/>
      <c r="F6742" s="28"/>
      <c r="H6742" s="28"/>
    </row>
    <row r="6743" spans="4:8" x14ac:dyDescent="0.25">
      <c r="D6743" s="28"/>
      <c r="F6743" s="28"/>
      <c r="H6743" s="28"/>
    </row>
    <row r="6744" spans="4:8" x14ac:dyDescent="0.25">
      <c r="D6744" s="28"/>
      <c r="F6744" s="28"/>
      <c r="H6744" s="28"/>
    </row>
    <row r="6745" spans="4:8" x14ac:dyDescent="0.25">
      <c r="D6745" s="28"/>
      <c r="F6745" s="28"/>
      <c r="H6745" s="28"/>
    </row>
    <row r="6746" spans="4:8" x14ac:dyDescent="0.25">
      <c r="D6746" s="28"/>
      <c r="F6746" s="28"/>
      <c r="H6746" s="28"/>
    </row>
    <row r="6747" spans="4:8" x14ac:dyDescent="0.25">
      <c r="D6747" s="28"/>
      <c r="F6747" s="28"/>
      <c r="H6747" s="28"/>
    </row>
    <row r="6748" spans="4:8" x14ac:dyDescent="0.25">
      <c r="D6748" s="28"/>
      <c r="F6748" s="28"/>
      <c r="H6748" s="28"/>
    </row>
    <row r="6749" spans="4:8" x14ac:dyDescent="0.25">
      <c r="D6749" s="28"/>
      <c r="F6749" s="28"/>
      <c r="H6749" s="28"/>
    </row>
    <row r="6750" spans="4:8" x14ac:dyDescent="0.25">
      <c r="D6750" s="28"/>
      <c r="F6750" s="28"/>
      <c r="H6750" s="28"/>
    </row>
    <row r="6751" spans="4:8" x14ac:dyDescent="0.25">
      <c r="D6751" s="28"/>
      <c r="F6751" s="28"/>
      <c r="H6751" s="28"/>
    </row>
    <row r="6752" spans="4:8" x14ac:dyDescent="0.25">
      <c r="D6752" s="28"/>
      <c r="F6752" s="28"/>
      <c r="H6752" s="28"/>
    </row>
    <row r="6753" spans="4:8" x14ac:dyDescent="0.25">
      <c r="D6753" s="28"/>
      <c r="F6753" s="28"/>
      <c r="H6753" s="28"/>
    </row>
    <row r="6754" spans="4:8" x14ac:dyDescent="0.25">
      <c r="D6754" s="28"/>
      <c r="F6754" s="28"/>
      <c r="H6754" s="28"/>
    </row>
    <row r="6755" spans="4:8" x14ac:dyDescent="0.25">
      <c r="D6755" s="28"/>
      <c r="F6755" s="28"/>
      <c r="H6755" s="28"/>
    </row>
    <row r="6756" spans="4:8" x14ac:dyDescent="0.25">
      <c r="D6756" s="28"/>
      <c r="F6756" s="28"/>
      <c r="H6756" s="28"/>
    </row>
    <row r="6757" spans="4:8" x14ac:dyDescent="0.25">
      <c r="D6757" s="28"/>
      <c r="F6757" s="28"/>
      <c r="H6757" s="28"/>
    </row>
    <row r="6758" spans="4:8" x14ac:dyDescent="0.25">
      <c r="D6758" s="28"/>
      <c r="F6758" s="28"/>
      <c r="H6758" s="28"/>
    </row>
    <row r="6759" spans="4:8" x14ac:dyDescent="0.25">
      <c r="D6759" s="28"/>
      <c r="F6759" s="28"/>
      <c r="H6759" s="28"/>
    </row>
    <row r="6760" spans="4:8" x14ac:dyDescent="0.25">
      <c r="D6760" s="28"/>
      <c r="F6760" s="28"/>
      <c r="H6760" s="28"/>
    </row>
    <row r="6761" spans="4:8" x14ac:dyDescent="0.25">
      <c r="D6761" s="28"/>
      <c r="F6761" s="28"/>
      <c r="H6761" s="28"/>
    </row>
    <row r="6762" spans="4:8" x14ac:dyDescent="0.25">
      <c r="D6762" s="28"/>
      <c r="F6762" s="28"/>
      <c r="H6762" s="28"/>
    </row>
    <row r="6763" spans="4:8" x14ac:dyDescent="0.25">
      <c r="D6763" s="28"/>
      <c r="F6763" s="28"/>
      <c r="H6763" s="28"/>
    </row>
    <row r="6764" spans="4:8" x14ac:dyDescent="0.25">
      <c r="D6764" s="28"/>
      <c r="F6764" s="28"/>
      <c r="H6764" s="28"/>
    </row>
    <row r="6765" spans="4:8" x14ac:dyDescent="0.25">
      <c r="D6765" s="28"/>
      <c r="F6765" s="28"/>
      <c r="H6765" s="28"/>
    </row>
    <row r="6766" spans="4:8" x14ac:dyDescent="0.25">
      <c r="D6766" s="28"/>
      <c r="F6766" s="28"/>
      <c r="H6766" s="28"/>
    </row>
    <row r="6767" spans="4:8" x14ac:dyDescent="0.25">
      <c r="D6767" s="28"/>
      <c r="F6767" s="28"/>
      <c r="H6767" s="28"/>
    </row>
    <row r="6768" spans="4:8" x14ac:dyDescent="0.25">
      <c r="D6768" s="28"/>
      <c r="F6768" s="28"/>
      <c r="H6768" s="28"/>
    </row>
    <row r="6769" spans="4:8" x14ac:dyDescent="0.25">
      <c r="D6769" s="28"/>
      <c r="F6769" s="28"/>
      <c r="H6769" s="28"/>
    </row>
    <row r="6770" spans="4:8" x14ac:dyDescent="0.25">
      <c r="D6770" s="28"/>
      <c r="F6770" s="28"/>
      <c r="H6770" s="28"/>
    </row>
    <row r="6771" spans="4:8" x14ac:dyDescent="0.25">
      <c r="D6771" s="28"/>
      <c r="F6771" s="28"/>
      <c r="H6771" s="28"/>
    </row>
    <row r="6772" spans="4:8" x14ac:dyDescent="0.25">
      <c r="D6772" s="28"/>
      <c r="F6772" s="28"/>
      <c r="H6772" s="28"/>
    </row>
    <row r="6773" spans="4:8" x14ac:dyDescent="0.25">
      <c r="D6773" s="28"/>
      <c r="F6773" s="28"/>
      <c r="H6773" s="28"/>
    </row>
    <row r="6774" spans="4:8" x14ac:dyDescent="0.25">
      <c r="D6774" s="28"/>
      <c r="F6774" s="28"/>
      <c r="H6774" s="28"/>
    </row>
    <row r="6775" spans="4:8" x14ac:dyDescent="0.25">
      <c r="D6775" s="28"/>
      <c r="F6775" s="28"/>
      <c r="H6775" s="28"/>
    </row>
    <row r="6776" spans="4:8" x14ac:dyDescent="0.25">
      <c r="D6776" s="28"/>
      <c r="F6776" s="28"/>
      <c r="H6776" s="28"/>
    </row>
    <row r="6777" spans="4:8" x14ac:dyDescent="0.25">
      <c r="D6777" s="28"/>
      <c r="F6777" s="28"/>
      <c r="H6777" s="28"/>
    </row>
    <row r="6778" spans="4:8" x14ac:dyDescent="0.25">
      <c r="D6778" s="28"/>
      <c r="F6778" s="28"/>
      <c r="H6778" s="28"/>
    </row>
    <row r="6779" spans="4:8" x14ac:dyDescent="0.25">
      <c r="D6779" s="28"/>
      <c r="F6779" s="28"/>
      <c r="H6779" s="28"/>
    </row>
    <row r="6780" spans="4:8" x14ac:dyDescent="0.25">
      <c r="D6780" s="28"/>
      <c r="F6780" s="28"/>
      <c r="H6780" s="28"/>
    </row>
    <row r="6781" spans="4:8" x14ac:dyDescent="0.25">
      <c r="D6781" s="28"/>
      <c r="F6781" s="28"/>
      <c r="H6781" s="28"/>
    </row>
    <row r="6782" spans="4:8" x14ac:dyDescent="0.25">
      <c r="D6782" s="28"/>
      <c r="F6782" s="28"/>
      <c r="H6782" s="28"/>
    </row>
    <row r="6783" spans="4:8" x14ac:dyDescent="0.25">
      <c r="D6783" s="28"/>
      <c r="F6783" s="28"/>
      <c r="H6783" s="28"/>
    </row>
    <row r="6784" spans="4:8" x14ac:dyDescent="0.25">
      <c r="D6784" s="28"/>
      <c r="F6784" s="28"/>
      <c r="H6784" s="28"/>
    </row>
    <row r="6785" spans="4:8" x14ac:dyDescent="0.25">
      <c r="D6785" s="28"/>
      <c r="F6785" s="28"/>
      <c r="H6785" s="28"/>
    </row>
    <row r="6786" spans="4:8" x14ac:dyDescent="0.25">
      <c r="D6786" s="28"/>
      <c r="F6786" s="28"/>
      <c r="H6786" s="28"/>
    </row>
    <row r="6787" spans="4:8" x14ac:dyDescent="0.25">
      <c r="D6787" s="28"/>
      <c r="F6787" s="28"/>
      <c r="H6787" s="28"/>
    </row>
    <row r="6788" spans="4:8" x14ac:dyDescent="0.25">
      <c r="D6788" s="28"/>
      <c r="F6788" s="28"/>
      <c r="H6788" s="28"/>
    </row>
    <row r="6789" spans="4:8" x14ac:dyDescent="0.25">
      <c r="D6789" s="28"/>
      <c r="F6789" s="28"/>
      <c r="H6789" s="28"/>
    </row>
    <row r="6790" spans="4:8" x14ac:dyDescent="0.25">
      <c r="D6790" s="28"/>
      <c r="F6790" s="28"/>
      <c r="H6790" s="28"/>
    </row>
    <row r="6791" spans="4:8" x14ac:dyDescent="0.25">
      <c r="D6791" s="28"/>
      <c r="F6791" s="28"/>
      <c r="H6791" s="28"/>
    </row>
    <row r="6792" spans="4:8" x14ac:dyDescent="0.25">
      <c r="D6792" s="28"/>
      <c r="F6792" s="28"/>
      <c r="H6792" s="28"/>
    </row>
    <row r="6793" spans="4:8" x14ac:dyDescent="0.25">
      <c r="D6793" s="28"/>
      <c r="F6793" s="28"/>
      <c r="H6793" s="28"/>
    </row>
    <row r="6794" spans="4:8" x14ac:dyDescent="0.25">
      <c r="D6794" s="28"/>
      <c r="F6794" s="28"/>
      <c r="H6794" s="28"/>
    </row>
    <row r="6795" spans="4:8" x14ac:dyDescent="0.25">
      <c r="D6795" s="28"/>
      <c r="F6795" s="28"/>
      <c r="H6795" s="28"/>
    </row>
    <row r="6796" spans="4:8" x14ac:dyDescent="0.25">
      <c r="D6796" s="28"/>
      <c r="F6796" s="28"/>
      <c r="H6796" s="28"/>
    </row>
    <row r="6797" spans="4:8" x14ac:dyDescent="0.25">
      <c r="D6797" s="28"/>
      <c r="F6797" s="28"/>
      <c r="H6797" s="28"/>
    </row>
    <row r="6798" spans="4:8" x14ac:dyDescent="0.25">
      <c r="D6798" s="28"/>
      <c r="F6798" s="28"/>
      <c r="H6798" s="28"/>
    </row>
    <row r="6799" spans="4:8" x14ac:dyDescent="0.25">
      <c r="D6799" s="28"/>
      <c r="F6799" s="28"/>
      <c r="H6799" s="28"/>
    </row>
    <row r="6800" spans="4:8" x14ac:dyDescent="0.25">
      <c r="D6800" s="28"/>
      <c r="F6800" s="28"/>
      <c r="H6800" s="28"/>
    </row>
    <row r="6801" spans="4:8" x14ac:dyDescent="0.25">
      <c r="D6801" s="28"/>
      <c r="F6801" s="28"/>
      <c r="H6801" s="28"/>
    </row>
    <row r="6802" spans="4:8" x14ac:dyDescent="0.25">
      <c r="D6802" s="28"/>
      <c r="F6802" s="28"/>
      <c r="H6802" s="28"/>
    </row>
    <row r="6803" spans="4:8" x14ac:dyDescent="0.25">
      <c r="D6803" s="28"/>
      <c r="F6803" s="28"/>
      <c r="H6803" s="28"/>
    </row>
    <row r="6804" spans="4:8" x14ac:dyDescent="0.25">
      <c r="D6804" s="28"/>
      <c r="F6804" s="28"/>
      <c r="H6804" s="28"/>
    </row>
    <row r="6805" spans="4:8" x14ac:dyDescent="0.25">
      <c r="D6805" s="28"/>
      <c r="F6805" s="28"/>
      <c r="H6805" s="28"/>
    </row>
    <row r="6806" spans="4:8" x14ac:dyDescent="0.25">
      <c r="D6806" s="28"/>
      <c r="F6806" s="28"/>
      <c r="H6806" s="28"/>
    </row>
    <row r="6807" spans="4:8" x14ac:dyDescent="0.25">
      <c r="D6807" s="28"/>
      <c r="F6807" s="28"/>
      <c r="H6807" s="28"/>
    </row>
    <row r="6808" spans="4:8" x14ac:dyDescent="0.25">
      <c r="D6808" s="28"/>
      <c r="F6808" s="28"/>
      <c r="H6808" s="28"/>
    </row>
    <row r="6809" spans="4:8" x14ac:dyDescent="0.25">
      <c r="D6809" s="28"/>
      <c r="F6809" s="28"/>
      <c r="H6809" s="28"/>
    </row>
    <row r="6810" spans="4:8" x14ac:dyDescent="0.25">
      <c r="D6810" s="28"/>
      <c r="F6810" s="28"/>
      <c r="H6810" s="28"/>
    </row>
    <row r="6811" spans="4:8" x14ac:dyDescent="0.25">
      <c r="D6811" s="28"/>
      <c r="F6811" s="28"/>
      <c r="H6811" s="28"/>
    </row>
    <row r="6812" spans="4:8" x14ac:dyDescent="0.25">
      <c r="D6812" s="28"/>
      <c r="F6812" s="28"/>
      <c r="H6812" s="28"/>
    </row>
    <row r="6813" spans="4:8" x14ac:dyDescent="0.25">
      <c r="D6813" s="28"/>
      <c r="F6813" s="28"/>
      <c r="H6813" s="28"/>
    </row>
    <row r="6814" spans="4:8" x14ac:dyDescent="0.25">
      <c r="D6814" s="28"/>
      <c r="F6814" s="28"/>
      <c r="H6814" s="28"/>
    </row>
    <row r="6815" spans="4:8" x14ac:dyDescent="0.25">
      <c r="D6815" s="28"/>
      <c r="F6815" s="28"/>
      <c r="H6815" s="28"/>
    </row>
    <row r="6816" spans="4:8" x14ac:dyDescent="0.25">
      <c r="D6816" s="28"/>
      <c r="F6816" s="28"/>
      <c r="H6816" s="28"/>
    </row>
    <row r="6817" spans="4:8" x14ac:dyDescent="0.25">
      <c r="D6817" s="28"/>
      <c r="F6817" s="28"/>
      <c r="H6817" s="28"/>
    </row>
    <row r="6818" spans="4:8" x14ac:dyDescent="0.25">
      <c r="D6818" s="28"/>
      <c r="F6818" s="28"/>
      <c r="H6818" s="28"/>
    </row>
    <row r="6819" spans="4:8" x14ac:dyDescent="0.25">
      <c r="D6819" s="28"/>
      <c r="F6819" s="28"/>
      <c r="H6819" s="28"/>
    </row>
    <row r="6820" spans="4:8" x14ac:dyDescent="0.25">
      <c r="D6820" s="28"/>
      <c r="F6820" s="28"/>
      <c r="H6820" s="28"/>
    </row>
    <row r="6821" spans="4:8" x14ac:dyDescent="0.25">
      <c r="D6821" s="28"/>
      <c r="F6821" s="28"/>
      <c r="H6821" s="28"/>
    </row>
    <row r="6822" spans="4:8" x14ac:dyDescent="0.25">
      <c r="D6822" s="28"/>
      <c r="F6822" s="28"/>
      <c r="H6822" s="28"/>
    </row>
    <row r="6823" spans="4:8" x14ac:dyDescent="0.25">
      <c r="D6823" s="28"/>
      <c r="F6823" s="28"/>
      <c r="H6823" s="28"/>
    </row>
    <row r="6824" spans="4:8" x14ac:dyDescent="0.25">
      <c r="D6824" s="28"/>
      <c r="F6824" s="28"/>
      <c r="H6824" s="28"/>
    </row>
    <row r="6825" spans="4:8" x14ac:dyDescent="0.25">
      <c r="D6825" s="28"/>
      <c r="F6825" s="28"/>
      <c r="H6825" s="28"/>
    </row>
    <row r="6826" spans="4:8" x14ac:dyDescent="0.25">
      <c r="D6826" s="28"/>
      <c r="F6826" s="28"/>
      <c r="H6826" s="28"/>
    </row>
    <row r="6827" spans="4:8" x14ac:dyDescent="0.25">
      <c r="D6827" s="28"/>
      <c r="F6827" s="28"/>
      <c r="H6827" s="28"/>
    </row>
    <row r="6828" spans="4:8" x14ac:dyDescent="0.25">
      <c r="D6828" s="28"/>
      <c r="F6828" s="28"/>
      <c r="H6828" s="28"/>
    </row>
    <row r="6829" spans="4:8" x14ac:dyDescent="0.25">
      <c r="D6829" s="28"/>
      <c r="F6829" s="28"/>
      <c r="H6829" s="28"/>
    </row>
    <row r="6830" spans="4:8" x14ac:dyDescent="0.25">
      <c r="D6830" s="28"/>
      <c r="F6830" s="28"/>
      <c r="H6830" s="28"/>
    </row>
    <row r="6831" spans="4:8" x14ac:dyDescent="0.25">
      <c r="D6831" s="28"/>
      <c r="F6831" s="28"/>
      <c r="H6831" s="28"/>
    </row>
    <row r="6832" spans="4:8" x14ac:dyDescent="0.25">
      <c r="D6832" s="28"/>
      <c r="F6832" s="28"/>
      <c r="H6832" s="28"/>
    </row>
    <row r="6833" spans="4:8" x14ac:dyDescent="0.25">
      <c r="D6833" s="28"/>
      <c r="F6833" s="28"/>
      <c r="H6833" s="28"/>
    </row>
    <row r="6834" spans="4:8" x14ac:dyDescent="0.25">
      <c r="D6834" s="28"/>
      <c r="F6834" s="28"/>
      <c r="H6834" s="28"/>
    </row>
    <row r="6835" spans="4:8" x14ac:dyDescent="0.25">
      <c r="D6835" s="28"/>
      <c r="F6835" s="28"/>
      <c r="H6835" s="28"/>
    </row>
    <row r="6836" spans="4:8" x14ac:dyDescent="0.25">
      <c r="D6836" s="28"/>
      <c r="F6836" s="28"/>
      <c r="H6836" s="28"/>
    </row>
    <row r="6837" spans="4:8" x14ac:dyDescent="0.25">
      <c r="D6837" s="28"/>
      <c r="F6837" s="28"/>
      <c r="H6837" s="28"/>
    </row>
    <row r="6838" spans="4:8" x14ac:dyDescent="0.25">
      <c r="D6838" s="28"/>
      <c r="F6838" s="28"/>
      <c r="H6838" s="28"/>
    </row>
    <row r="6839" spans="4:8" x14ac:dyDescent="0.25">
      <c r="D6839" s="28"/>
      <c r="F6839" s="28"/>
      <c r="H6839" s="28"/>
    </row>
    <row r="6840" spans="4:8" x14ac:dyDescent="0.25">
      <c r="D6840" s="28"/>
      <c r="F6840" s="28"/>
      <c r="H6840" s="28"/>
    </row>
    <row r="6841" spans="4:8" x14ac:dyDescent="0.25">
      <c r="D6841" s="28"/>
      <c r="F6841" s="28"/>
      <c r="H6841" s="28"/>
    </row>
    <row r="6842" spans="4:8" x14ac:dyDescent="0.25">
      <c r="D6842" s="28"/>
      <c r="F6842" s="28"/>
      <c r="H6842" s="28"/>
    </row>
    <row r="6843" spans="4:8" x14ac:dyDescent="0.25">
      <c r="D6843" s="28"/>
      <c r="F6843" s="28"/>
      <c r="H6843" s="28"/>
    </row>
    <row r="6844" spans="4:8" x14ac:dyDescent="0.25">
      <c r="D6844" s="28"/>
      <c r="F6844" s="28"/>
      <c r="H6844" s="28"/>
    </row>
    <row r="6845" spans="4:8" x14ac:dyDescent="0.25">
      <c r="D6845" s="28"/>
      <c r="F6845" s="28"/>
      <c r="H6845" s="28"/>
    </row>
    <row r="6846" spans="4:8" x14ac:dyDescent="0.25">
      <c r="D6846" s="28"/>
      <c r="F6846" s="28"/>
      <c r="H6846" s="28"/>
    </row>
    <row r="6847" spans="4:8" x14ac:dyDescent="0.25">
      <c r="D6847" s="28"/>
      <c r="F6847" s="28"/>
      <c r="H6847" s="28"/>
    </row>
    <row r="6848" spans="4:8" x14ac:dyDescent="0.25">
      <c r="D6848" s="28"/>
      <c r="F6848" s="28"/>
      <c r="H6848" s="28"/>
    </row>
    <row r="6849" spans="4:8" x14ac:dyDescent="0.25">
      <c r="D6849" s="28"/>
      <c r="F6849" s="28"/>
      <c r="H6849" s="28"/>
    </row>
    <row r="6850" spans="4:8" x14ac:dyDescent="0.25">
      <c r="D6850" s="28"/>
      <c r="F6850" s="28"/>
      <c r="H6850" s="28"/>
    </row>
    <row r="6851" spans="4:8" x14ac:dyDescent="0.25">
      <c r="D6851" s="28"/>
      <c r="F6851" s="28"/>
      <c r="H6851" s="28"/>
    </row>
    <row r="6852" spans="4:8" x14ac:dyDescent="0.25">
      <c r="D6852" s="28"/>
      <c r="F6852" s="28"/>
      <c r="H6852" s="28"/>
    </row>
    <row r="6853" spans="4:8" x14ac:dyDescent="0.25">
      <c r="D6853" s="28"/>
      <c r="F6853" s="28"/>
      <c r="H6853" s="28"/>
    </row>
    <row r="6854" spans="4:8" x14ac:dyDescent="0.25">
      <c r="D6854" s="28"/>
      <c r="F6854" s="28"/>
      <c r="H6854" s="28"/>
    </row>
    <row r="6855" spans="4:8" x14ac:dyDescent="0.25">
      <c r="D6855" s="28"/>
      <c r="F6855" s="28"/>
      <c r="H6855" s="28"/>
    </row>
    <row r="6856" spans="4:8" x14ac:dyDescent="0.25">
      <c r="D6856" s="28"/>
      <c r="F6856" s="28"/>
      <c r="H6856" s="28"/>
    </row>
    <row r="6857" spans="4:8" x14ac:dyDescent="0.25">
      <c r="D6857" s="28"/>
      <c r="F6857" s="28"/>
      <c r="H6857" s="28"/>
    </row>
    <row r="6858" spans="4:8" x14ac:dyDescent="0.25">
      <c r="D6858" s="28"/>
      <c r="F6858" s="28"/>
      <c r="H6858" s="28"/>
    </row>
    <row r="6859" spans="4:8" x14ac:dyDescent="0.25">
      <c r="D6859" s="28"/>
      <c r="F6859" s="28"/>
      <c r="H6859" s="28"/>
    </row>
    <row r="6860" spans="4:8" x14ac:dyDescent="0.25">
      <c r="D6860" s="28"/>
      <c r="F6860" s="28"/>
      <c r="H6860" s="28"/>
    </row>
    <row r="6861" spans="4:8" x14ac:dyDescent="0.25">
      <c r="D6861" s="28"/>
      <c r="F6861" s="28"/>
      <c r="H6861" s="28"/>
    </row>
    <row r="6862" spans="4:8" x14ac:dyDescent="0.25">
      <c r="D6862" s="28"/>
      <c r="F6862" s="28"/>
      <c r="H6862" s="28"/>
    </row>
    <row r="6863" spans="4:8" x14ac:dyDescent="0.25">
      <c r="D6863" s="28"/>
      <c r="F6863" s="28"/>
      <c r="H6863" s="28"/>
    </row>
    <row r="6864" spans="4:8" x14ac:dyDescent="0.25">
      <c r="D6864" s="28"/>
      <c r="F6864" s="28"/>
      <c r="H6864" s="28"/>
    </row>
    <row r="6865" spans="4:8" x14ac:dyDescent="0.25">
      <c r="D6865" s="28"/>
      <c r="F6865" s="28"/>
      <c r="H6865" s="28"/>
    </row>
    <row r="6866" spans="4:8" x14ac:dyDescent="0.25">
      <c r="D6866" s="28"/>
      <c r="F6866" s="28"/>
      <c r="H6866" s="28"/>
    </row>
    <row r="6867" spans="4:8" x14ac:dyDescent="0.25">
      <c r="D6867" s="28"/>
      <c r="F6867" s="28"/>
      <c r="H6867" s="28"/>
    </row>
    <row r="6868" spans="4:8" x14ac:dyDescent="0.25">
      <c r="D6868" s="28"/>
      <c r="F6868" s="28"/>
      <c r="H6868" s="28"/>
    </row>
    <row r="6869" spans="4:8" x14ac:dyDescent="0.25">
      <c r="D6869" s="28"/>
      <c r="F6869" s="28"/>
      <c r="H6869" s="28"/>
    </row>
    <row r="6870" spans="4:8" x14ac:dyDescent="0.25">
      <c r="D6870" s="28"/>
      <c r="F6870" s="28"/>
      <c r="H6870" s="28"/>
    </row>
    <row r="6871" spans="4:8" x14ac:dyDescent="0.25">
      <c r="D6871" s="28"/>
      <c r="F6871" s="28"/>
      <c r="H6871" s="28"/>
    </row>
    <row r="6872" spans="4:8" x14ac:dyDescent="0.25">
      <c r="D6872" s="28"/>
      <c r="F6872" s="28"/>
      <c r="H6872" s="28"/>
    </row>
    <row r="6873" spans="4:8" x14ac:dyDescent="0.25">
      <c r="D6873" s="28"/>
      <c r="F6873" s="28"/>
      <c r="H6873" s="28"/>
    </row>
    <row r="6874" spans="4:8" x14ac:dyDescent="0.25">
      <c r="D6874" s="28"/>
      <c r="F6874" s="28"/>
      <c r="H6874" s="28"/>
    </row>
    <row r="6875" spans="4:8" x14ac:dyDescent="0.25">
      <c r="D6875" s="28"/>
      <c r="F6875" s="28"/>
      <c r="H6875" s="28"/>
    </row>
    <row r="6876" spans="4:8" x14ac:dyDescent="0.25">
      <c r="D6876" s="28"/>
      <c r="F6876" s="28"/>
      <c r="H6876" s="28"/>
    </row>
    <row r="6877" spans="4:8" x14ac:dyDescent="0.25">
      <c r="D6877" s="28"/>
      <c r="F6877" s="28"/>
      <c r="H6877" s="28"/>
    </row>
    <row r="6878" spans="4:8" x14ac:dyDescent="0.25">
      <c r="D6878" s="28"/>
      <c r="F6878" s="28"/>
      <c r="H6878" s="28"/>
    </row>
    <row r="6879" spans="4:8" x14ac:dyDescent="0.25">
      <c r="D6879" s="28"/>
      <c r="F6879" s="28"/>
      <c r="H6879" s="28"/>
    </row>
    <row r="6880" spans="4:8" x14ac:dyDescent="0.25">
      <c r="D6880" s="28"/>
      <c r="F6880" s="28"/>
      <c r="H6880" s="28"/>
    </row>
    <row r="6881" spans="4:8" x14ac:dyDescent="0.25">
      <c r="D6881" s="28"/>
      <c r="F6881" s="28"/>
      <c r="H6881" s="28"/>
    </row>
    <row r="6882" spans="4:8" x14ac:dyDescent="0.25">
      <c r="D6882" s="28"/>
      <c r="F6882" s="28"/>
      <c r="H6882" s="28"/>
    </row>
    <row r="6883" spans="4:8" x14ac:dyDescent="0.25">
      <c r="D6883" s="28"/>
      <c r="F6883" s="28"/>
      <c r="H6883" s="28"/>
    </row>
    <row r="6884" spans="4:8" x14ac:dyDescent="0.25">
      <c r="D6884" s="28"/>
      <c r="F6884" s="28"/>
      <c r="H6884" s="28"/>
    </row>
    <row r="6885" spans="4:8" x14ac:dyDescent="0.25">
      <c r="D6885" s="28"/>
      <c r="F6885" s="28"/>
      <c r="H6885" s="28"/>
    </row>
    <row r="6886" spans="4:8" x14ac:dyDescent="0.25">
      <c r="D6886" s="28"/>
      <c r="F6886" s="28"/>
      <c r="H6886" s="28"/>
    </row>
    <row r="6887" spans="4:8" x14ac:dyDescent="0.25">
      <c r="D6887" s="28"/>
      <c r="F6887" s="28"/>
      <c r="H6887" s="28"/>
    </row>
    <row r="6888" spans="4:8" x14ac:dyDescent="0.25">
      <c r="D6888" s="28"/>
      <c r="F6888" s="28"/>
      <c r="H6888" s="28"/>
    </row>
    <row r="6889" spans="4:8" x14ac:dyDescent="0.25">
      <c r="D6889" s="28"/>
      <c r="F6889" s="28"/>
      <c r="H6889" s="28"/>
    </row>
    <row r="6890" spans="4:8" x14ac:dyDescent="0.25">
      <c r="D6890" s="28"/>
      <c r="F6890" s="28"/>
      <c r="H6890" s="28"/>
    </row>
    <row r="6891" spans="4:8" x14ac:dyDescent="0.25">
      <c r="D6891" s="28"/>
      <c r="F6891" s="28"/>
      <c r="H6891" s="28"/>
    </row>
    <row r="6892" spans="4:8" x14ac:dyDescent="0.25">
      <c r="D6892" s="28"/>
      <c r="F6892" s="28"/>
      <c r="H6892" s="28"/>
    </row>
    <row r="6893" spans="4:8" x14ac:dyDescent="0.25">
      <c r="D6893" s="28"/>
      <c r="F6893" s="28"/>
      <c r="H6893" s="28"/>
    </row>
    <row r="6894" spans="4:8" x14ac:dyDescent="0.25">
      <c r="D6894" s="28"/>
      <c r="F6894" s="28"/>
      <c r="H6894" s="28"/>
    </row>
    <row r="6895" spans="4:8" x14ac:dyDescent="0.25">
      <c r="D6895" s="28"/>
      <c r="F6895" s="28"/>
      <c r="H6895" s="28"/>
    </row>
    <row r="6896" spans="4:8" x14ac:dyDescent="0.25">
      <c r="D6896" s="28"/>
      <c r="F6896" s="28"/>
      <c r="H6896" s="28"/>
    </row>
    <row r="6897" spans="4:8" x14ac:dyDescent="0.25">
      <c r="D6897" s="28"/>
      <c r="F6897" s="28"/>
      <c r="H6897" s="28"/>
    </row>
    <row r="6898" spans="4:8" x14ac:dyDescent="0.25">
      <c r="D6898" s="28"/>
      <c r="F6898" s="28"/>
      <c r="H6898" s="28"/>
    </row>
    <row r="6899" spans="4:8" x14ac:dyDescent="0.25">
      <c r="D6899" s="28"/>
      <c r="F6899" s="28"/>
      <c r="H6899" s="28"/>
    </row>
    <row r="6900" spans="4:8" x14ac:dyDescent="0.25">
      <c r="D6900" s="28"/>
      <c r="F6900" s="28"/>
      <c r="H6900" s="28"/>
    </row>
    <row r="6901" spans="4:8" x14ac:dyDescent="0.25">
      <c r="D6901" s="28"/>
      <c r="F6901" s="28"/>
      <c r="H6901" s="28"/>
    </row>
    <row r="6902" spans="4:8" x14ac:dyDescent="0.25">
      <c r="D6902" s="28"/>
      <c r="F6902" s="28"/>
      <c r="H6902" s="28"/>
    </row>
    <row r="6903" spans="4:8" x14ac:dyDescent="0.25">
      <c r="D6903" s="28"/>
      <c r="F6903" s="28"/>
      <c r="H6903" s="28"/>
    </row>
    <row r="6904" spans="4:8" x14ac:dyDescent="0.25">
      <c r="D6904" s="28"/>
      <c r="F6904" s="28"/>
      <c r="H6904" s="28"/>
    </row>
    <row r="6905" spans="4:8" x14ac:dyDescent="0.25">
      <c r="D6905" s="28"/>
      <c r="F6905" s="28"/>
      <c r="H6905" s="28"/>
    </row>
    <row r="6906" spans="4:8" x14ac:dyDescent="0.25">
      <c r="D6906" s="28"/>
      <c r="F6906" s="28"/>
      <c r="H6906" s="28"/>
    </row>
    <row r="6907" spans="4:8" x14ac:dyDescent="0.25">
      <c r="D6907" s="28"/>
      <c r="F6907" s="28"/>
      <c r="H6907" s="28"/>
    </row>
    <row r="6908" spans="4:8" x14ac:dyDescent="0.25">
      <c r="D6908" s="28"/>
      <c r="F6908" s="28"/>
      <c r="H6908" s="28"/>
    </row>
    <row r="6909" spans="4:8" x14ac:dyDescent="0.25">
      <c r="D6909" s="28"/>
      <c r="F6909" s="28"/>
      <c r="H6909" s="28"/>
    </row>
    <row r="6910" spans="4:8" x14ac:dyDescent="0.25">
      <c r="D6910" s="28"/>
      <c r="F6910" s="28"/>
      <c r="H6910" s="28"/>
    </row>
    <row r="6911" spans="4:8" x14ac:dyDescent="0.25">
      <c r="D6911" s="28"/>
      <c r="F6911" s="28"/>
      <c r="H6911" s="28"/>
    </row>
    <row r="6912" spans="4:8" x14ac:dyDescent="0.25">
      <c r="D6912" s="28"/>
      <c r="F6912" s="28"/>
      <c r="H6912" s="28"/>
    </row>
    <row r="6913" spans="4:8" x14ac:dyDescent="0.25">
      <c r="D6913" s="28"/>
      <c r="F6913" s="28"/>
      <c r="H6913" s="28"/>
    </row>
    <row r="6914" spans="4:8" x14ac:dyDescent="0.25">
      <c r="D6914" s="28"/>
      <c r="F6914" s="28"/>
      <c r="H6914" s="28"/>
    </row>
    <row r="6915" spans="4:8" x14ac:dyDescent="0.25">
      <c r="D6915" s="28"/>
      <c r="F6915" s="28"/>
      <c r="H6915" s="28"/>
    </row>
    <row r="6916" spans="4:8" x14ac:dyDescent="0.25">
      <c r="D6916" s="28"/>
      <c r="F6916" s="28"/>
      <c r="H6916" s="28"/>
    </row>
    <row r="6917" spans="4:8" x14ac:dyDescent="0.25">
      <c r="D6917" s="28"/>
      <c r="F6917" s="28"/>
      <c r="H6917" s="28"/>
    </row>
    <row r="6918" spans="4:8" x14ac:dyDescent="0.25">
      <c r="D6918" s="28"/>
      <c r="F6918" s="28"/>
      <c r="H6918" s="28"/>
    </row>
    <row r="6919" spans="4:8" x14ac:dyDescent="0.25">
      <c r="D6919" s="28"/>
      <c r="F6919" s="28"/>
      <c r="H6919" s="28"/>
    </row>
    <row r="6920" spans="4:8" x14ac:dyDescent="0.25">
      <c r="D6920" s="28"/>
      <c r="F6920" s="28"/>
      <c r="H6920" s="28"/>
    </row>
    <row r="6921" spans="4:8" x14ac:dyDescent="0.25">
      <c r="D6921" s="28"/>
      <c r="F6921" s="28"/>
      <c r="H6921" s="28"/>
    </row>
    <row r="6922" spans="4:8" x14ac:dyDescent="0.25">
      <c r="D6922" s="28"/>
      <c r="F6922" s="28"/>
      <c r="H6922" s="28"/>
    </row>
    <row r="6923" spans="4:8" x14ac:dyDescent="0.25">
      <c r="D6923" s="28"/>
      <c r="F6923" s="28"/>
      <c r="H6923" s="28"/>
    </row>
    <row r="6924" spans="4:8" x14ac:dyDescent="0.25">
      <c r="D6924" s="28"/>
      <c r="F6924" s="28"/>
      <c r="H6924" s="28"/>
    </row>
    <row r="6925" spans="4:8" x14ac:dyDescent="0.25">
      <c r="D6925" s="28"/>
      <c r="F6925" s="28"/>
      <c r="H6925" s="28"/>
    </row>
    <row r="6926" spans="4:8" x14ac:dyDescent="0.25">
      <c r="D6926" s="28"/>
      <c r="F6926" s="28"/>
      <c r="H6926" s="28"/>
    </row>
    <row r="6927" spans="4:8" x14ac:dyDescent="0.25">
      <c r="D6927" s="28"/>
      <c r="F6927" s="28"/>
      <c r="H6927" s="28"/>
    </row>
    <row r="6928" spans="4:8" x14ac:dyDescent="0.25">
      <c r="D6928" s="28"/>
      <c r="F6928" s="28"/>
      <c r="H6928" s="28"/>
    </row>
    <row r="6929" spans="4:8" x14ac:dyDescent="0.25">
      <c r="D6929" s="28"/>
      <c r="F6929" s="28"/>
      <c r="H6929" s="28"/>
    </row>
    <row r="6930" spans="4:8" x14ac:dyDescent="0.25">
      <c r="D6930" s="28"/>
      <c r="F6930" s="28"/>
      <c r="H6930" s="28"/>
    </row>
    <row r="6931" spans="4:8" x14ac:dyDescent="0.25">
      <c r="D6931" s="28"/>
      <c r="F6931" s="28"/>
      <c r="H6931" s="28"/>
    </row>
    <row r="6932" spans="4:8" x14ac:dyDescent="0.25">
      <c r="D6932" s="28"/>
      <c r="F6932" s="28"/>
      <c r="H6932" s="28"/>
    </row>
    <row r="6933" spans="4:8" x14ac:dyDescent="0.25">
      <c r="D6933" s="28"/>
      <c r="F6933" s="28"/>
      <c r="H6933" s="28"/>
    </row>
    <row r="6934" spans="4:8" x14ac:dyDescent="0.25">
      <c r="D6934" s="28"/>
      <c r="F6934" s="28"/>
      <c r="H6934" s="28"/>
    </row>
    <row r="6935" spans="4:8" x14ac:dyDescent="0.25">
      <c r="D6935" s="28"/>
      <c r="F6935" s="28"/>
      <c r="H6935" s="28"/>
    </row>
    <row r="6936" spans="4:8" x14ac:dyDescent="0.25">
      <c r="D6936" s="28"/>
      <c r="F6936" s="28"/>
      <c r="H6936" s="28"/>
    </row>
    <row r="6937" spans="4:8" x14ac:dyDescent="0.25">
      <c r="D6937" s="28"/>
      <c r="F6937" s="28"/>
      <c r="H6937" s="28"/>
    </row>
    <row r="6938" spans="4:8" x14ac:dyDescent="0.25">
      <c r="D6938" s="28"/>
      <c r="F6938" s="28"/>
      <c r="H6938" s="28"/>
    </row>
    <row r="6939" spans="4:8" x14ac:dyDescent="0.25">
      <c r="D6939" s="28"/>
      <c r="F6939" s="28"/>
      <c r="H6939" s="28"/>
    </row>
    <row r="6940" spans="4:8" x14ac:dyDescent="0.25">
      <c r="D6940" s="28"/>
      <c r="F6940" s="28"/>
      <c r="H6940" s="28"/>
    </row>
    <row r="6941" spans="4:8" x14ac:dyDescent="0.25">
      <c r="D6941" s="28"/>
      <c r="F6941" s="28"/>
      <c r="H6941" s="28"/>
    </row>
    <row r="6942" spans="4:8" x14ac:dyDescent="0.25">
      <c r="D6942" s="28"/>
      <c r="F6942" s="28"/>
      <c r="H6942" s="28"/>
    </row>
    <row r="6943" spans="4:8" x14ac:dyDescent="0.25">
      <c r="D6943" s="28"/>
      <c r="F6943" s="28"/>
      <c r="H6943" s="28"/>
    </row>
    <row r="6944" spans="4:8" x14ac:dyDescent="0.25">
      <c r="D6944" s="28"/>
      <c r="F6944" s="28"/>
      <c r="H6944" s="28"/>
    </row>
    <row r="6945" spans="4:8" x14ac:dyDescent="0.25">
      <c r="D6945" s="28"/>
      <c r="F6945" s="28"/>
      <c r="H6945" s="28"/>
    </row>
    <row r="6946" spans="4:8" x14ac:dyDescent="0.25">
      <c r="D6946" s="28"/>
      <c r="F6946" s="28"/>
      <c r="H6946" s="28"/>
    </row>
    <row r="6947" spans="4:8" x14ac:dyDescent="0.25">
      <c r="D6947" s="28"/>
      <c r="F6947" s="28"/>
      <c r="H6947" s="28"/>
    </row>
    <row r="6948" spans="4:8" x14ac:dyDescent="0.25">
      <c r="D6948" s="28"/>
      <c r="F6948" s="28"/>
      <c r="H6948" s="28"/>
    </row>
    <row r="6949" spans="4:8" x14ac:dyDescent="0.25">
      <c r="D6949" s="28"/>
      <c r="F6949" s="28"/>
      <c r="H6949" s="28"/>
    </row>
    <row r="6950" spans="4:8" x14ac:dyDescent="0.25">
      <c r="D6950" s="28"/>
      <c r="F6950" s="28"/>
      <c r="H6950" s="28"/>
    </row>
    <row r="6951" spans="4:8" x14ac:dyDescent="0.25">
      <c r="D6951" s="28"/>
      <c r="F6951" s="28"/>
      <c r="H6951" s="28"/>
    </row>
    <row r="6952" spans="4:8" x14ac:dyDescent="0.25">
      <c r="D6952" s="28"/>
      <c r="F6952" s="28"/>
      <c r="H6952" s="28"/>
    </row>
    <row r="6953" spans="4:8" x14ac:dyDescent="0.25">
      <c r="D6953" s="28"/>
      <c r="F6953" s="28"/>
      <c r="H6953" s="28"/>
    </row>
    <row r="6954" spans="4:8" x14ac:dyDescent="0.25">
      <c r="D6954" s="28"/>
      <c r="F6954" s="28"/>
      <c r="H6954" s="28"/>
    </row>
    <row r="6955" spans="4:8" x14ac:dyDescent="0.25">
      <c r="D6955" s="28"/>
      <c r="F6955" s="28"/>
      <c r="H6955" s="28"/>
    </row>
    <row r="6956" spans="4:8" x14ac:dyDescent="0.25">
      <c r="D6956" s="28"/>
      <c r="F6956" s="28"/>
      <c r="H6956" s="28"/>
    </row>
    <row r="6957" spans="4:8" x14ac:dyDescent="0.25">
      <c r="D6957" s="28"/>
      <c r="F6957" s="28"/>
      <c r="H6957" s="28"/>
    </row>
    <row r="6958" spans="4:8" x14ac:dyDescent="0.25">
      <c r="D6958" s="28"/>
      <c r="F6958" s="28"/>
      <c r="H6958" s="28"/>
    </row>
    <row r="6959" spans="4:8" x14ac:dyDescent="0.25">
      <c r="D6959" s="28"/>
      <c r="F6959" s="28"/>
      <c r="H6959" s="28"/>
    </row>
    <row r="6960" spans="4:8" x14ac:dyDescent="0.25">
      <c r="D6960" s="28"/>
      <c r="F6960" s="28"/>
      <c r="H6960" s="28"/>
    </row>
    <row r="6961" spans="4:8" x14ac:dyDescent="0.25">
      <c r="D6961" s="28"/>
      <c r="F6961" s="28"/>
      <c r="H6961" s="28"/>
    </row>
    <row r="6962" spans="4:8" x14ac:dyDescent="0.25">
      <c r="D6962" s="28"/>
      <c r="F6962" s="28"/>
      <c r="H6962" s="28"/>
    </row>
    <row r="6963" spans="4:8" x14ac:dyDescent="0.25">
      <c r="D6963" s="28"/>
      <c r="F6963" s="28"/>
      <c r="H6963" s="28"/>
    </row>
    <row r="6964" spans="4:8" x14ac:dyDescent="0.25">
      <c r="D6964" s="28"/>
      <c r="F6964" s="28"/>
      <c r="H6964" s="28"/>
    </row>
    <row r="6965" spans="4:8" x14ac:dyDescent="0.25">
      <c r="D6965" s="28"/>
      <c r="F6965" s="28"/>
      <c r="H6965" s="28"/>
    </row>
    <row r="6966" spans="4:8" x14ac:dyDescent="0.25">
      <c r="D6966" s="28"/>
      <c r="F6966" s="28"/>
      <c r="H6966" s="28"/>
    </row>
    <row r="6967" spans="4:8" x14ac:dyDescent="0.25">
      <c r="D6967" s="28"/>
      <c r="F6967" s="28"/>
      <c r="H6967" s="28"/>
    </row>
    <row r="6968" spans="4:8" x14ac:dyDescent="0.25">
      <c r="D6968" s="28"/>
      <c r="F6968" s="28"/>
      <c r="H6968" s="28"/>
    </row>
    <row r="6969" spans="4:8" x14ac:dyDescent="0.25">
      <c r="D6969" s="28"/>
      <c r="F6969" s="28"/>
      <c r="H6969" s="28"/>
    </row>
    <row r="6970" spans="4:8" x14ac:dyDescent="0.25">
      <c r="D6970" s="28"/>
      <c r="F6970" s="28"/>
      <c r="H6970" s="28"/>
    </row>
    <row r="6971" spans="4:8" x14ac:dyDescent="0.25">
      <c r="D6971" s="28"/>
      <c r="F6971" s="28"/>
      <c r="H6971" s="28"/>
    </row>
    <row r="6972" spans="4:8" x14ac:dyDescent="0.25">
      <c r="D6972" s="28"/>
      <c r="F6972" s="28"/>
      <c r="H6972" s="28"/>
    </row>
    <row r="6973" spans="4:8" x14ac:dyDescent="0.25">
      <c r="D6973" s="28"/>
      <c r="F6973" s="28"/>
      <c r="H6973" s="28"/>
    </row>
    <row r="6974" spans="4:8" x14ac:dyDescent="0.25">
      <c r="D6974" s="28"/>
      <c r="F6974" s="28"/>
      <c r="H6974" s="28"/>
    </row>
    <row r="6975" spans="4:8" x14ac:dyDescent="0.25">
      <c r="D6975" s="28"/>
      <c r="F6975" s="28"/>
      <c r="H6975" s="28"/>
    </row>
    <row r="6976" spans="4:8" x14ac:dyDescent="0.25">
      <c r="D6976" s="28"/>
      <c r="F6976" s="28"/>
      <c r="H6976" s="28"/>
    </row>
    <row r="6977" spans="4:8" x14ac:dyDescent="0.25">
      <c r="D6977" s="28"/>
      <c r="F6977" s="28"/>
      <c r="H6977" s="28"/>
    </row>
    <row r="6978" spans="4:8" x14ac:dyDescent="0.25">
      <c r="D6978" s="28"/>
      <c r="F6978" s="28"/>
      <c r="H6978" s="28"/>
    </row>
    <row r="6979" spans="4:8" x14ac:dyDescent="0.25">
      <c r="D6979" s="28"/>
      <c r="F6979" s="28"/>
      <c r="H6979" s="28"/>
    </row>
    <row r="6980" spans="4:8" x14ac:dyDescent="0.25">
      <c r="D6980" s="28"/>
      <c r="F6980" s="28"/>
      <c r="H6980" s="28"/>
    </row>
    <row r="6981" spans="4:8" x14ac:dyDescent="0.25">
      <c r="D6981" s="28"/>
      <c r="F6981" s="28"/>
      <c r="H6981" s="28"/>
    </row>
    <row r="6982" spans="4:8" x14ac:dyDescent="0.25">
      <c r="D6982" s="28"/>
      <c r="F6982" s="28"/>
      <c r="H6982" s="28"/>
    </row>
    <row r="6983" spans="4:8" x14ac:dyDescent="0.25">
      <c r="D6983" s="28"/>
      <c r="F6983" s="28"/>
      <c r="H6983" s="28"/>
    </row>
    <row r="6984" spans="4:8" x14ac:dyDescent="0.25">
      <c r="D6984" s="28"/>
      <c r="F6984" s="28"/>
      <c r="H6984" s="28"/>
    </row>
    <row r="6985" spans="4:8" x14ac:dyDescent="0.25">
      <c r="D6985" s="28"/>
      <c r="F6985" s="28"/>
      <c r="H6985" s="28"/>
    </row>
    <row r="6986" spans="4:8" x14ac:dyDescent="0.25">
      <c r="D6986" s="28"/>
      <c r="F6986" s="28"/>
      <c r="H6986" s="28"/>
    </row>
    <row r="6987" spans="4:8" x14ac:dyDescent="0.25">
      <c r="D6987" s="28"/>
      <c r="F6987" s="28"/>
      <c r="H6987" s="28"/>
    </row>
    <row r="6988" spans="4:8" x14ac:dyDescent="0.25">
      <c r="D6988" s="28"/>
      <c r="F6988" s="28"/>
      <c r="H6988" s="28"/>
    </row>
    <row r="6989" spans="4:8" x14ac:dyDescent="0.25">
      <c r="D6989" s="28"/>
      <c r="F6989" s="28"/>
      <c r="H6989" s="28"/>
    </row>
    <row r="6990" spans="4:8" x14ac:dyDescent="0.25">
      <c r="D6990" s="28"/>
      <c r="F6990" s="28"/>
      <c r="H6990" s="28"/>
    </row>
    <row r="6991" spans="4:8" x14ac:dyDescent="0.25">
      <c r="D6991" s="28"/>
      <c r="F6991" s="28"/>
      <c r="H6991" s="28"/>
    </row>
    <row r="6992" spans="4:8" x14ac:dyDescent="0.25">
      <c r="D6992" s="28"/>
      <c r="F6992" s="28"/>
      <c r="H6992" s="28"/>
    </row>
    <row r="6993" spans="4:8" x14ac:dyDescent="0.25">
      <c r="D6993" s="28"/>
      <c r="F6993" s="28"/>
      <c r="H6993" s="28"/>
    </row>
    <row r="6994" spans="4:8" x14ac:dyDescent="0.25">
      <c r="D6994" s="28"/>
      <c r="F6994" s="28"/>
      <c r="H6994" s="28"/>
    </row>
    <row r="6995" spans="4:8" x14ac:dyDescent="0.25">
      <c r="D6995" s="28"/>
      <c r="F6995" s="28"/>
      <c r="H6995" s="28"/>
    </row>
    <row r="6996" spans="4:8" x14ac:dyDescent="0.25">
      <c r="D6996" s="28"/>
      <c r="F6996" s="28"/>
      <c r="H6996" s="28"/>
    </row>
    <row r="6997" spans="4:8" x14ac:dyDescent="0.25">
      <c r="D6997" s="28"/>
      <c r="F6997" s="28"/>
      <c r="H6997" s="28"/>
    </row>
    <row r="6998" spans="4:8" x14ac:dyDescent="0.25">
      <c r="D6998" s="28"/>
      <c r="F6998" s="28"/>
      <c r="H6998" s="28"/>
    </row>
    <row r="6999" spans="4:8" x14ac:dyDescent="0.25">
      <c r="D6999" s="28"/>
      <c r="F6999" s="28"/>
      <c r="H6999" s="28"/>
    </row>
    <row r="7000" spans="4:8" x14ac:dyDescent="0.25">
      <c r="D7000" s="28"/>
      <c r="F7000" s="28"/>
      <c r="H7000" s="28"/>
    </row>
    <row r="7001" spans="4:8" x14ac:dyDescent="0.25">
      <c r="D7001" s="28"/>
      <c r="F7001" s="28"/>
      <c r="H7001" s="28"/>
    </row>
    <row r="7002" spans="4:8" x14ac:dyDescent="0.25">
      <c r="D7002" s="28"/>
      <c r="F7002" s="28"/>
      <c r="H7002" s="28"/>
    </row>
    <row r="7003" spans="4:8" x14ac:dyDescent="0.25">
      <c r="D7003" s="28"/>
      <c r="F7003" s="28"/>
      <c r="H7003" s="28"/>
    </row>
    <row r="7004" spans="4:8" x14ac:dyDescent="0.25">
      <c r="D7004" s="28"/>
      <c r="F7004" s="28"/>
      <c r="H7004" s="28"/>
    </row>
    <row r="7005" spans="4:8" x14ac:dyDescent="0.25">
      <c r="D7005" s="28"/>
      <c r="F7005" s="28"/>
      <c r="H7005" s="28"/>
    </row>
    <row r="7006" spans="4:8" x14ac:dyDescent="0.25">
      <c r="D7006" s="28"/>
      <c r="F7006" s="28"/>
      <c r="H7006" s="28"/>
    </row>
    <row r="7007" spans="4:8" x14ac:dyDescent="0.25">
      <c r="D7007" s="28"/>
      <c r="F7007" s="28"/>
      <c r="H7007" s="28"/>
    </row>
    <row r="7008" spans="4:8" x14ac:dyDescent="0.25">
      <c r="D7008" s="28"/>
      <c r="F7008" s="28"/>
      <c r="H7008" s="28"/>
    </row>
    <row r="7009" spans="4:8" x14ac:dyDescent="0.25">
      <c r="D7009" s="28"/>
      <c r="F7009" s="28"/>
      <c r="H7009" s="28"/>
    </row>
    <row r="7010" spans="4:8" x14ac:dyDescent="0.25">
      <c r="D7010" s="28"/>
      <c r="F7010" s="28"/>
      <c r="H7010" s="28"/>
    </row>
    <row r="7011" spans="4:8" x14ac:dyDescent="0.25">
      <c r="D7011" s="28"/>
      <c r="F7011" s="28"/>
      <c r="H7011" s="28"/>
    </row>
    <row r="7012" spans="4:8" x14ac:dyDescent="0.25">
      <c r="D7012" s="28"/>
      <c r="F7012" s="28"/>
      <c r="H7012" s="28"/>
    </row>
    <row r="7013" spans="4:8" x14ac:dyDescent="0.25">
      <c r="D7013" s="28"/>
      <c r="F7013" s="28"/>
      <c r="H7013" s="28"/>
    </row>
    <row r="7014" spans="4:8" x14ac:dyDescent="0.25">
      <c r="D7014" s="28"/>
      <c r="F7014" s="28"/>
      <c r="H7014" s="28"/>
    </row>
    <row r="7015" spans="4:8" x14ac:dyDescent="0.25">
      <c r="D7015" s="28"/>
      <c r="F7015" s="28"/>
      <c r="H7015" s="28"/>
    </row>
    <row r="7016" spans="4:8" x14ac:dyDescent="0.25">
      <c r="D7016" s="28"/>
      <c r="F7016" s="28"/>
      <c r="H7016" s="28"/>
    </row>
    <row r="7017" spans="4:8" x14ac:dyDescent="0.25">
      <c r="D7017" s="28"/>
      <c r="F7017" s="28"/>
      <c r="H7017" s="28"/>
    </row>
    <row r="7018" spans="4:8" x14ac:dyDescent="0.25">
      <c r="D7018" s="28"/>
      <c r="F7018" s="28"/>
      <c r="H7018" s="28"/>
    </row>
    <row r="7019" spans="4:8" x14ac:dyDescent="0.25">
      <c r="D7019" s="28"/>
      <c r="F7019" s="28"/>
      <c r="H7019" s="28"/>
    </row>
    <row r="7020" spans="4:8" x14ac:dyDescent="0.25">
      <c r="D7020" s="28"/>
      <c r="F7020" s="28"/>
      <c r="H7020" s="28"/>
    </row>
    <row r="7021" spans="4:8" x14ac:dyDescent="0.25">
      <c r="D7021" s="28"/>
      <c r="F7021" s="28"/>
      <c r="H7021" s="28"/>
    </row>
    <row r="7022" spans="4:8" x14ac:dyDescent="0.25">
      <c r="D7022" s="28"/>
      <c r="F7022" s="28"/>
      <c r="H7022" s="28"/>
    </row>
    <row r="7023" spans="4:8" x14ac:dyDescent="0.25">
      <c r="D7023" s="28"/>
      <c r="F7023" s="28"/>
      <c r="H7023" s="28"/>
    </row>
    <row r="7024" spans="4:8" x14ac:dyDescent="0.25">
      <c r="D7024" s="28"/>
      <c r="F7024" s="28"/>
      <c r="H7024" s="28"/>
    </row>
    <row r="7025" spans="4:8" x14ac:dyDescent="0.25">
      <c r="D7025" s="28"/>
      <c r="F7025" s="28"/>
      <c r="H7025" s="28"/>
    </row>
    <row r="7026" spans="4:8" x14ac:dyDescent="0.25">
      <c r="D7026" s="28"/>
      <c r="F7026" s="28"/>
      <c r="H7026" s="28"/>
    </row>
    <row r="7027" spans="4:8" x14ac:dyDescent="0.25">
      <c r="D7027" s="28"/>
      <c r="F7027" s="28"/>
      <c r="H7027" s="28"/>
    </row>
    <row r="7028" spans="4:8" x14ac:dyDescent="0.25">
      <c r="D7028" s="28"/>
      <c r="F7028" s="28"/>
      <c r="H7028" s="28"/>
    </row>
    <row r="7029" spans="4:8" x14ac:dyDescent="0.25">
      <c r="D7029" s="28"/>
      <c r="F7029" s="28"/>
      <c r="H7029" s="28"/>
    </row>
    <row r="7030" spans="4:8" x14ac:dyDescent="0.25">
      <c r="D7030" s="28"/>
      <c r="F7030" s="28"/>
      <c r="H7030" s="28"/>
    </row>
    <row r="7031" spans="4:8" x14ac:dyDescent="0.25">
      <c r="D7031" s="28"/>
      <c r="F7031" s="28"/>
      <c r="H7031" s="28"/>
    </row>
    <row r="7032" spans="4:8" x14ac:dyDescent="0.25">
      <c r="D7032" s="28"/>
      <c r="F7032" s="28"/>
      <c r="H7032" s="28"/>
    </row>
    <row r="7033" spans="4:8" x14ac:dyDescent="0.25">
      <c r="D7033" s="28"/>
      <c r="F7033" s="28"/>
      <c r="H7033" s="28"/>
    </row>
    <row r="7034" spans="4:8" x14ac:dyDescent="0.25">
      <c r="D7034" s="28"/>
      <c r="F7034" s="28"/>
      <c r="H7034" s="28"/>
    </row>
    <row r="7035" spans="4:8" x14ac:dyDescent="0.25">
      <c r="D7035" s="28"/>
      <c r="F7035" s="28"/>
      <c r="H7035" s="28"/>
    </row>
    <row r="7036" spans="4:8" x14ac:dyDescent="0.25">
      <c r="D7036" s="28"/>
      <c r="F7036" s="28"/>
      <c r="H7036" s="28"/>
    </row>
    <row r="7037" spans="4:8" x14ac:dyDescent="0.25">
      <c r="D7037" s="28"/>
      <c r="F7037" s="28"/>
      <c r="H7037" s="28"/>
    </row>
    <row r="7038" spans="4:8" x14ac:dyDescent="0.25">
      <c r="D7038" s="28"/>
      <c r="F7038" s="28"/>
      <c r="H7038" s="28"/>
    </row>
    <row r="7039" spans="4:8" x14ac:dyDescent="0.25">
      <c r="D7039" s="28"/>
      <c r="F7039" s="28"/>
      <c r="H7039" s="28"/>
    </row>
    <row r="7040" spans="4:8" x14ac:dyDescent="0.25">
      <c r="D7040" s="28"/>
      <c r="F7040" s="28"/>
      <c r="H7040" s="28"/>
    </row>
    <row r="7041" spans="4:8" x14ac:dyDescent="0.25">
      <c r="D7041" s="28"/>
      <c r="F7041" s="28"/>
      <c r="H7041" s="28"/>
    </row>
    <row r="7042" spans="4:8" x14ac:dyDescent="0.25">
      <c r="D7042" s="28"/>
      <c r="F7042" s="28"/>
      <c r="H7042" s="28"/>
    </row>
    <row r="7043" spans="4:8" x14ac:dyDescent="0.25">
      <c r="D7043" s="28"/>
      <c r="F7043" s="28"/>
      <c r="H7043" s="28"/>
    </row>
    <row r="7044" spans="4:8" x14ac:dyDescent="0.25">
      <c r="D7044" s="28"/>
      <c r="F7044" s="28"/>
      <c r="H7044" s="28"/>
    </row>
    <row r="7045" spans="4:8" x14ac:dyDescent="0.25">
      <c r="D7045" s="28"/>
      <c r="F7045" s="28"/>
      <c r="H7045" s="28"/>
    </row>
    <row r="7046" spans="4:8" x14ac:dyDescent="0.25">
      <c r="D7046" s="28"/>
      <c r="F7046" s="28"/>
      <c r="H7046" s="28"/>
    </row>
    <row r="7047" spans="4:8" x14ac:dyDescent="0.25">
      <c r="D7047" s="28"/>
      <c r="F7047" s="28"/>
      <c r="H7047" s="28"/>
    </row>
    <row r="7048" spans="4:8" x14ac:dyDescent="0.25">
      <c r="D7048" s="28"/>
      <c r="F7048" s="28"/>
      <c r="H7048" s="28"/>
    </row>
    <row r="7049" spans="4:8" x14ac:dyDescent="0.25">
      <c r="D7049" s="28"/>
      <c r="F7049" s="28"/>
      <c r="H7049" s="28"/>
    </row>
    <row r="7050" spans="4:8" x14ac:dyDescent="0.25">
      <c r="D7050" s="28"/>
      <c r="F7050" s="28"/>
      <c r="H7050" s="28"/>
    </row>
    <row r="7051" spans="4:8" x14ac:dyDescent="0.25">
      <c r="D7051" s="28"/>
      <c r="F7051" s="28"/>
      <c r="H7051" s="28"/>
    </row>
    <row r="7052" spans="4:8" x14ac:dyDescent="0.25">
      <c r="D7052" s="28"/>
      <c r="F7052" s="28"/>
      <c r="H7052" s="28"/>
    </row>
    <row r="7053" spans="4:8" x14ac:dyDescent="0.25">
      <c r="D7053" s="28"/>
      <c r="F7053" s="28"/>
      <c r="H7053" s="28"/>
    </row>
    <row r="7054" spans="4:8" x14ac:dyDescent="0.25">
      <c r="D7054" s="28"/>
      <c r="F7054" s="28"/>
      <c r="H7054" s="28"/>
    </row>
    <row r="7055" spans="4:8" x14ac:dyDescent="0.25">
      <c r="D7055" s="28"/>
      <c r="F7055" s="28"/>
      <c r="H7055" s="28"/>
    </row>
    <row r="7056" spans="4:8" x14ac:dyDescent="0.25">
      <c r="D7056" s="28"/>
      <c r="F7056" s="28"/>
      <c r="H7056" s="28"/>
    </row>
    <row r="7057" spans="4:8" x14ac:dyDescent="0.25">
      <c r="D7057" s="28"/>
      <c r="F7057" s="28"/>
      <c r="H7057" s="28"/>
    </row>
    <row r="7058" spans="4:8" x14ac:dyDescent="0.25">
      <c r="D7058" s="28"/>
      <c r="F7058" s="28"/>
      <c r="H7058" s="28"/>
    </row>
    <row r="7059" spans="4:8" x14ac:dyDescent="0.25">
      <c r="D7059" s="28"/>
      <c r="F7059" s="28"/>
      <c r="H7059" s="28"/>
    </row>
    <row r="7060" spans="4:8" x14ac:dyDescent="0.25">
      <c r="D7060" s="28"/>
      <c r="F7060" s="28"/>
      <c r="H7060" s="28"/>
    </row>
    <row r="7061" spans="4:8" x14ac:dyDescent="0.25">
      <c r="D7061" s="28"/>
      <c r="F7061" s="28"/>
      <c r="H7061" s="28"/>
    </row>
    <row r="7062" spans="4:8" x14ac:dyDescent="0.25">
      <c r="D7062" s="28"/>
      <c r="F7062" s="28"/>
      <c r="H7062" s="28"/>
    </row>
    <row r="7063" spans="4:8" x14ac:dyDescent="0.25">
      <c r="D7063" s="28"/>
      <c r="F7063" s="28"/>
      <c r="H7063" s="28"/>
    </row>
    <row r="7064" spans="4:8" x14ac:dyDescent="0.25">
      <c r="D7064" s="28"/>
      <c r="F7064" s="28"/>
      <c r="H7064" s="28"/>
    </row>
    <row r="7065" spans="4:8" x14ac:dyDescent="0.25">
      <c r="D7065" s="28"/>
      <c r="F7065" s="28"/>
      <c r="H7065" s="28"/>
    </row>
    <row r="7066" spans="4:8" x14ac:dyDescent="0.25">
      <c r="D7066" s="28"/>
      <c r="F7066" s="28"/>
      <c r="H7066" s="28"/>
    </row>
    <row r="7067" spans="4:8" x14ac:dyDescent="0.25">
      <c r="D7067" s="28"/>
      <c r="F7067" s="28"/>
      <c r="H7067" s="28"/>
    </row>
    <row r="7068" spans="4:8" x14ac:dyDescent="0.25">
      <c r="D7068" s="28"/>
      <c r="F7068" s="28"/>
      <c r="H7068" s="28"/>
    </row>
    <row r="7069" spans="4:8" x14ac:dyDescent="0.25">
      <c r="D7069" s="28"/>
      <c r="F7069" s="28"/>
      <c r="H7069" s="28"/>
    </row>
    <row r="7070" spans="4:8" x14ac:dyDescent="0.25">
      <c r="D7070" s="28"/>
      <c r="F7070" s="28"/>
      <c r="H7070" s="28"/>
    </row>
    <row r="7071" spans="4:8" x14ac:dyDescent="0.25">
      <c r="D7071" s="28"/>
      <c r="F7071" s="28"/>
      <c r="H7071" s="28"/>
    </row>
    <row r="7072" spans="4:8" x14ac:dyDescent="0.25">
      <c r="D7072" s="28"/>
      <c r="F7072" s="28"/>
      <c r="H7072" s="28"/>
    </row>
    <row r="7073" spans="4:8" x14ac:dyDescent="0.25">
      <c r="D7073" s="28"/>
      <c r="F7073" s="28"/>
      <c r="H7073" s="28"/>
    </row>
    <row r="7074" spans="4:8" x14ac:dyDescent="0.25">
      <c r="D7074" s="28"/>
      <c r="F7074" s="28"/>
      <c r="H7074" s="28"/>
    </row>
    <row r="7075" spans="4:8" x14ac:dyDescent="0.25">
      <c r="D7075" s="28"/>
      <c r="F7075" s="28"/>
      <c r="H7075" s="28"/>
    </row>
    <row r="7076" spans="4:8" x14ac:dyDescent="0.25">
      <c r="D7076" s="28"/>
      <c r="F7076" s="28"/>
      <c r="H7076" s="28"/>
    </row>
    <row r="7077" spans="4:8" x14ac:dyDescent="0.25">
      <c r="D7077" s="28"/>
      <c r="F7077" s="28"/>
      <c r="H7077" s="28"/>
    </row>
    <row r="7078" spans="4:8" x14ac:dyDescent="0.25">
      <c r="D7078" s="28"/>
      <c r="F7078" s="28"/>
      <c r="H7078" s="28"/>
    </row>
    <row r="7079" spans="4:8" x14ac:dyDescent="0.25">
      <c r="D7079" s="28"/>
      <c r="F7079" s="28"/>
      <c r="H7079" s="28"/>
    </row>
    <row r="7080" spans="4:8" x14ac:dyDescent="0.25">
      <c r="D7080" s="28"/>
      <c r="F7080" s="28"/>
      <c r="H7080" s="28"/>
    </row>
    <row r="7081" spans="4:8" x14ac:dyDescent="0.25">
      <c r="D7081" s="28"/>
      <c r="F7081" s="28"/>
      <c r="H7081" s="28"/>
    </row>
    <row r="7082" spans="4:8" x14ac:dyDescent="0.25">
      <c r="D7082" s="28"/>
      <c r="F7082" s="28"/>
      <c r="H7082" s="28"/>
    </row>
    <row r="7083" spans="4:8" x14ac:dyDescent="0.25">
      <c r="D7083" s="28"/>
      <c r="F7083" s="28"/>
      <c r="H7083" s="28"/>
    </row>
    <row r="7084" spans="4:8" x14ac:dyDescent="0.25">
      <c r="D7084" s="28"/>
      <c r="F7084" s="28"/>
      <c r="H7084" s="28"/>
    </row>
    <row r="7085" spans="4:8" x14ac:dyDescent="0.25">
      <c r="D7085" s="28"/>
      <c r="F7085" s="28"/>
      <c r="H7085" s="28"/>
    </row>
    <row r="7086" spans="4:8" x14ac:dyDescent="0.25">
      <c r="D7086" s="28"/>
      <c r="F7086" s="28"/>
      <c r="H7086" s="28"/>
    </row>
    <row r="7087" spans="4:8" x14ac:dyDescent="0.25">
      <c r="D7087" s="28"/>
      <c r="F7087" s="28"/>
      <c r="H7087" s="28"/>
    </row>
    <row r="7088" spans="4:8" x14ac:dyDescent="0.25">
      <c r="D7088" s="28"/>
      <c r="F7088" s="28"/>
      <c r="H7088" s="28"/>
    </row>
    <row r="7089" spans="4:8" x14ac:dyDescent="0.25">
      <c r="D7089" s="28"/>
      <c r="F7089" s="28"/>
      <c r="H7089" s="28"/>
    </row>
    <row r="7090" spans="4:8" x14ac:dyDescent="0.25">
      <c r="D7090" s="28"/>
      <c r="F7090" s="28"/>
      <c r="H7090" s="28"/>
    </row>
    <row r="7091" spans="4:8" x14ac:dyDescent="0.25">
      <c r="D7091" s="28"/>
      <c r="F7091" s="28"/>
      <c r="H7091" s="28"/>
    </row>
    <row r="7092" spans="4:8" x14ac:dyDescent="0.25">
      <c r="D7092" s="28"/>
      <c r="F7092" s="28"/>
      <c r="H7092" s="28"/>
    </row>
    <row r="7093" spans="4:8" x14ac:dyDescent="0.25">
      <c r="D7093" s="28"/>
      <c r="F7093" s="28"/>
      <c r="H7093" s="28"/>
    </row>
    <row r="7094" spans="4:8" x14ac:dyDescent="0.25">
      <c r="D7094" s="28"/>
      <c r="F7094" s="28"/>
      <c r="H7094" s="28"/>
    </row>
    <row r="7095" spans="4:8" x14ac:dyDescent="0.25">
      <c r="D7095" s="28"/>
      <c r="F7095" s="28"/>
      <c r="H7095" s="28"/>
    </row>
    <row r="7096" spans="4:8" x14ac:dyDescent="0.25">
      <c r="D7096" s="28"/>
      <c r="F7096" s="28"/>
      <c r="H7096" s="28"/>
    </row>
    <row r="7097" spans="4:8" x14ac:dyDescent="0.25">
      <c r="D7097" s="28"/>
      <c r="F7097" s="28"/>
      <c r="H7097" s="28"/>
    </row>
    <row r="7098" spans="4:8" x14ac:dyDescent="0.25">
      <c r="D7098" s="28"/>
      <c r="F7098" s="28"/>
      <c r="H7098" s="28"/>
    </row>
    <row r="7099" spans="4:8" x14ac:dyDescent="0.25">
      <c r="D7099" s="28"/>
      <c r="F7099" s="28"/>
      <c r="H7099" s="28"/>
    </row>
    <row r="7100" spans="4:8" x14ac:dyDescent="0.25">
      <c r="D7100" s="28"/>
      <c r="F7100" s="28"/>
      <c r="H7100" s="28"/>
    </row>
    <row r="7101" spans="4:8" x14ac:dyDescent="0.25">
      <c r="D7101" s="28"/>
      <c r="F7101" s="28"/>
      <c r="H7101" s="28"/>
    </row>
    <row r="7102" spans="4:8" x14ac:dyDescent="0.25">
      <c r="D7102" s="28"/>
      <c r="F7102" s="28"/>
      <c r="H7102" s="28"/>
    </row>
    <row r="7103" spans="4:8" x14ac:dyDescent="0.25">
      <c r="D7103" s="28"/>
      <c r="F7103" s="28"/>
      <c r="H7103" s="28"/>
    </row>
    <row r="7104" spans="4:8" x14ac:dyDescent="0.25">
      <c r="D7104" s="28"/>
      <c r="F7104" s="28"/>
      <c r="H7104" s="28"/>
    </row>
    <row r="7105" spans="4:8" x14ac:dyDescent="0.25">
      <c r="D7105" s="28"/>
      <c r="F7105" s="28"/>
      <c r="H7105" s="28"/>
    </row>
    <row r="7106" spans="4:8" x14ac:dyDescent="0.25">
      <c r="D7106" s="28"/>
      <c r="F7106" s="28"/>
      <c r="H7106" s="28"/>
    </row>
    <row r="7107" spans="4:8" x14ac:dyDescent="0.25">
      <c r="D7107" s="28"/>
      <c r="F7107" s="28"/>
      <c r="H7107" s="28"/>
    </row>
    <row r="7108" spans="4:8" x14ac:dyDescent="0.25">
      <c r="D7108" s="28"/>
      <c r="F7108" s="28"/>
      <c r="H7108" s="28"/>
    </row>
    <row r="7109" spans="4:8" x14ac:dyDescent="0.25">
      <c r="D7109" s="28"/>
      <c r="F7109" s="28"/>
      <c r="H7109" s="28"/>
    </row>
    <row r="7110" spans="4:8" x14ac:dyDescent="0.25">
      <c r="D7110" s="28"/>
      <c r="F7110" s="28"/>
      <c r="H7110" s="28"/>
    </row>
    <row r="7111" spans="4:8" x14ac:dyDescent="0.25">
      <c r="D7111" s="28"/>
      <c r="F7111" s="28"/>
      <c r="H7111" s="28"/>
    </row>
    <row r="7112" spans="4:8" x14ac:dyDescent="0.25">
      <c r="D7112" s="28"/>
      <c r="F7112" s="28"/>
      <c r="H7112" s="28"/>
    </row>
    <row r="7113" spans="4:8" x14ac:dyDescent="0.25">
      <c r="D7113" s="28"/>
      <c r="F7113" s="28"/>
      <c r="H7113" s="28"/>
    </row>
    <row r="7114" spans="4:8" x14ac:dyDescent="0.25">
      <c r="D7114" s="28"/>
      <c r="F7114" s="28"/>
      <c r="H7114" s="28"/>
    </row>
    <row r="7115" spans="4:8" x14ac:dyDescent="0.25">
      <c r="D7115" s="28"/>
      <c r="F7115" s="28"/>
      <c r="H7115" s="28"/>
    </row>
    <row r="7116" spans="4:8" x14ac:dyDescent="0.25">
      <c r="D7116" s="28"/>
      <c r="F7116" s="28"/>
      <c r="H7116" s="28"/>
    </row>
    <row r="7117" spans="4:8" x14ac:dyDescent="0.25">
      <c r="D7117" s="28"/>
      <c r="F7117" s="28"/>
      <c r="H7117" s="28"/>
    </row>
    <row r="7118" spans="4:8" x14ac:dyDescent="0.25">
      <c r="D7118" s="28"/>
      <c r="F7118" s="28"/>
      <c r="H7118" s="28"/>
    </row>
    <row r="7119" spans="4:8" x14ac:dyDescent="0.25">
      <c r="D7119" s="28"/>
      <c r="F7119" s="28"/>
      <c r="H7119" s="28"/>
    </row>
    <row r="7120" spans="4:8" x14ac:dyDescent="0.25">
      <c r="D7120" s="28"/>
      <c r="F7120" s="28"/>
      <c r="H7120" s="28"/>
    </row>
    <row r="7121" spans="4:8" x14ac:dyDescent="0.25">
      <c r="D7121" s="28"/>
      <c r="F7121" s="28"/>
      <c r="H7121" s="28"/>
    </row>
    <row r="7122" spans="4:8" x14ac:dyDescent="0.25">
      <c r="D7122" s="28"/>
      <c r="F7122" s="28"/>
      <c r="H7122" s="28"/>
    </row>
    <row r="7123" spans="4:8" x14ac:dyDescent="0.25">
      <c r="D7123" s="28"/>
      <c r="F7123" s="28"/>
      <c r="H7123" s="28"/>
    </row>
    <row r="7124" spans="4:8" x14ac:dyDescent="0.25">
      <c r="D7124" s="28"/>
      <c r="F7124" s="28"/>
      <c r="H7124" s="28"/>
    </row>
    <row r="7125" spans="4:8" x14ac:dyDescent="0.25">
      <c r="D7125" s="28"/>
      <c r="F7125" s="28"/>
      <c r="H7125" s="28"/>
    </row>
    <row r="7126" spans="4:8" x14ac:dyDescent="0.25">
      <c r="D7126" s="28"/>
      <c r="F7126" s="28"/>
      <c r="H7126" s="28"/>
    </row>
    <row r="7127" spans="4:8" x14ac:dyDescent="0.25">
      <c r="D7127" s="28"/>
      <c r="F7127" s="28"/>
      <c r="H7127" s="28"/>
    </row>
    <row r="7128" spans="4:8" x14ac:dyDescent="0.25">
      <c r="D7128" s="28"/>
      <c r="F7128" s="28"/>
      <c r="H7128" s="28"/>
    </row>
    <row r="7129" spans="4:8" x14ac:dyDescent="0.25">
      <c r="D7129" s="28"/>
      <c r="F7129" s="28"/>
      <c r="H7129" s="28"/>
    </row>
    <row r="7130" spans="4:8" x14ac:dyDescent="0.25">
      <c r="D7130" s="28"/>
      <c r="F7130" s="28"/>
      <c r="H7130" s="28"/>
    </row>
    <row r="7131" spans="4:8" x14ac:dyDescent="0.25">
      <c r="D7131" s="28"/>
      <c r="F7131" s="28"/>
      <c r="H7131" s="28"/>
    </row>
    <row r="7132" spans="4:8" x14ac:dyDescent="0.25">
      <c r="D7132" s="28"/>
      <c r="F7132" s="28"/>
      <c r="H7132" s="28"/>
    </row>
    <row r="7133" spans="4:8" x14ac:dyDescent="0.25">
      <c r="D7133" s="28"/>
      <c r="F7133" s="28"/>
      <c r="H7133" s="28"/>
    </row>
    <row r="7134" spans="4:8" x14ac:dyDescent="0.25">
      <c r="D7134" s="28"/>
      <c r="F7134" s="28"/>
      <c r="H7134" s="28"/>
    </row>
    <row r="7135" spans="4:8" x14ac:dyDescent="0.25">
      <c r="D7135" s="28"/>
      <c r="F7135" s="28"/>
      <c r="H7135" s="28"/>
    </row>
    <row r="7136" spans="4:8" x14ac:dyDescent="0.25">
      <c r="D7136" s="28"/>
      <c r="F7136" s="28"/>
      <c r="H7136" s="28"/>
    </row>
    <row r="7137" spans="4:8" x14ac:dyDescent="0.25">
      <c r="D7137" s="28"/>
      <c r="F7137" s="28"/>
      <c r="H7137" s="28"/>
    </row>
    <row r="7138" spans="4:8" x14ac:dyDescent="0.25">
      <c r="D7138" s="28"/>
      <c r="F7138" s="28"/>
      <c r="H7138" s="28"/>
    </row>
    <row r="7139" spans="4:8" x14ac:dyDescent="0.25">
      <c r="D7139" s="28"/>
      <c r="F7139" s="28"/>
      <c r="H7139" s="28"/>
    </row>
    <row r="7140" spans="4:8" x14ac:dyDescent="0.25">
      <c r="D7140" s="28"/>
      <c r="F7140" s="28"/>
      <c r="H7140" s="28"/>
    </row>
    <row r="7141" spans="4:8" x14ac:dyDescent="0.25">
      <c r="D7141" s="28"/>
      <c r="F7141" s="28"/>
      <c r="H7141" s="28"/>
    </row>
    <row r="7142" spans="4:8" x14ac:dyDescent="0.25">
      <c r="D7142" s="28"/>
      <c r="F7142" s="28"/>
      <c r="H7142" s="28"/>
    </row>
    <row r="7143" spans="4:8" x14ac:dyDescent="0.25">
      <c r="D7143" s="28"/>
      <c r="F7143" s="28"/>
      <c r="H7143" s="28"/>
    </row>
    <row r="7144" spans="4:8" x14ac:dyDescent="0.25">
      <c r="D7144" s="28"/>
      <c r="F7144" s="28"/>
      <c r="H7144" s="28"/>
    </row>
    <row r="7145" spans="4:8" x14ac:dyDescent="0.25">
      <c r="D7145" s="28"/>
      <c r="F7145" s="28"/>
      <c r="H7145" s="28"/>
    </row>
    <row r="7146" spans="4:8" x14ac:dyDescent="0.25">
      <c r="D7146" s="28"/>
      <c r="F7146" s="28"/>
      <c r="H7146" s="28"/>
    </row>
    <row r="7147" spans="4:8" x14ac:dyDescent="0.25">
      <c r="D7147" s="28"/>
      <c r="F7147" s="28"/>
      <c r="H7147" s="28"/>
    </row>
    <row r="7148" spans="4:8" x14ac:dyDescent="0.25">
      <c r="D7148" s="28"/>
      <c r="F7148" s="28"/>
      <c r="H7148" s="28"/>
    </row>
    <row r="7149" spans="4:8" x14ac:dyDescent="0.25">
      <c r="D7149" s="28"/>
      <c r="F7149" s="28"/>
      <c r="H7149" s="28"/>
    </row>
    <row r="7150" spans="4:8" x14ac:dyDescent="0.25">
      <c r="D7150" s="28"/>
      <c r="F7150" s="28"/>
      <c r="H7150" s="28"/>
    </row>
    <row r="7151" spans="4:8" x14ac:dyDescent="0.25">
      <c r="D7151" s="28"/>
      <c r="F7151" s="28"/>
      <c r="H7151" s="28"/>
    </row>
    <row r="7152" spans="4:8" x14ac:dyDescent="0.25">
      <c r="D7152" s="28"/>
      <c r="F7152" s="28"/>
      <c r="H7152" s="28"/>
    </row>
    <row r="7153" spans="4:8" x14ac:dyDescent="0.25">
      <c r="D7153" s="28"/>
      <c r="F7153" s="28"/>
      <c r="H7153" s="28"/>
    </row>
    <row r="7154" spans="4:8" x14ac:dyDescent="0.25">
      <c r="D7154" s="28"/>
      <c r="F7154" s="28"/>
      <c r="H7154" s="28"/>
    </row>
    <row r="7155" spans="4:8" x14ac:dyDescent="0.25">
      <c r="D7155" s="28"/>
      <c r="F7155" s="28"/>
      <c r="H7155" s="28"/>
    </row>
    <row r="7156" spans="4:8" x14ac:dyDescent="0.25">
      <c r="D7156" s="28"/>
      <c r="F7156" s="28"/>
      <c r="H7156" s="28"/>
    </row>
    <row r="7157" spans="4:8" x14ac:dyDescent="0.25">
      <c r="D7157" s="28"/>
      <c r="F7157" s="28"/>
      <c r="H7157" s="28"/>
    </row>
    <row r="7158" spans="4:8" x14ac:dyDescent="0.25">
      <c r="D7158" s="28"/>
      <c r="F7158" s="28"/>
      <c r="H7158" s="28"/>
    </row>
    <row r="7159" spans="4:8" x14ac:dyDescent="0.25">
      <c r="D7159" s="28"/>
      <c r="F7159" s="28"/>
      <c r="H7159" s="28"/>
    </row>
    <row r="7160" spans="4:8" x14ac:dyDescent="0.25">
      <c r="D7160" s="28"/>
      <c r="F7160" s="28"/>
      <c r="H7160" s="28"/>
    </row>
    <row r="7161" spans="4:8" x14ac:dyDescent="0.25">
      <c r="D7161" s="28"/>
      <c r="F7161" s="28"/>
      <c r="H7161" s="28"/>
    </row>
    <row r="7162" spans="4:8" x14ac:dyDescent="0.25">
      <c r="D7162" s="28"/>
      <c r="F7162" s="28"/>
      <c r="H7162" s="28"/>
    </row>
    <row r="7163" spans="4:8" x14ac:dyDescent="0.25">
      <c r="D7163" s="28"/>
      <c r="F7163" s="28"/>
      <c r="H7163" s="28"/>
    </row>
    <row r="7164" spans="4:8" x14ac:dyDescent="0.25">
      <c r="D7164" s="28"/>
      <c r="F7164" s="28"/>
      <c r="H7164" s="28"/>
    </row>
    <row r="7165" spans="4:8" x14ac:dyDescent="0.25">
      <c r="D7165" s="28"/>
      <c r="F7165" s="28"/>
      <c r="H7165" s="28"/>
    </row>
    <row r="7166" spans="4:8" x14ac:dyDescent="0.25">
      <c r="D7166" s="28"/>
      <c r="F7166" s="28"/>
      <c r="H7166" s="28"/>
    </row>
    <row r="7167" spans="4:8" x14ac:dyDescent="0.25">
      <c r="D7167" s="28"/>
      <c r="F7167" s="28"/>
      <c r="H7167" s="28"/>
    </row>
    <row r="7168" spans="4:8" x14ac:dyDescent="0.25">
      <c r="D7168" s="28"/>
      <c r="F7168" s="28"/>
      <c r="H7168" s="28"/>
    </row>
    <row r="7169" spans="4:8" x14ac:dyDescent="0.25">
      <c r="D7169" s="28"/>
      <c r="F7169" s="28"/>
      <c r="H7169" s="28"/>
    </row>
    <row r="7170" spans="4:8" x14ac:dyDescent="0.25">
      <c r="D7170" s="28"/>
      <c r="F7170" s="28"/>
      <c r="H7170" s="28"/>
    </row>
    <row r="7171" spans="4:8" x14ac:dyDescent="0.25">
      <c r="D7171" s="28"/>
      <c r="F7171" s="28"/>
      <c r="H7171" s="28"/>
    </row>
    <row r="7172" spans="4:8" x14ac:dyDescent="0.25">
      <c r="D7172" s="28"/>
      <c r="F7172" s="28"/>
      <c r="H7172" s="28"/>
    </row>
    <row r="7173" spans="4:8" x14ac:dyDescent="0.25">
      <c r="D7173" s="28"/>
      <c r="F7173" s="28"/>
      <c r="H7173" s="28"/>
    </row>
    <row r="7174" spans="4:8" x14ac:dyDescent="0.25">
      <c r="D7174" s="28"/>
      <c r="F7174" s="28"/>
      <c r="H7174" s="28"/>
    </row>
    <row r="7175" spans="4:8" x14ac:dyDescent="0.25">
      <c r="D7175" s="28"/>
      <c r="F7175" s="28"/>
      <c r="H7175" s="28"/>
    </row>
    <row r="7176" spans="4:8" x14ac:dyDescent="0.25">
      <c r="D7176" s="28"/>
      <c r="F7176" s="28"/>
      <c r="H7176" s="28"/>
    </row>
    <row r="7177" spans="4:8" x14ac:dyDescent="0.25">
      <c r="D7177" s="28"/>
      <c r="F7177" s="28"/>
      <c r="H7177" s="28"/>
    </row>
    <row r="7178" spans="4:8" x14ac:dyDescent="0.25">
      <c r="D7178" s="28"/>
      <c r="F7178" s="28"/>
      <c r="H7178" s="28"/>
    </row>
    <row r="7179" spans="4:8" x14ac:dyDescent="0.25">
      <c r="D7179" s="28"/>
      <c r="F7179" s="28"/>
      <c r="H7179" s="28"/>
    </row>
    <row r="7180" spans="4:8" x14ac:dyDescent="0.25">
      <c r="D7180" s="28"/>
      <c r="F7180" s="28"/>
      <c r="H7180" s="28"/>
    </row>
    <row r="7181" spans="4:8" x14ac:dyDescent="0.25">
      <c r="D7181" s="28"/>
      <c r="F7181" s="28"/>
      <c r="H7181" s="28"/>
    </row>
    <row r="7182" spans="4:8" x14ac:dyDescent="0.25">
      <c r="D7182" s="28"/>
      <c r="F7182" s="28"/>
      <c r="H7182" s="28"/>
    </row>
    <row r="7183" spans="4:8" x14ac:dyDescent="0.25">
      <c r="D7183" s="28"/>
      <c r="F7183" s="28"/>
      <c r="H7183" s="28"/>
    </row>
    <row r="7184" spans="4:8" x14ac:dyDescent="0.25">
      <c r="D7184" s="28"/>
      <c r="F7184" s="28"/>
      <c r="H7184" s="28"/>
    </row>
    <row r="7185" spans="4:8" x14ac:dyDescent="0.25">
      <c r="D7185" s="28"/>
      <c r="F7185" s="28"/>
      <c r="H7185" s="28"/>
    </row>
    <row r="7186" spans="4:8" x14ac:dyDescent="0.25">
      <c r="D7186" s="28"/>
      <c r="F7186" s="28"/>
      <c r="H7186" s="28"/>
    </row>
    <row r="7187" spans="4:8" x14ac:dyDescent="0.25">
      <c r="D7187" s="28"/>
      <c r="F7187" s="28"/>
      <c r="H7187" s="28"/>
    </row>
    <row r="7188" spans="4:8" x14ac:dyDescent="0.25">
      <c r="D7188" s="28"/>
      <c r="F7188" s="28"/>
      <c r="H7188" s="28"/>
    </row>
    <row r="7189" spans="4:8" x14ac:dyDescent="0.25">
      <c r="D7189" s="28"/>
      <c r="F7189" s="28"/>
      <c r="H7189" s="28"/>
    </row>
    <row r="7190" spans="4:8" x14ac:dyDescent="0.25">
      <c r="D7190" s="28"/>
      <c r="F7190" s="28"/>
      <c r="H7190" s="28"/>
    </row>
    <row r="7191" spans="4:8" x14ac:dyDescent="0.25">
      <c r="D7191" s="28"/>
      <c r="F7191" s="28"/>
      <c r="H7191" s="28"/>
    </row>
    <row r="7192" spans="4:8" x14ac:dyDescent="0.25">
      <c r="D7192" s="28"/>
      <c r="F7192" s="28"/>
      <c r="H7192" s="28"/>
    </row>
    <row r="7193" spans="4:8" x14ac:dyDescent="0.25">
      <c r="D7193" s="28"/>
      <c r="F7193" s="28"/>
      <c r="H7193" s="28"/>
    </row>
    <row r="7194" spans="4:8" x14ac:dyDescent="0.25">
      <c r="D7194" s="28"/>
      <c r="F7194" s="28"/>
      <c r="H7194" s="28"/>
    </row>
    <row r="7195" spans="4:8" x14ac:dyDescent="0.25">
      <c r="D7195" s="28"/>
      <c r="F7195" s="28"/>
      <c r="H7195" s="28"/>
    </row>
    <row r="7196" spans="4:8" x14ac:dyDescent="0.25">
      <c r="D7196" s="28"/>
      <c r="F7196" s="28"/>
      <c r="H7196" s="28"/>
    </row>
    <row r="7197" spans="4:8" x14ac:dyDescent="0.25">
      <c r="D7197" s="28"/>
      <c r="F7197" s="28"/>
      <c r="H7197" s="28"/>
    </row>
    <row r="7198" spans="4:8" x14ac:dyDescent="0.25">
      <c r="D7198" s="28"/>
      <c r="F7198" s="28"/>
      <c r="H7198" s="28"/>
    </row>
    <row r="7199" spans="4:8" x14ac:dyDescent="0.25">
      <c r="D7199" s="28"/>
      <c r="F7199" s="28"/>
      <c r="H7199" s="28"/>
    </row>
    <row r="7200" spans="4:8" x14ac:dyDescent="0.25">
      <c r="D7200" s="28"/>
      <c r="F7200" s="28"/>
      <c r="H7200" s="28"/>
    </row>
    <row r="7201" spans="4:8" x14ac:dyDescent="0.25">
      <c r="D7201" s="28"/>
      <c r="F7201" s="28"/>
      <c r="H7201" s="28"/>
    </row>
    <row r="7202" spans="4:8" x14ac:dyDescent="0.25">
      <c r="D7202" s="28"/>
      <c r="F7202" s="28"/>
      <c r="H7202" s="28"/>
    </row>
    <row r="7203" spans="4:8" x14ac:dyDescent="0.25">
      <c r="D7203" s="28"/>
      <c r="F7203" s="28"/>
      <c r="H7203" s="28"/>
    </row>
    <row r="7204" spans="4:8" x14ac:dyDescent="0.25">
      <c r="D7204" s="28"/>
      <c r="F7204" s="28"/>
      <c r="H7204" s="28"/>
    </row>
    <row r="7205" spans="4:8" x14ac:dyDescent="0.25">
      <c r="D7205" s="28"/>
      <c r="F7205" s="28"/>
      <c r="H7205" s="28"/>
    </row>
    <row r="7206" spans="4:8" x14ac:dyDescent="0.25">
      <c r="D7206" s="28"/>
      <c r="F7206" s="28"/>
      <c r="H7206" s="28"/>
    </row>
    <row r="7207" spans="4:8" x14ac:dyDescent="0.25">
      <c r="D7207" s="28"/>
      <c r="F7207" s="28"/>
      <c r="H7207" s="28"/>
    </row>
    <row r="7208" spans="4:8" x14ac:dyDescent="0.25">
      <c r="D7208" s="28"/>
      <c r="F7208" s="28"/>
      <c r="H7208" s="28"/>
    </row>
    <row r="7209" spans="4:8" x14ac:dyDescent="0.25">
      <c r="D7209" s="28"/>
      <c r="F7209" s="28"/>
      <c r="H7209" s="28"/>
    </row>
    <row r="7210" spans="4:8" x14ac:dyDescent="0.25">
      <c r="D7210" s="28"/>
      <c r="F7210" s="28"/>
      <c r="H7210" s="28"/>
    </row>
    <row r="7211" spans="4:8" x14ac:dyDescent="0.25">
      <c r="D7211" s="28"/>
      <c r="F7211" s="28"/>
      <c r="H7211" s="28"/>
    </row>
    <row r="7212" spans="4:8" x14ac:dyDescent="0.25">
      <c r="D7212" s="28"/>
      <c r="F7212" s="28"/>
      <c r="H7212" s="28"/>
    </row>
    <row r="7213" spans="4:8" x14ac:dyDescent="0.25">
      <c r="D7213" s="28"/>
      <c r="F7213" s="28"/>
      <c r="H7213" s="28"/>
    </row>
    <row r="7214" spans="4:8" x14ac:dyDescent="0.25">
      <c r="D7214" s="28"/>
      <c r="F7214" s="28"/>
      <c r="H7214" s="28"/>
    </row>
    <row r="7215" spans="4:8" x14ac:dyDescent="0.25">
      <c r="D7215" s="28"/>
      <c r="F7215" s="28"/>
      <c r="H7215" s="28"/>
    </row>
    <row r="7216" spans="4:8" x14ac:dyDescent="0.25">
      <c r="D7216" s="28"/>
      <c r="F7216" s="28"/>
      <c r="H7216" s="28"/>
    </row>
    <row r="7217" spans="4:8" x14ac:dyDescent="0.25">
      <c r="D7217" s="28"/>
      <c r="F7217" s="28"/>
      <c r="H7217" s="28"/>
    </row>
    <row r="7218" spans="4:8" x14ac:dyDescent="0.25">
      <c r="D7218" s="28"/>
      <c r="F7218" s="28"/>
      <c r="H7218" s="28"/>
    </row>
    <row r="7219" spans="4:8" x14ac:dyDescent="0.25">
      <c r="D7219" s="28"/>
      <c r="F7219" s="28"/>
      <c r="H7219" s="28"/>
    </row>
    <row r="7220" spans="4:8" x14ac:dyDescent="0.25">
      <c r="D7220" s="28"/>
      <c r="F7220" s="28"/>
      <c r="H7220" s="28"/>
    </row>
    <row r="7221" spans="4:8" x14ac:dyDescent="0.25">
      <c r="D7221" s="28"/>
      <c r="F7221" s="28"/>
      <c r="H7221" s="28"/>
    </row>
    <row r="7222" spans="4:8" x14ac:dyDescent="0.25">
      <c r="D7222" s="28"/>
      <c r="F7222" s="28"/>
      <c r="H7222" s="28"/>
    </row>
    <row r="7223" spans="4:8" x14ac:dyDescent="0.25">
      <c r="D7223" s="28"/>
      <c r="F7223" s="28"/>
      <c r="H7223" s="28"/>
    </row>
    <row r="7224" spans="4:8" x14ac:dyDescent="0.25">
      <c r="D7224" s="28"/>
      <c r="F7224" s="28"/>
      <c r="H7224" s="28"/>
    </row>
    <row r="7225" spans="4:8" x14ac:dyDescent="0.25">
      <c r="D7225" s="28"/>
      <c r="F7225" s="28"/>
      <c r="H7225" s="28"/>
    </row>
    <row r="7226" spans="4:8" x14ac:dyDescent="0.25">
      <c r="D7226" s="28"/>
      <c r="F7226" s="28"/>
      <c r="H7226" s="28"/>
    </row>
    <row r="7227" spans="4:8" x14ac:dyDescent="0.25">
      <c r="D7227" s="28"/>
      <c r="F7227" s="28"/>
      <c r="H7227" s="28"/>
    </row>
    <row r="7228" spans="4:8" x14ac:dyDescent="0.25">
      <c r="D7228" s="28"/>
      <c r="F7228" s="28"/>
      <c r="H7228" s="28"/>
    </row>
    <row r="7229" spans="4:8" x14ac:dyDescent="0.25">
      <c r="D7229" s="28"/>
      <c r="F7229" s="28"/>
      <c r="H7229" s="28"/>
    </row>
    <row r="7230" spans="4:8" x14ac:dyDescent="0.25">
      <c r="D7230" s="28"/>
      <c r="F7230" s="28"/>
      <c r="H7230" s="28"/>
    </row>
    <row r="7231" spans="4:8" x14ac:dyDescent="0.25">
      <c r="D7231" s="28"/>
      <c r="F7231" s="28"/>
      <c r="H7231" s="28"/>
    </row>
    <row r="7232" spans="4:8" x14ac:dyDescent="0.25">
      <c r="D7232" s="28"/>
      <c r="F7232" s="28"/>
      <c r="H7232" s="28"/>
    </row>
    <row r="7233" spans="4:8" x14ac:dyDescent="0.25">
      <c r="D7233" s="28"/>
      <c r="F7233" s="28"/>
      <c r="H7233" s="28"/>
    </row>
    <row r="7234" spans="4:8" x14ac:dyDescent="0.25">
      <c r="D7234" s="28"/>
      <c r="F7234" s="28"/>
      <c r="H7234" s="28"/>
    </row>
    <row r="7235" spans="4:8" x14ac:dyDescent="0.25">
      <c r="D7235" s="28"/>
      <c r="F7235" s="28"/>
      <c r="H7235" s="28"/>
    </row>
    <row r="7236" spans="4:8" x14ac:dyDescent="0.25">
      <c r="D7236" s="28"/>
      <c r="F7236" s="28"/>
      <c r="H7236" s="28"/>
    </row>
    <row r="7237" spans="4:8" x14ac:dyDescent="0.25">
      <c r="D7237" s="28"/>
      <c r="F7237" s="28"/>
      <c r="H7237" s="28"/>
    </row>
    <row r="7238" spans="4:8" x14ac:dyDescent="0.25">
      <c r="D7238" s="28"/>
      <c r="F7238" s="28"/>
      <c r="H7238" s="28"/>
    </row>
    <row r="7239" spans="4:8" x14ac:dyDescent="0.25">
      <c r="D7239" s="28"/>
      <c r="F7239" s="28"/>
      <c r="H7239" s="28"/>
    </row>
    <row r="7240" spans="4:8" x14ac:dyDescent="0.25">
      <c r="D7240" s="28"/>
      <c r="F7240" s="28"/>
      <c r="H7240" s="28"/>
    </row>
    <row r="7241" spans="4:8" x14ac:dyDescent="0.25">
      <c r="D7241" s="28"/>
      <c r="F7241" s="28"/>
      <c r="H7241" s="28"/>
    </row>
    <row r="7242" spans="4:8" x14ac:dyDescent="0.25">
      <c r="D7242" s="28"/>
      <c r="F7242" s="28"/>
      <c r="H7242" s="28"/>
    </row>
    <row r="7243" spans="4:8" x14ac:dyDescent="0.25">
      <c r="D7243" s="28"/>
      <c r="F7243" s="28"/>
      <c r="H7243" s="28"/>
    </row>
    <row r="7244" spans="4:8" x14ac:dyDescent="0.25">
      <c r="D7244" s="28"/>
      <c r="F7244" s="28"/>
      <c r="H7244" s="28"/>
    </row>
    <row r="7245" spans="4:8" x14ac:dyDescent="0.25">
      <c r="D7245" s="28"/>
      <c r="F7245" s="28"/>
      <c r="H7245" s="28"/>
    </row>
    <row r="7246" spans="4:8" x14ac:dyDescent="0.25">
      <c r="D7246" s="28"/>
      <c r="F7246" s="28"/>
      <c r="H7246" s="28"/>
    </row>
    <row r="7247" spans="4:8" x14ac:dyDescent="0.25">
      <c r="D7247" s="28"/>
      <c r="F7247" s="28"/>
      <c r="H7247" s="28"/>
    </row>
    <row r="7248" spans="4:8" x14ac:dyDescent="0.25">
      <c r="D7248" s="28"/>
      <c r="F7248" s="28"/>
      <c r="H7248" s="28"/>
    </row>
    <row r="7249" spans="4:8" x14ac:dyDescent="0.25">
      <c r="D7249" s="28"/>
      <c r="F7249" s="28"/>
      <c r="H7249" s="28"/>
    </row>
    <row r="7250" spans="4:8" x14ac:dyDescent="0.25">
      <c r="D7250" s="28"/>
      <c r="F7250" s="28"/>
      <c r="H7250" s="28"/>
    </row>
    <row r="7251" spans="4:8" x14ac:dyDescent="0.25">
      <c r="D7251" s="28"/>
      <c r="F7251" s="28"/>
      <c r="H7251" s="28"/>
    </row>
    <row r="7252" spans="4:8" x14ac:dyDescent="0.25">
      <c r="D7252" s="28"/>
      <c r="F7252" s="28"/>
      <c r="H7252" s="28"/>
    </row>
    <row r="7253" spans="4:8" x14ac:dyDescent="0.25">
      <c r="D7253" s="28"/>
      <c r="F7253" s="28"/>
      <c r="H7253" s="28"/>
    </row>
    <row r="7254" spans="4:8" x14ac:dyDescent="0.25">
      <c r="D7254" s="28"/>
      <c r="F7254" s="28"/>
      <c r="H7254" s="28"/>
    </row>
    <row r="7255" spans="4:8" x14ac:dyDescent="0.25">
      <c r="D7255" s="28"/>
      <c r="F7255" s="28"/>
      <c r="H7255" s="28"/>
    </row>
    <row r="7256" spans="4:8" x14ac:dyDescent="0.25">
      <c r="D7256" s="28"/>
      <c r="F7256" s="28"/>
      <c r="H7256" s="28"/>
    </row>
    <row r="7257" spans="4:8" x14ac:dyDescent="0.25">
      <c r="D7257" s="28"/>
      <c r="F7257" s="28"/>
      <c r="H7257" s="28"/>
    </row>
    <row r="7258" spans="4:8" x14ac:dyDescent="0.25">
      <c r="D7258" s="28"/>
      <c r="F7258" s="28"/>
      <c r="H7258" s="28"/>
    </row>
    <row r="7259" spans="4:8" x14ac:dyDescent="0.25">
      <c r="D7259" s="28"/>
      <c r="F7259" s="28"/>
      <c r="H7259" s="28"/>
    </row>
    <row r="7260" spans="4:8" x14ac:dyDescent="0.25">
      <c r="D7260" s="28"/>
      <c r="F7260" s="28"/>
      <c r="H7260" s="28"/>
    </row>
    <row r="7261" spans="4:8" x14ac:dyDescent="0.25">
      <c r="D7261" s="28"/>
      <c r="F7261" s="28"/>
      <c r="H7261" s="28"/>
    </row>
    <row r="7262" spans="4:8" x14ac:dyDescent="0.25">
      <c r="D7262" s="28"/>
      <c r="F7262" s="28"/>
      <c r="H7262" s="28"/>
    </row>
    <row r="7263" spans="4:8" x14ac:dyDescent="0.25">
      <c r="D7263" s="28"/>
      <c r="F7263" s="28"/>
      <c r="H7263" s="28"/>
    </row>
    <row r="7264" spans="4:8" x14ac:dyDescent="0.25">
      <c r="D7264" s="28"/>
      <c r="F7264" s="28"/>
      <c r="H7264" s="28"/>
    </row>
    <row r="7265" spans="4:8" x14ac:dyDescent="0.25">
      <c r="D7265" s="28"/>
      <c r="F7265" s="28"/>
      <c r="H7265" s="28"/>
    </row>
    <row r="7266" spans="4:8" x14ac:dyDescent="0.25">
      <c r="D7266" s="28"/>
      <c r="F7266" s="28"/>
      <c r="H7266" s="28"/>
    </row>
    <row r="7267" spans="4:8" x14ac:dyDescent="0.25">
      <c r="D7267" s="28"/>
      <c r="F7267" s="28"/>
      <c r="H7267" s="28"/>
    </row>
    <row r="7268" spans="4:8" x14ac:dyDescent="0.25">
      <c r="D7268" s="28"/>
      <c r="F7268" s="28"/>
      <c r="H7268" s="28"/>
    </row>
    <row r="7269" spans="4:8" x14ac:dyDescent="0.25">
      <c r="D7269" s="28"/>
      <c r="F7269" s="28"/>
      <c r="H7269" s="28"/>
    </row>
    <row r="7270" spans="4:8" x14ac:dyDescent="0.25">
      <c r="D7270" s="28"/>
      <c r="F7270" s="28"/>
      <c r="H7270" s="28"/>
    </row>
    <row r="7271" spans="4:8" x14ac:dyDescent="0.25">
      <c r="D7271" s="28"/>
      <c r="F7271" s="28"/>
      <c r="H7271" s="28"/>
    </row>
    <row r="7272" spans="4:8" x14ac:dyDescent="0.25">
      <c r="D7272" s="28"/>
      <c r="F7272" s="28"/>
      <c r="H7272" s="28"/>
    </row>
    <row r="7273" spans="4:8" x14ac:dyDescent="0.25">
      <c r="D7273" s="28"/>
      <c r="F7273" s="28"/>
      <c r="H7273" s="28"/>
    </row>
    <row r="7274" spans="4:8" x14ac:dyDescent="0.25">
      <c r="D7274" s="28"/>
      <c r="F7274" s="28"/>
      <c r="H7274" s="28"/>
    </row>
    <row r="7275" spans="4:8" x14ac:dyDescent="0.25">
      <c r="D7275" s="28"/>
      <c r="F7275" s="28"/>
      <c r="H7275" s="28"/>
    </row>
    <row r="7276" spans="4:8" x14ac:dyDescent="0.25">
      <c r="D7276" s="28"/>
      <c r="F7276" s="28"/>
      <c r="H7276" s="28"/>
    </row>
    <row r="7277" spans="4:8" x14ac:dyDescent="0.25">
      <c r="D7277" s="28"/>
      <c r="F7277" s="28"/>
      <c r="H7277" s="28"/>
    </row>
    <row r="7278" spans="4:8" x14ac:dyDescent="0.25">
      <c r="D7278" s="28"/>
      <c r="F7278" s="28"/>
      <c r="H7278" s="28"/>
    </row>
    <row r="7279" spans="4:8" x14ac:dyDescent="0.25">
      <c r="D7279" s="28"/>
      <c r="F7279" s="28"/>
      <c r="H7279" s="28"/>
    </row>
    <row r="7280" spans="4:8" x14ac:dyDescent="0.25">
      <c r="D7280" s="28"/>
      <c r="F7280" s="28"/>
      <c r="H7280" s="28"/>
    </row>
    <row r="7281" spans="4:8" x14ac:dyDescent="0.25">
      <c r="D7281" s="28"/>
      <c r="F7281" s="28"/>
      <c r="H7281" s="28"/>
    </row>
    <row r="7282" spans="4:8" x14ac:dyDescent="0.25">
      <c r="D7282" s="28"/>
      <c r="F7282" s="28"/>
      <c r="H7282" s="28"/>
    </row>
    <row r="7283" spans="4:8" x14ac:dyDescent="0.25">
      <c r="D7283" s="28"/>
      <c r="F7283" s="28"/>
      <c r="H7283" s="28"/>
    </row>
    <row r="7284" spans="4:8" x14ac:dyDescent="0.25">
      <c r="D7284" s="28"/>
      <c r="F7284" s="28"/>
      <c r="H7284" s="28"/>
    </row>
    <row r="7285" spans="4:8" x14ac:dyDescent="0.25">
      <c r="D7285" s="28"/>
      <c r="F7285" s="28"/>
      <c r="H7285" s="28"/>
    </row>
    <row r="7286" spans="4:8" x14ac:dyDescent="0.25">
      <c r="D7286" s="28"/>
      <c r="F7286" s="28"/>
      <c r="H7286" s="28"/>
    </row>
    <row r="7287" spans="4:8" x14ac:dyDescent="0.25">
      <c r="D7287" s="28"/>
      <c r="F7287" s="28"/>
      <c r="H7287" s="28"/>
    </row>
    <row r="7288" spans="4:8" x14ac:dyDescent="0.25">
      <c r="D7288" s="28"/>
      <c r="F7288" s="28"/>
      <c r="H7288" s="28"/>
    </row>
    <row r="7289" spans="4:8" x14ac:dyDescent="0.25">
      <c r="D7289" s="28"/>
      <c r="F7289" s="28"/>
      <c r="H7289" s="28"/>
    </row>
    <row r="7290" spans="4:8" x14ac:dyDescent="0.25">
      <c r="D7290" s="28"/>
      <c r="F7290" s="28"/>
      <c r="H7290" s="28"/>
    </row>
    <row r="7291" spans="4:8" x14ac:dyDescent="0.25">
      <c r="D7291" s="28"/>
      <c r="F7291" s="28"/>
      <c r="H7291" s="28"/>
    </row>
    <row r="7292" spans="4:8" x14ac:dyDescent="0.25">
      <c r="D7292" s="28"/>
      <c r="F7292" s="28"/>
      <c r="H7292" s="28"/>
    </row>
    <row r="7293" spans="4:8" x14ac:dyDescent="0.25">
      <c r="D7293" s="28"/>
      <c r="F7293" s="28"/>
      <c r="H7293" s="28"/>
    </row>
    <row r="7294" spans="4:8" x14ac:dyDescent="0.25">
      <c r="D7294" s="28"/>
      <c r="F7294" s="28"/>
      <c r="H7294" s="28"/>
    </row>
    <row r="7295" spans="4:8" x14ac:dyDescent="0.25">
      <c r="D7295" s="28"/>
      <c r="F7295" s="28"/>
      <c r="H7295" s="28"/>
    </row>
    <row r="7296" spans="4:8" x14ac:dyDescent="0.25">
      <c r="D7296" s="28"/>
      <c r="F7296" s="28"/>
      <c r="H7296" s="28"/>
    </row>
    <row r="7297" spans="4:8" x14ac:dyDescent="0.25">
      <c r="D7297" s="28"/>
      <c r="F7297" s="28"/>
      <c r="H7297" s="28"/>
    </row>
    <row r="7298" spans="4:8" x14ac:dyDescent="0.25">
      <c r="D7298" s="28"/>
      <c r="F7298" s="28"/>
      <c r="H7298" s="28"/>
    </row>
    <row r="7299" spans="4:8" x14ac:dyDescent="0.25">
      <c r="D7299" s="28"/>
      <c r="F7299" s="28"/>
      <c r="H7299" s="28"/>
    </row>
    <row r="7300" spans="4:8" x14ac:dyDescent="0.25">
      <c r="D7300" s="28"/>
      <c r="F7300" s="28"/>
      <c r="H7300" s="28"/>
    </row>
    <row r="7301" spans="4:8" x14ac:dyDescent="0.25">
      <c r="D7301" s="28"/>
      <c r="F7301" s="28"/>
      <c r="H7301" s="28"/>
    </row>
    <row r="7302" spans="4:8" x14ac:dyDescent="0.25">
      <c r="D7302" s="28"/>
      <c r="F7302" s="28"/>
      <c r="H7302" s="28"/>
    </row>
    <row r="7303" spans="4:8" x14ac:dyDescent="0.25">
      <c r="D7303" s="28"/>
      <c r="F7303" s="28"/>
      <c r="H7303" s="28"/>
    </row>
    <row r="7304" spans="4:8" x14ac:dyDescent="0.25">
      <c r="D7304" s="28"/>
      <c r="F7304" s="28"/>
      <c r="H7304" s="28"/>
    </row>
    <row r="7305" spans="4:8" x14ac:dyDescent="0.25">
      <c r="D7305" s="28"/>
      <c r="F7305" s="28"/>
      <c r="H7305" s="28"/>
    </row>
    <row r="7306" spans="4:8" x14ac:dyDescent="0.25">
      <c r="D7306" s="28"/>
      <c r="F7306" s="28"/>
      <c r="H7306" s="28"/>
    </row>
    <row r="7307" spans="4:8" x14ac:dyDescent="0.25">
      <c r="D7307" s="28"/>
      <c r="F7307" s="28"/>
      <c r="H7307" s="28"/>
    </row>
    <row r="7308" spans="4:8" x14ac:dyDescent="0.25">
      <c r="D7308" s="28"/>
      <c r="F7308" s="28"/>
      <c r="H7308" s="28"/>
    </row>
    <row r="7309" spans="4:8" x14ac:dyDescent="0.25">
      <c r="D7309" s="28"/>
      <c r="F7309" s="28"/>
      <c r="H7309" s="28"/>
    </row>
    <row r="7310" spans="4:8" x14ac:dyDescent="0.25">
      <c r="D7310" s="28"/>
      <c r="F7310" s="28"/>
      <c r="H7310" s="28"/>
    </row>
    <row r="7311" spans="4:8" x14ac:dyDescent="0.25">
      <c r="D7311" s="28"/>
      <c r="F7311" s="28"/>
      <c r="H7311" s="28"/>
    </row>
    <row r="7312" spans="4:8" x14ac:dyDescent="0.25">
      <c r="D7312" s="28"/>
      <c r="F7312" s="28"/>
      <c r="H7312" s="28"/>
    </row>
    <row r="7313" spans="4:8" x14ac:dyDescent="0.25">
      <c r="D7313" s="28"/>
      <c r="F7313" s="28"/>
      <c r="H7313" s="28"/>
    </row>
    <row r="7314" spans="4:8" x14ac:dyDescent="0.25">
      <c r="D7314" s="28"/>
      <c r="F7314" s="28"/>
      <c r="H7314" s="28"/>
    </row>
    <row r="7315" spans="4:8" x14ac:dyDescent="0.25">
      <c r="D7315" s="28"/>
      <c r="F7315" s="28"/>
      <c r="H7315" s="28"/>
    </row>
    <row r="7316" spans="4:8" x14ac:dyDescent="0.25">
      <c r="D7316" s="28"/>
      <c r="F7316" s="28"/>
      <c r="H7316" s="28"/>
    </row>
    <row r="7317" spans="4:8" x14ac:dyDescent="0.25">
      <c r="D7317" s="28"/>
      <c r="F7317" s="28"/>
      <c r="H7317" s="28"/>
    </row>
    <row r="7318" spans="4:8" x14ac:dyDescent="0.25">
      <c r="D7318" s="28"/>
      <c r="F7318" s="28"/>
      <c r="H7318" s="28"/>
    </row>
    <row r="7319" spans="4:8" x14ac:dyDescent="0.25">
      <c r="D7319" s="28"/>
      <c r="F7319" s="28"/>
      <c r="H7319" s="28"/>
    </row>
    <row r="7320" spans="4:8" x14ac:dyDescent="0.25">
      <c r="D7320" s="28"/>
      <c r="F7320" s="28"/>
      <c r="H7320" s="28"/>
    </row>
    <row r="7321" spans="4:8" x14ac:dyDescent="0.25">
      <c r="D7321" s="28"/>
      <c r="F7321" s="28"/>
      <c r="H7321" s="28"/>
    </row>
    <row r="7322" spans="4:8" x14ac:dyDescent="0.25">
      <c r="D7322" s="28"/>
      <c r="F7322" s="28"/>
      <c r="H7322" s="28"/>
    </row>
    <row r="7323" spans="4:8" x14ac:dyDescent="0.25">
      <c r="D7323" s="28"/>
      <c r="F7323" s="28"/>
      <c r="H7323" s="28"/>
    </row>
    <row r="7324" spans="4:8" x14ac:dyDescent="0.25">
      <c r="D7324" s="28"/>
      <c r="F7324" s="28"/>
      <c r="H7324" s="28"/>
    </row>
    <row r="7325" spans="4:8" x14ac:dyDescent="0.25">
      <c r="D7325" s="28"/>
      <c r="F7325" s="28"/>
      <c r="H7325" s="28"/>
    </row>
    <row r="7326" spans="4:8" x14ac:dyDescent="0.25">
      <c r="D7326" s="28"/>
      <c r="F7326" s="28"/>
      <c r="H7326" s="28"/>
    </row>
    <row r="7327" spans="4:8" x14ac:dyDescent="0.25">
      <c r="D7327" s="28"/>
      <c r="F7327" s="28"/>
      <c r="H7327" s="28"/>
    </row>
    <row r="7328" spans="4:8" x14ac:dyDescent="0.25">
      <c r="D7328" s="28"/>
      <c r="F7328" s="28"/>
      <c r="H7328" s="28"/>
    </row>
    <row r="7329" spans="4:8" x14ac:dyDescent="0.25">
      <c r="D7329" s="28"/>
      <c r="F7329" s="28"/>
      <c r="H7329" s="28"/>
    </row>
    <row r="7330" spans="4:8" x14ac:dyDescent="0.25">
      <c r="D7330" s="28"/>
      <c r="F7330" s="28"/>
      <c r="H7330" s="28"/>
    </row>
    <row r="7331" spans="4:8" x14ac:dyDescent="0.25">
      <c r="D7331" s="28"/>
      <c r="F7331" s="28"/>
      <c r="H7331" s="28"/>
    </row>
    <row r="7332" spans="4:8" x14ac:dyDescent="0.25">
      <c r="D7332" s="28"/>
      <c r="F7332" s="28"/>
      <c r="H7332" s="28"/>
    </row>
    <row r="7333" spans="4:8" x14ac:dyDescent="0.25">
      <c r="D7333" s="28"/>
      <c r="F7333" s="28"/>
      <c r="H7333" s="28"/>
    </row>
    <row r="7334" spans="4:8" x14ac:dyDescent="0.25">
      <c r="D7334" s="28"/>
      <c r="F7334" s="28"/>
      <c r="H7334" s="28"/>
    </row>
    <row r="7335" spans="4:8" x14ac:dyDescent="0.25">
      <c r="D7335" s="28"/>
      <c r="F7335" s="28"/>
      <c r="H7335" s="28"/>
    </row>
    <row r="7336" spans="4:8" x14ac:dyDescent="0.25">
      <c r="D7336" s="28"/>
      <c r="F7336" s="28"/>
      <c r="H7336" s="28"/>
    </row>
    <row r="7337" spans="4:8" x14ac:dyDescent="0.25">
      <c r="D7337" s="28"/>
      <c r="F7337" s="28"/>
      <c r="H7337" s="28"/>
    </row>
    <row r="7338" spans="4:8" x14ac:dyDescent="0.25">
      <c r="D7338" s="28"/>
      <c r="F7338" s="28"/>
      <c r="H7338" s="28"/>
    </row>
    <row r="7339" spans="4:8" x14ac:dyDescent="0.25">
      <c r="D7339" s="28"/>
      <c r="F7339" s="28"/>
      <c r="H7339" s="28"/>
    </row>
    <row r="7340" spans="4:8" x14ac:dyDescent="0.25">
      <c r="D7340" s="28"/>
      <c r="F7340" s="28"/>
      <c r="H7340" s="28"/>
    </row>
    <row r="7341" spans="4:8" x14ac:dyDescent="0.25">
      <c r="D7341" s="28"/>
      <c r="F7341" s="28"/>
      <c r="H7341" s="28"/>
    </row>
    <row r="7342" spans="4:8" x14ac:dyDescent="0.25">
      <c r="D7342" s="28"/>
      <c r="F7342" s="28"/>
      <c r="H7342" s="28"/>
    </row>
    <row r="7343" spans="4:8" x14ac:dyDescent="0.25">
      <c r="D7343" s="28"/>
      <c r="F7343" s="28"/>
      <c r="H7343" s="28"/>
    </row>
    <row r="7344" spans="4:8" x14ac:dyDescent="0.25">
      <c r="D7344" s="28"/>
      <c r="F7344" s="28"/>
      <c r="H7344" s="28"/>
    </row>
    <row r="7345" spans="4:8" x14ac:dyDescent="0.25">
      <c r="D7345" s="28"/>
      <c r="F7345" s="28"/>
      <c r="H7345" s="28"/>
    </row>
    <row r="7346" spans="4:8" x14ac:dyDescent="0.25">
      <c r="D7346" s="28"/>
      <c r="F7346" s="28"/>
      <c r="H7346" s="28"/>
    </row>
    <row r="7347" spans="4:8" x14ac:dyDescent="0.25">
      <c r="D7347" s="28"/>
      <c r="F7347" s="28"/>
      <c r="H7347" s="28"/>
    </row>
    <row r="7348" spans="4:8" x14ac:dyDescent="0.25">
      <c r="D7348" s="28"/>
      <c r="F7348" s="28"/>
      <c r="H7348" s="28"/>
    </row>
    <row r="7349" spans="4:8" x14ac:dyDescent="0.25">
      <c r="D7349" s="28"/>
      <c r="F7349" s="28"/>
      <c r="H7349" s="28"/>
    </row>
    <row r="7350" spans="4:8" x14ac:dyDescent="0.25">
      <c r="D7350" s="28"/>
      <c r="F7350" s="28"/>
      <c r="H7350" s="28"/>
    </row>
    <row r="7351" spans="4:8" x14ac:dyDescent="0.25">
      <c r="D7351" s="28"/>
      <c r="F7351" s="28"/>
      <c r="H7351" s="28"/>
    </row>
    <row r="7352" spans="4:8" x14ac:dyDescent="0.25">
      <c r="D7352" s="28"/>
      <c r="F7352" s="28"/>
      <c r="H7352" s="28"/>
    </row>
    <row r="7353" spans="4:8" x14ac:dyDescent="0.25">
      <c r="D7353" s="28"/>
      <c r="F7353" s="28"/>
      <c r="H7353" s="28"/>
    </row>
    <row r="7354" spans="4:8" x14ac:dyDescent="0.25">
      <c r="D7354" s="28"/>
      <c r="F7354" s="28"/>
      <c r="H7354" s="28"/>
    </row>
    <row r="7355" spans="4:8" x14ac:dyDescent="0.25">
      <c r="D7355" s="28"/>
      <c r="F7355" s="28"/>
      <c r="H7355" s="28"/>
    </row>
    <row r="7356" spans="4:8" x14ac:dyDescent="0.25">
      <c r="D7356" s="28"/>
      <c r="F7356" s="28"/>
      <c r="H7356" s="28"/>
    </row>
    <row r="7357" spans="4:8" x14ac:dyDescent="0.25">
      <c r="D7357" s="28"/>
      <c r="F7357" s="28"/>
      <c r="H7357" s="28"/>
    </row>
    <row r="7358" spans="4:8" x14ac:dyDescent="0.25">
      <c r="D7358" s="28"/>
      <c r="F7358" s="28"/>
      <c r="H7358" s="28"/>
    </row>
    <row r="7359" spans="4:8" x14ac:dyDescent="0.25">
      <c r="D7359" s="28"/>
      <c r="F7359" s="28"/>
      <c r="H7359" s="28"/>
    </row>
    <row r="7360" spans="4:8" x14ac:dyDescent="0.25">
      <c r="D7360" s="28"/>
      <c r="F7360" s="28"/>
      <c r="H7360" s="28"/>
    </row>
    <row r="7361" spans="4:8" x14ac:dyDescent="0.25">
      <c r="D7361" s="28"/>
      <c r="F7361" s="28"/>
      <c r="H7361" s="28"/>
    </row>
    <row r="7362" spans="4:8" x14ac:dyDescent="0.25">
      <c r="D7362" s="28"/>
      <c r="F7362" s="28"/>
      <c r="H7362" s="28"/>
    </row>
    <row r="7363" spans="4:8" x14ac:dyDescent="0.25">
      <c r="D7363" s="28"/>
      <c r="F7363" s="28"/>
      <c r="H7363" s="28"/>
    </row>
    <row r="7364" spans="4:8" x14ac:dyDescent="0.25">
      <c r="D7364" s="28"/>
      <c r="F7364" s="28"/>
      <c r="H7364" s="28"/>
    </row>
    <row r="7365" spans="4:8" x14ac:dyDescent="0.25">
      <c r="D7365" s="28"/>
      <c r="F7365" s="28"/>
      <c r="H7365" s="28"/>
    </row>
    <row r="7366" spans="4:8" x14ac:dyDescent="0.25">
      <c r="D7366" s="28"/>
      <c r="F7366" s="28"/>
      <c r="H7366" s="28"/>
    </row>
    <row r="7367" spans="4:8" x14ac:dyDescent="0.25">
      <c r="D7367" s="28"/>
      <c r="F7367" s="28"/>
      <c r="H7367" s="28"/>
    </row>
    <row r="7368" spans="4:8" x14ac:dyDescent="0.25">
      <c r="D7368" s="28"/>
      <c r="F7368" s="28"/>
      <c r="H7368" s="28"/>
    </row>
    <row r="7369" spans="4:8" x14ac:dyDescent="0.25">
      <c r="D7369" s="28"/>
      <c r="F7369" s="28"/>
      <c r="H7369" s="28"/>
    </row>
    <row r="7370" spans="4:8" x14ac:dyDescent="0.25">
      <c r="D7370" s="28"/>
      <c r="F7370" s="28"/>
      <c r="H7370" s="28"/>
    </row>
    <row r="7371" spans="4:8" x14ac:dyDescent="0.25">
      <c r="D7371" s="28"/>
      <c r="F7371" s="28"/>
      <c r="H7371" s="28"/>
    </row>
    <row r="7372" spans="4:8" x14ac:dyDescent="0.25">
      <c r="D7372" s="28"/>
      <c r="F7372" s="28"/>
      <c r="H7372" s="28"/>
    </row>
    <row r="7373" spans="4:8" x14ac:dyDescent="0.25">
      <c r="D7373" s="28"/>
      <c r="F7373" s="28"/>
      <c r="H7373" s="28"/>
    </row>
    <row r="7374" spans="4:8" x14ac:dyDescent="0.25">
      <c r="D7374" s="28"/>
      <c r="F7374" s="28"/>
      <c r="H7374" s="28"/>
    </row>
    <row r="7375" spans="4:8" x14ac:dyDescent="0.25">
      <c r="D7375" s="28"/>
      <c r="F7375" s="28"/>
      <c r="H7375" s="28"/>
    </row>
    <row r="7376" spans="4:8" x14ac:dyDescent="0.25">
      <c r="D7376" s="28"/>
      <c r="F7376" s="28"/>
      <c r="H7376" s="28"/>
    </row>
    <row r="7377" spans="4:8" x14ac:dyDescent="0.25">
      <c r="D7377" s="28"/>
      <c r="F7377" s="28"/>
      <c r="H7377" s="28"/>
    </row>
    <row r="7378" spans="4:8" x14ac:dyDescent="0.25">
      <c r="D7378" s="28"/>
      <c r="F7378" s="28"/>
      <c r="H7378" s="28"/>
    </row>
    <row r="7379" spans="4:8" x14ac:dyDescent="0.25">
      <c r="D7379" s="28"/>
      <c r="F7379" s="28"/>
      <c r="H7379" s="28"/>
    </row>
    <row r="7380" spans="4:8" x14ac:dyDescent="0.25">
      <c r="D7380" s="28"/>
      <c r="F7380" s="28"/>
      <c r="H7380" s="28"/>
    </row>
    <row r="7381" spans="4:8" x14ac:dyDescent="0.25">
      <c r="D7381" s="28"/>
      <c r="F7381" s="28"/>
      <c r="H7381" s="28"/>
    </row>
    <row r="7382" spans="4:8" x14ac:dyDescent="0.25">
      <c r="D7382" s="28"/>
      <c r="F7382" s="28"/>
      <c r="H7382" s="28"/>
    </row>
    <row r="7383" spans="4:8" x14ac:dyDescent="0.25">
      <c r="D7383" s="28"/>
      <c r="F7383" s="28"/>
      <c r="H7383" s="28"/>
    </row>
    <row r="7384" spans="4:8" x14ac:dyDescent="0.25">
      <c r="D7384" s="28"/>
      <c r="F7384" s="28"/>
      <c r="H7384" s="28"/>
    </row>
    <row r="7385" spans="4:8" x14ac:dyDescent="0.25">
      <c r="D7385" s="28"/>
      <c r="F7385" s="28"/>
      <c r="H7385" s="28"/>
    </row>
    <row r="7386" spans="4:8" x14ac:dyDescent="0.25">
      <c r="D7386" s="28"/>
      <c r="F7386" s="28"/>
      <c r="H7386" s="28"/>
    </row>
    <row r="7387" spans="4:8" x14ac:dyDescent="0.25">
      <c r="D7387" s="28"/>
      <c r="F7387" s="28"/>
      <c r="H7387" s="28"/>
    </row>
    <row r="7388" spans="4:8" x14ac:dyDescent="0.25">
      <c r="D7388" s="28"/>
      <c r="F7388" s="28"/>
      <c r="H7388" s="28"/>
    </row>
    <row r="7389" spans="4:8" x14ac:dyDescent="0.25">
      <c r="D7389" s="28"/>
      <c r="F7389" s="28"/>
      <c r="H7389" s="28"/>
    </row>
    <row r="7390" spans="4:8" x14ac:dyDescent="0.25">
      <c r="D7390" s="28"/>
      <c r="F7390" s="28"/>
      <c r="H7390" s="28"/>
    </row>
    <row r="7391" spans="4:8" x14ac:dyDescent="0.25">
      <c r="D7391" s="28"/>
      <c r="F7391" s="28"/>
      <c r="H7391" s="28"/>
    </row>
    <row r="7392" spans="4:8" x14ac:dyDescent="0.25">
      <c r="D7392" s="28"/>
      <c r="F7392" s="28"/>
      <c r="H7392" s="28"/>
    </row>
    <row r="7393" spans="4:8" x14ac:dyDescent="0.25">
      <c r="D7393" s="28"/>
      <c r="F7393" s="28"/>
      <c r="H7393" s="28"/>
    </row>
    <row r="7394" spans="4:8" x14ac:dyDescent="0.25">
      <c r="D7394" s="28"/>
      <c r="F7394" s="28"/>
      <c r="H7394" s="28"/>
    </row>
    <row r="7395" spans="4:8" x14ac:dyDescent="0.25">
      <c r="D7395" s="28"/>
      <c r="F7395" s="28"/>
      <c r="H7395" s="28"/>
    </row>
    <row r="7396" spans="4:8" x14ac:dyDescent="0.25">
      <c r="D7396" s="28"/>
      <c r="F7396" s="28"/>
      <c r="H7396" s="28"/>
    </row>
    <row r="7397" spans="4:8" x14ac:dyDescent="0.25">
      <c r="D7397" s="28"/>
      <c r="F7397" s="28"/>
      <c r="H7397" s="28"/>
    </row>
    <row r="7398" spans="4:8" x14ac:dyDescent="0.25">
      <c r="D7398" s="28"/>
      <c r="F7398" s="28"/>
      <c r="H7398" s="28"/>
    </row>
    <row r="7399" spans="4:8" x14ac:dyDescent="0.25">
      <c r="D7399" s="28"/>
      <c r="F7399" s="28"/>
      <c r="H7399" s="28"/>
    </row>
    <row r="7400" spans="4:8" x14ac:dyDescent="0.25">
      <c r="D7400" s="28"/>
      <c r="F7400" s="28"/>
      <c r="H7400" s="28"/>
    </row>
    <row r="7401" spans="4:8" x14ac:dyDescent="0.25">
      <c r="D7401" s="28"/>
      <c r="F7401" s="28"/>
      <c r="H7401" s="28"/>
    </row>
    <row r="7402" spans="4:8" x14ac:dyDescent="0.25">
      <c r="D7402" s="28"/>
      <c r="F7402" s="28"/>
      <c r="H7402" s="28"/>
    </row>
    <row r="7403" spans="4:8" x14ac:dyDescent="0.25">
      <c r="D7403" s="28"/>
      <c r="F7403" s="28"/>
      <c r="H7403" s="28"/>
    </row>
    <row r="7404" spans="4:8" x14ac:dyDescent="0.25">
      <c r="D7404" s="28"/>
      <c r="F7404" s="28"/>
      <c r="H7404" s="28"/>
    </row>
    <row r="7405" spans="4:8" x14ac:dyDescent="0.25">
      <c r="D7405" s="28"/>
      <c r="F7405" s="28"/>
      <c r="H7405" s="28"/>
    </row>
    <row r="7406" spans="4:8" x14ac:dyDescent="0.25">
      <c r="D7406" s="28"/>
      <c r="F7406" s="28"/>
      <c r="H7406" s="28"/>
    </row>
    <row r="7407" spans="4:8" x14ac:dyDescent="0.25">
      <c r="D7407" s="28"/>
      <c r="F7407" s="28"/>
      <c r="H7407" s="28"/>
    </row>
    <row r="7408" spans="4:8" x14ac:dyDescent="0.25">
      <c r="D7408" s="28"/>
      <c r="F7408" s="28"/>
      <c r="H7408" s="28"/>
    </row>
    <row r="7409" spans="4:8" x14ac:dyDescent="0.25">
      <c r="D7409" s="28"/>
      <c r="F7409" s="28"/>
      <c r="H7409" s="28"/>
    </row>
    <row r="7410" spans="4:8" x14ac:dyDescent="0.25">
      <c r="D7410" s="28"/>
      <c r="F7410" s="28"/>
      <c r="H7410" s="28"/>
    </row>
    <row r="7411" spans="4:8" x14ac:dyDescent="0.25">
      <c r="D7411" s="28"/>
      <c r="F7411" s="28"/>
      <c r="H7411" s="28"/>
    </row>
    <row r="7412" spans="4:8" x14ac:dyDescent="0.25">
      <c r="D7412" s="28"/>
      <c r="F7412" s="28"/>
      <c r="H7412" s="28"/>
    </row>
    <row r="7413" spans="4:8" x14ac:dyDescent="0.25">
      <c r="D7413" s="28"/>
      <c r="F7413" s="28"/>
      <c r="H7413" s="28"/>
    </row>
    <row r="7414" spans="4:8" x14ac:dyDescent="0.25">
      <c r="D7414" s="28"/>
      <c r="F7414" s="28"/>
      <c r="H7414" s="28"/>
    </row>
    <row r="7415" spans="4:8" x14ac:dyDescent="0.25">
      <c r="D7415" s="28"/>
      <c r="F7415" s="28"/>
      <c r="H7415" s="28"/>
    </row>
    <row r="7416" spans="4:8" x14ac:dyDescent="0.25">
      <c r="D7416" s="28"/>
      <c r="F7416" s="28"/>
      <c r="H7416" s="28"/>
    </row>
    <row r="7417" spans="4:8" x14ac:dyDescent="0.25">
      <c r="D7417" s="28"/>
      <c r="F7417" s="28"/>
      <c r="H7417" s="28"/>
    </row>
    <row r="7418" spans="4:8" x14ac:dyDescent="0.25">
      <c r="D7418" s="28"/>
      <c r="F7418" s="28"/>
      <c r="H7418" s="28"/>
    </row>
    <row r="7419" spans="4:8" x14ac:dyDescent="0.25">
      <c r="D7419" s="28"/>
      <c r="F7419" s="28"/>
      <c r="H7419" s="28"/>
    </row>
    <row r="7420" spans="4:8" x14ac:dyDescent="0.25">
      <c r="D7420" s="28"/>
      <c r="F7420" s="28"/>
      <c r="H7420" s="28"/>
    </row>
    <row r="7421" spans="4:8" x14ac:dyDescent="0.25">
      <c r="D7421" s="28"/>
      <c r="F7421" s="28"/>
      <c r="H7421" s="28"/>
    </row>
    <row r="7422" spans="4:8" x14ac:dyDescent="0.25">
      <c r="D7422" s="28"/>
      <c r="F7422" s="28"/>
      <c r="H7422" s="28"/>
    </row>
    <row r="7423" spans="4:8" x14ac:dyDescent="0.25">
      <c r="D7423" s="28"/>
      <c r="F7423" s="28"/>
      <c r="H7423" s="28"/>
    </row>
    <row r="7424" spans="4:8" x14ac:dyDescent="0.25">
      <c r="D7424" s="28"/>
      <c r="F7424" s="28"/>
      <c r="H7424" s="28"/>
    </row>
    <row r="7425" spans="4:8" x14ac:dyDescent="0.25">
      <c r="D7425" s="28"/>
      <c r="F7425" s="28"/>
      <c r="H7425" s="28"/>
    </row>
    <row r="7426" spans="4:8" x14ac:dyDescent="0.25">
      <c r="D7426" s="28"/>
      <c r="F7426" s="28"/>
      <c r="H7426" s="28"/>
    </row>
    <row r="7427" spans="4:8" x14ac:dyDescent="0.25">
      <c r="D7427" s="28"/>
      <c r="F7427" s="28"/>
      <c r="H7427" s="28"/>
    </row>
    <row r="7428" spans="4:8" x14ac:dyDescent="0.25">
      <c r="D7428" s="28"/>
      <c r="F7428" s="28"/>
      <c r="H7428" s="28"/>
    </row>
    <row r="7429" spans="4:8" x14ac:dyDescent="0.25">
      <c r="D7429" s="28"/>
      <c r="F7429" s="28"/>
      <c r="H7429" s="28"/>
    </row>
    <row r="7430" spans="4:8" x14ac:dyDescent="0.25">
      <c r="D7430" s="28"/>
      <c r="F7430" s="28"/>
      <c r="H7430" s="28"/>
    </row>
    <row r="7431" spans="4:8" x14ac:dyDescent="0.25">
      <c r="D7431" s="28"/>
      <c r="F7431" s="28"/>
      <c r="H7431" s="28"/>
    </row>
    <row r="7432" spans="4:8" x14ac:dyDescent="0.25">
      <c r="D7432" s="28"/>
      <c r="F7432" s="28"/>
      <c r="H7432" s="28"/>
    </row>
    <row r="7433" spans="4:8" x14ac:dyDescent="0.25">
      <c r="D7433" s="28"/>
      <c r="F7433" s="28"/>
      <c r="H7433" s="28"/>
    </row>
    <row r="7434" spans="4:8" x14ac:dyDescent="0.25">
      <c r="D7434" s="28"/>
      <c r="F7434" s="28"/>
      <c r="H7434" s="28"/>
    </row>
    <row r="7435" spans="4:8" x14ac:dyDescent="0.25">
      <c r="D7435" s="28"/>
      <c r="F7435" s="28"/>
      <c r="H7435" s="28"/>
    </row>
    <row r="7436" spans="4:8" x14ac:dyDescent="0.25">
      <c r="D7436" s="28"/>
      <c r="F7436" s="28"/>
      <c r="H7436" s="28"/>
    </row>
    <row r="7437" spans="4:8" x14ac:dyDescent="0.25">
      <c r="D7437" s="28"/>
      <c r="F7437" s="28"/>
      <c r="H7437" s="28"/>
    </row>
    <row r="7438" spans="4:8" x14ac:dyDescent="0.25">
      <c r="D7438" s="28"/>
      <c r="F7438" s="28"/>
      <c r="H7438" s="28"/>
    </row>
    <row r="7439" spans="4:8" x14ac:dyDescent="0.25">
      <c r="D7439" s="28"/>
      <c r="F7439" s="28"/>
      <c r="H7439" s="28"/>
    </row>
    <row r="7440" spans="4:8" x14ac:dyDescent="0.25">
      <c r="D7440" s="28"/>
      <c r="F7440" s="28"/>
      <c r="H7440" s="28"/>
    </row>
    <row r="7441" spans="4:8" x14ac:dyDescent="0.25">
      <c r="D7441" s="28"/>
      <c r="F7441" s="28"/>
      <c r="H7441" s="28"/>
    </row>
    <row r="7442" spans="4:8" x14ac:dyDescent="0.25">
      <c r="D7442" s="28"/>
      <c r="F7442" s="28"/>
      <c r="H7442" s="28"/>
    </row>
    <row r="7443" spans="4:8" x14ac:dyDescent="0.25">
      <c r="D7443" s="28"/>
      <c r="F7443" s="28"/>
      <c r="H7443" s="28"/>
    </row>
    <row r="7444" spans="4:8" x14ac:dyDescent="0.25">
      <c r="D7444" s="28"/>
      <c r="F7444" s="28"/>
      <c r="H7444" s="28"/>
    </row>
    <row r="7445" spans="4:8" x14ac:dyDescent="0.25">
      <c r="D7445" s="28"/>
      <c r="F7445" s="28"/>
      <c r="H7445" s="28"/>
    </row>
    <row r="7446" spans="4:8" x14ac:dyDescent="0.25">
      <c r="D7446" s="28"/>
      <c r="F7446" s="28"/>
      <c r="H7446" s="28"/>
    </row>
    <row r="7447" spans="4:8" x14ac:dyDescent="0.25">
      <c r="D7447" s="28"/>
      <c r="F7447" s="28"/>
      <c r="H7447" s="28"/>
    </row>
    <row r="7448" spans="4:8" x14ac:dyDescent="0.25">
      <c r="D7448" s="28"/>
      <c r="F7448" s="28"/>
      <c r="H7448" s="28"/>
    </row>
    <row r="7449" spans="4:8" x14ac:dyDescent="0.25">
      <c r="D7449" s="28"/>
      <c r="F7449" s="28"/>
      <c r="H7449" s="28"/>
    </row>
    <row r="7450" spans="4:8" x14ac:dyDescent="0.25">
      <c r="D7450" s="28"/>
      <c r="F7450" s="28"/>
      <c r="H7450" s="28"/>
    </row>
    <row r="7451" spans="4:8" x14ac:dyDescent="0.25">
      <c r="D7451" s="28"/>
      <c r="F7451" s="28"/>
      <c r="H7451" s="28"/>
    </row>
    <row r="7452" spans="4:8" x14ac:dyDescent="0.25">
      <c r="D7452" s="28"/>
      <c r="F7452" s="28"/>
      <c r="H7452" s="28"/>
    </row>
    <row r="7453" spans="4:8" x14ac:dyDescent="0.25">
      <c r="D7453" s="28"/>
      <c r="F7453" s="28"/>
      <c r="H7453" s="28"/>
    </row>
    <row r="7454" spans="4:8" x14ac:dyDescent="0.25">
      <c r="D7454" s="28"/>
      <c r="F7454" s="28"/>
      <c r="H7454" s="28"/>
    </row>
    <row r="7455" spans="4:8" x14ac:dyDescent="0.25">
      <c r="D7455" s="28"/>
      <c r="F7455" s="28"/>
      <c r="H7455" s="28"/>
    </row>
    <row r="7456" spans="4:8" x14ac:dyDescent="0.25">
      <c r="D7456" s="28"/>
      <c r="F7456" s="28"/>
      <c r="H7456" s="28"/>
    </row>
    <row r="7457" spans="4:8" x14ac:dyDescent="0.25">
      <c r="D7457" s="28"/>
      <c r="F7457" s="28"/>
      <c r="H7457" s="28"/>
    </row>
    <row r="7458" spans="4:8" x14ac:dyDescent="0.25">
      <c r="D7458" s="28"/>
      <c r="F7458" s="28"/>
      <c r="H7458" s="28"/>
    </row>
    <row r="7459" spans="4:8" x14ac:dyDescent="0.25">
      <c r="D7459" s="28"/>
      <c r="F7459" s="28"/>
      <c r="H7459" s="28"/>
    </row>
    <row r="7460" spans="4:8" x14ac:dyDescent="0.25">
      <c r="D7460" s="28"/>
      <c r="F7460" s="28"/>
      <c r="H7460" s="28"/>
    </row>
    <row r="7461" spans="4:8" x14ac:dyDescent="0.25">
      <c r="D7461" s="28"/>
      <c r="F7461" s="28"/>
      <c r="H7461" s="28"/>
    </row>
    <row r="7462" spans="4:8" x14ac:dyDescent="0.25">
      <c r="D7462" s="28"/>
      <c r="F7462" s="28"/>
      <c r="H7462" s="28"/>
    </row>
    <row r="7463" spans="4:8" x14ac:dyDescent="0.25">
      <c r="D7463" s="28"/>
      <c r="F7463" s="28"/>
      <c r="H7463" s="28"/>
    </row>
    <row r="7464" spans="4:8" x14ac:dyDescent="0.25">
      <c r="D7464" s="28"/>
      <c r="F7464" s="28"/>
      <c r="H7464" s="28"/>
    </row>
    <row r="7465" spans="4:8" x14ac:dyDescent="0.25">
      <c r="D7465" s="28"/>
      <c r="F7465" s="28"/>
      <c r="H7465" s="28"/>
    </row>
    <row r="7466" spans="4:8" x14ac:dyDescent="0.25">
      <c r="D7466" s="28"/>
      <c r="F7466" s="28"/>
      <c r="H7466" s="28"/>
    </row>
    <row r="7467" spans="4:8" x14ac:dyDescent="0.25">
      <c r="D7467" s="28"/>
      <c r="F7467" s="28"/>
      <c r="H7467" s="28"/>
    </row>
    <row r="7468" spans="4:8" x14ac:dyDescent="0.25">
      <c r="D7468" s="28"/>
      <c r="F7468" s="28"/>
      <c r="H7468" s="28"/>
    </row>
    <row r="7469" spans="4:8" x14ac:dyDescent="0.25">
      <c r="D7469" s="28"/>
      <c r="F7469" s="28"/>
      <c r="H7469" s="28"/>
    </row>
    <row r="7470" spans="4:8" x14ac:dyDescent="0.25">
      <c r="D7470" s="28"/>
      <c r="F7470" s="28"/>
      <c r="H7470" s="28"/>
    </row>
    <row r="7471" spans="4:8" x14ac:dyDescent="0.25">
      <c r="D7471" s="28"/>
      <c r="F7471" s="28"/>
      <c r="H7471" s="28"/>
    </row>
    <row r="7472" spans="4:8" x14ac:dyDescent="0.25">
      <c r="D7472" s="28"/>
      <c r="F7472" s="28"/>
      <c r="H7472" s="28"/>
    </row>
    <row r="7473" spans="4:8" x14ac:dyDescent="0.25">
      <c r="D7473" s="28"/>
      <c r="F7473" s="28"/>
      <c r="H7473" s="28"/>
    </row>
    <row r="7474" spans="4:8" x14ac:dyDescent="0.25">
      <c r="D7474" s="28"/>
      <c r="F7474" s="28"/>
      <c r="H7474" s="28"/>
    </row>
    <row r="7475" spans="4:8" x14ac:dyDescent="0.25">
      <c r="D7475" s="28"/>
      <c r="F7475" s="28"/>
      <c r="H7475" s="28"/>
    </row>
    <row r="7476" spans="4:8" x14ac:dyDescent="0.25">
      <c r="D7476" s="28"/>
      <c r="F7476" s="28"/>
      <c r="H7476" s="28"/>
    </row>
    <row r="7477" spans="4:8" x14ac:dyDescent="0.25">
      <c r="D7477" s="28"/>
      <c r="F7477" s="28"/>
      <c r="H7477" s="28"/>
    </row>
    <row r="7478" spans="4:8" x14ac:dyDescent="0.25">
      <c r="D7478" s="28"/>
      <c r="F7478" s="28"/>
      <c r="H7478" s="28"/>
    </row>
    <row r="7479" spans="4:8" x14ac:dyDescent="0.25">
      <c r="D7479" s="28"/>
      <c r="F7479" s="28"/>
      <c r="H7479" s="28"/>
    </row>
    <row r="7480" spans="4:8" x14ac:dyDescent="0.25">
      <c r="D7480" s="28"/>
      <c r="F7480" s="28"/>
      <c r="H7480" s="28"/>
    </row>
    <row r="7481" spans="4:8" x14ac:dyDescent="0.25">
      <c r="D7481" s="28"/>
      <c r="F7481" s="28"/>
      <c r="H7481" s="28"/>
    </row>
    <row r="7482" spans="4:8" x14ac:dyDescent="0.25">
      <c r="D7482" s="28"/>
      <c r="F7482" s="28"/>
      <c r="H7482" s="28"/>
    </row>
    <row r="7483" spans="4:8" x14ac:dyDescent="0.25">
      <c r="D7483" s="28"/>
      <c r="F7483" s="28"/>
      <c r="H7483" s="28"/>
    </row>
    <row r="7484" spans="4:8" x14ac:dyDescent="0.25">
      <c r="D7484" s="28"/>
      <c r="F7484" s="28"/>
      <c r="H7484" s="28"/>
    </row>
    <row r="7485" spans="4:8" x14ac:dyDescent="0.25">
      <c r="D7485" s="28"/>
      <c r="F7485" s="28"/>
      <c r="H7485" s="28"/>
    </row>
    <row r="7486" spans="4:8" x14ac:dyDescent="0.25">
      <c r="D7486" s="28"/>
      <c r="F7486" s="28"/>
      <c r="H7486" s="28"/>
    </row>
    <row r="7487" spans="4:8" x14ac:dyDescent="0.25">
      <c r="D7487" s="28"/>
      <c r="F7487" s="28"/>
      <c r="H7487" s="28"/>
    </row>
    <row r="7488" spans="4:8" x14ac:dyDescent="0.25">
      <c r="D7488" s="28"/>
      <c r="F7488" s="28"/>
      <c r="H7488" s="28"/>
    </row>
    <row r="7489" spans="4:8" x14ac:dyDescent="0.25">
      <c r="D7489" s="28"/>
      <c r="F7489" s="28"/>
      <c r="H7489" s="28"/>
    </row>
    <row r="7490" spans="4:8" x14ac:dyDescent="0.25">
      <c r="D7490" s="28"/>
      <c r="F7490" s="28"/>
      <c r="H7490" s="28"/>
    </row>
    <row r="7491" spans="4:8" x14ac:dyDescent="0.25">
      <c r="D7491" s="28"/>
      <c r="F7491" s="28"/>
      <c r="H7491" s="28"/>
    </row>
    <row r="7492" spans="4:8" x14ac:dyDescent="0.25">
      <c r="D7492" s="28"/>
      <c r="F7492" s="28"/>
      <c r="H7492" s="28"/>
    </row>
    <row r="7493" spans="4:8" x14ac:dyDescent="0.25">
      <c r="D7493" s="28"/>
      <c r="F7493" s="28"/>
      <c r="H7493" s="28"/>
    </row>
    <row r="7494" spans="4:8" x14ac:dyDescent="0.25">
      <c r="D7494" s="28"/>
      <c r="F7494" s="28"/>
      <c r="H7494" s="28"/>
    </row>
    <row r="7495" spans="4:8" x14ac:dyDescent="0.25">
      <c r="D7495" s="28"/>
      <c r="F7495" s="28"/>
      <c r="H7495" s="28"/>
    </row>
    <row r="7496" spans="4:8" x14ac:dyDescent="0.25">
      <c r="D7496" s="28"/>
      <c r="F7496" s="28"/>
      <c r="H7496" s="28"/>
    </row>
    <row r="7497" spans="4:8" x14ac:dyDescent="0.25">
      <c r="D7497" s="28"/>
      <c r="F7497" s="28"/>
      <c r="H7497" s="28"/>
    </row>
    <row r="7498" spans="4:8" x14ac:dyDescent="0.25">
      <c r="D7498" s="28"/>
      <c r="F7498" s="28"/>
      <c r="H7498" s="28"/>
    </row>
    <row r="7499" spans="4:8" x14ac:dyDescent="0.25">
      <c r="D7499" s="28"/>
      <c r="F7499" s="28"/>
      <c r="H7499" s="28"/>
    </row>
    <row r="7500" spans="4:8" x14ac:dyDescent="0.25">
      <c r="D7500" s="28"/>
      <c r="F7500" s="28"/>
      <c r="H7500" s="28"/>
    </row>
    <row r="7501" spans="4:8" x14ac:dyDescent="0.25">
      <c r="D7501" s="28"/>
      <c r="F7501" s="28"/>
      <c r="H7501" s="28"/>
    </row>
    <row r="7502" spans="4:8" x14ac:dyDescent="0.25">
      <c r="D7502" s="28"/>
      <c r="F7502" s="28"/>
      <c r="H7502" s="28"/>
    </row>
    <row r="7503" spans="4:8" x14ac:dyDescent="0.25">
      <c r="D7503" s="28"/>
      <c r="F7503" s="28"/>
      <c r="H7503" s="28"/>
    </row>
    <row r="7504" spans="4:8" x14ac:dyDescent="0.25">
      <c r="D7504" s="28"/>
      <c r="F7504" s="28"/>
      <c r="H7504" s="28"/>
    </row>
    <row r="7505" spans="4:8" x14ac:dyDescent="0.25">
      <c r="D7505" s="28"/>
      <c r="F7505" s="28"/>
      <c r="H7505" s="28"/>
    </row>
    <row r="7506" spans="4:8" x14ac:dyDescent="0.25">
      <c r="D7506" s="28"/>
      <c r="F7506" s="28"/>
      <c r="H7506" s="28"/>
    </row>
    <row r="7507" spans="4:8" x14ac:dyDescent="0.25">
      <c r="D7507" s="28"/>
      <c r="F7507" s="28"/>
      <c r="H7507" s="28"/>
    </row>
    <row r="7508" spans="4:8" x14ac:dyDescent="0.25">
      <c r="D7508" s="28"/>
      <c r="F7508" s="28"/>
      <c r="H7508" s="28"/>
    </row>
    <row r="7509" spans="4:8" x14ac:dyDescent="0.25">
      <c r="D7509" s="28"/>
      <c r="F7509" s="28"/>
      <c r="H7509" s="28"/>
    </row>
    <row r="7510" spans="4:8" x14ac:dyDescent="0.25">
      <c r="D7510" s="28"/>
      <c r="F7510" s="28"/>
      <c r="H7510" s="28"/>
    </row>
    <row r="7511" spans="4:8" x14ac:dyDescent="0.25">
      <c r="D7511" s="28"/>
      <c r="F7511" s="28"/>
      <c r="H7511" s="28"/>
    </row>
    <row r="7512" spans="4:8" x14ac:dyDescent="0.25">
      <c r="D7512" s="28"/>
      <c r="F7512" s="28"/>
      <c r="H7512" s="28"/>
    </row>
    <row r="7513" spans="4:8" x14ac:dyDescent="0.25">
      <c r="D7513" s="28"/>
      <c r="F7513" s="28"/>
      <c r="H7513" s="28"/>
    </row>
    <row r="7514" spans="4:8" x14ac:dyDescent="0.25">
      <c r="D7514" s="28"/>
      <c r="F7514" s="28"/>
      <c r="H7514" s="28"/>
    </row>
    <row r="7515" spans="4:8" x14ac:dyDescent="0.25">
      <c r="D7515" s="28"/>
      <c r="F7515" s="28"/>
      <c r="H7515" s="28"/>
    </row>
    <row r="7516" spans="4:8" x14ac:dyDescent="0.25">
      <c r="D7516" s="28"/>
      <c r="F7516" s="28"/>
      <c r="H7516" s="28"/>
    </row>
    <row r="7517" spans="4:8" x14ac:dyDescent="0.25">
      <c r="D7517" s="28"/>
      <c r="F7517" s="28"/>
      <c r="H7517" s="28"/>
    </row>
    <row r="7518" spans="4:8" x14ac:dyDescent="0.25">
      <c r="D7518" s="28"/>
      <c r="F7518" s="28"/>
      <c r="H7518" s="28"/>
    </row>
    <row r="7519" spans="4:8" x14ac:dyDescent="0.25">
      <c r="D7519" s="28"/>
      <c r="F7519" s="28"/>
      <c r="H7519" s="28"/>
    </row>
    <row r="7520" spans="4:8" x14ac:dyDescent="0.25">
      <c r="D7520" s="28"/>
      <c r="F7520" s="28"/>
      <c r="H7520" s="28"/>
    </row>
    <row r="7521" spans="4:8" x14ac:dyDescent="0.25">
      <c r="D7521" s="28"/>
      <c r="F7521" s="28"/>
      <c r="H7521" s="28"/>
    </row>
    <row r="7522" spans="4:8" x14ac:dyDescent="0.25">
      <c r="D7522" s="28"/>
      <c r="F7522" s="28"/>
      <c r="H7522" s="28"/>
    </row>
    <row r="7523" spans="4:8" x14ac:dyDescent="0.25">
      <c r="D7523" s="28"/>
      <c r="F7523" s="28"/>
      <c r="H7523" s="28"/>
    </row>
    <row r="7524" spans="4:8" x14ac:dyDescent="0.25">
      <c r="D7524" s="28"/>
      <c r="F7524" s="28"/>
      <c r="H7524" s="28"/>
    </row>
    <row r="7525" spans="4:8" x14ac:dyDescent="0.25">
      <c r="D7525" s="28"/>
      <c r="F7525" s="28"/>
      <c r="H7525" s="28"/>
    </row>
    <row r="7526" spans="4:8" x14ac:dyDescent="0.25">
      <c r="D7526" s="28"/>
      <c r="F7526" s="28"/>
      <c r="H7526" s="28"/>
    </row>
    <row r="7527" spans="4:8" x14ac:dyDescent="0.25">
      <c r="D7527" s="28"/>
      <c r="F7527" s="28"/>
      <c r="H7527" s="28"/>
    </row>
    <row r="7528" spans="4:8" x14ac:dyDescent="0.25">
      <c r="D7528" s="28"/>
      <c r="F7528" s="28"/>
      <c r="H7528" s="28"/>
    </row>
    <row r="7529" spans="4:8" x14ac:dyDescent="0.25">
      <c r="D7529" s="28"/>
      <c r="F7529" s="28"/>
      <c r="H7529" s="28"/>
    </row>
    <row r="7530" spans="4:8" x14ac:dyDescent="0.25">
      <c r="D7530" s="28"/>
      <c r="F7530" s="28"/>
      <c r="H7530" s="28"/>
    </row>
    <row r="7531" spans="4:8" x14ac:dyDescent="0.25">
      <c r="D7531" s="28"/>
      <c r="F7531" s="28"/>
      <c r="H7531" s="28"/>
    </row>
    <row r="7532" spans="4:8" x14ac:dyDescent="0.25">
      <c r="D7532" s="28"/>
      <c r="F7532" s="28"/>
      <c r="H7532" s="28"/>
    </row>
    <row r="7533" spans="4:8" x14ac:dyDescent="0.25">
      <c r="D7533" s="28"/>
      <c r="F7533" s="28"/>
      <c r="H7533" s="28"/>
    </row>
    <row r="7534" spans="4:8" x14ac:dyDescent="0.25">
      <c r="D7534" s="28"/>
      <c r="F7534" s="28"/>
      <c r="H7534" s="28"/>
    </row>
    <row r="7535" spans="4:8" x14ac:dyDescent="0.25">
      <c r="D7535" s="28"/>
      <c r="F7535" s="28"/>
      <c r="H7535" s="28"/>
    </row>
    <row r="7536" spans="4:8" x14ac:dyDescent="0.25">
      <c r="D7536" s="28"/>
      <c r="F7536" s="28"/>
      <c r="H7536" s="28"/>
    </row>
    <row r="7537" spans="4:8" x14ac:dyDescent="0.25">
      <c r="D7537" s="28"/>
      <c r="F7537" s="28"/>
      <c r="H7537" s="28"/>
    </row>
    <row r="7538" spans="4:8" x14ac:dyDescent="0.25">
      <c r="D7538" s="28"/>
      <c r="F7538" s="28"/>
      <c r="H7538" s="28"/>
    </row>
    <row r="7539" spans="4:8" x14ac:dyDescent="0.25">
      <c r="D7539" s="28"/>
      <c r="F7539" s="28"/>
      <c r="H7539" s="28"/>
    </row>
    <row r="7540" spans="4:8" x14ac:dyDescent="0.25">
      <c r="D7540" s="28"/>
      <c r="F7540" s="28"/>
      <c r="H7540" s="28"/>
    </row>
    <row r="7541" spans="4:8" x14ac:dyDescent="0.25">
      <c r="D7541" s="28"/>
      <c r="F7541" s="28"/>
      <c r="H7541" s="28"/>
    </row>
    <row r="7542" spans="4:8" x14ac:dyDescent="0.25">
      <c r="D7542" s="28"/>
      <c r="F7542" s="28"/>
      <c r="H7542" s="28"/>
    </row>
    <row r="7543" spans="4:8" x14ac:dyDescent="0.25">
      <c r="D7543" s="28"/>
      <c r="F7543" s="28"/>
      <c r="H7543" s="28"/>
    </row>
    <row r="7544" spans="4:8" x14ac:dyDescent="0.25">
      <c r="D7544" s="28"/>
      <c r="F7544" s="28"/>
      <c r="H7544" s="28"/>
    </row>
    <row r="7545" spans="4:8" x14ac:dyDescent="0.25">
      <c r="D7545" s="28"/>
      <c r="F7545" s="28"/>
      <c r="H7545" s="28"/>
    </row>
    <row r="7546" spans="4:8" x14ac:dyDescent="0.25">
      <c r="D7546" s="28"/>
      <c r="F7546" s="28"/>
      <c r="H7546" s="28"/>
    </row>
    <row r="7547" spans="4:8" x14ac:dyDescent="0.25">
      <c r="D7547" s="28"/>
      <c r="F7547" s="28"/>
      <c r="H7547" s="28"/>
    </row>
    <row r="7548" spans="4:8" x14ac:dyDescent="0.25">
      <c r="D7548" s="28"/>
      <c r="F7548" s="28"/>
      <c r="H7548" s="28"/>
    </row>
    <row r="7549" spans="4:8" x14ac:dyDescent="0.25">
      <c r="D7549" s="28"/>
      <c r="F7549" s="28"/>
      <c r="H7549" s="28"/>
    </row>
    <row r="7550" spans="4:8" x14ac:dyDescent="0.25">
      <c r="D7550" s="28"/>
      <c r="F7550" s="28"/>
      <c r="H7550" s="28"/>
    </row>
    <row r="7551" spans="4:8" x14ac:dyDescent="0.25">
      <c r="D7551" s="28"/>
      <c r="F7551" s="28"/>
      <c r="H7551" s="28"/>
    </row>
    <row r="7552" spans="4:8" x14ac:dyDescent="0.25">
      <c r="D7552" s="28"/>
      <c r="F7552" s="28"/>
      <c r="H7552" s="28"/>
    </row>
    <row r="7553" spans="4:8" x14ac:dyDescent="0.25">
      <c r="D7553" s="28"/>
      <c r="F7553" s="28"/>
      <c r="H7553" s="28"/>
    </row>
    <row r="7554" spans="4:8" x14ac:dyDescent="0.25">
      <c r="D7554" s="28"/>
      <c r="F7554" s="28"/>
      <c r="H7554" s="28"/>
    </row>
    <row r="7555" spans="4:8" x14ac:dyDescent="0.25">
      <c r="D7555" s="28"/>
      <c r="F7555" s="28"/>
      <c r="H7555" s="28"/>
    </row>
    <row r="7556" spans="4:8" x14ac:dyDescent="0.25">
      <c r="D7556" s="28"/>
      <c r="F7556" s="28"/>
      <c r="H7556" s="28"/>
    </row>
    <row r="7557" spans="4:8" x14ac:dyDescent="0.25">
      <c r="D7557" s="28"/>
      <c r="F7557" s="28"/>
      <c r="H7557" s="28"/>
    </row>
    <row r="7558" spans="4:8" x14ac:dyDescent="0.25">
      <c r="D7558" s="28"/>
      <c r="F7558" s="28"/>
      <c r="H7558" s="28"/>
    </row>
    <row r="7559" spans="4:8" x14ac:dyDescent="0.25">
      <c r="D7559" s="28"/>
      <c r="F7559" s="28"/>
      <c r="H7559" s="28"/>
    </row>
    <row r="7560" spans="4:8" x14ac:dyDescent="0.25">
      <c r="D7560" s="28"/>
      <c r="F7560" s="28"/>
      <c r="H7560" s="28"/>
    </row>
    <row r="7561" spans="4:8" x14ac:dyDescent="0.25">
      <c r="D7561" s="28"/>
      <c r="F7561" s="28"/>
      <c r="H7561" s="28"/>
    </row>
    <row r="7562" spans="4:8" x14ac:dyDescent="0.25">
      <c r="D7562" s="28"/>
      <c r="F7562" s="28"/>
      <c r="H7562" s="28"/>
    </row>
    <row r="7563" spans="4:8" x14ac:dyDescent="0.25">
      <c r="D7563" s="28"/>
      <c r="F7563" s="28"/>
      <c r="H7563" s="28"/>
    </row>
    <row r="7564" spans="4:8" x14ac:dyDescent="0.25">
      <c r="D7564" s="28"/>
      <c r="F7564" s="28"/>
      <c r="H7564" s="28"/>
    </row>
    <row r="7565" spans="4:8" x14ac:dyDescent="0.25">
      <c r="D7565" s="28"/>
      <c r="F7565" s="28"/>
      <c r="H7565" s="28"/>
    </row>
    <row r="7566" spans="4:8" x14ac:dyDescent="0.25">
      <c r="D7566" s="28"/>
      <c r="F7566" s="28"/>
      <c r="H7566" s="28"/>
    </row>
    <row r="7567" spans="4:8" x14ac:dyDescent="0.25">
      <c r="D7567" s="28"/>
      <c r="F7567" s="28"/>
      <c r="H7567" s="28"/>
    </row>
    <row r="7568" spans="4:8" x14ac:dyDescent="0.25">
      <c r="D7568" s="28"/>
      <c r="F7568" s="28"/>
      <c r="H7568" s="28"/>
    </row>
    <row r="7569" spans="4:8" x14ac:dyDescent="0.25">
      <c r="D7569" s="28"/>
      <c r="F7569" s="28"/>
      <c r="H7569" s="28"/>
    </row>
    <row r="7570" spans="4:8" x14ac:dyDescent="0.25">
      <c r="D7570" s="28"/>
      <c r="F7570" s="28"/>
      <c r="H7570" s="28"/>
    </row>
    <row r="7571" spans="4:8" x14ac:dyDescent="0.25">
      <c r="D7571" s="28"/>
      <c r="F7571" s="28"/>
      <c r="H7571" s="28"/>
    </row>
    <row r="7572" spans="4:8" x14ac:dyDescent="0.25">
      <c r="D7572" s="28"/>
      <c r="F7572" s="28"/>
      <c r="H7572" s="28"/>
    </row>
    <row r="7573" spans="4:8" x14ac:dyDescent="0.25">
      <c r="D7573" s="28"/>
      <c r="F7573" s="28"/>
      <c r="H7573" s="28"/>
    </row>
    <row r="7574" spans="4:8" x14ac:dyDescent="0.25">
      <c r="D7574" s="28"/>
      <c r="F7574" s="28"/>
      <c r="H7574" s="28"/>
    </row>
    <row r="7575" spans="4:8" x14ac:dyDescent="0.25">
      <c r="D7575" s="28"/>
      <c r="F7575" s="28"/>
      <c r="H7575" s="28"/>
    </row>
    <row r="7576" spans="4:8" x14ac:dyDescent="0.25">
      <c r="D7576" s="28"/>
      <c r="F7576" s="28"/>
      <c r="H7576" s="28"/>
    </row>
    <row r="7577" spans="4:8" x14ac:dyDescent="0.25">
      <c r="D7577" s="28"/>
      <c r="F7577" s="28"/>
      <c r="H7577" s="28"/>
    </row>
    <row r="7578" spans="4:8" x14ac:dyDescent="0.25">
      <c r="D7578" s="28"/>
      <c r="F7578" s="28"/>
      <c r="H7578" s="28"/>
    </row>
    <row r="7579" spans="4:8" x14ac:dyDescent="0.25">
      <c r="D7579" s="28"/>
      <c r="F7579" s="28"/>
      <c r="H7579" s="28"/>
    </row>
    <row r="7580" spans="4:8" x14ac:dyDescent="0.25">
      <c r="D7580" s="28"/>
      <c r="F7580" s="28"/>
      <c r="H7580" s="28"/>
    </row>
    <row r="7581" spans="4:8" x14ac:dyDescent="0.25">
      <c r="D7581" s="28"/>
      <c r="F7581" s="28"/>
      <c r="H7581" s="28"/>
    </row>
    <row r="7582" spans="4:8" x14ac:dyDescent="0.25">
      <c r="D7582" s="28"/>
      <c r="F7582" s="28"/>
      <c r="H7582" s="28"/>
    </row>
    <row r="7583" spans="4:8" x14ac:dyDescent="0.25">
      <c r="D7583" s="28"/>
      <c r="F7583" s="28"/>
      <c r="H7583" s="28"/>
    </row>
    <row r="7584" spans="4:8" x14ac:dyDescent="0.25">
      <c r="D7584" s="28"/>
      <c r="F7584" s="28"/>
      <c r="H7584" s="28"/>
    </row>
    <row r="7585" spans="4:8" x14ac:dyDescent="0.25">
      <c r="D7585" s="28"/>
      <c r="F7585" s="28"/>
      <c r="H7585" s="28"/>
    </row>
    <row r="7586" spans="4:8" x14ac:dyDescent="0.25">
      <c r="D7586" s="28"/>
      <c r="F7586" s="28"/>
      <c r="H7586" s="28"/>
    </row>
    <row r="7587" spans="4:8" x14ac:dyDescent="0.25">
      <c r="D7587" s="28"/>
      <c r="F7587" s="28"/>
      <c r="H7587" s="28"/>
    </row>
    <row r="7588" spans="4:8" x14ac:dyDescent="0.25">
      <c r="D7588" s="28"/>
      <c r="F7588" s="28"/>
      <c r="H7588" s="28"/>
    </row>
    <row r="7589" spans="4:8" x14ac:dyDescent="0.25">
      <c r="D7589" s="28"/>
      <c r="F7589" s="28"/>
      <c r="H7589" s="28"/>
    </row>
    <row r="7590" spans="4:8" x14ac:dyDescent="0.25">
      <c r="D7590" s="28"/>
      <c r="F7590" s="28"/>
      <c r="H7590" s="28"/>
    </row>
    <row r="7591" spans="4:8" x14ac:dyDescent="0.25">
      <c r="D7591" s="28"/>
      <c r="F7591" s="28"/>
      <c r="H7591" s="28"/>
    </row>
    <row r="7592" spans="4:8" x14ac:dyDescent="0.25">
      <c r="D7592" s="28"/>
      <c r="F7592" s="28"/>
      <c r="H7592" s="28"/>
    </row>
    <row r="7593" spans="4:8" x14ac:dyDescent="0.25">
      <c r="D7593" s="28"/>
      <c r="F7593" s="28"/>
      <c r="H7593" s="28"/>
    </row>
    <row r="7594" spans="4:8" x14ac:dyDescent="0.25">
      <c r="D7594" s="28"/>
      <c r="F7594" s="28"/>
      <c r="H7594" s="28"/>
    </row>
    <row r="7595" spans="4:8" x14ac:dyDescent="0.25">
      <c r="D7595" s="28"/>
      <c r="F7595" s="28"/>
      <c r="H7595" s="28"/>
    </row>
    <row r="7596" spans="4:8" x14ac:dyDescent="0.25">
      <c r="D7596" s="28"/>
      <c r="F7596" s="28"/>
      <c r="H7596" s="28"/>
    </row>
    <row r="7597" spans="4:8" x14ac:dyDescent="0.25">
      <c r="D7597" s="28"/>
      <c r="F7597" s="28"/>
      <c r="H7597" s="28"/>
    </row>
    <row r="7598" spans="4:8" x14ac:dyDescent="0.25">
      <c r="D7598" s="28"/>
      <c r="F7598" s="28"/>
      <c r="H7598" s="28"/>
    </row>
    <row r="7599" spans="4:8" x14ac:dyDescent="0.25">
      <c r="D7599" s="28"/>
      <c r="F7599" s="28"/>
      <c r="H7599" s="28"/>
    </row>
    <row r="7600" spans="4:8" x14ac:dyDescent="0.25">
      <c r="D7600" s="28"/>
      <c r="F7600" s="28"/>
      <c r="H7600" s="28"/>
    </row>
    <row r="7601" spans="4:8" x14ac:dyDescent="0.25">
      <c r="D7601" s="28"/>
      <c r="F7601" s="28"/>
      <c r="H7601" s="28"/>
    </row>
    <row r="7602" spans="4:8" x14ac:dyDescent="0.25">
      <c r="D7602" s="28"/>
      <c r="F7602" s="28"/>
      <c r="H7602" s="28"/>
    </row>
    <row r="7603" spans="4:8" x14ac:dyDescent="0.25">
      <c r="D7603" s="28"/>
      <c r="F7603" s="28"/>
      <c r="H7603" s="28"/>
    </row>
    <row r="7604" spans="4:8" x14ac:dyDescent="0.25">
      <c r="D7604" s="28"/>
      <c r="F7604" s="28"/>
      <c r="H7604" s="28"/>
    </row>
    <row r="7605" spans="4:8" x14ac:dyDescent="0.25">
      <c r="D7605" s="28"/>
      <c r="F7605" s="28"/>
      <c r="H7605" s="28"/>
    </row>
    <row r="7606" spans="4:8" x14ac:dyDescent="0.25">
      <c r="D7606" s="28"/>
      <c r="F7606" s="28"/>
      <c r="H7606" s="28"/>
    </row>
    <row r="7607" spans="4:8" x14ac:dyDescent="0.25">
      <c r="D7607" s="28"/>
      <c r="F7607" s="28"/>
      <c r="H7607" s="28"/>
    </row>
    <row r="7608" spans="4:8" x14ac:dyDescent="0.25">
      <c r="D7608" s="28"/>
      <c r="F7608" s="28"/>
      <c r="H7608" s="28"/>
    </row>
    <row r="7609" spans="4:8" x14ac:dyDescent="0.25">
      <c r="D7609" s="28"/>
      <c r="F7609" s="28"/>
      <c r="H7609" s="28"/>
    </row>
    <row r="7610" spans="4:8" x14ac:dyDescent="0.25">
      <c r="D7610" s="28"/>
      <c r="F7610" s="28"/>
      <c r="H7610" s="28"/>
    </row>
    <row r="7611" spans="4:8" x14ac:dyDescent="0.25">
      <c r="D7611" s="28"/>
      <c r="F7611" s="28"/>
      <c r="H7611" s="28"/>
    </row>
    <row r="7612" spans="4:8" x14ac:dyDescent="0.25">
      <c r="D7612" s="28"/>
      <c r="F7612" s="28"/>
      <c r="H7612" s="28"/>
    </row>
    <row r="7613" spans="4:8" x14ac:dyDescent="0.25">
      <c r="D7613" s="28"/>
      <c r="F7613" s="28"/>
      <c r="H7613" s="28"/>
    </row>
    <row r="7614" spans="4:8" x14ac:dyDescent="0.25">
      <c r="D7614" s="28"/>
      <c r="F7614" s="28"/>
      <c r="H7614" s="28"/>
    </row>
    <row r="7615" spans="4:8" x14ac:dyDescent="0.25">
      <c r="D7615" s="28"/>
      <c r="F7615" s="28"/>
      <c r="H7615" s="28"/>
    </row>
    <row r="7616" spans="4:8" x14ac:dyDescent="0.25">
      <c r="D7616" s="28"/>
      <c r="F7616" s="28"/>
      <c r="H7616" s="28"/>
    </row>
    <row r="7617" spans="4:8" x14ac:dyDescent="0.25">
      <c r="D7617" s="28"/>
      <c r="F7617" s="28"/>
      <c r="H7617" s="28"/>
    </row>
    <row r="7618" spans="4:8" x14ac:dyDescent="0.25">
      <c r="D7618" s="28"/>
      <c r="F7618" s="28"/>
      <c r="H7618" s="28"/>
    </row>
    <row r="7619" spans="4:8" x14ac:dyDescent="0.25">
      <c r="D7619" s="28"/>
      <c r="F7619" s="28"/>
      <c r="H7619" s="28"/>
    </row>
    <row r="7620" spans="4:8" x14ac:dyDescent="0.25">
      <c r="D7620" s="28"/>
      <c r="F7620" s="28"/>
      <c r="H7620" s="28"/>
    </row>
    <row r="7621" spans="4:8" x14ac:dyDescent="0.25">
      <c r="D7621" s="28"/>
      <c r="F7621" s="28"/>
      <c r="H7621" s="28"/>
    </row>
    <row r="7622" spans="4:8" x14ac:dyDescent="0.25">
      <c r="D7622" s="28"/>
      <c r="F7622" s="28"/>
      <c r="H7622" s="28"/>
    </row>
    <row r="7623" spans="4:8" x14ac:dyDescent="0.25">
      <c r="D7623" s="28"/>
      <c r="F7623" s="28"/>
      <c r="H7623" s="28"/>
    </row>
    <row r="7624" spans="4:8" x14ac:dyDescent="0.25">
      <c r="D7624" s="28"/>
      <c r="F7624" s="28"/>
      <c r="H7624" s="28"/>
    </row>
    <row r="7625" spans="4:8" x14ac:dyDescent="0.25">
      <c r="D7625" s="28"/>
      <c r="F7625" s="28"/>
      <c r="H7625" s="28"/>
    </row>
    <row r="7626" spans="4:8" x14ac:dyDescent="0.25">
      <c r="D7626" s="28"/>
      <c r="F7626" s="28"/>
      <c r="H7626" s="28"/>
    </row>
    <row r="7627" spans="4:8" x14ac:dyDescent="0.25">
      <c r="D7627" s="28"/>
      <c r="F7627" s="28"/>
      <c r="H7627" s="28"/>
    </row>
    <row r="7628" spans="4:8" x14ac:dyDescent="0.25">
      <c r="D7628" s="28"/>
      <c r="F7628" s="28"/>
      <c r="H7628" s="28"/>
    </row>
    <row r="7629" spans="4:8" x14ac:dyDescent="0.25">
      <c r="D7629" s="28"/>
      <c r="F7629" s="28"/>
      <c r="H7629" s="28"/>
    </row>
    <row r="7630" spans="4:8" x14ac:dyDescent="0.25">
      <c r="D7630" s="28"/>
      <c r="F7630" s="28"/>
      <c r="H7630" s="28"/>
    </row>
    <row r="7631" spans="4:8" x14ac:dyDescent="0.25">
      <c r="D7631" s="28"/>
      <c r="F7631" s="28"/>
      <c r="H7631" s="28"/>
    </row>
    <row r="7632" spans="4:8" x14ac:dyDescent="0.25">
      <c r="D7632" s="28"/>
      <c r="F7632" s="28"/>
      <c r="H7632" s="28"/>
    </row>
    <row r="7633" spans="4:8" x14ac:dyDescent="0.25">
      <c r="D7633" s="28"/>
      <c r="F7633" s="28"/>
      <c r="H7633" s="28"/>
    </row>
    <row r="7634" spans="4:8" x14ac:dyDescent="0.25">
      <c r="D7634" s="28"/>
      <c r="F7634" s="28"/>
      <c r="H7634" s="28"/>
    </row>
    <row r="7635" spans="4:8" x14ac:dyDescent="0.25">
      <c r="D7635" s="28"/>
      <c r="F7635" s="28"/>
      <c r="H7635" s="28"/>
    </row>
    <row r="7636" spans="4:8" x14ac:dyDescent="0.25">
      <c r="D7636" s="28"/>
      <c r="F7636" s="28"/>
      <c r="H7636" s="28"/>
    </row>
    <row r="7637" spans="4:8" x14ac:dyDescent="0.25">
      <c r="D7637" s="28"/>
      <c r="F7637" s="28"/>
      <c r="H7637" s="28"/>
    </row>
    <row r="7638" spans="4:8" x14ac:dyDescent="0.25">
      <c r="D7638" s="28"/>
      <c r="F7638" s="28"/>
      <c r="H7638" s="28"/>
    </row>
    <row r="7639" spans="4:8" x14ac:dyDescent="0.25">
      <c r="D7639" s="28"/>
      <c r="F7639" s="28"/>
      <c r="H7639" s="28"/>
    </row>
    <row r="7640" spans="4:8" x14ac:dyDescent="0.25">
      <c r="D7640" s="28"/>
      <c r="F7640" s="28"/>
      <c r="H7640" s="28"/>
    </row>
    <row r="7641" spans="4:8" x14ac:dyDescent="0.25">
      <c r="D7641" s="28"/>
      <c r="F7641" s="28"/>
      <c r="H7641" s="28"/>
    </row>
    <row r="7642" spans="4:8" x14ac:dyDescent="0.25">
      <c r="D7642" s="28"/>
      <c r="F7642" s="28"/>
      <c r="H7642" s="28"/>
    </row>
    <row r="7643" spans="4:8" x14ac:dyDescent="0.25">
      <c r="D7643" s="28"/>
      <c r="F7643" s="28"/>
      <c r="H7643" s="28"/>
    </row>
    <row r="7644" spans="4:8" x14ac:dyDescent="0.25">
      <c r="D7644" s="28"/>
      <c r="F7644" s="28"/>
      <c r="H7644" s="28"/>
    </row>
    <row r="7645" spans="4:8" x14ac:dyDescent="0.25">
      <c r="D7645" s="28"/>
      <c r="F7645" s="28"/>
      <c r="H7645" s="28"/>
    </row>
    <row r="7646" spans="4:8" x14ac:dyDescent="0.25">
      <c r="D7646" s="28"/>
      <c r="F7646" s="28"/>
      <c r="H7646" s="28"/>
    </row>
    <row r="7647" spans="4:8" x14ac:dyDescent="0.25">
      <c r="D7647" s="28"/>
      <c r="F7647" s="28"/>
      <c r="H7647" s="28"/>
    </row>
    <row r="7648" spans="4:8" x14ac:dyDescent="0.25">
      <c r="D7648" s="28"/>
      <c r="F7648" s="28"/>
      <c r="H7648" s="28"/>
    </row>
    <row r="7649" spans="4:8" x14ac:dyDescent="0.25">
      <c r="D7649" s="28"/>
      <c r="F7649" s="28"/>
      <c r="H7649" s="28"/>
    </row>
    <row r="7650" spans="4:8" x14ac:dyDescent="0.25">
      <c r="D7650" s="28"/>
      <c r="F7650" s="28"/>
      <c r="H7650" s="28"/>
    </row>
    <row r="7651" spans="4:8" x14ac:dyDescent="0.25">
      <c r="D7651" s="28"/>
      <c r="F7651" s="28"/>
      <c r="H7651" s="28"/>
    </row>
    <row r="7652" spans="4:8" x14ac:dyDescent="0.25">
      <c r="D7652" s="28"/>
      <c r="F7652" s="28"/>
      <c r="H7652" s="28"/>
    </row>
    <row r="7653" spans="4:8" x14ac:dyDescent="0.25">
      <c r="D7653" s="28"/>
      <c r="F7653" s="28"/>
      <c r="H7653" s="28"/>
    </row>
    <row r="7654" spans="4:8" x14ac:dyDescent="0.25">
      <c r="D7654" s="28"/>
      <c r="F7654" s="28"/>
      <c r="H7654" s="28"/>
    </row>
    <row r="7655" spans="4:8" x14ac:dyDescent="0.25">
      <c r="D7655" s="28"/>
      <c r="F7655" s="28"/>
      <c r="H7655" s="28"/>
    </row>
    <row r="7656" spans="4:8" x14ac:dyDescent="0.25">
      <c r="D7656" s="28"/>
      <c r="F7656" s="28"/>
      <c r="H7656" s="28"/>
    </row>
    <row r="7657" spans="4:8" x14ac:dyDescent="0.25">
      <c r="D7657" s="28"/>
      <c r="F7657" s="28"/>
      <c r="H7657" s="28"/>
    </row>
    <row r="7658" spans="4:8" x14ac:dyDescent="0.25">
      <c r="D7658" s="28"/>
      <c r="F7658" s="28"/>
      <c r="H7658" s="28"/>
    </row>
    <row r="7659" spans="4:8" x14ac:dyDescent="0.25">
      <c r="D7659" s="28"/>
      <c r="F7659" s="28"/>
      <c r="H7659" s="28"/>
    </row>
    <row r="7660" spans="4:8" x14ac:dyDescent="0.25">
      <c r="D7660" s="28"/>
      <c r="F7660" s="28"/>
      <c r="H7660" s="28"/>
    </row>
    <row r="7661" spans="4:8" x14ac:dyDescent="0.25">
      <c r="D7661" s="28"/>
      <c r="F7661" s="28"/>
      <c r="H7661" s="28"/>
    </row>
    <row r="7662" spans="4:8" x14ac:dyDescent="0.25">
      <c r="D7662" s="28"/>
      <c r="F7662" s="28"/>
      <c r="H7662" s="28"/>
    </row>
    <row r="7663" spans="4:8" x14ac:dyDescent="0.25">
      <c r="D7663" s="28"/>
      <c r="F7663" s="28"/>
      <c r="H7663" s="28"/>
    </row>
    <row r="7664" spans="4:8" x14ac:dyDescent="0.25">
      <c r="D7664" s="28"/>
      <c r="F7664" s="28"/>
      <c r="H7664" s="28"/>
    </row>
    <row r="7665" spans="4:8" x14ac:dyDescent="0.25">
      <c r="D7665" s="28"/>
      <c r="F7665" s="28"/>
      <c r="H7665" s="28"/>
    </row>
    <row r="7666" spans="4:8" x14ac:dyDescent="0.25">
      <c r="D7666" s="28"/>
      <c r="F7666" s="28"/>
      <c r="H7666" s="28"/>
    </row>
    <row r="7667" spans="4:8" x14ac:dyDescent="0.25">
      <c r="D7667" s="28"/>
      <c r="F7667" s="28"/>
      <c r="H7667" s="28"/>
    </row>
    <row r="7668" spans="4:8" x14ac:dyDescent="0.25">
      <c r="D7668" s="28"/>
      <c r="F7668" s="28"/>
      <c r="H7668" s="28"/>
    </row>
    <row r="7669" spans="4:8" x14ac:dyDescent="0.25">
      <c r="D7669" s="28"/>
      <c r="F7669" s="28"/>
      <c r="H7669" s="28"/>
    </row>
    <row r="7670" spans="4:8" x14ac:dyDescent="0.25">
      <c r="D7670" s="28"/>
      <c r="F7670" s="28"/>
      <c r="H7670" s="28"/>
    </row>
    <row r="7671" spans="4:8" x14ac:dyDescent="0.25">
      <c r="D7671" s="28"/>
      <c r="F7671" s="28"/>
      <c r="H7671" s="28"/>
    </row>
    <row r="7672" spans="4:8" x14ac:dyDescent="0.25">
      <c r="D7672" s="28"/>
      <c r="F7672" s="28"/>
      <c r="H7672" s="28"/>
    </row>
    <row r="7673" spans="4:8" x14ac:dyDescent="0.25">
      <c r="D7673" s="28"/>
      <c r="F7673" s="28"/>
      <c r="H7673" s="28"/>
    </row>
    <row r="7674" spans="4:8" x14ac:dyDescent="0.25">
      <c r="D7674" s="28"/>
      <c r="F7674" s="28"/>
      <c r="H7674" s="28"/>
    </row>
    <row r="7675" spans="4:8" x14ac:dyDescent="0.25">
      <c r="D7675" s="28"/>
      <c r="F7675" s="28"/>
      <c r="H7675" s="28"/>
    </row>
    <row r="7676" spans="4:8" x14ac:dyDescent="0.25">
      <c r="D7676" s="28"/>
      <c r="F7676" s="28"/>
      <c r="H7676" s="28"/>
    </row>
    <row r="7677" spans="4:8" x14ac:dyDescent="0.25">
      <c r="D7677" s="28"/>
      <c r="F7677" s="28"/>
      <c r="H7677" s="28"/>
    </row>
    <row r="7678" spans="4:8" x14ac:dyDescent="0.25">
      <c r="D7678" s="28"/>
      <c r="F7678" s="28"/>
      <c r="H7678" s="28"/>
    </row>
    <row r="7679" spans="4:8" x14ac:dyDescent="0.25">
      <c r="D7679" s="28"/>
      <c r="F7679" s="28"/>
      <c r="H7679" s="28"/>
    </row>
    <row r="7680" spans="4:8" x14ac:dyDescent="0.25">
      <c r="D7680" s="28"/>
      <c r="F7680" s="28"/>
      <c r="H7680" s="28"/>
    </row>
    <row r="7681" spans="4:8" x14ac:dyDescent="0.25">
      <c r="D7681" s="28"/>
      <c r="F7681" s="28"/>
      <c r="H7681" s="28"/>
    </row>
    <row r="7682" spans="4:8" x14ac:dyDescent="0.25">
      <c r="D7682" s="28"/>
      <c r="F7682" s="28"/>
      <c r="H7682" s="28"/>
    </row>
    <row r="7683" spans="4:8" x14ac:dyDescent="0.25">
      <c r="D7683" s="28"/>
      <c r="F7683" s="28"/>
      <c r="H7683" s="28"/>
    </row>
    <row r="7684" spans="4:8" x14ac:dyDescent="0.25">
      <c r="D7684" s="28"/>
      <c r="F7684" s="28"/>
      <c r="H7684" s="28"/>
    </row>
    <row r="7685" spans="4:8" x14ac:dyDescent="0.25">
      <c r="D7685" s="28"/>
      <c r="F7685" s="28"/>
      <c r="H7685" s="28"/>
    </row>
    <row r="7686" spans="4:8" x14ac:dyDescent="0.25">
      <c r="D7686" s="28"/>
      <c r="F7686" s="28"/>
      <c r="H7686" s="28"/>
    </row>
    <row r="7687" spans="4:8" x14ac:dyDescent="0.25">
      <c r="D7687" s="28"/>
      <c r="F7687" s="28"/>
      <c r="H7687" s="28"/>
    </row>
    <row r="7688" spans="4:8" x14ac:dyDescent="0.25">
      <c r="D7688" s="28"/>
      <c r="F7688" s="28"/>
      <c r="H7688" s="28"/>
    </row>
    <row r="7689" spans="4:8" x14ac:dyDescent="0.25">
      <c r="D7689" s="28"/>
      <c r="F7689" s="28"/>
      <c r="H7689" s="28"/>
    </row>
    <row r="7690" spans="4:8" x14ac:dyDescent="0.25">
      <c r="D7690" s="28"/>
      <c r="F7690" s="28"/>
      <c r="H7690" s="28"/>
    </row>
    <row r="7691" spans="4:8" x14ac:dyDescent="0.25">
      <c r="D7691" s="28"/>
      <c r="F7691" s="28"/>
      <c r="H7691" s="28"/>
    </row>
    <row r="7692" spans="4:8" x14ac:dyDescent="0.25">
      <c r="D7692" s="28"/>
      <c r="F7692" s="28"/>
      <c r="H7692" s="28"/>
    </row>
    <row r="7693" spans="4:8" x14ac:dyDescent="0.25">
      <c r="D7693" s="28"/>
      <c r="F7693" s="28"/>
      <c r="H7693" s="28"/>
    </row>
    <row r="7694" spans="4:8" x14ac:dyDescent="0.25">
      <c r="D7694" s="28"/>
      <c r="F7694" s="28"/>
      <c r="H7694" s="28"/>
    </row>
    <row r="7695" spans="4:8" x14ac:dyDescent="0.25">
      <c r="D7695" s="28"/>
      <c r="F7695" s="28"/>
      <c r="H7695" s="28"/>
    </row>
    <row r="7696" spans="4:8" x14ac:dyDescent="0.25">
      <c r="D7696" s="28"/>
      <c r="F7696" s="28"/>
      <c r="H7696" s="28"/>
    </row>
    <row r="7697" spans="4:8" x14ac:dyDescent="0.25">
      <c r="D7697" s="28"/>
      <c r="F7697" s="28"/>
      <c r="H7697" s="28"/>
    </row>
    <row r="7698" spans="4:8" x14ac:dyDescent="0.25">
      <c r="D7698" s="28"/>
      <c r="F7698" s="28"/>
      <c r="H7698" s="28"/>
    </row>
    <row r="7699" spans="4:8" x14ac:dyDescent="0.25">
      <c r="D7699" s="28"/>
      <c r="F7699" s="28"/>
      <c r="H7699" s="28"/>
    </row>
    <row r="7700" spans="4:8" x14ac:dyDescent="0.25">
      <c r="D7700" s="28"/>
      <c r="F7700" s="28"/>
      <c r="H7700" s="28"/>
    </row>
    <row r="7701" spans="4:8" x14ac:dyDescent="0.25">
      <c r="D7701" s="28"/>
      <c r="F7701" s="28"/>
      <c r="H7701" s="28"/>
    </row>
    <row r="7702" spans="4:8" x14ac:dyDescent="0.25">
      <c r="D7702" s="28"/>
      <c r="F7702" s="28"/>
      <c r="H7702" s="28"/>
    </row>
    <row r="7703" spans="4:8" x14ac:dyDescent="0.25">
      <c r="D7703" s="28"/>
      <c r="F7703" s="28"/>
      <c r="H7703" s="28"/>
    </row>
    <row r="7704" spans="4:8" x14ac:dyDescent="0.25">
      <c r="D7704" s="28"/>
      <c r="F7704" s="28"/>
      <c r="H7704" s="28"/>
    </row>
    <row r="7705" spans="4:8" x14ac:dyDescent="0.25">
      <c r="D7705" s="28"/>
      <c r="F7705" s="28"/>
      <c r="H7705" s="28"/>
    </row>
    <row r="7706" spans="4:8" x14ac:dyDescent="0.25">
      <c r="D7706" s="28"/>
      <c r="F7706" s="28"/>
      <c r="H7706" s="28"/>
    </row>
    <row r="7707" spans="4:8" x14ac:dyDescent="0.25">
      <c r="D7707" s="28"/>
      <c r="F7707" s="28"/>
      <c r="H7707" s="28"/>
    </row>
    <row r="7708" spans="4:8" x14ac:dyDescent="0.25">
      <c r="D7708" s="28"/>
      <c r="F7708" s="28"/>
      <c r="H7708" s="28"/>
    </row>
    <row r="7709" spans="4:8" x14ac:dyDescent="0.25">
      <c r="D7709" s="28"/>
      <c r="F7709" s="28"/>
      <c r="H7709" s="28"/>
    </row>
    <row r="7710" spans="4:8" x14ac:dyDescent="0.25">
      <c r="D7710" s="28"/>
      <c r="F7710" s="28"/>
      <c r="H7710" s="28"/>
    </row>
    <row r="7711" spans="4:8" x14ac:dyDescent="0.25">
      <c r="D7711" s="28"/>
      <c r="F7711" s="28"/>
      <c r="H7711" s="28"/>
    </row>
    <row r="7712" spans="4:8" x14ac:dyDescent="0.25">
      <c r="D7712" s="28"/>
      <c r="F7712" s="28"/>
      <c r="H7712" s="28"/>
    </row>
    <row r="7713" spans="4:8" x14ac:dyDescent="0.25">
      <c r="D7713" s="28"/>
      <c r="F7713" s="28"/>
      <c r="H7713" s="28"/>
    </row>
    <row r="7714" spans="4:8" x14ac:dyDescent="0.25">
      <c r="D7714" s="28"/>
      <c r="F7714" s="28"/>
      <c r="H7714" s="28"/>
    </row>
    <row r="7715" spans="4:8" x14ac:dyDescent="0.25">
      <c r="D7715" s="28"/>
      <c r="F7715" s="28"/>
      <c r="H7715" s="28"/>
    </row>
    <row r="7716" spans="4:8" x14ac:dyDescent="0.25">
      <c r="D7716" s="28"/>
      <c r="F7716" s="28"/>
      <c r="H7716" s="28"/>
    </row>
    <row r="7717" spans="4:8" x14ac:dyDescent="0.25">
      <c r="D7717" s="28"/>
      <c r="F7717" s="28"/>
      <c r="H7717" s="28"/>
    </row>
    <row r="7718" spans="4:8" x14ac:dyDescent="0.25">
      <c r="D7718" s="28"/>
      <c r="F7718" s="28"/>
      <c r="H7718" s="28"/>
    </row>
    <row r="7719" spans="4:8" x14ac:dyDescent="0.25">
      <c r="D7719" s="28"/>
      <c r="F7719" s="28"/>
      <c r="H7719" s="28"/>
    </row>
    <row r="7720" spans="4:8" x14ac:dyDescent="0.25">
      <c r="D7720" s="28"/>
      <c r="F7720" s="28"/>
      <c r="H7720" s="28"/>
    </row>
    <row r="7721" spans="4:8" x14ac:dyDescent="0.25">
      <c r="D7721" s="28"/>
      <c r="F7721" s="28"/>
      <c r="H7721" s="28"/>
    </row>
    <row r="7722" spans="4:8" x14ac:dyDescent="0.25">
      <c r="D7722" s="28"/>
      <c r="F7722" s="28"/>
      <c r="H7722" s="28"/>
    </row>
    <row r="7723" spans="4:8" x14ac:dyDescent="0.25">
      <c r="D7723" s="28"/>
      <c r="F7723" s="28"/>
      <c r="H7723" s="28"/>
    </row>
    <row r="7724" spans="4:8" x14ac:dyDescent="0.25">
      <c r="D7724" s="28"/>
      <c r="F7724" s="28"/>
      <c r="H7724" s="28"/>
    </row>
    <row r="7725" spans="4:8" x14ac:dyDescent="0.25">
      <c r="D7725" s="28"/>
      <c r="F7725" s="28"/>
      <c r="H7725" s="28"/>
    </row>
    <row r="7726" spans="4:8" x14ac:dyDescent="0.25">
      <c r="D7726" s="28"/>
      <c r="F7726" s="28"/>
      <c r="H7726" s="28"/>
    </row>
    <row r="7727" spans="4:8" x14ac:dyDescent="0.25">
      <c r="D7727" s="28"/>
      <c r="F7727" s="28"/>
      <c r="H7727" s="28"/>
    </row>
    <row r="7728" spans="4:8" x14ac:dyDescent="0.25">
      <c r="D7728" s="28"/>
      <c r="F7728" s="28"/>
      <c r="H7728" s="28"/>
    </row>
    <row r="7729" spans="4:8" x14ac:dyDescent="0.25">
      <c r="D7729" s="28"/>
      <c r="F7729" s="28"/>
      <c r="H7729" s="28"/>
    </row>
    <row r="7730" spans="4:8" x14ac:dyDescent="0.25">
      <c r="D7730" s="28"/>
      <c r="F7730" s="28"/>
      <c r="H7730" s="28"/>
    </row>
    <row r="7731" spans="4:8" x14ac:dyDescent="0.25">
      <c r="D7731" s="28"/>
      <c r="F7731" s="28"/>
      <c r="H7731" s="28"/>
    </row>
    <row r="7732" spans="4:8" x14ac:dyDescent="0.25">
      <c r="D7732" s="28"/>
      <c r="F7732" s="28"/>
      <c r="H7732" s="28"/>
    </row>
    <row r="7733" spans="4:8" x14ac:dyDescent="0.25">
      <c r="D7733" s="28"/>
      <c r="F7733" s="28"/>
      <c r="H7733" s="28"/>
    </row>
    <row r="7734" spans="4:8" x14ac:dyDescent="0.25">
      <c r="D7734" s="28"/>
      <c r="F7734" s="28"/>
      <c r="H7734" s="28"/>
    </row>
    <row r="7735" spans="4:8" x14ac:dyDescent="0.25">
      <c r="D7735" s="28"/>
      <c r="F7735" s="28"/>
      <c r="H7735" s="28"/>
    </row>
    <row r="7736" spans="4:8" x14ac:dyDescent="0.25">
      <c r="D7736" s="28"/>
      <c r="F7736" s="28"/>
      <c r="H7736" s="28"/>
    </row>
    <row r="7737" spans="4:8" x14ac:dyDescent="0.25">
      <c r="D7737" s="28"/>
      <c r="F7737" s="28"/>
      <c r="H7737" s="28"/>
    </row>
    <row r="7738" spans="4:8" x14ac:dyDescent="0.25">
      <c r="D7738" s="28"/>
      <c r="F7738" s="28"/>
      <c r="H7738" s="28"/>
    </row>
    <row r="7739" spans="4:8" x14ac:dyDescent="0.25">
      <c r="D7739" s="28"/>
      <c r="F7739" s="28"/>
      <c r="H7739" s="28"/>
    </row>
    <row r="7740" spans="4:8" x14ac:dyDescent="0.25">
      <c r="D7740" s="28"/>
      <c r="F7740" s="28"/>
      <c r="H7740" s="28"/>
    </row>
    <row r="7741" spans="4:8" x14ac:dyDescent="0.25">
      <c r="D7741" s="28"/>
      <c r="F7741" s="28"/>
      <c r="H7741" s="28"/>
    </row>
    <row r="7742" spans="4:8" x14ac:dyDescent="0.25">
      <c r="D7742" s="28"/>
      <c r="F7742" s="28"/>
      <c r="H7742" s="28"/>
    </row>
    <row r="7743" spans="4:8" x14ac:dyDescent="0.25">
      <c r="D7743" s="28"/>
      <c r="F7743" s="28"/>
      <c r="H7743" s="28"/>
    </row>
    <row r="7744" spans="4:8" x14ac:dyDescent="0.25">
      <c r="D7744" s="28"/>
      <c r="F7744" s="28"/>
      <c r="H7744" s="28"/>
    </row>
    <row r="7745" spans="4:8" x14ac:dyDescent="0.25">
      <c r="D7745" s="28"/>
      <c r="F7745" s="28"/>
      <c r="H7745" s="28"/>
    </row>
    <row r="7746" spans="4:8" x14ac:dyDescent="0.25">
      <c r="D7746" s="28"/>
      <c r="F7746" s="28"/>
      <c r="H7746" s="28"/>
    </row>
    <row r="7747" spans="4:8" x14ac:dyDescent="0.25">
      <c r="D7747" s="28"/>
      <c r="F7747" s="28"/>
      <c r="H7747" s="28"/>
    </row>
    <row r="7748" spans="4:8" x14ac:dyDescent="0.25">
      <c r="D7748" s="28"/>
      <c r="F7748" s="28"/>
      <c r="H7748" s="28"/>
    </row>
    <row r="7749" spans="4:8" x14ac:dyDescent="0.25">
      <c r="D7749" s="28"/>
      <c r="F7749" s="28"/>
      <c r="H7749" s="28"/>
    </row>
    <row r="7750" spans="4:8" x14ac:dyDescent="0.25">
      <c r="D7750" s="28"/>
      <c r="F7750" s="28"/>
      <c r="H7750" s="28"/>
    </row>
    <row r="7751" spans="4:8" x14ac:dyDescent="0.25">
      <c r="D7751" s="28"/>
      <c r="F7751" s="28"/>
      <c r="H7751" s="28"/>
    </row>
    <row r="7752" spans="4:8" x14ac:dyDescent="0.25">
      <c r="D7752" s="28"/>
      <c r="F7752" s="28"/>
      <c r="H7752" s="28"/>
    </row>
    <row r="7753" spans="4:8" x14ac:dyDescent="0.25">
      <c r="D7753" s="28"/>
      <c r="F7753" s="28"/>
      <c r="H7753" s="28"/>
    </row>
    <row r="7754" spans="4:8" x14ac:dyDescent="0.25">
      <c r="D7754" s="28"/>
      <c r="F7754" s="28"/>
      <c r="H7754" s="28"/>
    </row>
    <row r="7755" spans="4:8" x14ac:dyDescent="0.25">
      <c r="D7755" s="28"/>
      <c r="F7755" s="28"/>
      <c r="H7755" s="28"/>
    </row>
    <row r="7756" spans="4:8" x14ac:dyDescent="0.25">
      <c r="D7756" s="28"/>
      <c r="F7756" s="28"/>
      <c r="H7756" s="28"/>
    </row>
    <row r="7757" spans="4:8" x14ac:dyDescent="0.25">
      <c r="D7757" s="28"/>
      <c r="F7757" s="28"/>
      <c r="H7757" s="28"/>
    </row>
    <row r="7758" spans="4:8" x14ac:dyDescent="0.25">
      <c r="D7758" s="28"/>
      <c r="F7758" s="28"/>
      <c r="H7758" s="28"/>
    </row>
    <row r="7759" spans="4:8" x14ac:dyDescent="0.25">
      <c r="D7759" s="28"/>
      <c r="F7759" s="28"/>
      <c r="H7759" s="28"/>
    </row>
    <row r="7760" spans="4:8" x14ac:dyDescent="0.25">
      <c r="D7760" s="28"/>
      <c r="F7760" s="28"/>
      <c r="H7760" s="28"/>
    </row>
    <row r="7761" spans="4:8" x14ac:dyDescent="0.25">
      <c r="D7761" s="28"/>
      <c r="F7761" s="28"/>
      <c r="H7761" s="28"/>
    </row>
    <row r="7762" spans="4:8" x14ac:dyDescent="0.25">
      <c r="D7762" s="28"/>
      <c r="F7762" s="28"/>
      <c r="H7762" s="28"/>
    </row>
    <row r="7763" spans="4:8" x14ac:dyDescent="0.25">
      <c r="D7763" s="28"/>
      <c r="F7763" s="28"/>
      <c r="H7763" s="28"/>
    </row>
    <row r="7764" spans="4:8" x14ac:dyDescent="0.25">
      <c r="D7764" s="28"/>
      <c r="F7764" s="28"/>
      <c r="H7764" s="28"/>
    </row>
    <row r="7765" spans="4:8" x14ac:dyDescent="0.25">
      <c r="D7765" s="28"/>
      <c r="F7765" s="28"/>
      <c r="H7765" s="28"/>
    </row>
    <row r="7766" spans="4:8" x14ac:dyDescent="0.25">
      <c r="D7766" s="28"/>
      <c r="F7766" s="28"/>
      <c r="H7766" s="28"/>
    </row>
    <row r="7767" spans="4:8" x14ac:dyDescent="0.25">
      <c r="D7767" s="28"/>
      <c r="F7767" s="28"/>
      <c r="H7767" s="28"/>
    </row>
    <row r="7768" spans="4:8" x14ac:dyDescent="0.25">
      <c r="D7768" s="28"/>
      <c r="F7768" s="28"/>
      <c r="H7768" s="28"/>
    </row>
    <row r="7769" spans="4:8" x14ac:dyDescent="0.25">
      <c r="D7769" s="28"/>
      <c r="F7769" s="28"/>
      <c r="H7769" s="28"/>
    </row>
    <row r="7770" spans="4:8" x14ac:dyDescent="0.25">
      <c r="D7770" s="28"/>
      <c r="F7770" s="28"/>
      <c r="H7770" s="28"/>
    </row>
    <row r="7771" spans="4:8" x14ac:dyDescent="0.25">
      <c r="D7771" s="28"/>
      <c r="F7771" s="28"/>
      <c r="H7771" s="28"/>
    </row>
    <row r="7772" spans="4:8" x14ac:dyDescent="0.25">
      <c r="D7772" s="28"/>
      <c r="F7772" s="28"/>
      <c r="H7772" s="28"/>
    </row>
    <row r="7773" spans="4:8" x14ac:dyDescent="0.25">
      <c r="D7773" s="28"/>
      <c r="F7773" s="28"/>
      <c r="H7773" s="28"/>
    </row>
    <row r="7774" spans="4:8" x14ac:dyDescent="0.25">
      <c r="D7774" s="28"/>
      <c r="F7774" s="28"/>
      <c r="H7774" s="28"/>
    </row>
    <row r="7775" spans="4:8" x14ac:dyDescent="0.25">
      <c r="D7775" s="28"/>
      <c r="F7775" s="28"/>
      <c r="H7775" s="28"/>
    </row>
    <row r="7776" spans="4:8" x14ac:dyDescent="0.25">
      <c r="D7776" s="28"/>
      <c r="F7776" s="28"/>
      <c r="H7776" s="28"/>
    </row>
    <row r="7777" spans="4:8" x14ac:dyDescent="0.25">
      <c r="D7777" s="28"/>
      <c r="F7777" s="28"/>
      <c r="H7777" s="28"/>
    </row>
    <row r="7778" spans="4:8" x14ac:dyDescent="0.25">
      <c r="D7778" s="28"/>
      <c r="F7778" s="28"/>
      <c r="H7778" s="28"/>
    </row>
    <row r="7779" spans="4:8" x14ac:dyDescent="0.25">
      <c r="D7779" s="28"/>
      <c r="F7779" s="28"/>
      <c r="H7779" s="28"/>
    </row>
    <row r="7780" spans="4:8" x14ac:dyDescent="0.25">
      <c r="D7780" s="28"/>
      <c r="F7780" s="28"/>
      <c r="H7780" s="28"/>
    </row>
    <row r="7781" spans="4:8" x14ac:dyDescent="0.25">
      <c r="D7781" s="28"/>
      <c r="F7781" s="28"/>
      <c r="H7781" s="28"/>
    </row>
    <row r="7782" spans="4:8" x14ac:dyDescent="0.25">
      <c r="D7782" s="28"/>
      <c r="F7782" s="28"/>
      <c r="H7782" s="28"/>
    </row>
    <row r="7783" spans="4:8" x14ac:dyDescent="0.25">
      <c r="D7783" s="28"/>
      <c r="F7783" s="28"/>
      <c r="H7783" s="28"/>
    </row>
    <row r="7784" spans="4:8" x14ac:dyDescent="0.25">
      <c r="D7784" s="28"/>
      <c r="F7784" s="28"/>
      <c r="H7784" s="28"/>
    </row>
    <row r="7785" spans="4:8" x14ac:dyDescent="0.25">
      <c r="D7785" s="28"/>
      <c r="F7785" s="28"/>
      <c r="H7785" s="28"/>
    </row>
    <row r="7786" spans="4:8" x14ac:dyDescent="0.25">
      <c r="D7786" s="28"/>
      <c r="F7786" s="28"/>
      <c r="H7786" s="28"/>
    </row>
    <row r="7787" spans="4:8" x14ac:dyDescent="0.25">
      <c r="D7787" s="28"/>
      <c r="F7787" s="28"/>
      <c r="H7787" s="28"/>
    </row>
    <row r="7788" spans="4:8" x14ac:dyDescent="0.25">
      <c r="D7788" s="28"/>
      <c r="F7788" s="28"/>
      <c r="H7788" s="28"/>
    </row>
    <row r="7789" spans="4:8" x14ac:dyDescent="0.25">
      <c r="D7789" s="28"/>
      <c r="F7789" s="28"/>
      <c r="H7789" s="28"/>
    </row>
    <row r="7790" spans="4:8" x14ac:dyDescent="0.25">
      <c r="D7790" s="28"/>
      <c r="F7790" s="28"/>
      <c r="H7790" s="28"/>
    </row>
    <row r="7791" spans="4:8" x14ac:dyDescent="0.25">
      <c r="D7791" s="28"/>
      <c r="F7791" s="28"/>
      <c r="H7791" s="28"/>
    </row>
    <row r="7792" spans="4:8" x14ac:dyDescent="0.25">
      <c r="D7792" s="28"/>
      <c r="F7792" s="28"/>
      <c r="H7792" s="28"/>
    </row>
    <row r="7793" spans="4:8" x14ac:dyDescent="0.25">
      <c r="D7793" s="28"/>
      <c r="F7793" s="28"/>
      <c r="H7793" s="28"/>
    </row>
    <row r="7794" spans="4:8" x14ac:dyDescent="0.25">
      <c r="D7794" s="28"/>
      <c r="F7794" s="28"/>
      <c r="H7794" s="28"/>
    </row>
    <row r="7795" spans="4:8" x14ac:dyDescent="0.25">
      <c r="D7795" s="28"/>
      <c r="F7795" s="28"/>
      <c r="H7795" s="28"/>
    </row>
    <row r="7796" spans="4:8" x14ac:dyDescent="0.25">
      <c r="D7796" s="28"/>
      <c r="F7796" s="28"/>
      <c r="H7796" s="28"/>
    </row>
    <row r="7797" spans="4:8" x14ac:dyDescent="0.25">
      <c r="D7797" s="28"/>
      <c r="F7797" s="28"/>
      <c r="H7797" s="28"/>
    </row>
    <row r="7798" spans="4:8" x14ac:dyDescent="0.25">
      <c r="D7798" s="28"/>
      <c r="F7798" s="28"/>
      <c r="H7798" s="28"/>
    </row>
    <row r="7799" spans="4:8" x14ac:dyDescent="0.25">
      <c r="D7799" s="28"/>
      <c r="F7799" s="28"/>
      <c r="H7799" s="28"/>
    </row>
    <row r="7800" spans="4:8" x14ac:dyDescent="0.25">
      <c r="D7800" s="28"/>
      <c r="F7800" s="28"/>
      <c r="H7800" s="28"/>
    </row>
    <row r="7801" spans="4:8" x14ac:dyDescent="0.25">
      <c r="D7801" s="28"/>
      <c r="F7801" s="28"/>
      <c r="H7801" s="28"/>
    </row>
    <row r="7802" spans="4:8" x14ac:dyDescent="0.25">
      <c r="D7802" s="28"/>
      <c r="F7802" s="28"/>
      <c r="H7802" s="28"/>
    </row>
    <row r="7803" spans="4:8" x14ac:dyDescent="0.25">
      <c r="D7803" s="28"/>
      <c r="F7803" s="28"/>
      <c r="H7803" s="28"/>
    </row>
    <row r="7804" spans="4:8" x14ac:dyDescent="0.25">
      <c r="D7804" s="28"/>
      <c r="F7804" s="28"/>
      <c r="H7804" s="28"/>
    </row>
    <row r="7805" spans="4:8" x14ac:dyDescent="0.25">
      <c r="D7805" s="28"/>
      <c r="F7805" s="28"/>
      <c r="H7805" s="28"/>
    </row>
    <row r="7806" spans="4:8" x14ac:dyDescent="0.25">
      <c r="D7806" s="28"/>
      <c r="F7806" s="28"/>
      <c r="H7806" s="28"/>
    </row>
    <row r="7807" spans="4:8" x14ac:dyDescent="0.25">
      <c r="D7807" s="28"/>
      <c r="F7807" s="28"/>
      <c r="H7807" s="28"/>
    </row>
    <row r="7808" spans="4:8" x14ac:dyDescent="0.25">
      <c r="D7808" s="28"/>
      <c r="F7808" s="28"/>
      <c r="H7808" s="28"/>
    </row>
    <row r="7809" spans="4:8" x14ac:dyDescent="0.25">
      <c r="D7809" s="28"/>
      <c r="F7809" s="28"/>
      <c r="H7809" s="28"/>
    </row>
    <row r="7810" spans="4:8" x14ac:dyDescent="0.25">
      <c r="D7810" s="28"/>
      <c r="F7810" s="28"/>
      <c r="H7810" s="28"/>
    </row>
    <row r="7811" spans="4:8" x14ac:dyDescent="0.25">
      <c r="D7811" s="28"/>
      <c r="F7811" s="28"/>
      <c r="H7811" s="28"/>
    </row>
    <row r="7812" spans="4:8" x14ac:dyDescent="0.25">
      <c r="D7812" s="28"/>
      <c r="F7812" s="28"/>
      <c r="H7812" s="28"/>
    </row>
    <row r="7813" spans="4:8" x14ac:dyDescent="0.25">
      <c r="D7813" s="28"/>
      <c r="F7813" s="28"/>
      <c r="H7813" s="28"/>
    </row>
    <row r="7814" spans="4:8" x14ac:dyDescent="0.25">
      <c r="D7814" s="28"/>
      <c r="F7814" s="28"/>
      <c r="H7814" s="28"/>
    </row>
    <row r="7815" spans="4:8" x14ac:dyDescent="0.25">
      <c r="D7815" s="28"/>
      <c r="F7815" s="28"/>
      <c r="H7815" s="28"/>
    </row>
    <row r="7816" spans="4:8" x14ac:dyDescent="0.25">
      <c r="D7816" s="28"/>
      <c r="F7816" s="28"/>
      <c r="H7816" s="28"/>
    </row>
    <row r="7817" spans="4:8" x14ac:dyDescent="0.25">
      <c r="D7817" s="28"/>
      <c r="F7817" s="28"/>
      <c r="H7817" s="28"/>
    </row>
    <row r="7818" spans="4:8" x14ac:dyDescent="0.25">
      <c r="D7818" s="28"/>
      <c r="F7818" s="28"/>
      <c r="H7818" s="28"/>
    </row>
    <row r="7819" spans="4:8" x14ac:dyDescent="0.25">
      <c r="D7819" s="28"/>
      <c r="F7819" s="28"/>
      <c r="H7819" s="28"/>
    </row>
    <row r="7820" spans="4:8" x14ac:dyDescent="0.25">
      <c r="D7820" s="28"/>
      <c r="F7820" s="28"/>
      <c r="H7820" s="28"/>
    </row>
    <row r="7821" spans="4:8" x14ac:dyDescent="0.25">
      <c r="D7821" s="28"/>
      <c r="F7821" s="28"/>
      <c r="H7821" s="28"/>
    </row>
    <row r="7822" spans="4:8" x14ac:dyDescent="0.25">
      <c r="D7822" s="28"/>
      <c r="F7822" s="28"/>
      <c r="H7822" s="28"/>
    </row>
    <row r="7823" spans="4:8" x14ac:dyDescent="0.25">
      <c r="D7823" s="28"/>
      <c r="F7823" s="28"/>
      <c r="H7823" s="28"/>
    </row>
    <row r="7824" spans="4:8" x14ac:dyDescent="0.25">
      <c r="D7824" s="28"/>
      <c r="F7824" s="28"/>
      <c r="H7824" s="28"/>
    </row>
    <row r="7825" spans="4:8" x14ac:dyDescent="0.25">
      <c r="D7825" s="28"/>
      <c r="F7825" s="28"/>
      <c r="H7825" s="28"/>
    </row>
    <row r="7826" spans="4:8" x14ac:dyDescent="0.25">
      <c r="D7826" s="28"/>
      <c r="F7826" s="28"/>
      <c r="H7826" s="28"/>
    </row>
    <row r="7827" spans="4:8" x14ac:dyDescent="0.25">
      <c r="D7827" s="28"/>
      <c r="F7827" s="28"/>
      <c r="H7827" s="28"/>
    </row>
    <row r="7828" spans="4:8" x14ac:dyDescent="0.25">
      <c r="D7828" s="28"/>
      <c r="F7828" s="28"/>
      <c r="H7828" s="28"/>
    </row>
    <row r="7829" spans="4:8" x14ac:dyDescent="0.25">
      <c r="D7829" s="28"/>
      <c r="F7829" s="28"/>
      <c r="H7829" s="28"/>
    </row>
    <row r="7830" spans="4:8" x14ac:dyDescent="0.25">
      <c r="D7830" s="28"/>
      <c r="F7830" s="28"/>
      <c r="H7830" s="28"/>
    </row>
    <row r="7831" spans="4:8" x14ac:dyDescent="0.25">
      <c r="D7831" s="28"/>
      <c r="F7831" s="28"/>
      <c r="H7831" s="28"/>
    </row>
    <row r="7832" spans="4:8" x14ac:dyDescent="0.25">
      <c r="D7832" s="28"/>
      <c r="F7832" s="28"/>
      <c r="H7832" s="28"/>
    </row>
    <row r="7833" spans="4:8" x14ac:dyDescent="0.25">
      <c r="D7833" s="28"/>
      <c r="F7833" s="28"/>
      <c r="H7833" s="28"/>
    </row>
    <row r="7834" spans="4:8" x14ac:dyDescent="0.25">
      <c r="D7834" s="28"/>
      <c r="F7834" s="28"/>
      <c r="H7834" s="28"/>
    </row>
    <row r="7835" spans="4:8" x14ac:dyDescent="0.25">
      <c r="D7835" s="28"/>
      <c r="F7835" s="28"/>
      <c r="H7835" s="28"/>
    </row>
    <row r="7836" spans="4:8" x14ac:dyDescent="0.25">
      <c r="D7836" s="28"/>
      <c r="F7836" s="28"/>
      <c r="H7836" s="28"/>
    </row>
    <row r="7837" spans="4:8" x14ac:dyDescent="0.25">
      <c r="D7837" s="28"/>
      <c r="F7837" s="28"/>
      <c r="H7837" s="28"/>
    </row>
    <row r="7838" spans="4:8" x14ac:dyDescent="0.25">
      <c r="D7838" s="28"/>
      <c r="F7838" s="28"/>
      <c r="H7838" s="28"/>
    </row>
    <row r="7839" spans="4:8" x14ac:dyDescent="0.25">
      <c r="D7839" s="28"/>
      <c r="F7839" s="28"/>
      <c r="H7839" s="28"/>
    </row>
    <row r="7840" spans="4:8" x14ac:dyDescent="0.25">
      <c r="D7840" s="28"/>
      <c r="F7840" s="28"/>
      <c r="H7840" s="28"/>
    </row>
    <row r="7841" spans="4:8" x14ac:dyDescent="0.25">
      <c r="D7841" s="28"/>
      <c r="F7841" s="28"/>
      <c r="H7841" s="28"/>
    </row>
    <row r="7842" spans="4:8" x14ac:dyDescent="0.25">
      <c r="D7842" s="28"/>
      <c r="F7842" s="28"/>
      <c r="H7842" s="28"/>
    </row>
    <row r="7843" spans="4:8" x14ac:dyDescent="0.25">
      <c r="D7843" s="28"/>
      <c r="F7843" s="28"/>
      <c r="H7843" s="28"/>
    </row>
    <row r="7844" spans="4:8" x14ac:dyDescent="0.25">
      <c r="D7844" s="28"/>
      <c r="F7844" s="28"/>
      <c r="H7844" s="28"/>
    </row>
    <row r="7845" spans="4:8" x14ac:dyDescent="0.25">
      <c r="D7845" s="28"/>
      <c r="F7845" s="28"/>
      <c r="H7845" s="28"/>
    </row>
    <row r="7846" spans="4:8" x14ac:dyDescent="0.25">
      <c r="D7846" s="28"/>
      <c r="F7846" s="28"/>
      <c r="H7846" s="28"/>
    </row>
    <row r="7847" spans="4:8" x14ac:dyDescent="0.25">
      <c r="D7847" s="28"/>
      <c r="F7847" s="28"/>
      <c r="H7847" s="28"/>
    </row>
    <row r="7848" spans="4:8" x14ac:dyDescent="0.25">
      <c r="D7848" s="28"/>
      <c r="F7848" s="28"/>
      <c r="H7848" s="28"/>
    </row>
    <row r="7849" spans="4:8" x14ac:dyDescent="0.25">
      <c r="D7849" s="28"/>
      <c r="F7849" s="28"/>
      <c r="H7849" s="28"/>
    </row>
    <row r="7850" spans="4:8" x14ac:dyDescent="0.25">
      <c r="D7850" s="28"/>
      <c r="F7850" s="28"/>
      <c r="H7850" s="28"/>
    </row>
    <row r="7851" spans="4:8" x14ac:dyDescent="0.25">
      <c r="D7851" s="28"/>
      <c r="F7851" s="28"/>
      <c r="H7851" s="28"/>
    </row>
    <row r="7852" spans="4:8" x14ac:dyDescent="0.25">
      <c r="D7852" s="28"/>
      <c r="F7852" s="28"/>
      <c r="H7852" s="28"/>
    </row>
    <row r="7853" spans="4:8" x14ac:dyDescent="0.25">
      <c r="D7853" s="28"/>
      <c r="F7853" s="28"/>
      <c r="H7853" s="28"/>
    </row>
    <row r="7854" spans="4:8" x14ac:dyDescent="0.25">
      <c r="D7854" s="28"/>
      <c r="F7854" s="28"/>
      <c r="H7854" s="28"/>
    </row>
    <row r="7855" spans="4:8" x14ac:dyDescent="0.25">
      <c r="D7855" s="28"/>
      <c r="F7855" s="28"/>
      <c r="H7855" s="28"/>
    </row>
    <row r="7856" spans="4:8" x14ac:dyDescent="0.25">
      <c r="D7856" s="28"/>
      <c r="F7856" s="28"/>
      <c r="H7856" s="28"/>
    </row>
    <row r="7857" spans="4:8" x14ac:dyDescent="0.25">
      <c r="D7857" s="28"/>
      <c r="F7857" s="28"/>
      <c r="H7857" s="28"/>
    </row>
    <row r="7858" spans="4:8" x14ac:dyDescent="0.25">
      <c r="D7858" s="28"/>
      <c r="F7858" s="28"/>
      <c r="H7858" s="28"/>
    </row>
    <row r="7859" spans="4:8" x14ac:dyDescent="0.25">
      <c r="D7859" s="28"/>
      <c r="F7859" s="28"/>
      <c r="H7859" s="28"/>
    </row>
    <row r="7860" spans="4:8" x14ac:dyDescent="0.25">
      <c r="D7860" s="28"/>
      <c r="F7860" s="28"/>
      <c r="H7860" s="28"/>
    </row>
    <row r="7861" spans="4:8" x14ac:dyDescent="0.25">
      <c r="D7861" s="28"/>
      <c r="F7861" s="28"/>
      <c r="H7861" s="28"/>
    </row>
    <row r="7862" spans="4:8" x14ac:dyDescent="0.25">
      <c r="D7862" s="28"/>
      <c r="F7862" s="28"/>
      <c r="H7862" s="28"/>
    </row>
    <row r="7863" spans="4:8" x14ac:dyDescent="0.25">
      <c r="D7863" s="28"/>
      <c r="F7863" s="28"/>
      <c r="H7863" s="28"/>
    </row>
    <row r="7864" spans="4:8" x14ac:dyDescent="0.25">
      <c r="D7864" s="28"/>
      <c r="F7864" s="28"/>
      <c r="H7864" s="28"/>
    </row>
    <row r="7865" spans="4:8" x14ac:dyDescent="0.25">
      <c r="D7865" s="28"/>
      <c r="F7865" s="28"/>
      <c r="H7865" s="28"/>
    </row>
    <row r="7866" spans="4:8" x14ac:dyDescent="0.25">
      <c r="D7866" s="28"/>
      <c r="F7866" s="28"/>
      <c r="H7866" s="28"/>
    </row>
    <row r="7867" spans="4:8" x14ac:dyDescent="0.25">
      <c r="D7867" s="28"/>
      <c r="F7867" s="28"/>
      <c r="H7867" s="28"/>
    </row>
    <row r="7868" spans="4:8" x14ac:dyDescent="0.25">
      <c r="D7868" s="28"/>
      <c r="F7868" s="28"/>
      <c r="H7868" s="28"/>
    </row>
    <row r="7869" spans="4:8" x14ac:dyDescent="0.25">
      <c r="D7869" s="28"/>
      <c r="F7869" s="28"/>
      <c r="H7869" s="28"/>
    </row>
    <row r="7870" spans="4:8" x14ac:dyDescent="0.25">
      <c r="D7870" s="28"/>
      <c r="F7870" s="28"/>
      <c r="H7870" s="28"/>
    </row>
    <row r="7871" spans="4:8" x14ac:dyDescent="0.25">
      <c r="D7871" s="28"/>
      <c r="F7871" s="28"/>
      <c r="H7871" s="28"/>
    </row>
    <row r="7872" spans="4:8" x14ac:dyDescent="0.25">
      <c r="D7872" s="28"/>
      <c r="F7872" s="28"/>
      <c r="H7872" s="28"/>
    </row>
    <row r="7873" spans="4:8" x14ac:dyDescent="0.25">
      <c r="D7873" s="28"/>
      <c r="F7873" s="28"/>
      <c r="H7873" s="28"/>
    </row>
    <row r="7874" spans="4:8" x14ac:dyDescent="0.25">
      <c r="D7874" s="28"/>
      <c r="F7874" s="28"/>
      <c r="H7874" s="28"/>
    </row>
    <row r="7875" spans="4:8" x14ac:dyDescent="0.25">
      <c r="D7875" s="28"/>
      <c r="F7875" s="28"/>
      <c r="H7875" s="28"/>
    </row>
    <row r="7876" spans="4:8" x14ac:dyDescent="0.25">
      <c r="D7876" s="28"/>
      <c r="F7876" s="28"/>
      <c r="H7876" s="28"/>
    </row>
    <row r="7877" spans="4:8" x14ac:dyDescent="0.25">
      <c r="D7877" s="28"/>
      <c r="F7877" s="28"/>
      <c r="H7877" s="28"/>
    </row>
    <row r="7878" spans="4:8" x14ac:dyDescent="0.25">
      <c r="D7878" s="28"/>
      <c r="F7878" s="28"/>
      <c r="H7878" s="28"/>
    </row>
    <row r="7879" spans="4:8" x14ac:dyDescent="0.25">
      <c r="D7879" s="28"/>
      <c r="F7879" s="28"/>
      <c r="H7879" s="28"/>
    </row>
    <row r="7880" spans="4:8" x14ac:dyDescent="0.25">
      <c r="D7880" s="28"/>
      <c r="F7880" s="28"/>
      <c r="H7880" s="28"/>
    </row>
    <row r="7881" spans="4:8" x14ac:dyDescent="0.25">
      <c r="D7881" s="28"/>
      <c r="F7881" s="28"/>
      <c r="H7881" s="28"/>
    </row>
    <row r="7882" spans="4:8" x14ac:dyDescent="0.25">
      <c r="D7882" s="28"/>
      <c r="F7882" s="28"/>
      <c r="H7882" s="28"/>
    </row>
    <row r="7883" spans="4:8" x14ac:dyDescent="0.25">
      <c r="D7883" s="28"/>
      <c r="F7883" s="28"/>
      <c r="H7883" s="28"/>
    </row>
    <row r="7884" spans="4:8" x14ac:dyDescent="0.25">
      <c r="D7884" s="28"/>
      <c r="F7884" s="28"/>
      <c r="H7884" s="28"/>
    </row>
    <row r="7885" spans="4:8" x14ac:dyDescent="0.25">
      <c r="D7885" s="28"/>
      <c r="F7885" s="28"/>
      <c r="H7885" s="28"/>
    </row>
    <row r="7886" spans="4:8" x14ac:dyDescent="0.25">
      <c r="D7886" s="28"/>
      <c r="F7886" s="28"/>
      <c r="H7886" s="28"/>
    </row>
    <row r="7887" spans="4:8" x14ac:dyDescent="0.25">
      <c r="D7887" s="28"/>
      <c r="F7887" s="28"/>
      <c r="H7887" s="28"/>
    </row>
    <row r="7888" spans="4:8" x14ac:dyDescent="0.25">
      <c r="D7888" s="28"/>
      <c r="F7888" s="28"/>
      <c r="H7888" s="28"/>
    </row>
    <row r="7889" spans="4:8" x14ac:dyDescent="0.25">
      <c r="D7889" s="28"/>
      <c r="F7889" s="28"/>
      <c r="H7889" s="28"/>
    </row>
    <row r="7890" spans="4:8" x14ac:dyDescent="0.25">
      <c r="D7890" s="28"/>
      <c r="F7890" s="28"/>
      <c r="H7890" s="28"/>
    </row>
    <row r="7891" spans="4:8" x14ac:dyDescent="0.25">
      <c r="D7891" s="28"/>
      <c r="F7891" s="28"/>
      <c r="H7891" s="28"/>
    </row>
    <row r="7892" spans="4:8" x14ac:dyDescent="0.25">
      <c r="D7892" s="28"/>
      <c r="F7892" s="28"/>
      <c r="H7892" s="28"/>
    </row>
    <row r="7893" spans="4:8" x14ac:dyDescent="0.25">
      <c r="D7893" s="28"/>
      <c r="F7893" s="28"/>
      <c r="H7893" s="28"/>
    </row>
    <row r="7894" spans="4:8" x14ac:dyDescent="0.25">
      <c r="D7894" s="28"/>
      <c r="F7894" s="28"/>
      <c r="H7894" s="28"/>
    </row>
    <row r="7895" spans="4:8" x14ac:dyDescent="0.25">
      <c r="D7895" s="28"/>
      <c r="F7895" s="28"/>
      <c r="H7895" s="28"/>
    </row>
    <row r="7896" spans="4:8" x14ac:dyDescent="0.25">
      <c r="D7896" s="28"/>
      <c r="F7896" s="28"/>
      <c r="H7896" s="28"/>
    </row>
    <row r="7897" spans="4:8" x14ac:dyDescent="0.25">
      <c r="D7897" s="28"/>
      <c r="F7897" s="28"/>
      <c r="H7897" s="28"/>
    </row>
    <row r="7898" spans="4:8" x14ac:dyDescent="0.25">
      <c r="D7898" s="28"/>
      <c r="F7898" s="28"/>
      <c r="H7898" s="28"/>
    </row>
    <row r="7899" spans="4:8" x14ac:dyDescent="0.25">
      <c r="D7899" s="28"/>
      <c r="F7899" s="28"/>
      <c r="H7899" s="28"/>
    </row>
    <row r="7900" spans="4:8" x14ac:dyDescent="0.25">
      <c r="D7900" s="28"/>
      <c r="F7900" s="28"/>
      <c r="H7900" s="28"/>
    </row>
    <row r="7901" spans="4:8" x14ac:dyDescent="0.25">
      <c r="D7901" s="28"/>
      <c r="F7901" s="28"/>
      <c r="H7901" s="28"/>
    </row>
    <row r="7902" spans="4:8" x14ac:dyDescent="0.25">
      <c r="D7902" s="28"/>
      <c r="F7902" s="28"/>
      <c r="H7902" s="28"/>
    </row>
    <row r="7903" spans="4:8" x14ac:dyDescent="0.25">
      <c r="D7903" s="28"/>
      <c r="F7903" s="28"/>
      <c r="H7903" s="28"/>
    </row>
    <row r="7904" spans="4:8" x14ac:dyDescent="0.25">
      <c r="D7904" s="28"/>
      <c r="F7904" s="28"/>
      <c r="H7904" s="28"/>
    </row>
    <row r="7905" spans="4:8" x14ac:dyDescent="0.25">
      <c r="D7905" s="28"/>
      <c r="F7905" s="28"/>
      <c r="H7905" s="28"/>
    </row>
    <row r="7906" spans="4:8" x14ac:dyDescent="0.25">
      <c r="D7906" s="28"/>
      <c r="F7906" s="28"/>
      <c r="H7906" s="28"/>
    </row>
    <row r="7907" spans="4:8" x14ac:dyDescent="0.25">
      <c r="D7907" s="28"/>
      <c r="F7907" s="28"/>
      <c r="H7907" s="28"/>
    </row>
    <row r="7908" spans="4:8" x14ac:dyDescent="0.25">
      <c r="D7908" s="28"/>
      <c r="F7908" s="28"/>
      <c r="H7908" s="28"/>
    </row>
    <row r="7909" spans="4:8" x14ac:dyDescent="0.25">
      <c r="D7909" s="28"/>
      <c r="F7909" s="28"/>
      <c r="H7909" s="28"/>
    </row>
    <row r="7910" spans="4:8" x14ac:dyDescent="0.25">
      <c r="D7910" s="28"/>
      <c r="F7910" s="28"/>
      <c r="H7910" s="28"/>
    </row>
    <row r="7911" spans="4:8" x14ac:dyDescent="0.25">
      <c r="D7911" s="28"/>
      <c r="F7911" s="28"/>
      <c r="H7911" s="28"/>
    </row>
    <row r="7912" spans="4:8" x14ac:dyDescent="0.25">
      <c r="D7912" s="28"/>
      <c r="F7912" s="28"/>
      <c r="H7912" s="28"/>
    </row>
    <row r="7913" spans="4:8" x14ac:dyDescent="0.25">
      <c r="D7913" s="28"/>
      <c r="F7913" s="28"/>
      <c r="H7913" s="28"/>
    </row>
    <row r="7914" spans="4:8" x14ac:dyDescent="0.25">
      <c r="D7914" s="28"/>
      <c r="F7914" s="28"/>
      <c r="H7914" s="28"/>
    </row>
    <row r="7915" spans="4:8" x14ac:dyDescent="0.25">
      <c r="D7915" s="28"/>
      <c r="F7915" s="28"/>
      <c r="H7915" s="28"/>
    </row>
    <row r="7916" spans="4:8" x14ac:dyDescent="0.25">
      <c r="D7916" s="28"/>
      <c r="F7916" s="28"/>
      <c r="H7916" s="28"/>
    </row>
    <row r="7917" spans="4:8" x14ac:dyDescent="0.25">
      <c r="D7917" s="28"/>
      <c r="F7917" s="28"/>
      <c r="H7917" s="28"/>
    </row>
    <row r="7918" spans="4:8" x14ac:dyDescent="0.25">
      <c r="D7918" s="28"/>
      <c r="F7918" s="28"/>
      <c r="H7918" s="28"/>
    </row>
    <row r="7919" spans="4:8" x14ac:dyDescent="0.25">
      <c r="D7919" s="28"/>
      <c r="F7919" s="28"/>
      <c r="H7919" s="28"/>
    </row>
    <row r="7920" spans="4:8" x14ac:dyDescent="0.25">
      <c r="D7920" s="28"/>
      <c r="F7920" s="28"/>
      <c r="H7920" s="28"/>
    </row>
    <row r="7921" spans="4:8" x14ac:dyDescent="0.25">
      <c r="D7921" s="28"/>
      <c r="F7921" s="28"/>
      <c r="H7921" s="28"/>
    </row>
    <row r="7922" spans="4:8" x14ac:dyDescent="0.25">
      <c r="D7922" s="28"/>
      <c r="F7922" s="28"/>
      <c r="H7922" s="28"/>
    </row>
    <row r="7923" spans="4:8" x14ac:dyDescent="0.25">
      <c r="D7923" s="28"/>
      <c r="F7923" s="28"/>
      <c r="H7923" s="28"/>
    </row>
    <row r="7924" spans="4:8" x14ac:dyDescent="0.25">
      <c r="D7924" s="28"/>
      <c r="F7924" s="28"/>
      <c r="H7924" s="28"/>
    </row>
    <row r="7925" spans="4:8" x14ac:dyDescent="0.25">
      <c r="D7925" s="28"/>
      <c r="F7925" s="28"/>
      <c r="H7925" s="28"/>
    </row>
    <row r="7926" spans="4:8" x14ac:dyDescent="0.25">
      <c r="D7926" s="28"/>
      <c r="F7926" s="28"/>
      <c r="H7926" s="28"/>
    </row>
    <row r="7927" spans="4:8" x14ac:dyDescent="0.25">
      <c r="D7927" s="28"/>
      <c r="F7927" s="28"/>
      <c r="H7927" s="28"/>
    </row>
    <row r="7928" spans="4:8" x14ac:dyDescent="0.25">
      <c r="D7928" s="28"/>
      <c r="F7928" s="28"/>
      <c r="H7928" s="28"/>
    </row>
    <row r="7929" spans="4:8" x14ac:dyDescent="0.25">
      <c r="D7929" s="28"/>
      <c r="F7929" s="28"/>
      <c r="H7929" s="28"/>
    </row>
    <row r="7930" spans="4:8" x14ac:dyDescent="0.25">
      <c r="D7930" s="28"/>
      <c r="F7930" s="28"/>
      <c r="H7930" s="28"/>
    </row>
    <row r="7931" spans="4:8" x14ac:dyDescent="0.25">
      <c r="D7931" s="28"/>
      <c r="F7931" s="28"/>
      <c r="H7931" s="28"/>
    </row>
    <row r="7932" spans="4:8" x14ac:dyDescent="0.25">
      <c r="D7932" s="28"/>
      <c r="F7932" s="28"/>
      <c r="H7932" s="28"/>
    </row>
    <row r="7933" spans="4:8" x14ac:dyDescent="0.25">
      <c r="D7933" s="28"/>
      <c r="F7933" s="28"/>
      <c r="H7933" s="28"/>
    </row>
    <row r="7934" spans="4:8" x14ac:dyDescent="0.25">
      <c r="D7934" s="28"/>
      <c r="F7934" s="28"/>
      <c r="H7934" s="28"/>
    </row>
    <row r="7935" spans="4:8" x14ac:dyDescent="0.25">
      <c r="D7935" s="28"/>
      <c r="F7935" s="28"/>
      <c r="H7935" s="28"/>
    </row>
    <row r="7936" spans="4:8" x14ac:dyDescent="0.25">
      <c r="D7936" s="28"/>
      <c r="F7936" s="28"/>
      <c r="H7936" s="28"/>
    </row>
    <row r="7937" spans="4:8" x14ac:dyDescent="0.25">
      <c r="D7937" s="28"/>
      <c r="F7937" s="28"/>
      <c r="H7937" s="28"/>
    </row>
    <row r="7938" spans="4:8" x14ac:dyDescent="0.25">
      <c r="D7938" s="28"/>
      <c r="F7938" s="28"/>
      <c r="H7938" s="28"/>
    </row>
    <row r="7939" spans="4:8" x14ac:dyDescent="0.25">
      <c r="D7939" s="28"/>
      <c r="F7939" s="28"/>
      <c r="H7939" s="28"/>
    </row>
    <row r="7940" spans="4:8" x14ac:dyDescent="0.25">
      <c r="D7940" s="28"/>
      <c r="F7940" s="28"/>
      <c r="H7940" s="28"/>
    </row>
    <row r="7941" spans="4:8" x14ac:dyDescent="0.25">
      <c r="D7941" s="28"/>
      <c r="F7941" s="28"/>
      <c r="H7941" s="28"/>
    </row>
    <row r="7942" spans="4:8" x14ac:dyDescent="0.25">
      <c r="D7942" s="28"/>
      <c r="F7942" s="28"/>
      <c r="H7942" s="28"/>
    </row>
    <row r="7943" spans="4:8" x14ac:dyDescent="0.25">
      <c r="D7943" s="28"/>
      <c r="F7943" s="28"/>
      <c r="H7943" s="28"/>
    </row>
    <row r="7944" spans="4:8" x14ac:dyDescent="0.25">
      <c r="D7944" s="28"/>
      <c r="F7944" s="28"/>
      <c r="H7944" s="28"/>
    </row>
    <row r="7945" spans="4:8" x14ac:dyDescent="0.25">
      <c r="D7945" s="28"/>
      <c r="F7945" s="28"/>
      <c r="H7945" s="28"/>
    </row>
    <row r="7946" spans="4:8" x14ac:dyDescent="0.25">
      <c r="D7946" s="28"/>
      <c r="F7946" s="28"/>
      <c r="H7946" s="28"/>
    </row>
    <row r="7947" spans="4:8" x14ac:dyDescent="0.25">
      <c r="D7947" s="28"/>
      <c r="F7947" s="28"/>
      <c r="H7947" s="28"/>
    </row>
    <row r="7948" spans="4:8" x14ac:dyDescent="0.25">
      <c r="D7948" s="28"/>
      <c r="F7948" s="28"/>
      <c r="H7948" s="28"/>
    </row>
    <row r="7949" spans="4:8" x14ac:dyDescent="0.25">
      <c r="D7949" s="28"/>
      <c r="F7949" s="28"/>
      <c r="H7949" s="28"/>
    </row>
    <row r="7950" spans="4:8" x14ac:dyDescent="0.25">
      <c r="D7950" s="28"/>
      <c r="F7950" s="28"/>
      <c r="H7950" s="28"/>
    </row>
    <row r="7951" spans="4:8" x14ac:dyDescent="0.25">
      <c r="D7951" s="28"/>
      <c r="F7951" s="28"/>
      <c r="H7951" s="28"/>
    </row>
    <row r="7952" spans="4:8" x14ac:dyDescent="0.25">
      <c r="D7952" s="28"/>
      <c r="F7952" s="28"/>
      <c r="H7952" s="28"/>
    </row>
    <row r="7953" spans="4:8" x14ac:dyDescent="0.25">
      <c r="D7953" s="28"/>
      <c r="F7953" s="28"/>
      <c r="H7953" s="28"/>
    </row>
    <row r="7954" spans="4:8" x14ac:dyDescent="0.25">
      <c r="D7954" s="28"/>
      <c r="F7954" s="28"/>
      <c r="H7954" s="28"/>
    </row>
    <row r="7955" spans="4:8" x14ac:dyDescent="0.25">
      <c r="D7955" s="28"/>
      <c r="F7955" s="28"/>
      <c r="H7955" s="28"/>
    </row>
    <row r="7956" spans="4:8" x14ac:dyDescent="0.25">
      <c r="D7956" s="28"/>
      <c r="F7956" s="28"/>
      <c r="H7956" s="28"/>
    </row>
    <row r="7957" spans="4:8" x14ac:dyDescent="0.25">
      <c r="D7957" s="28"/>
      <c r="F7957" s="28"/>
      <c r="H7957" s="28"/>
    </row>
    <row r="7958" spans="4:8" x14ac:dyDescent="0.25">
      <c r="D7958" s="28"/>
      <c r="F7958" s="28"/>
      <c r="H7958" s="28"/>
    </row>
    <row r="7959" spans="4:8" x14ac:dyDescent="0.25">
      <c r="D7959" s="28"/>
      <c r="F7959" s="28"/>
      <c r="H7959" s="28"/>
    </row>
    <row r="7960" spans="4:8" x14ac:dyDescent="0.25">
      <c r="D7960" s="28"/>
      <c r="F7960" s="28"/>
      <c r="H7960" s="28"/>
    </row>
    <row r="7961" spans="4:8" x14ac:dyDescent="0.25">
      <c r="D7961" s="28"/>
      <c r="F7961" s="28"/>
      <c r="H7961" s="28"/>
    </row>
    <row r="7962" spans="4:8" x14ac:dyDescent="0.25">
      <c r="D7962" s="28"/>
      <c r="F7962" s="28"/>
      <c r="H7962" s="28"/>
    </row>
    <row r="7963" spans="4:8" x14ac:dyDescent="0.25">
      <c r="D7963" s="28"/>
      <c r="F7963" s="28"/>
      <c r="H7963" s="28"/>
    </row>
    <row r="7964" spans="4:8" x14ac:dyDescent="0.25">
      <c r="D7964" s="28"/>
      <c r="F7964" s="28"/>
      <c r="H7964" s="28"/>
    </row>
    <row r="7965" spans="4:8" x14ac:dyDescent="0.25">
      <c r="D7965" s="28"/>
      <c r="F7965" s="28"/>
      <c r="H7965" s="28"/>
    </row>
    <row r="7966" spans="4:8" x14ac:dyDescent="0.25">
      <c r="D7966" s="28"/>
      <c r="F7966" s="28"/>
      <c r="H7966" s="28"/>
    </row>
    <row r="7967" spans="4:8" x14ac:dyDescent="0.25">
      <c r="D7967" s="28"/>
      <c r="F7967" s="28"/>
      <c r="H7967" s="28"/>
    </row>
    <row r="7968" spans="4:8" x14ac:dyDescent="0.25">
      <c r="D7968" s="28"/>
      <c r="F7968" s="28"/>
      <c r="H7968" s="28"/>
    </row>
    <row r="7969" spans="4:8" x14ac:dyDescent="0.25">
      <c r="D7969" s="28"/>
      <c r="F7969" s="28"/>
      <c r="H7969" s="28"/>
    </row>
    <row r="7970" spans="4:8" x14ac:dyDescent="0.25">
      <c r="D7970" s="28"/>
      <c r="F7970" s="28"/>
      <c r="H7970" s="28"/>
    </row>
    <row r="7971" spans="4:8" x14ac:dyDescent="0.25">
      <c r="D7971" s="28"/>
      <c r="F7971" s="28"/>
      <c r="H7971" s="28"/>
    </row>
    <row r="7972" spans="4:8" x14ac:dyDescent="0.25">
      <c r="D7972" s="28"/>
      <c r="F7972" s="28"/>
      <c r="H7972" s="28"/>
    </row>
    <row r="7973" spans="4:8" x14ac:dyDescent="0.25">
      <c r="D7973" s="28"/>
      <c r="F7973" s="28"/>
      <c r="H7973" s="28"/>
    </row>
    <row r="7974" spans="4:8" x14ac:dyDescent="0.25">
      <c r="D7974" s="28"/>
      <c r="F7974" s="28"/>
      <c r="H7974" s="28"/>
    </row>
    <row r="7975" spans="4:8" x14ac:dyDescent="0.25">
      <c r="D7975" s="28"/>
      <c r="F7975" s="28"/>
      <c r="H7975" s="28"/>
    </row>
    <row r="7976" spans="4:8" x14ac:dyDescent="0.25">
      <c r="D7976" s="28"/>
      <c r="F7976" s="28"/>
      <c r="H7976" s="28"/>
    </row>
    <row r="7977" spans="4:8" x14ac:dyDescent="0.25">
      <c r="D7977" s="28"/>
      <c r="F7977" s="28"/>
      <c r="H7977" s="28"/>
    </row>
    <row r="7978" spans="4:8" x14ac:dyDescent="0.25">
      <c r="D7978" s="28"/>
      <c r="F7978" s="28"/>
      <c r="H7978" s="28"/>
    </row>
    <row r="7979" spans="4:8" x14ac:dyDescent="0.25">
      <c r="D7979" s="28"/>
      <c r="F7979" s="28"/>
      <c r="H7979" s="28"/>
    </row>
    <row r="7980" spans="4:8" x14ac:dyDescent="0.25">
      <c r="D7980" s="28"/>
      <c r="F7980" s="28"/>
      <c r="H7980" s="28"/>
    </row>
    <row r="7981" spans="4:8" x14ac:dyDescent="0.25">
      <c r="D7981" s="28"/>
      <c r="F7981" s="28"/>
      <c r="H7981" s="28"/>
    </row>
    <row r="7982" spans="4:8" x14ac:dyDescent="0.25">
      <c r="D7982" s="28"/>
      <c r="F7982" s="28"/>
      <c r="H7982" s="28"/>
    </row>
    <row r="7983" spans="4:8" x14ac:dyDescent="0.25">
      <c r="D7983" s="28"/>
      <c r="F7983" s="28"/>
      <c r="H7983" s="28"/>
    </row>
    <row r="7984" spans="4:8" x14ac:dyDescent="0.25">
      <c r="D7984" s="28"/>
      <c r="F7984" s="28"/>
      <c r="H7984" s="28"/>
    </row>
    <row r="7985" spans="4:8" x14ac:dyDescent="0.25">
      <c r="D7985" s="28"/>
      <c r="F7985" s="28"/>
      <c r="H7985" s="28"/>
    </row>
    <row r="7986" spans="4:8" x14ac:dyDescent="0.25">
      <c r="D7986" s="28"/>
      <c r="F7986" s="28"/>
      <c r="H7986" s="28"/>
    </row>
    <row r="7987" spans="4:8" x14ac:dyDescent="0.25">
      <c r="D7987" s="28"/>
      <c r="F7987" s="28"/>
      <c r="H7987" s="28"/>
    </row>
    <row r="7988" spans="4:8" x14ac:dyDescent="0.25">
      <c r="D7988" s="28"/>
      <c r="F7988" s="28"/>
      <c r="H7988" s="28"/>
    </row>
    <row r="7989" spans="4:8" x14ac:dyDescent="0.25">
      <c r="D7989" s="28"/>
      <c r="F7989" s="28"/>
      <c r="H7989" s="28"/>
    </row>
    <row r="7990" spans="4:8" x14ac:dyDescent="0.25">
      <c r="D7990" s="28"/>
      <c r="F7990" s="28"/>
      <c r="H7990" s="28"/>
    </row>
    <row r="7991" spans="4:8" x14ac:dyDescent="0.25">
      <c r="D7991" s="28"/>
      <c r="F7991" s="28"/>
      <c r="H7991" s="28"/>
    </row>
    <row r="7992" spans="4:8" x14ac:dyDescent="0.25">
      <c r="D7992" s="28"/>
      <c r="F7992" s="28"/>
      <c r="H7992" s="28"/>
    </row>
    <row r="7993" spans="4:8" x14ac:dyDescent="0.25">
      <c r="D7993" s="28"/>
      <c r="F7993" s="28"/>
      <c r="H7993" s="28"/>
    </row>
    <row r="7994" spans="4:8" x14ac:dyDescent="0.25">
      <c r="D7994" s="28"/>
      <c r="F7994" s="28"/>
      <c r="H7994" s="28"/>
    </row>
    <row r="7995" spans="4:8" x14ac:dyDescent="0.25">
      <c r="D7995" s="28"/>
      <c r="F7995" s="28"/>
      <c r="H7995" s="28"/>
    </row>
    <row r="7996" spans="4:8" x14ac:dyDescent="0.25">
      <c r="D7996" s="28"/>
      <c r="F7996" s="28"/>
      <c r="H7996" s="28"/>
    </row>
    <row r="7997" spans="4:8" x14ac:dyDescent="0.25">
      <c r="D7997" s="28"/>
      <c r="F7997" s="28"/>
      <c r="H7997" s="28"/>
    </row>
    <row r="7998" spans="4:8" x14ac:dyDescent="0.25">
      <c r="D7998" s="28"/>
      <c r="F7998" s="28"/>
      <c r="H7998" s="28"/>
    </row>
    <row r="7999" spans="4:8" x14ac:dyDescent="0.25">
      <c r="D7999" s="28"/>
      <c r="F7999" s="28"/>
      <c r="H7999" s="28"/>
    </row>
    <row r="8000" spans="4:8" x14ac:dyDescent="0.25">
      <c r="D8000" s="28"/>
      <c r="F8000" s="28"/>
      <c r="H8000" s="28"/>
    </row>
    <row r="8001" spans="4:8" x14ac:dyDescent="0.25">
      <c r="D8001" s="28"/>
      <c r="F8001" s="28"/>
      <c r="H8001" s="28"/>
    </row>
    <row r="8002" spans="4:8" x14ac:dyDescent="0.25">
      <c r="D8002" s="28"/>
      <c r="F8002" s="28"/>
      <c r="H8002" s="28"/>
    </row>
    <row r="8003" spans="4:8" x14ac:dyDescent="0.25">
      <c r="D8003" s="28"/>
      <c r="F8003" s="28"/>
      <c r="H8003" s="28"/>
    </row>
    <row r="8004" spans="4:8" x14ac:dyDescent="0.25">
      <c r="D8004" s="28"/>
      <c r="F8004" s="28"/>
      <c r="H8004" s="28"/>
    </row>
    <row r="8005" spans="4:8" x14ac:dyDescent="0.25">
      <c r="D8005" s="28"/>
      <c r="F8005" s="28"/>
      <c r="H8005" s="28"/>
    </row>
    <row r="8006" spans="4:8" x14ac:dyDescent="0.25">
      <c r="D8006" s="28"/>
      <c r="F8006" s="28"/>
      <c r="H8006" s="28"/>
    </row>
    <row r="8007" spans="4:8" x14ac:dyDescent="0.25">
      <c r="D8007" s="28"/>
      <c r="F8007" s="28"/>
      <c r="H8007" s="28"/>
    </row>
    <row r="8008" spans="4:8" x14ac:dyDescent="0.25">
      <c r="D8008" s="28"/>
      <c r="F8008" s="28"/>
      <c r="H8008" s="28"/>
    </row>
    <row r="8009" spans="4:8" x14ac:dyDescent="0.25">
      <c r="D8009" s="28"/>
      <c r="F8009" s="28"/>
      <c r="H8009" s="28"/>
    </row>
    <row r="8010" spans="4:8" x14ac:dyDescent="0.25">
      <c r="D8010" s="28"/>
      <c r="F8010" s="28"/>
      <c r="H8010" s="28"/>
    </row>
    <row r="8011" spans="4:8" x14ac:dyDescent="0.25">
      <c r="D8011" s="28"/>
      <c r="F8011" s="28"/>
      <c r="H8011" s="28"/>
    </row>
    <row r="8012" spans="4:8" x14ac:dyDescent="0.25">
      <c r="D8012" s="28"/>
      <c r="F8012" s="28"/>
      <c r="H8012" s="28"/>
    </row>
    <row r="8013" spans="4:8" x14ac:dyDescent="0.25">
      <c r="D8013" s="28"/>
      <c r="F8013" s="28"/>
      <c r="H8013" s="28"/>
    </row>
    <row r="8014" spans="4:8" x14ac:dyDescent="0.25">
      <c r="D8014" s="28"/>
      <c r="F8014" s="28"/>
      <c r="H8014" s="28"/>
    </row>
    <row r="8015" spans="4:8" x14ac:dyDescent="0.25">
      <c r="D8015" s="28"/>
      <c r="F8015" s="28"/>
      <c r="H8015" s="28"/>
    </row>
    <row r="8016" spans="4:8" x14ac:dyDescent="0.25">
      <c r="D8016" s="28"/>
      <c r="F8016" s="28"/>
      <c r="H8016" s="28"/>
    </row>
    <row r="8017" spans="4:8" x14ac:dyDescent="0.25">
      <c r="D8017" s="28"/>
      <c r="F8017" s="28"/>
      <c r="H8017" s="28"/>
    </row>
    <row r="8018" spans="4:8" x14ac:dyDescent="0.25">
      <c r="D8018" s="28"/>
      <c r="F8018" s="28"/>
      <c r="H8018" s="28"/>
    </row>
    <row r="8019" spans="4:8" x14ac:dyDescent="0.25">
      <c r="D8019" s="28"/>
      <c r="F8019" s="28"/>
      <c r="H8019" s="28"/>
    </row>
    <row r="8020" spans="4:8" x14ac:dyDescent="0.25">
      <c r="D8020" s="28"/>
      <c r="F8020" s="28"/>
      <c r="H8020" s="28"/>
    </row>
    <row r="8021" spans="4:8" x14ac:dyDescent="0.25">
      <c r="D8021" s="28"/>
      <c r="F8021" s="28"/>
      <c r="H8021" s="28"/>
    </row>
    <row r="8022" spans="4:8" x14ac:dyDescent="0.25">
      <c r="D8022" s="28"/>
      <c r="F8022" s="28"/>
      <c r="H8022" s="28"/>
    </row>
    <row r="8023" spans="4:8" x14ac:dyDescent="0.25">
      <c r="D8023" s="28"/>
      <c r="F8023" s="28"/>
      <c r="H8023" s="28"/>
    </row>
    <row r="8024" spans="4:8" x14ac:dyDescent="0.25">
      <c r="D8024" s="28"/>
      <c r="F8024" s="28"/>
      <c r="H8024" s="28"/>
    </row>
    <row r="8025" spans="4:8" x14ac:dyDescent="0.25">
      <c r="D8025" s="28"/>
      <c r="F8025" s="28"/>
      <c r="H8025" s="28"/>
    </row>
    <row r="8026" spans="4:8" x14ac:dyDescent="0.25">
      <c r="D8026" s="28"/>
      <c r="F8026" s="28"/>
      <c r="H8026" s="28"/>
    </row>
    <row r="8027" spans="4:8" x14ac:dyDescent="0.25">
      <c r="D8027" s="28"/>
      <c r="F8027" s="28"/>
      <c r="H8027" s="28"/>
    </row>
    <row r="8028" spans="4:8" x14ac:dyDescent="0.25">
      <c r="D8028" s="28"/>
      <c r="F8028" s="28"/>
      <c r="H8028" s="28"/>
    </row>
    <row r="8029" spans="4:8" x14ac:dyDescent="0.25">
      <c r="D8029" s="28"/>
      <c r="F8029" s="28"/>
      <c r="H8029" s="28"/>
    </row>
    <row r="8030" spans="4:8" x14ac:dyDescent="0.25">
      <c r="D8030" s="28"/>
      <c r="F8030" s="28"/>
      <c r="H8030" s="28"/>
    </row>
    <row r="8031" spans="4:8" x14ac:dyDescent="0.25">
      <c r="D8031" s="28"/>
      <c r="F8031" s="28"/>
      <c r="H8031" s="28"/>
    </row>
    <row r="8032" spans="4:8" x14ac:dyDescent="0.25">
      <c r="D8032" s="28"/>
      <c r="F8032" s="28"/>
      <c r="H8032" s="28"/>
    </row>
    <row r="8033" spans="4:8" x14ac:dyDescent="0.25">
      <c r="D8033" s="28"/>
      <c r="F8033" s="28"/>
      <c r="H8033" s="28"/>
    </row>
    <row r="8034" spans="4:8" x14ac:dyDescent="0.25">
      <c r="D8034" s="28"/>
      <c r="F8034" s="28"/>
      <c r="H8034" s="28"/>
    </row>
    <row r="8035" spans="4:8" x14ac:dyDescent="0.25">
      <c r="D8035" s="28"/>
      <c r="F8035" s="28"/>
      <c r="H8035" s="28"/>
    </row>
    <row r="8036" spans="4:8" x14ac:dyDescent="0.25">
      <c r="D8036" s="28"/>
      <c r="F8036" s="28"/>
      <c r="H8036" s="28"/>
    </row>
    <row r="8037" spans="4:8" x14ac:dyDescent="0.25">
      <c r="D8037" s="28"/>
      <c r="F8037" s="28"/>
      <c r="H8037" s="28"/>
    </row>
    <row r="8038" spans="4:8" x14ac:dyDescent="0.25">
      <c r="D8038" s="28"/>
      <c r="F8038" s="28"/>
      <c r="H8038" s="28"/>
    </row>
    <row r="8039" spans="4:8" x14ac:dyDescent="0.25">
      <c r="D8039" s="28"/>
      <c r="F8039" s="28"/>
      <c r="H8039" s="28"/>
    </row>
    <row r="8040" spans="4:8" x14ac:dyDescent="0.25">
      <c r="D8040" s="28"/>
      <c r="F8040" s="28"/>
      <c r="H8040" s="28"/>
    </row>
    <row r="8041" spans="4:8" x14ac:dyDescent="0.25">
      <c r="D8041" s="28"/>
      <c r="F8041" s="28"/>
      <c r="H8041" s="28"/>
    </row>
    <row r="8042" spans="4:8" x14ac:dyDescent="0.25">
      <c r="D8042" s="28"/>
      <c r="F8042" s="28"/>
      <c r="H8042" s="28"/>
    </row>
    <row r="8043" spans="4:8" x14ac:dyDescent="0.25">
      <c r="D8043" s="28"/>
      <c r="F8043" s="28"/>
      <c r="H8043" s="28"/>
    </row>
    <row r="8044" spans="4:8" x14ac:dyDescent="0.25">
      <c r="D8044" s="28"/>
      <c r="F8044" s="28"/>
      <c r="H8044" s="28"/>
    </row>
    <row r="8045" spans="4:8" x14ac:dyDescent="0.25">
      <c r="D8045" s="28"/>
      <c r="F8045" s="28"/>
      <c r="H8045" s="28"/>
    </row>
    <row r="8046" spans="4:8" x14ac:dyDescent="0.25">
      <c r="D8046" s="28"/>
      <c r="F8046" s="28"/>
      <c r="H8046" s="28"/>
    </row>
    <row r="8047" spans="4:8" x14ac:dyDescent="0.25">
      <c r="D8047" s="28"/>
      <c r="F8047" s="28"/>
      <c r="H8047" s="28"/>
    </row>
    <row r="8048" spans="4:8" x14ac:dyDescent="0.25">
      <c r="D8048" s="28"/>
      <c r="F8048" s="28"/>
      <c r="H8048" s="28"/>
    </row>
    <row r="8049" spans="4:8" x14ac:dyDescent="0.25">
      <c r="D8049" s="28"/>
      <c r="F8049" s="28"/>
      <c r="H8049" s="28"/>
    </row>
    <row r="8050" spans="4:8" x14ac:dyDescent="0.25">
      <c r="D8050" s="28"/>
      <c r="F8050" s="28"/>
      <c r="H8050" s="28"/>
    </row>
    <row r="8051" spans="4:8" x14ac:dyDescent="0.25">
      <c r="D8051" s="28"/>
      <c r="F8051" s="28"/>
      <c r="H8051" s="28"/>
    </row>
    <row r="8052" spans="4:8" x14ac:dyDescent="0.25">
      <c r="D8052" s="28"/>
      <c r="F8052" s="28"/>
      <c r="H8052" s="28"/>
    </row>
    <row r="8053" spans="4:8" x14ac:dyDescent="0.25">
      <c r="D8053" s="28"/>
      <c r="F8053" s="28"/>
      <c r="H8053" s="28"/>
    </row>
    <row r="8054" spans="4:8" x14ac:dyDescent="0.25">
      <c r="D8054" s="28"/>
      <c r="F8054" s="28"/>
      <c r="H8054" s="28"/>
    </row>
    <row r="8055" spans="4:8" x14ac:dyDescent="0.25">
      <c r="D8055" s="28"/>
      <c r="F8055" s="28"/>
      <c r="H8055" s="28"/>
    </row>
    <row r="8056" spans="4:8" x14ac:dyDescent="0.25">
      <c r="D8056" s="28"/>
      <c r="F8056" s="28"/>
      <c r="H8056" s="28"/>
    </row>
    <row r="8057" spans="4:8" x14ac:dyDescent="0.25">
      <c r="D8057" s="28"/>
      <c r="F8057" s="28"/>
      <c r="H8057" s="28"/>
    </row>
    <row r="8058" spans="4:8" x14ac:dyDescent="0.25">
      <c r="D8058" s="28"/>
      <c r="F8058" s="28"/>
      <c r="H8058" s="28"/>
    </row>
    <row r="8059" spans="4:8" x14ac:dyDescent="0.25">
      <c r="D8059" s="28"/>
      <c r="F8059" s="28"/>
      <c r="H8059" s="28"/>
    </row>
    <row r="8060" spans="4:8" x14ac:dyDescent="0.25">
      <c r="D8060" s="28"/>
      <c r="F8060" s="28"/>
      <c r="H8060" s="28"/>
    </row>
    <row r="8061" spans="4:8" x14ac:dyDescent="0.25">
      <c r="D8061" s="28"/>
      <c r="F8061" s="28"/>
      <c r="H8061" s="28"/>
    </row>
    <row r="8062" spans="4:8" x14ac:dyDescent="0.25">
      <c r="D8062" s="28"/>
      <c r="F8062" s="28"/>
      <c r="H8062" s="28"/>
    </row>
    <row r="8063" spans="4:8" x14ac:dyDescent="0.25">
      <c r="D8063" s="28"/>
      <c r="F8063" s="28"/>
      <c r="H8063" s="28"/>
    </row>
    <row r="8064" spans="4:8" x14ac:dyDescent="0.25">
      <c r="D8064" s="28"/>
      <c r="F8064" s="28"/>
      <c r="H8064" s="28"/>
    </row>
    <row r="8065" spans="4:8" x14ac:dyDescent="0.25">
      <c r="D8065" s="28"/>
      <c r="F8065" s="28"/>
      <c r="H8065" s="28"/>
    </row>
    <row r="8066" spans="4:8" x14ac:dyDescent="0.25">
      <c r="D8066" s="28"/>
      <c r="F8066" s="28"/>
      <c r="H8066" s="28"/>
    </row>
    <row r="8067" spans="4:8" x14ac:dyDescent="0.25">
      <c r="D8067" s="28"/>
      <c r="F8067" s="28"/>
      <c r="H8067" s="28"/>
    </row>
    <row r="8068" spans="4:8" x14ac:dyDescent="0.25">
      <c r="D8068" s="28"/>
      <c r="F8068" s="28"/>
      <c r="H8068" s="28"/>
    </row>
    <row r="8069" spans="4:8" x14ac:dyDescent="0.25">
      <c r="D8069" s="28"/>
      <c r="F8069" s="28"/>
      <c r="H8069" s="28"/>
    </row>
    <row r="8070" spans="4:8" x14ac:dyDescent="0.25">
      <c r="D8070" s="28"/>
      <c r="F8070" s="28"/>
      <c r="H8070" s="28"/>
    </row>
    <row r="8071" spans="4:8" x14ac:dyDescent="0.25">
      <c r="D8071" s="28"/>
      <c r="F8071" s="28"/>
      <c r="H8071" s="28"/>
    </row>
    <row r="8072" spans="4:8" x14ac:dyDescent="0.25">
      <c r="D8072" s="28"/>
      <c r="F8072" s="28"/>
      <c r="H8072" s="28"/>
    </row>
    <row r="8073" spans="4:8" x14ac:dyDescent="0.25">
      <c r="D8073" s="28"/>
      <c r="F8073" s="28"/>
      <c r="H8073" s="28"/>
    </row>
    <row r="8074" spans="4:8" x14ac:dyDescent="0.25">
      <c r="D8074" s="28"/>
      <c r="F8074" s="28"/>
      <c r="H8074" s="28"/>
    </row>
    <row r="8075" spans="4:8" x14ac:dyDescent="0.25">
      <c r="D8075" s="28"/>
      <c r="F8075" s="28"/>
      <c r="H8075" s="28"/>
    </row>
    <row r="8076" spans="4:8" x14ac:dyDescent="0.25">
      <c r="D8076" s="28"/>
      <c r="F8076" s="28"/>
      <c r="H8076" s="28"/>
    </row>
    <row r="8077" spans="4:8" x14ac:dyDescent="0.25">
      <c r="D8077" s="28"/>
      <c r="F8077" s="28"/>
      <c r="H8077" s="28"/>
    </row>
    <row r="8078" spans="4:8" x14ac:dyDescent="0.25">
      <c r="D8078" s="28"/>
      <c r="F8078" s="28"/>
      <c r="H8078" s="28"/>
    </row>
    <row r="8079" spans="4:8" x14ac:dyDescent="0.25">
      <c r="D8079" s="28"/>
      <c r="F8079" s="28"/>
      <c r="H8079" s="28"/>
    </row>
    <row r="8080" spans="4:8" x14ac:dyDescent="0.25">
      <c r="D8080" s="28"/>
      <c r="F8080" s="28"/>
      <c r="H8080" s="28"/>
    </row>
    <row r="8081" spans="4:8" x14ac:dyDescent="0.25">
      <c r="D8081" s="28"/>
      <c r="F8081" s="28"/>
      <c r="H8081" s="28"/>
    </row>
    <row r="8082" spans="4:8" x14ac:dyDescent="0.25">
      <c r="D8082" s="28"/>
      <c r="F8082" s="28"/>
      <c r="H8082" s="28"/>
    </row>
    <row r="8083" spans="4:8" x14ac:dyDescent="0.25">
      <c r="D8083" s="28"/>
      <c r="F8083" s="28"/>
      <c r="H8083" s="28"/>
    </row>
    <row r="8084" spans="4:8" x14ac:dyDescent="0.25">
      <c r="D8084" s="28"/>
      <c r="F8084" s="28"/>
      <c r="H8084" s="28"/>
    </row>
    <row r="8085" spans="4:8" x14ac:dyDescent="0.25">
      <c r="D8085" s="28"/>
      <c r="F8085" s="28"/>
      <c r="H8085" s="28"/>
    </row>
    <row r="8086" spans="4:8" x14ac:dyDescent="0.25">
      <c r="D8086" s="28"/>
      <c r="F8086" s="28"/>
      <c r="H8086" s="28"/>
    </row>
    <row r="8087" spans="4:8" x14ac:dyDescent="0.25">
      <c r="D8087" s="28"/>
      <c r="F8087" s="28"/>
      <c r="H8087" s="28"/>
    </row>
    <row r="8088" spans="4:8" x14ac:dyDescent="0.25">
      <c r="D8088" s="28"/>
      <c r="F8088" s="28"/>
      <c r="H8088" s="28"/>
    </row>
    <row r="8089" spans="4:8" x14ac:dyDescent="0.25">
      <c r="D8089" s="28"/>
      <c r="F8089" s="28"/>
      <c r="H8089" s="28"/>
    </row>
    <row r="8090" spans="4:8" x14ac:dyDescent="0.25">
      <c r="D8090" s="28"/>
      <c r="F8090" s="28"/>
      <c r="H8090" s="28"/>
    </row>
    <row r="8091" spans="4:8" x14ac:dyDescent="0.25">
      <c r="D8091" s="28"/>
      <c r="F8091" s="28"/>
      <c r="H8091" s="28"/>
    </row>
    <row r="8092" spans="4:8" x14ac:dyDescent="0.25">
      <c r="D8092" s="28"/>
      <c r="F8092" s="28"/>
      <c r="H8092" s="28"/>
    </row>
    <row r="8093" spans="4:8" x14ac:dyDescent="0.25">
      <c r="D8093" s="28"/>
      <c r="F8093" s="28"/>
      <c r="H8093" s="28"/>
    </row>
    <row r="8094" spans="4:8" x14ac:dyDescent="0.25">
      <c r="D8094" s="28"/>
      <c r="F8094" s="28"/>
      <c r="H8094" s="28"/>
    </row>
    <row r="8095" spans="4:8" x14ac:dyDescent="0.25">
      <c r="D8095" s="28"/>
      <c r="F8095" s="28"/>
      <c r="H8095" s="28"/>
    </row>
    <row r="8096" spans="4:8" x14ac:dyDescent="0.25">
      <c r="D8096" s="28"/>
      <c r="F8096" s="28"/>
      <c r="H8096" s="28"/>
    </row>
    <row r="8097" spans="4:8" x14ac:dyDescent="0.25">
      <c r="D8097" s="28"/>
      <c r="F8097" s="28"/>
      <c r="H8097" s="28"/>
    </row>
    <row r="8098" spans="4:8" x14ac:dyDescent="0.25">
      <c r="D8098" s="28"/>
      <c r="F8098" s="28"/>
      <c r="H8098" s="28"/>
    </row>
    <row r="8099" spans="4:8" x14ac:dyDescent="0.25">
      <c r="D8099" s="28"/>
      <c r="F8099" s="28"/>
      <c r="H8099" s="28"/>
    </row>
    <row r="8100" spans="4:8" x14ac:dyDescent="0.25">
      <c r="D8100" s="28"/>
      <c r="F8100" s="28"/>
      <c r="H8100" s="28"/>
    </row>
    <row r="8101" spans="4:8" x14ac:dyDescent="0.25">
      <c r="D8101" s="28"/>
      <c r="F8101" s="28"/>
      <c r="H8101" s="28"/>
    </row>
    <row r="8102" spans="4:8" x14ac:dyDescent="0.25">
      <c r="D8102" s="28"/>
      <c r="F8102" s="28"/>
      <c r="H8102" s="28"/>
    </row>
    <row r="8103" spans="4:8" x14ac:dyDescent="0.25">
      <c r="D8103" s="28"/>
      <c r="F8103" s="28"/>
      <c r="H8103" s="28"/>
    </row>
    <row r="8104" spans="4:8" x14ac:dyDescent="0.25">
      <c r="D8104" s="28"/>
      <c r="F8104" s="28"/>
      <c r="H8104" s="28"/>
    </row>
    <row r="8105" spans="4:8" x14ac:dyDescent="0.25">
      <c r="D8105" s="28"/>
      <c r="F8105" s="28"/>
      <c r="H8105" s="28"/>
    </row>
    <row r="8106" spans="4:8" x14ac:dyDescent="0.25">
      <c r="D8106" s="28"/>
      <c r="F8106" s="28"/>
      <c r="H8106" s="28"/>
    </row>
    <row r="8107" spans="4:8" x14ac:dyDescent="0.25">
      <c r="D8107" s="28"/>
      <c r="F8107" s="28"/>
      <c r="H8107" s="28"/>
    </row>
    <row r="8108" spans="4:8" x14ac:dyDescent="0.25">
      <c r="D8108" s="28"/>
      <c r="F8108" s="28"/>
      <c r="H8108" s="28"/>
    </row>
    <row r="8109" spans="4:8" x14ac:dyDescent="0.25">
      <c r="D8109" s="28"/>
      <c r="F8109" s="28"/>
      <c r="H8109" s="28"/>
    </row>
    <row r="8110" spans="4:8" x14ac:dyDescent="0.25">
      <c r="D8110" s="28"/>
      <c r="F8110" s="28"/>
      <c r="H8110" s="28"/>
    </row>
    <row r="8111" spans="4:8" x14ac:dyDescent="0.25">
      <c r="D8111" s="28"/>
      <c r="F8111" s="28"/>
      <c r="H8111" s="28"/>
    </row>
    <row r="8112" spans="4:8" x14ac:dyDescent="0.25">
      <c r="D8112" s="28"/>
      <c r="F8112" s="28"/>
      <c r="H8112" s="28"/>
    </row>
    <row r="8113" spans="4:8" x14ac:dyDescent="0.25">
      <c r="D8113" s="28"/>
      <c r="F8113" s="28"/>
      <c r="H8113" s="28"/>
    </row>
    <row r="8114" spans="4:8" x14ac:dyDescent="0.25">
      <c r="D8114" s="28"/>
      <c r="F8114" s="28"/>
      <c r="H8114" s="28"/>
    </row>
    <row r="8115" spans="4:8" x14ac:dyDescent="0.25">
      <c r="D8115" s="28"/>
      <c r="F8115" s="28"/>
      <c r="H8115" s="28"/>
    </row>
    <row r="8116" spans="4:8" x14ac:dyDescent="0.25">
      <c r="D8116" s="28"/>
      <c r="F8116" s="28"/>
      <c r="H8116" s="28"/>
    </row>
    <row r="8117" spans="4:8" x14ac:dyDescent="0.25">
      <c r="D8117" s="28"/>
      <c r="F8117" s="28"/>
      <c r="H8117" s="28"/>
    </row>
    <row r="8118" spans="4:8" x14ac:dyDescent="0.25">
      <c r="D8118" s="28"/>
      <c r="F8118" s="28"/>
      <c r="H8118" s="28"/>
    </row>
    <row r="8119" spans="4:8" x14ac:dyDescent="0.25">
      <c r="D8119" s="28"/>
      <c r="F8119" s="28"/>
      <c r="H8119" s="28"/>
    </row>
    <row r="8120" spans="4:8" x14ac:dyDescent="0.25">
      <c r="D8120" s="28"/>
      <c r="F8120" s="28"/>
      <c r="H8120" s="28"/>
    </row>
    <row r="8121" spans="4:8" x14ac:dyDescent="0.25">
      <c r="D8121" s="28"/>
      <c r="F8121" s="28"/>
      <c r="H8121" s="28"/>
    </row>
    <row r="8122" spans="4:8" x14ac:dyDescent="0.25">
      <c r="D8122" s="28"/>
      <c r="F8122" s="28"/>
      <c r="H8122" s="28"/>
    </row>
    <row r="8123" spans="4:8" x14ac:dyDescent="0.25">
      <c r="D8123" s="28"/>
      <c r="F8123" s="28"/>
      <c r="H8123" s="28"/>
    </row>
    <row r="8124" spans="4:8" x14ac:dyDescent="0.25">
      <c r="D8124" s="28"/>
      <c r="F8124" s="28"/>
      <c r="H8124" s="28"/>
    </row>
    <row r="8125" spans="4:8" x14ac:dyDescent="0.25">
      <c r="D8125" s="28"/>
      <c r="F8125" s="28"/>
      <c r="H8125" s="28"/>
    </row>
    <row r="8126" spans="4:8" x14ac:dyDescent="0.25">
      <c r="D8126" s="28"/>
      <c r="F8126" s="28"/>
      <c r="H8126" s="28"/>
    </row>
    <row r="8127" spans="4:8" x14ac:dyDescent="0.25">
      <c r="D8127" s="28"/>
      <c r="F8127" s="28"/>
      <c r="H8127" s="28"/>
    </row>
    <row r="8128" spans="4:8" x14ac:dyDescent="0.25">
      <c r="D8128" s="28"/>
      <c r="F8128" s="28"/>
      <c r="H8128" s="28"/>
    </row>
    <row r="8129" spans="4:8" x14ac:dyDescent="0.25">
      <c r="D8129" s="28"/>
      <c r="F8129" s="28"/>
      <c r="H8129" s="28"/>
    </row>
    <row r="8130" spans="4:8" x14ac:dyDescent="0.25">
      <c r="D8130" s="28"/>
      <c r="F8130" s="28"/>
      <c r="H8130" s="28"/>
    </row>
    <row r="8131" spans="4:8" x14ac:dyDescent="0.25">
      <c r="D8131" s="28"/>
      <c r="F8131" s="28"/>
      <c r="H8131" s="28"/>
    </row>
    <row r="8132" spans="4:8" x14ac:dyDescent="0.25">
      <c r="D8132" s="28"/>
      <c r="F8132" s="28"/>
      <c r="H8132" s="28"/>
    </row>
    <row r="8133" spans="4:8" x14ac:dyDescent="0.25">
      <c r="D8133" s="28"/>
      <c r="F8133" s="28"/>
      <c r="H8133" s="28"/>
    </row>
    <row r="8134" spans="4:8" x14ac:dyDescent="0.25">
      <c r="D8134" s="28"/>
      <c r="F8134" s="28"/>
      <c r="H8134" s="28"/>
    </row>
    <row r="8135" spans="4:8" x14ac:dyDescent="0.25">
      <c r="D8135" s="28"/>
      <c r="F8135" s="28"/>
      <c r="H8135" s="28"/>
    </row>
    <row r="8136" spans="4:8" x14ac:dyDescent="0.25">
      <c r="D8136" s="28"/>
      <c r="F8136" s="28"/>
      <c r="H8136" s="28"/>
    </row>
    <row r="8137" spans="4:8" x14ac:dyDescent="0.25">
      <c r="D8137" s="28"/>
      <c r="F8137" s="28"/>
      <c r="H8137" s="28"/>
    </row>
    <row r="8138" spans="4:8" x14ac:dyDescent="0.25">
      <c r="D8138" s="28"/>
      <c r="F8138" s="28"/>
      <c r="H8138" s="28"/>
    </row>
    <row r="8139" spans="4:8" x14ac:dyDescent="0.25">
      <c r="D8139" s="28"/>
      <c r="F8139" s="28"/>
      <c r="H8139" s="28"/>
    </row>
    <row r="8140" spans="4:8" x14ac:dyDescent="0.25">
      <c r="D8140" s="28"/>
      <c r="F8140" s="28"/>
      <c r="H8140" s="28"/>
    </row>
    <row r="8141" spans="4:8" x14ac:dyDescent="0.25">
      <c r="D8141" s="28"/>
      <c r="F8141" s="28"/>
      <c r="H8141" s="28"/>
    </row>
    <row r="8142" spans="4:8" x14ac:dyDescent="0.25">
      <c r="D8142" s="28"/>
      <c r="F8142" s="28"/>
      <c r="H8142" s="28"/>
    </row>
    <row r="8143" spans="4:8" x14ac:dyDescent="0.25">
      <c r="D8143" s="28"/>
      <c r="F8143" s="28"/>
      <c r="H8143" s="28"/>
    </row>
    <row r="8144" spans="4:8" x14ac:dyDescent="0.25">
      <c r="D8144" s="28"/>
      <c r="F8144" s="28"/>
      <c r="H8144" s="28"/>
    </row>
    <row r="8145" spans="4:8" x14ac:dyDescent="0.25">
      <c r="D8145" s="28"/>
      <c r="F8145" s="28"/>
      <c r="H8145" s="28"/>
    </row>
    <row r="8146" spans="4:8" x14ac:dyDescent="0.25">
      <c r="D8146" s="28"/>
      <c r="F8146" s="28"/>
      <c r="H8146" s="28"/>
    </row>
    <row r="8147" spans="4:8" x14ac:dyDescent="0.25">
      <c r="D8147" s="28"/>
      <c r="F8147" s="28"/>
      <c r="H8147" s="28"/>
    </row>
    <row r="8148" spans="4:8" x14ac:dyDescent="0.25">
      <c r="D8148" s="28"/>
      <c r="F8148" s="28"/>
      <c r="H8148" s="28"/>
    </row>
    <row r="8149" spans="4:8" x14ac:dyDescent="0.25">
      <c r="D8149" s="28"/>
      <c r="F8149" s="28"/>
      <c r="H8149" s="28"/>
    </row>
    <row r="8150" spans="4:8" x14ac:dyDescent="0.25">
      <c r="D8150" s="28"/>
      <c r="F8150" s="28"/>
      <c r="H8150" s="28"/>
    </row>
    <row r="8151" spans="4:8" x14ac:dyDescent="0.25">
      <c r="D8151" s="28"/>
      <c r="F8151" s="28"/>
      <c r="H8151" s="28"/>
    </row>
    <row r="8152" spans="4:8" x14ac:dyDescent="0.25">
      <c r="D8152" s="28"/>
      <c r="F8152" s="28"/>
      <c r="H8152" s="28"/>
    </row>
    <row r="8153" spans="4:8" x14ac:dyDescent="0.25">
      <c r="D8153" s="28"/>
      <c r="F8153" s="28"/>
      <c r="H8153" s="28"/>
    </row>
    <row r="8154" spans="4:8" x14ac:dyDescent="0.25">
      <c r="D8154" s="28"/>
      <c r="F8154" s="28"/>
      <c r="H8154" s="28"/>
    </row>
    <row r="8155" spans="4:8" x14ac:dyDescent="0.25">
      <c r="D8155" s="28"/>
      <c r="F8155" s="28"/>
      <c r="H8155" s="28"/>
    </row>
    <row r="8156" spans="4:8" x14ac:dyDescent="0.25">
      <c r="D8156" s="28"/>
      <c r="F8156" s="28"/>
      <c r="H8156" s="28"/>
    </row>
    <row r="8157" spans="4:8" x14ac:dyDescent="0.25">
      <c r="D8157" s="28"/>
      <c r="F8157" s="28"/>
      <c r="H8157" s="28"/>
    </row>
    <row r="8158" spans="4:8" x14ac:dyDescent="0.25">
      <c r="D8158" s="28"/>
      <c r="F8158" s="28"/>
      <c r="H8158" s="28"/>
    </row>
    <row r="8159" spans="4:8" x14ac:dyDescent="0.25">
      <c r="D8159" s="28"/>
      <c r="F8159" s="28"/>
      <c r="H8159" s="28"/>
    </row>
    <row r="8160" spans="4:8" x14ac:dyDescent="0.25">
      <c r="D8160" s="28"/>
      <c r="F8160" s="28"/>
      <c r="H8160" s="28"/>
    </row>
    <row r="8161" spans="4:8" x14ac:dyDescent="0.25">
      <c r="D8161" s="28"/>
      <c r="F8161" s="28"/>
      <c r="H8161" s="28"/>
    </row>
    <row r="8162" spans="4:8" x14ac:dyDescent="0.25">
      <c r="D8162" s="28"/>
      <c r="F8162" s="28"/>
      <c r="H8162" s="28"/>
    </row>
    <row r="8163" spans="4:8" x14ac:dyDescent="0.25">
      <c r="D8163" s="28"/>
      <c r="F8163" s="28"/>
      <c r="H8163" s="28"/>
    </row>
    <row r="8164" spans="4:8" x14ac:dyDescent="0.25">
      <c r="D8164" s="28"/>
      <c r="F8164" s="28"/>
      <c r="H8164" s="28"/>
    </row>
    <row r="8165" spans="4:8" x14ac:dyDescent="0.25">
      <c r="D8165" s="28"/>
      <c r="F8165" s="28"/>
      <c r="H8165" s="28"/>
    </row>
    <row r="8166" spans="4:8" x14ac:dyDescent="0.25">
      <c r="D8166" s="28"/>
      <c r="F8166" s="28"/>
      <c r="H8166" s="28"/>
    </row>
    <row r="8167" spans="4:8" x14ac:dyDescent="0.25">
      <c r="D8167" s="28"/>
      <c r="F8167" s="28"/>
      <c r="H8167" s="28"/>
    </row>
    <row r="8168" spans="4:8" x14ac:dyDescent="0.25">
      <c r="D8168" s="28"/>
      <c r="F8168" s="28"/>
      <c r="H8168" s="28"/>
    </row>
    <row r="8169" spans="4:8" x14ac:dyDescent="0.25">
      <c r="D8169" s="28"/>
      <c r="F8169" s="28"/>
      <c r="H8169" s="28"/>
    </row>
    <row r="8170" spans="4:8" x14ac:dyDescent="0.25">
      <c r="D8170" s="28"/>
      <c r="F8170" s="28"/>
      <c r="H8170" s="28"/>
    </row>
    <row r="8171" spans="4:8" x14ac:dyDescent="0.25">
      <c r="D8171" s="28"/>
      <c r="F8171" s="28"/>
      <c r="H8171" s="28"/>
    </row>
    <row r="8172" spans="4:8" x14ac:dyDescent="0.25">
      <c r="D8172" s="28"/>
      <c r="F8172" s="28"/>
      <c r="H8172" s="28"/>
    </row>
    <row r="8173" spans="4:8" x14ac:dyDescent="0.25">
      <c r="D8173" s="28"/>
      <c r="F8173" s="28"/>
      <c r="H8173" s="28"/>
    </row>
    <row r="8174" spans="4:8" x14ac:dyDescent="0.25">
      <c r="D8174" s="28"/>
      <c r="F8174" s="28"/>
      <c r="H8174" s="28"/>
    </row>
    <row r="8175" spans="4:8" x14ac:dyDescent="0.25">
      <c r="D8175" s="28"/>
      <c r="F8175" s="28"/>
      <c r="H8175" s="28"/>
    </row>
    <row r="8176" spans="4:8" x14ac:dyDescent="0.25">
      <c r="D8176" s="28"/>
      <c r="F8176" s="28"/>
      <c r="H8176" s="28"/>
    </row>
    <row r="8177" spans="4:8" x14ac:dyDescent="0.25">
      <c r="D8177" s="28"/>
      <c r="F8177" s="28"/>
      <c r="H8177" s="28"/>
    </row>
    <row r="8178" spans="4:8" x14ac:dyDescent="0.25">
      <c r="D8178" s="28"/>
      <c r="F8178" s="28"/>
      <c r="H8178" s="28"/>
    </row>
    <row r="8179" spans="4:8" x14ac:dyDescent="0.25">
      <c r="D8179" s="28"/>
      <c r="F8179" s="28"/>
      <c r="H8179" s="28"/>
    </row>
    <row r="8180" spans="4:8" x14ac:dyDescent="0.25">
      <c r="D8180" s="28"/>
      <c r="F8180" s="28"/>
      <c r="H8180" s="28"/>
    </row>
    <row r="8181" spans="4:8" x14ac:dyDescent="0.25">
      <c r="D8181" s="28"/>
      <c r="F8181" s="28"/>
      <c r="H8181" s="28"/>
    </row>
    <row r="8182" spans="4:8" x14ac:dyDescent="0.25">
      <c r="D8182" s="28"/>
      <c r="F8182" s="28"/>
      <c r="H8182" s="28"/>
    </row>
    <row r="8183" spans="4:8" x14ac:dyDescent="0.25">
      <c r="D8183" s="28"/>
      <c r="F8183" s="28"/>
      <c r="H8183" s="28"/>
    </row>
    <row r="8184" spans="4:8" x14ac:dyDescent="0.25">
      <c r="D8184" s="28"/>
      <c r="F8184" s="28"/>
      <c r="H8184" s="28"/>
    </row>
    <row r="8185" spans="4:8" x14ac:dyDescent="0.25">
      <c r="D8185" s="28"/>
      <c r="F8185" s="28"/>
      <c r="H8185" s="28"/>
    </row>
    <row r="8186" spans="4:8" x14ac:dyDescent="0.25">
      <c r="D8186" s="28"/>
      <c r="F8186" s="28"/>
      <c r="H8186" s="28"/>
    </row>
    <row r="8187" spans="4:8" x14ac:dyDescent="0.25">
      <c r="D8187" s="28"/>
      <c r="F8187" s="28"/>
      <c r="H8187" s="28"/>
    </row>
    <row r="8188" spans="4:8" x14ac:dyDescent="0.25">
      <c r="D8188" s="28"/>
      <c r="F8188" s="28"/>
      <c r="H8188" s="28"/>
    </row>
    <row r="8189" spans="4:8" x14ac:dyDescent="0.25">
      <c r="D8189" s="28"/>
      <c r="F8189" s="28"/>
      <c r="H8189" s="28"/>
    </row>
    <row r="8190" spans="4:8" x14ac:dyDescent="0.25">
      <c r="D8190" s="28"/>
      <c r="F8190" s="28"/>
      <c r="H8190" s="28"/>
    </row>
    <row r="8191" spans="4:8" x14ac:dyDescent="0.25">
      <c r="D8191" s="28"/>
      <c r="F8191" s="28"/>
      <c r="H8191" s="28"/>
    </row>
    <row r="8192" spans="4:8" x14ac:dyDescent="0.25">
      <c r="D8192" s="28"/>
      <c r="F8192" s="28"/>
      <c r="H8192" s="28"/>
    </row>
    <row r="8193" spans="4:8" x14ac:dyDescent="0.25">
      <c r="D8193" s="28"/>
      <c r="F8193" s="28"/>
      <c r="H8193" s="28"/>
    </row>
    <row r="8194" spans="4:8" x14ac:dyDescent="0.25">
      <c r="D8194" s="28"/>
      <c r="F8194" s="28"/>
      <c r="H8194" s="28"/>
    </row>
    <row r="8195" spans="4:8" x14ac:dyDescent="0.25">
      <c r="D8195" s="28"/>
      <c r="F8195" s="28"/>
      <c r="H8195" s="28"/>
    </row>
    <row r="8196" spans="4:8" x14ac:dyDescent="0.25">
      <c r="D8196" s="28"/>
      <c r="F8196" s="28"/>
      <c r="H8196" s="28"/>
    </row>
    <row r="8197" spans="4:8" x14ac:dyDescent="0.25">
      <c r="D8197" s="28"/>
      <c r="F8197" s="28"/>
      <c r="H8197" s="28"/>
    </row>
    <row r="8198" spans="4:8" x14ac:dyDescent="0.25">
      <c r="D8198" s="28"/>
      <c r="F8198" s="28"/>
      <c r="H8198" s="28"/>
    </row>
    <row r="8199" spans="4:8" x14ac:dyDescent="0.25">
      <c r="D8199" s="28"/>
      <c r="F8199" s="28"/>
      <c r="H8199" s="28"/>
    </row>
    <row r="8200" spans="4:8" x14ac:dyDescent="0.25">
      <c r="D8200" s="28"/>
      <c r="F8200" s="28"/>
      <c r="H8200" s="28"/>
    </row>
    <row r="8201" spans="4:8" x14ac:dyDescent="0.25">
      <c r="D8201" s="28"/>
      <c r="F8201" s="28"/>
      <c r="H8201" s="28"/>
    </row>
    <row r="8202" spans="4:8" x14ac:dyDescent="0.25">
      <c r="D8202" s="28"/>
      <c r="F8202" s="28"/>
      <c r="H8202" s="28"/>
    </row>
    <row r="8203" spans="4:8" x14ac:dyDescent="0.25">
      <c r="D8203" s="28"/>
      <c r="F8203" s="28"/>
      <c r="H8203" s="28"/>
    </row>
    <row r="8204" spans="4:8" x14ac:dyDescent="0.25">
      <c r="D8204" s="28"/>
      <c r="F8204" s="28"/>
      <c r="H8204" s="28"/>
    </row>
    <row r="8205" spans="4:8" x14ac:dyDescent="0.25">
      <c r="D8205" s="28"/>
      <c r="F8205" s="28"/>
      <c r="H8205" s="28"/>
    </row>
    <row r="8206" spans="4:8" x14ac:dyDescent="0.25">
      <c r="D8206" s="28"/>
      <c r="F8206" s="28"/>
      <c r="H8206" s="28"/>
    </row>
    <row r="8207" spans="4:8" x14ac:dyDescent="0.25">
      <c r="D8207" s="28"/>
      <c r="F8207" s="28"/>
      <c r="H8207" s="28"/>
    </row>
    <row r="8208" spans="4:8" x14ac:dyDescent="0.25">
      <c r="D8208" s="28"/>
      <c r="F8208" s="28"/>
      <c r="H8208" s="28"/>
    </row>
    <row r="8209" spans="4:8" x14ac:dyDescent="0.25">
      <c r="D8209" s="28"/>
      <c r="F8209" s="28"/>
      <c r="H8209" s="28"/>
    </row>
    <row r="8210" spans="4:8" x14ac:dyDescent="0.25">
      <c r="D8210" s="28"/>
      <c r="F8210" s="28"/>
      <c r="H8210" s="28"/>
    </row>
    <row r="8211" spans="4:8" x14ac:dyDescent="0.25">
      <c r="D8211" s="28"/>
      <c r="F8211" s="28"/>
      <c r="H8211" s="28"/>
    </row>
    <row r="8212" spans="4:8" x14ac:dyDescent="0.25">
      <c r="D8212" s="28"/>
      <c r="F8212" s="28"/>
      <c r="H8212" s="28"/>
    </row>
    <row r="8213" spans="4:8" x14ac:dyDescent="0.25">
      <c r="D8213" s="28"/>
      <c r="F8213" s="28"/>
      <c r="H8213" s="28"/>
    </row>
    <row r="8214" spans="4:8" x14ac:dyDescent="0.25">
      <c r="D8214" s="28"/>
      <c r="F8214" s="28"/>
      <c r="H8214" s="28"/>
    </row>
    <row r="8215" spans="4:8" x14ac:dyDescent="0.25">
      <c r="D8215" s="28"/>
      <c r="F8215" s="28"/>
      <c r="H8215" s="28"/>
    </row>
    <row r="8216" spans="4:8" x14ac:dyDescent="0.25">
      <c r="D8216" s="28"/>
      <c r="F8216" s="28"/>
      <c r="H8216" s="28"/>
    </row>
    <row r="8217" spans="4:8" x14ac:dyDescent="0.25">
      <c r="D8217" s="28"/>
      <c r="F8217" s="28"/>
      <c r="H8217" s="28"/>
    </row>
    <row r="8218" spans="4:8" x14ac:dyDescent="0.25">
      <c r="D8218" s="28"/>
      <c r="F8218" s="28"/>
      <c r="H8218" s="28"/>
    </row>
    <row r="8219" spans="4:8" x14ac:dyDescent="0.25">
      <c r="D8219" s="28"/>
      <c r="F8219" s="28"/>
      <c r="H8219" s="28"/>
    </row>
    <row r="8220" spans="4:8" x14ac:dyDescent="0.25">
      <c r="D8220" s="28"/>
      <c r="F8220" s="28"/>
      <c r="H8220" s="28"/>
    </row>
    <row r="8221" spans="4:8" x14ac:dyDescent="0.25">
      <c r="D8221" s="28"/>
      <c r="F8221" s="28"/>
      <c r="H8221" s="28"/>
    </row>
    <row r="8222" spans="4:8" x14ac:dyDescent="0.25">
      <c r="D8222" s="28"/>
      <c r="F8222" s="28"/>
      <c r="H8222" s="28"/>
    </row>
    <row r="8223" spans="4:8" x14ac:dyDescent="0.25">
      <c r="D8223" s="28"/>
      <c r="F8223" s="28"/>
      <c r="H8223" s="28"/>
    </row>
    <row r="8224" spans="4:8" x14ac:dyDescent="0.25">
      <c r="D8224" s="28"/>
      <c r="F8224" s="28"/>
      <c r="H8224" s="28"/>
    </row>
    <row r="8225" spans="4:8" x14ac:dyDescent="0.25">
      <c r="D8225" s="28"/>
      <c r="F8225" s="28"/>
      <c r="H8225" s="28"/>
    </row>
    <row r="8226" spans="4:8" x14ac:dyDescent="0.25">
      <c r="D8226" s="28"/>
      <c r="F8226" s="28"/>
      <c r="H8226" s="28"/>
    </row>
    <row r="8227" spans="4:8" x14ac:dyDescent="0.25">
      <c r="D8227" s="28"/>
      <c r="F8227" s="28"/>
      <c r="H8227" s="28"/>
    </row>
    <row r="8228" spans="4:8" x14ac:dyDescent="0.25">
      <c r="D8228" s="28"/>
      <c r="F8228" s="28"/>
      <c r="H8228" s="28"/>
    </row>
    <row r="8229" spans="4:8" x14ac:dyDescent="0.25">
      <c r="D8229" s="28"/>
      <c r="F8229" s="28"/>
      <c r="H8229" s="28"/>
    </row>
    <row r="8230" spans="4:8" x14ac:dyDescent="0.25">
      <c r="D8230" s="28"/>
      <c r="F8230" s="28"/>
      <c r="H8230" s="28"/>
    </row>
    <row r="8231" spans="4:8" x14ac:dyDescent="0.25">
      <c r="D8231" s="28"/>
      <c r="F8231" s="28"/>
      <c r="H8231" s="28"/>
    </row>
    <row r="8232" spans="4:8" x14ac:dyDescent="0.25">
      <c r="D8232" s="28"/>
      <c r="F8232" s="28"/>
      <c r="H8232" s="28"/>
    </row>
    <row r="8233" spans="4:8" x14ac:dyDescent="0.25">
      <c r="D8233" s="28"/>
      <c r="F8233" s="28"/>
      <c r="H8233" s="28"/>
    </row>
    <row r="8234" spans="4:8" x14ac:dyDescent="0.25">
      <c r="D8234" s="28"/>
      <c r="F8234" s="28"/>
      <c r="H8234" s="28"/>
    </row>
    <row r="8235" spans="4:8" x14ac:dyDescent="0.25">
      <c r="D8235" s="28"/>
      <c r="F8235" s="28"/>
      <c r="H8235" s="28"/>
    </row>
    <row r="8236" spans="4:8" x14ac:dyDescent="0.25">
      <c r="D8236" s="28"/>
      <c r="F8236" s="28"/>
      <c r="H8236" s="28"/>
    </row>
    <row r="8237" spans="4:8" x14ac:dyDescent="0.25">
      <c r="D8237" s="28"/>
      <c r="F8237" s="28"/>
      <c r="H8237" s="28"/>
    </row>
    <row r="8238" spans="4:8" x14ac:dyDescent="0.25">
      <c r="D8238" s="28"/>
      <c r="F8238" s="28"/>
      <c r="H8238" s="28"/>
    </row>
    <row r="8239" spans="4:8" x14ac:dyDescent="0.25">
      <c r="D8239" s="28"/>
      <c r="F8239" s="28"/>
      <c r="H8239" s="28"/>
    </row>
    <row r="8240" spans="4:8" x14ac:dyDescent="0.25">
      <c r="D8240" s="28"/>
      <c r="F8240" s="28"/>
      <c r="H8240" s="28"/>
    </row>
    <row r="8241" spans="4:8" x14ac:dyDescent="0.25">
      <c r="D8241" s="28"/>
      <c r="F8241" s="28"/>
      <c r="H8241" s="28"/>
    </row>
    <row r="8242" spans="4:8" x14ac:dyDescent="0.25">
      <c r="D8242" s="28"/>
      <c r="F8242" s="28"/>
      <c r="H8242" s="28"/>
    </row>
    <row r="8243" spans="4:8" x14ac:dyDescent="0.25">
      <c r="D8243" s="28"/>
      <c r="F8243" s="28"/>
      <c r="H8243" s="28"/>
    </row>
    <row r="8244" spans="4:8" x14ac:dyDescent="0.25">
      <c r="D8244" s="28"/>
      <c r="F8244" s="28"/>
      <c r="H8244" s="28"/>
    </row>
    <row r="8245" spans="4:8" x14ac:dyDescent="0.25">
      <c r="D8245" s="28"/>
      <c r="F8245" s="28"/>
      <c r="H8245" s="28"/>
    </row>
    <row r="8246" spans="4:8" x14ac:dyDescent="0.25">
      <c r="D8246" s="28"/>
      <c r="F8246" s="28"/>
      <c r="H8246" s="28"/>
    </row>
    <row r="8247" spans="4:8" x14ac:dyDescent="0.25">
      <c r="D8247" s="28"/>
      <c r="F8247" s="28"/>
      <c r="H8247" s="28"/>
    </row>
    <row r="8248" spans="4:8" x14ac:dyDescent="0.25">
      <c r="D8248" s="28"/>
      <c r="F8248" s="28"/>
      <c r="H8248" s="28"/>
    </row>
    <row r="8249" spans="4:8" x14ac:dyDescent="0.25">
      <c r="D8249" s="28"/>
      <c r="F8249" s="28"/>
      <c r="H8249" s="28"/>
    </row>
    <row r="8250" spans="4:8" x14ac:dyDescent="0.25">
      <c r="D8250" s="28"/>
      <c r="F8250" s="28"/>
      <c r="H8250" s="28"/>
    </row>
    <row r="8251" spans="4:8" x14ac:dyDescent="0.25">
      <c r="D8251" s="28"/>
      <c r="F8251" s="28"/>
      <c r="H8251" s="28"/>
    </row>
    <row r="8252" spans="4:8" x14ac:dyDescent="0.25">
      <c r="D8252" s="28"/>
      <c r="F8252" s="28"/>
      <c r="H8252" s="28"/>
    </row>
    <row r="8253" spans="4:8" x14ac:dyDescent="0.25">
      <c r="D8253" s="28"/>
      <c r="F8253" s="28"/>
      <c r="H8253" s="28"/>
    </row>
    <row r="8254" spans="4:8" x14ac:dyDescent="0.25">
      <c r="D8254" s="28"/>
      <c r="F8254" s="28"/>
      <c r="H8254" s="28"/>
    </row>
    <row r="8255" spans="4:8" x14ac:dyDescent="0.25">
      <c r="D8255" s="28"/>
      <c r="F8255" s="28"/>
      <c r="H8255" s="28"/>
    </row>
    <row r="8256" spans="4:8" x14ac:dyDescent="0.25">
      <c r="D8256" s="28"/>
      <c r="F8256" s="28"/>
      <c r="H8256" s="28"/>
    </row>
    <row r="8257" spans="4:8" x14ac:dyDescent="0.25">
      <c r="D8257" s="28"/>
      <c r="F8257" s="28"/>
      <c r="H8257" s="28"/>
    </row>
    <row r="8258" spans="4:8" x14ac:dyDescent="0.25">
      <c r="D8258" s="28"/>
      <c r="F8258" s="28"/>
      <c r="H8258" s="28"/>
    </row>
    <row r="8259" spans="4:8" x14ac:dyDescent="0.25">
      <c r="D8259" s="28"/>
      <c r="F8259" s="28"/>
      <c r="H8259" s="28"/>
    </row>
    <row r="8260" spans="4:8" x14ac:dyDescent="0.25">
      <c r="D8260" s="28"/>
      <c r="F8260" s="28"/>
      <c r="H8260" s="28"/>
    </row>
    <row r="8261" spans="4:8" x14ac:dyDescent="0.25">
      <c r="D8261" s="28"/>
      <c r="F8261" s="28"/>
      <c r="H8261" s="28"/>
    </row>
    <row r="8262" spans="4:8" x14ac:dyDescent="0.25">
      <c r="D8262" s="28"/>
      <c r="F8262" s="28"/>
      <c r="H8262" s="28"/>
    </row>
    <row r="8263" spans="4:8" x14ac:dyDescent="0.25">
      <c r="D8263" s="28"/>
      <c r="F8263" s="28"/>
      <c r="H8263" s="28"/>
    </row>
    <row r="8264" spans="4:8" x14ac:dyDescent="0.25">
      <c r="D8264" s="28"/>
      <c r="F8264" s="28"/>
      <c r="H8264" s="28"/>
    </row>
    <row r="8265" spans="4:8" x14ac:dyDescent="0.25">
      <c r="D8265" s="28"/>
      <c r="F8265" s="28"/>
      <c r="H8265" s="28"/>
    </row>
    <row r="8266" spans="4:8" x14ac:dyDescent="0.25">
      <c r="D8266" s="28"/>
      <c r="F8266" s="28"/>
      <c r="H8266" s="28"/>
    </row>
    <row r="8267" spans="4:8" x14ac:dyDescent="0.25">
      <c r="D8267" s="28"/>
      <c r="F8267" s="28"/>
      <c r="H8267" s="28"/>
    </row>
    <row r="8268" spans="4:8" x14ac:dyDescent="0.25">
      <c r="D8268" s="28"/>
      <c r="F8268" s="28"/>
      <c r="H8268" s="28"/>
    </row>
    <row r="8269" spans="4:8" x14ac:dyDescent="0.25">
      <c r="D8269" s="28"/>
      <c r="F8269" s="28"/>
      <c r="H8269" s="28"/>
    </row>
    <row r="8270" spans="4:8" x14ac:dyDescent="0.25">
      <c r="D8270" s="28"/>
      <c r="F8270" s="28"/>
      <c r="H8270" s="28"/>
    </row>
    <row r="8271" spans="4:8" x14ac:dyDescent="0.25">
      <c r="D8271" s="28"/>
      <c r="F8271" s="28"/>
      <c r="H8271" s="28"/>
    </row>
    <row r="8272" spans="4:8" x14ac:dyDescent="0.25">
      <c r="D8272" s="28"/>
      <c r="F8272" s="28"/>
      <c r="H8272" s="28"/>
    </row>
    <row r="8273" spans="4:8" x14ac:dyDescent="0.25">
      <c r="D8273" s="28"/>
      <c r="F8273" s="28"/>
      <c r="H8273" s="28"/>
    </row>
    <row r="8274" spans="4:8" x14ac:dyDescent="0.25">
      <c r="D8274" s="28"/>
      <c r="F8274" s="28"/>
      <c r="H8274" s="28"/>
    </row>
    <row r="8275" spans="4:8" x14ac:dyDescent="0.25">
      <c r="D8275" s="28"/>
      <c r="F8275" s="28"/>
      <c r="H8275" s="28"/>
    </row>
    <row r="8276" spans="4:8" x14ac:dyDescent="0.25">
      <c r="D8276" s="28"/>
      <c r="F8276" s="28"/>
      <c r="H8276" s="28"/>
    </row>
    <row r="8277" spans="4:8" x14ac:dyDescent="0.25">
      <c r="D8277" s="28"/>
      <c r="F8277" s="28"/>
      <c r="H8277" s="28"/>
    </row>
    <row r="8278" spans="4:8" x14ac:dyDescent="0.25">
      <c r="D8278" s="28"/>
      <c r="F8278" s="28"/>
      <c r="H8278" s="28"/>
    </row>
    <row r="8279" spans="4:8" x14ac:dyDescent="0.25">
      <c r="D8279" s="28"/>
      <c r="F8279" s="28"/>
      <c r="H8279" s="28"/>
    </row>
    <row r="8280" spans="4:8" x14ac:dyDescent="0.25">
      <c r="D8280" s="28"/>
      <c r="F8280" s="28"/>
      <c r="H8280" s="28"/>
    </row>
    <row r="8281" spans="4:8" x14ac:dyDescent="0.25">
      <c r="D8281" s="28"/>
      <c r="F8281" s="28"/>
      <c r="H8281" s="28"/>
    </row>
    <row r="8282" spans="4:8" x14ac:dyDescent="0.25">
      <c r="D8282" s="28"/>
      <c r="F8282" s="28"/>
      <c r="H8282" s="28"/>
    </row>
    <row r="8283" spans="4:8" x14ac:dyDescent="0.25">
      <c r="D8283" s="28"/>
      <c r="F8283" s="28"/>
      <c r="H8283" s="28"/>
    </row>
    <row r="8284" spans="4:8" x14ac:dyDescent="0.25">
      <c r="D8284" s="28"/>
      <c r="F8284" s="28"/>
      <c r="H8284" s="28"/>
    </row>
    <row r="8285" spans="4:8" x14ac:dyDescent="0.25">
      <c r="D8285" s="28"/>
      <c r="F8285" s="28"/>
      <c r="H8285" s="28"/>
    </row>
    <row r="8286" spans="4:8" x14ac:dyDescent="0.25">
      <c r="D8286" s="28"/>
      <c r="F8286" s="28"/>
      <c r="H8286" s="28"/>
    </row>
    <row r="8287" spans="4:8" x14ac:dyDescent="0.25">
      <c r="D8287" s="28"/>
      <c r="F8287" s="28"/>
      <c r="H8287" s="28"/>
    </row>
    <row r="8288" spans="4:8" x14ac:dyDescent="0.25">
      <c r="D8288" s="28"/>
      <c r="F8288" s="28"/>
      <c r="H8288" s="28"/>
    </row>
    <row r="8289" spans="4:8" x14ac:dyDescent="0.25">
      <c r="D8289" s="28"/>
      <c r="F8289" s="28"/>
      <c r="H8289" s="28"/>
    </row>
    <row r="8290" spans="4:8" x14ac:dyDescent="0.25">
      <c r="D8290" s="28"/>
      <c r="F8290" s="28"/>
      <c r="H8290" s="28"/>
    </row>
    <row r="8291" spans="4:8" x14ac:dyDescent="0.25">
      <c r="D8291" s="28"/>
      <c r="F8291" s="28"/>
      <c r="H8291" s="28"/>
    </row>
    <row r="8292" spans="4:8" x14ac:dyDescent="0.25">
      <c r="D8292" s="28"/>
      <c r="F8292" s="28"/>
      <c r="H8292" s="28"/>
    </row>
    <row r="8293" spans="4:8" x14ac:dyDescent="0.25">
      <c r="D8293" s="28"/>
      <c r="F8293" s="28"/>
      <c r="H8293" s="28"/>
    </row>
    <row r="8294" spans="4:8" x14ac:dyDescent="0.25">
      <c r="D8294" s="28"/>
      <c r="F8294" s="28"/>
      <c r="H8294" s="28"/>
    </row>
    <row r="8295" spans="4:8" x14ac:dyDescent="0.25">
      <c r="D8295" s="28"/>
      <c r="F8295" s="28"/>
      <c r="H8295" s="28"/>
    </row>
    <row r="8296" spans="4:8" x14ac:dyDescent="0.25">
      <c r="D8296" s="28"/>
      <c r="F8296" s="28"/>
      <c r="H8296" s="28"/>
    </row>
    <row r="8297" spans="4:8" x14ac:dyDescent="0.25">
      <c r="D8297" s="28"/>
      <c r="F8297" s="28"/>
      <c r="H8297" s="28"/>
    </row>
    <row r="8298" spans="4:8" x14ac:dyDescent="0.25">
      <c r="D8298" s="28"/>
      <c r="F8298" s="28"/>
      <c r="H8298" s="28"/>
    </row>
    <row r="8299" spans="4:8" x14ac:dyDescent="0.25">
      <c r="D8299" s="28"/>
      <c r="F8299" s="28"/>
      <c r="H8299" s="28"/>
    </row>
    <row r="8300" spans="4:8" x14ac:dyDescent="0.25">
      <c r="D8300" s="28"/>
      <c r="F8300" s="28"/>
      <c r="H8300" s="28"/>
    </row>
    <row r="8301" spans="4:8" x14ac:dyDescent="0.25">
      <c r="D8301" s="28"/>
      <c r="F8301" s="28"/>
      <c r="H8301" s="28"/>
    </row>
    <row r="8302" spans="4:8" x14ac:dyDescent="0.25">
      <c r="D8302" s="28"/>
      <c r="F8302" s="28"/>
      <c r="H8302" s="28"/>
    </row>
    <row r="8303" spans="4:8" x14ac:dyDescent="0.25">
      <c r="D8303" s="28"/>
      <c r="F8303" s="28"/>
      <c r="H8303" s="28"/>
    </row>
    <row r="8304" spans="4:8" x14ac:dyDescent="0.25">
      <c r="D8304" s="28"/>
      <c r="F8304" s="28"/>
      <c r="H8304" s="28"/>
    </row>
    <row r="8305" spans="4:8" x14ac:dyDescent="0.25">
      <c r="D8305" s="28"/>
      <c r="F8305" s="28"/>
      <c r="H8305" s="28"/>
    </row>
    <row r="8306" spans="4:8" x14ac:dyDescent="0.25">
      <c r="D8306" s="28"/>
      <c r="F8306" s="28"/>
      <c r="H8306" s="28"/>
    </row>
    <row r="8307" spans="4:8" x14ac:dyDescent="0.25">
      <c r="D8307" s="28"/>
      <c r="F8307" s="28"/>
      <c r="H8307" s="28"/>
    </row>
    <row r="8308" spans="4:8" x14ac:dyDescent="0.25">
      <c r="D8308" s="28"/>
      <c r="F8308" s="28"/>
      <c r="H8308" s="28"/>
    </row>
    <row r="8309" spans="4:8" x14ac:dyDescent="0.25">
      <c r="D8309" s="28"/>
      <c r="F8309" s="28"/>
      <c r="H8309" s="28"/>
    </row>
    <row r="8310" spans="4:8" x14ac:dyDescent="0.25">
      <c r="D8310" s="28"/>
      <c r="F8310" s="28"/>
      <c r="H8310" s="28"/>
    </row>
    <row r="8311" spans="4:8" x14ac:dyDescent="0.25">
      <c r="D8311" s="28"/>
      <c r="F8311" s="28"/>
      <c r="H8311" s="28"/>
    </row>
    <row r="8312" spans="4:8" x14ac:dyDescent="0.25">
      <c r="D8312" s="28"/>
      <c r="F8312" s="28"/>
      <c r="H8312" s="28"/>
    </row>
    <row r="8313" spans="4:8" x14ac:dyDescent="0.25">
      <c r="D8313" s="28"/>
      <c r="F8313" s="28"/>
      <c r="H8313" s="28"/>
    </row>
    <row r="8314" spans="4:8" x14ac:dyDescent="0.25">
      <c r="D8314" s="28"/>
      <c r="F8314" s="28"/>
      <c r="H8314" s="28"/>
    </row>
    <row r="8315" spans="4:8" x14ac:dyDescent="0.25">
      <c r="D8315" s="28"/>
      <c r="F8315" s="28"/>
      <c r="H8315" s="28"/>
    </row>
    <row r="8316" spans="4:8" x14ac:dyDescent="0.25">
      <c r="D8316" s="28"/>
      <c r="F8316" s="28"/>
      <c r="H8316" s="28"/>
    </row>
    <row r="8317" spans="4:8" x14ac:dyDescent="0.25">
      <c r="D8317" s="28"/>
      <c r="F8317" s="28"/>
      <c r="H8317" s="28"/>
    </row>
    <row r="8318" spans="4:8" x14ac:dyDescent="0.25">
      <c r="D8318" s="28"/>
      <c r="F8318" s="28"/>
      <c r="H8318" s="28"/>
    </row>
    <row r="8319" spans="4:8" x14ac:dyDescent="0.25">
      <c r="D8319" s="28"/>
      <c r="F8319" s="28"/>
      <c r="H8319" s="28"/>
    </row>
    <row r="8320" spans="4:8" x14ac:dyDescent="0.25">
      <c r="D8320" s="28"/>
      <c r="F8320" s="28"/>
      <c r="H8320" s="28"/>
    </row>
    <row r="8321" spans="4:8" x14ac:dyDescent="0.25">
      <c r="D8321" s="28"/>
      <c r="F8321" s="28"/>
      <c r="H8321" s="28"/>
    </row>
    <row r="8322" spans="4:8" x14ac:dyDescent="0.25">
      <c r="D8322" s="28"/>
      <c r="F8322" s="28"/>
      <c r="H8322" s="28"/>
    </row>
    <row r="8323" spans="4:8" x14ac:dyDescent="0.25">
      <c r="D8323" s="28"/>
      <c r="F8323" s="28"/>
      <c r="H8323" s="28"/>
    </row>
    <row r="8324" spans="4:8" x14ac:dyDescent="0.25">
      <c r="D8324" s="28"/>
      <c r="F8324" s="28"/>
      <c r="H8324" s="28"/>
    </row>
    <row r="8325" spans="4:8" x14ac:dyDescent="0.25">
      <c r="D8325" s="28"/>
      <c r="F8325" s="28"/>
      <c r="H8325" s="28"/>
    </row>
    <row r="8326" spans="4:8" x14ac:dyDescent="0.25">
      <c r="D8326" s="28"/>
      <c r="F8326" s="28"/>
      <c r="H8326" s="28"/>
    </row>
    <row r="8327" spans="4:8" x14ac:dyDescent="0.25">
      <c r="D8327" s="28"/>
      <c r="F8327" s="28"/>
      <c r="H8327" s="28"/>
    </row>
    <row r="8328" spans="4:8" x14ac:dyDescent="0.25">
      <c r="D8328" s="28"/>
      <c r="F8328" s="28"/>
      <c r="H8328" s="28"/>
    </row>
    <row r="8329" spans="4:8" x14ac:dyDescent="0.25">
      <c r="D8329" s="28"/>
      <c r="F8329" s="28"/>
      <c r="H8329" s="28"/>
    </row>
    <row r="8330" spans="4:8" x14ac:dyDescent="0.25">
      <c r="D8330" s="28"/>
      <c r="F8330" s="28"/>
      <c r="H8330" s="28"/>
    </row>
    <row r="8331" spans="4:8" x14ac:dyDescent="0.25">
      <c r="D8331" s="28"/>
      <c r="F8331" s="28"/>
      <c r="H8331" s="28"/>
    </row>
    <row r="8332" spans="4:8" x14ac:dyDescent="0.25">
      <c r="D8332" s="28"/>
      <c r="F8332" s="28"/>
      <c r="H8332" s="28"/>
    </row>
    <row r="8333" spans="4:8" x14ac:dyDescent="0.25">
      <c r="D8333" s="28"/>
      <c r="F8333" s="28"/>
      <c r="H8333" s="28"/>
    </row>
    <row r="8334" spans="4:8" x14ac:dyDescent="0.25">
      <c r="D8334" s="28"/>
      <c r="F8334" s="28"/>
      <c r="H8334" s="28"/>
    </row>
    <row r="8335" spans="4:8" x14ac:dyDescent="0.25">
      <c r="D8335" s="28"/>
      <c r="F8335" s="28"/>
      <c r="H8335" s="28"/>
    </row>
    <row r="8336" spans="4:8" x14ac:dyDescent="0.25">
      <c r="D8336" s="28"/>
      <c r="F8336" s="28"/>
      <c r="H8336" s="28"/>
    </row>
    <row r="8337" spans="4:8" x14ac:dyDescent="0.25">
      <c r="D8337" s="28"/>
      <c r="F8337" s="28"/>
      <c r="H8337" s="28"/>
    </row>
    <row r="8338" spans="4:8" x14ac:dyDescent="0.25">
      <c r="D8338" s="28"/>
      <c r="F8338" s="28"/>
      <c r="H8338" s="28"/>
    </row>
    <row r="8339" spans="4:8" x14ac:dyDescent="0.25">
      <c r="D8339" s="28"/>
      <c r="F8339" s="28"/>
      <c r="H8339" s="28"/>
    </row>
    <row r="8340" spans="4:8" x14ac:dyDescent="0.25">
      <c r="D8340" s="28"/>
      <c r="F8340" s="28"/>
      <c r="H8340" s="28"/>
    </row>
    <row r="8341" spans="4:8" x14ac:dyDescent="0.25">
      <c r="D8341" s="28"/>
      <c r="F8341" s="28"/>
      <c r="H8341" s="28"/>
    </row>
    <row r="8342" spans="4:8" x14ac:dyDescent="0.25">
      <c r="D8342" s="28"/>
      <c r="F8342" s="28"/>
      <c r="H8342" s="28"/>
    </row>
    <row r="8343" spans="4:8" x14ac:dyDescent="0.25">
      <c r="D8343" s="28"/>
      <c r="F8343" s="28"/>
      <c r="H8343" s="28"/>
    </row>
    <row r="8344" spans="4:8" x14ac:dyDescent="0.25">
      <c r="D8344" s="28"/>
      <c r="F8344" s="28"/>
      <c r="H8344" s="28"/>
    </row>
    <row r="8345" spans="4:8" x14ac:dyDescent="0.25">
      <c r="D8345" s="28"/>
      <c r="F8345" s="28"/>
      <c r="H8345" s="28"/>
    </row>
    <row r="8346" spans="4:8" x14ac:dyDescent="0.25">
      <c r="D8346" s="28"/>
      <c r="F8346" s="28"/>
      <c r="H8346" s="28"/>
    </row>
    <row r="8347" spans="4:8" x14ac:dyDescent="0.25">
      <c r="D8347" s="28"/>
      <c r="F8347" s="28"/>
      <c r="H8347" s="28"/>
    </row>
    <row r="8348" spans="4:8" x14ac:dyDescent="0.25">
      <c r="D8348" s="28"/>
      <c r="F8348" s="28"/>
      <c r="H8348" s="28"/>
    </row>
    <row r="8349" spans="4:8" x14ac:dyDescent="0.25">
      <c r="D8349" s="28"/>
      <c r="F8349" s="28"/>
      <c r="H8349" s="28"/>
    </row>
    <row r="8350" spans="4:8" x14ac:dyDescent="0.25">
      <c r="D8350" s="28"/>
      <c r="F8350" s="28"/>
      <c r="H8350" s="28"/>
    </row>
    <row r="8351" spans="4:8" x14ac:dyDescent="0.25">
      <c r="D8351" s="28"/>
      <c r="F8351" s="28"/>
      <c r="H8351" s="28"/>
    </row>
    <row r="8352" spans="4:8" x14ac:dyDescent="0.25">
      <c r="D8352" s="28"/>
      <c r="F8352" s="28"/>
      <c r="H8352" s="28"/>
    </row>
    <row r="8353" spans="4:8" x14ac:dyDescent="0.25">
      <c r="D8353" s="28"/>
      <c r="F8353" s="28"/>
      <c r="H8353" s="28"/>
    </row>
    <row r="8354" spans="4:8" x14ac:dyDescent="0.25">
      <c r="D8354" s="28"/>
      <c r="F8354" s="28"/>
      <c r="H8354" s="28"/>
    </row>
    <row r="8355" spans="4:8" x14ac:dyDescent="0.25">
      <c r="D8355" s="28"/>
      <c r="F8355" s="28"/>
      <c r="H8355" s="28"/>
    </row>
    <row r="8356" spans="4:8" x14ac:dyDescent="0.25">
      <c r="D8356" s="28"/>
      <c r="F8356" s="28"/>
      <c r="H8356" s="28"/>
    </row>
    <row r="8357" spans="4:8" x14ac:dyDescent="0.25">
      <c r="D8357" s="28"/>
      <c r="F8357" s="28"/>
      <c r="H8357" s="28"/>
    </row>
    <row r="8358" spans="4:8" x14ac:dyDescent="0.25">
      <c r="D8358" s="28"/>
      <c r="F8358" s="28"/>
      <c r="H8358" s="28"/>
    </row>
    <row r="8359" spans="4:8" x14ac:dyDescent="0.25">
      <c r="D8359" s="28"/>
      <c r="F8359" s="28"/>
      <c r="H8359" s="28"/>
    </row>
    <row r="8360" spans="4:8" x14ac:dyDescent="0.25">
      <c r="D8360" s="28"/>
      <c r="F8360" s="28"/>
      <c r="H8360" s="28"/>
    </row>
    <row r="8361" spans="4:8" x14ac:dyDescent="0.25">
      <c r="D8361" s="28"/>
      <c r="F8361" s="28"/>
      <c r="H8361" s="28"/>
    </row>
    <row r="8362" spans="4:8" x14ac:dyDescent="0.25">
      <c r="D8362" s="28"/>
      <c r="F8362" s="28"/>
      <c r="H8362" s="28"/>
    </row>
    <row r="8363" spans="4:8" x14ac:dyDescent="0.25">
      <c r="D8363" s="28"/>
      <c r="F8363" s="28"/>
      <c r="H8363" s="28"/>
    </row>
    <row r="8364" spans="4:8" x14ac:dyDescent="0.25">
      <c r="D8364" s="28"/>
      <c r="F8364" s="28"/>
      <c r="H8364" s="28"/>
    </row>
    <row r="8365" spans="4:8" x14ac:dyDescent="0.25">
      <c r="D8365" s="28"/>
      <c r="F8365" s="28"/>
      <c r="H8365" s="28"/>
    </row>
    <row r="8366" spans="4:8" x14ac:dyDescent="0.25">
      <c r="D8366" s="28"/>
      <c r="F8366" s="28"/>
      <c r="H8366" s="28"/>
    </row>
    <row r="8367" spans="4:8" x14ac:dyDescent="0.25">
      <c r="D8367" s="28"/>
      <c r="F8367" s="28"/>
      <c r="H8367" s="28"/>
    </row>
    <row r="8368" spans="4:8" x14ac:dyDescent="0.25">
      <c r="D8368" s="28"/>
      <c r="F8368" s="28"/>
      <c r="H8368" s="28"/>
    </row>
    <row r="8369" spans="4:8" x14ac:dyDescent="0.25">
      <c r="D8369" s="28"/>
      <c r="F8369" s="28"/>
      <c r="H8369" s="28"/>
    </row>
    <row r="8370" spans="4:8" x14ac:dyDescent="0.25">
      <c r="D8370" s="28"/>
      <c r="F8370" s="28"/>
      <c r="H8370" s="28"/>
    </row>
    <row r="8371" spans="4:8" x14ac:dyDescent="0.25">
      <c r="D8371" s="28"/>
      <c r="F8371" s="28"/>
      <c r="H8371" s="28"/>
    </row>
    <row r="8372" spans="4:8" x14ac:dyDescent="0.25">
      <c r="D8372" s="28"/>
      <c r="F8372" s="28"/>
      <c r="H8372" s="28"/>
    </row>
    <row r="8373" spans="4:8" x14ac:dyDescent="0.25">
      <c r="D8373" s="28"/>
      <c r="F8373" s="28"/>
      <c r="H8373" s="28"/>
    </row>
    <row r="8374" spans="4:8" x14ac:dyDescent="0.25">
      <c r="D8374" s="28"/>
      <c r="F8374" s="28"/>
      <c r="H8374" s="28"/>
    </row>
    <row r="8375" spans="4:8" x14ac:dyDescent="0.25">
      <c r="D8375" s="28"/>
      <c r="F8375" s="28"/>
      <c r="H8375" s="28"/>
    </row>
    <row r="8376" spans="4:8" x14ac:dyDescent="0.25">
      <c r="D8376" s="28"/>
      <c r="F8376" s="28"/>
      <c r="H8376" s="28"/>
    </row>
    <row r="8377" spans="4:8" x14ac:dyDescent="0.25">
      <c r="D8377" s="28"/>
      <c r="F8377" s="28"/>
      <c r="H8377" s="28"/>
    </row>
    <row r="8378" spans="4:8" x14ac:dyDescent="0.25">
      <c r="D8378" s="28"/>
      <c r="F8378" s="28"/>
      <c r="H8378" s="28"/>
    </row>
    <row r="8379" spans="4:8" x14ac:dyDescent="0.25">
      <c r="D8379" s="28"/>
      <c r="F8379" s="28"/>
      <c r="H8379" s="28"/>
    </row>
    <row r="8380" spans="4:8" x14ac:dyDescent="0.25">
      <c r="D8380" s="28"/>
      <c r="F8380" s="28"/>
      <c r="H8380" s="28"/>
    </row>
    <row r="8381" spans="4:8" x14ac:dyDescent="0.25">
      <c r="D8381" s="28"/>
      <c r="F8381" s="28"/>
      <c r="H8381" s="28"/>
    </row>
    <row r="8382" spans="4:8" x14ac:dyDescent="0.25">
      <c r="D8382" s="28"/>
      <c r="F8382" s="28"/>
      <c r="H8382" s="28"/>
    </row>
    <row r="8383" spans="4:8" x14ac:dyDescent="0.25">
      <c r="D8383" s="28"/>
      <c r="F8383" s="28"/>
      <c r="H8383" s="28"/>
    </row>
    <row r="8384" spans="4:8" x14ac:dyDescent="0.25">
      <c r="D8384" s="28"/>
      <c r="F8384" s="28"/>
      <c r="H8384" s="28"/>
    </row>
    <row r="8385" spans="4:8" x14ac:dyDescent="0.25">
      <c r="D8385" s="28"/>
      <c r="F8385" s="28"/>
      <c r="H8385" s="28"/>
    </row>
    <row r="8386" spans="4:8" x14ac:dyDescent="0.25">
      <c r="D8386" s="28"/>
      <c r="F8386" s="28"/>
      <c r="H8386" s="28"/>
    </row>
    <row r="8387" spans="4:8" x14ac:dyDescent="0.25">
      <c r="D8387" s="28"/>
      <c r="F8387" s="28"/>
      <c r="H8387" s="28"/>
    </row>
    <row r="8388" spans="4:8" x14ac:dyDescent="0.25">
      <c r="D8388" s="28"/>
      <c r="F8388" s="28"/>
      <c r="H8388" s="28"/>
    </row>
    <row r="8389" spans="4:8" x14ac:dyDescent="0.25">
      <c r="D8389" s="28"/>
      <c r="F8389" s="28"/>
      <c r="H8389" s="28"/>
    </row>
    <row r="8390" spans="4:8" x14ac:dyDescent="0.25">
      <c r="D8390" s="28"/>
      <c r="F8390" s="28"/>
      <c r="H8390" s="28"/>
    </row>
    <row r="8391" spans="4:8" x14ac:dyDescent="0.25">
      <c r="D8391" s="28"/>
      <c r="F8391" s="28"/>
      <c r="H8391" s="28"/>
    </row>
    <row r="8392" spans="4:8" x14ac:dyDescent="0.25">
      <c r="D8392" s="28"/>
      <c r="F8392" s="28"/>
      <c r="H8392" s="28"/>
    </row>
    <row r="8393" spans="4:8" x14ac:dyDescent="0.25">
      <c r="D8393" s="28"/>
      <c r="F8393" s="28"/>
      <c r="H8393" s="28"/>
    </row>
    <row r="8394" spans="4:8" x14ac:dyDescent="0.25">
      <c r="D8394" s="28"/>
      <c r="F8394" s="28"/>
      <c r="H8394" s="28"/>
    </row>
    <row r="8395" spans="4:8" x14ac:dyDescent="0.25">
      <c r="D8395" s="28"/>
      <c r="F8395" s="28"/>
      <c r="H8395" s="28"/>
    </row>
    <row r="8396" spans="4:8" x14ac:dyDescent="0.25">
      <c r="D8396" s="28"/>
      <c r="F8396" s="28"/>
      <c r="H8396" s="28"/>
    </row>
    <row r="8397" spans="4:8" x14ac:dyDescent="0.25">
      <c r="D8397" s="28"/>
      <c r="F8397" s="28"/>
      <c r="H8397" s="28"/>
    </row>
    <row r="8398" spans="4:8" x14ac:dyDescent="0.25">
      <c r="D8398" s="28"/>
      <c r="F8398" s="28"/>
      <c r="H8398" s="28"/>
    </row>
    <row r="8399" spans="4:8" x14ac:dyDescent="0.25">
      <c r="D8399" s="28"/>
      <c r="F8399" s="28"/>
      <c r="H8399" s="28"/>
    </row>
    <row r="8400" spans="4:8" x14ac:dyDescent="0.25">
      <c r="D8400" s="28"/>
      <c r="F8400" s="28"/>
      <c r="H8400" s="28"/>
    </row>
    <row r="8401" spans="4:8" x14ac:dyDescent="0.25">
      <c r="D8401" s="28"/>
      <c r="F8401" s="28"/>
      <c r="H8401" s="28"/>
    </row>
    <row r="8402" spans="4:8" x14ac:dyDescent="0.25">
      <c r="D8402" s="28"/>
      <c r="F8402" s="28"/>
      <c r="H8402" s="28"/>
    </row>
    <row r="8403" spans="4:8" x14ac:dyDescent="0.25">
      <c r="D8403" s="28"/>
      <c r="F8403" s="28"/>
      <c r="H8403" s="28"/>
    </row>
    <row r="8404" spans="4:8" x14ac:dyDescent="0.25">
      <c r="D8404" s="28"/>
      <c r="F8404" s="28"/>
      <c r="H8404" s="28"/>
    </row>
    <row r="8405" spans="4:8" x14ac:dyDescent="0.25">
      <c r="D8405" s="28"/>
      <c r="F8405" s="28"/>
      <c r="H8405" s="28"/>
    </row>
    <row r="8406" spans="4:8" x14ac:dyDescent="0.25">
      <c r="D8406" s="28"/>
      <c r="F8406" s="28"/>
      <c r="H8406" s="28"/>
    </row>
    <row r="8407" spans="4:8" x14ac:dyDescent="0.25">
      <c r="D8407" s="28"/>
      <c r="F8407" s="28"/>
      <c r="H8407" s="28"/>
    </row>
    <row r="8408" spans="4:8" x14ac:dyDescent="0.25">
      <c r="D8408" s="28"/>
      <c r="F8408" s="28"/>
      <c r="H8408" s="28"/>
    </row>
    <row r="8409" spans="4:8" x14ac:dyDescent="0.25">
      <c r="D8409" s="28"/>
      <c r="F8409" s="28"/>
      <c r="H8409" s="28"/>
    </row>
    <row r="8410" spans="4:8" x14ac:dyDescent="0.25">
      <c r="D8410" s="28"/>
      <c r="F8410" s="28"/>
      <c r="H8410" s="28"/>
    </row>
    <row r="8411" spans="4:8" x14ac:dyDescent="0.25">
      <c r="D8411" s="28"/>
      <c r="F8411" s="28"/>
      <c r="H8411" s="28"/>
    </row>
    <row r="8412" spans="4:8" x14ac:dyDescent="0.25">
      <c r="D8412" s="28"/>
      <c r="F8412" s="28"/>
      <c r="H8412" s="28"/>
    </row>
    <row r="8413" spans="4:8" x14ac:dyDescent="0.25">
      <c r="D8413" s="28"/>
      <c r="F8413" s="28"/>
      <c r="H8413" s="28"/>
    </row>
    <row r="8414" spans="4:8" x14ac:dyDescent="0.25">
      <c r="D8414" s="28"/>
      <c r="F8414" s="28"/>
      <c r="H8414" s="28"/>
    </row>
    <row r="8415" spans="4:8" x14ac:dyDescent="0.25">
      <c r="D8415" s="28"/>
      <c r="F8415" s="28"/>
      <c r="H8415" s="28"/>
    </row>
    <row r="8416" spans="4:8" x14ac:dyDescent="0.25">
      <c r="D8416" s="28"/>
      <c r="F8416" s="28"/>
      <c r="H8416" s="28"/>
    </row>
    <row r="8417" spans="4:8" x14ac:dyDescent="0.25">
      <c r="D8417" s="28"/>
      <c r="F8417" s="28"/>
      <c r="H8417" s="28"/>
    </row>
    <row r="8418" spans="4:8" x14ac:dyDescent="0.25">
      <c r="D8418" s="28"/>
      <c r="F8418" s="28"/>
      <c r="H8418" s="28"/>
    </row>
    <row r="8419" spans="4:8" x14ac:dyDescent="0.25">
      <c r="D8419" s="28"/>
      <c r="F8419" s="28"/>
      <c r="H8419" s="28"/>
    </row>
    <row r="8420" spans="4:8" x14ac:dyDescent="0.25">
      <c r="D8420" s="28"/>
      <c r="F8420" s="28"/>
      <c r="H8420" s="28"/>
    </row>
    <row r="8421" spans="4:8" x14ac:dyDescent="0.25">
      <c r="D8421" s="28"/>
      <c r="F8421" s="28"/>
      <c r="H8421" s="28"/>
    </row>
    <row r="8422" spans="4:8" x14ac:dyDescent="0.25">
      <c r="D8422" s="28"/>
      <c r="F8422" s="28"/>
      <c r="H8422" s="28"/>
    </row>
    <row r="8423" spans="4:8" x14ac:dyDescent="0.25">
      <c r="D8423" s="28"/>
      <c r="F8423" s="28"/>
      <c r="H8423" s="28"/>
    </row>
    <row r="8424" spans="4:8" x14ac:dyDescent="0.25">
      <c r="D8424" s="28"/>
      <c r="F8424" s="28"/>
      <c r="H8424" s="28"/>
    </row>
    <row r="8425" spans="4:8" x14ac:dyDescent="0.25">
      <c r="D8425" s="28"/>
      <c r="F8425" s="28"/>
      <c r="H8425" s="28"/>
    </row>
    <row r="8426" spans="4:8" x14ac:dyDescent="0.25">
      <c r="D8426" s="28"/>
      <c r="F8426" s="28"/>
      <c r="H8426" s="28"/>
    </row>
    <row r="8427" spans="4:8" x14ac:dyDescent="0.25">
      <c r="D8427" s="28"/>
      <c r="F8427" s="28"/>
      <c r="H8427" s="28"/>
    </row>
    <row r="8428" spans="4:8" x14ac:dyDescent="0.25">
      <c r="D8428" s="28"/>
      <c r="F8428" s="28"/>
      <c r="H8428" s="28"/>
    </row>
    <row r="8429" spans="4:8" x14ac:dyDescent="0.25">
      <c r="D8429" s="28"/>
      <c r="F8429" s="28"/>
      <c r="H8429" s="28"/>
    </row>
    <row r="8430" spans="4:8" x14ac:dyDescent="0.25">
      <c r="D8430" s="28"/>
      <c r="F8430" s="28"/>
      <c r="H8430" s="28"/>
    </row>
    <row r="8431" spans="4:8" x14ac:dyDescent="0.25">
      <c r="D8431" s="28"/>
      <c r="F8431" s="28"/>
      <c r="H8431" s="28"/>
    </row>
    <row r="8432" spans="4:8" x14ac:dyDescent="0.25">
      <c r="D8432" s="28"/>
      <c r="F8432" s="28"/>
      <c r="H8432" s="28"/>
    </row>
    <row r="8433" spans="4:8" x14ac:dyDescent="0.25">
      <c r="D8433" s="28"/>
      <c r="F8433" s="28"/>
      <c r="H8433" s="28"/>
    </row>
    <row r="8434" spans="4:8" x14ac:dyDescent="0.25">
      <c r="D8434" s="28"/>
      <c r="F8434" s="28"/>
      <c r="H8434" s="28"/>
    </row>
    <row r="8435" spans="4:8" x14ac:dyDescent="0.25">
      <c r="D8435" s="28"/>
      <c r="F8435" s="28"/>
      <c r="H8435" s="28"/>
    </row>
    <row r="8436" spans="4:8" x14ac:dyDescent="0.25">
      <c r="D8436" s="28"/>
      <c r="F8436" s="28"/>
      <c r="H8436" s="28"/>
    </row>
    <row r="8437" spans="4:8" x14ac:dyDescent="0.25">
      <c r="D8437" s="28"/>
      <c r="F8437" s="28"/>
      <c r="H8437" s="28"/>
    </row>
    <row r="8438" spans="4:8" x14ac:dyDescent="0.25">
      <c r="D8438" s="28"/>
      <c r="F8438" s="28"/>
      <c r="H8438" s="28"/>
    </row>
    <row r="8439" spans="4:8" x14ac:dyDescent="0.25">
      <c r="D8439" s="28"/>
      <c r="F8439" s="28"/>
      <c r="H8439" s="28"/>
    </row>
    <row r="8440" spans="4:8" x14ac:dyDescent="0.25">
      <c r="D8440" s="28"/>
      <c r="F8440" s="28"/>
      <c r="H8440" s="28"/>
    </row>
    <row r="8441" spans="4:8" x14ac:dyDescent="0.25">
      <c r="D8441" s="28"/>
      <c r="F8441" s="28"/>
      <c r="H8441" s="28"/>
    </row>
    <row r="8442" spans="4:8" x14ac:dyDescent="0.25">
      <c r="D8442" s="28"/>
      <c r="F8442" s="28"/>
      <c r="H8442" s="28"/>
    </row>
    <row r="8443" spans="4:8" x14ac:dyDescent="0.25">
      <c r="D8443" s="28"/>
      <c r="F8443" s="28"/>
      <c r="H8443" s="28"/>
    </row>
    <row r="8444" spans="4:8" x14ac:dyDescent="0.25">
      <c r="D8444" s="28"/>
      <c r="F8444" s="28"/>
      <c r="H8444" s="28"/>
    </row>
    <row r="8445" spans="4:8" x14ac:dyDescent="0.25">
      <c r="D8445" s="28"/>
      <c r="F8445" s="28"/>
      <c r="H8445" s="28"/>
    </row>
    <row r="8446" spans="4:8" x14ac:dyDescent="0.25">
      <c r="D8446" s="28"/>
      <c r="F8446" s="28"/>
      <c r="H8446" s="28"/>
    </row>
    <row r="8447" spans="4:8" x14ac:dyDescent="0.25">
      <c r="D8447" s="28"/>
      <c r="F8447" s="28"/>
      <c r="H8447" s="28"/>
    </row>
    <row r="8448" spans="4:8" x14ac:dyDescent="0.25">
      <c r="D8448" s="28"/>
      <c r="F8448" s="28"/>
      <c r="H8448" s="28"/>
    </row>
    <row r="8449" spans="4:8" x14ac:dyDescent="0.25">
      <c r="D8449" s="28"/>
      <c r="F8449" s="28"/>
      <c r="H8449" s="28"/>
    </row>
    <row r="8450" spans="4:8" x14ac:dyDescent="0.25">
      <c r="D8450" s="28"/>
      <c r="F8450" s="28"/>
      <c r="H8450" s="28"/>
    </row>
    <row r="8451" spans="4:8" x14ac:dyDescent="0.25">
      <c r="D8451" s="28"/>
      <c r="F8451" s="28"/>
      <c r="H8451" s="28"/>
    </row>
    <row r="8452" spans="4:8" x14ac:dyDescent="0.25">
      <c r="D8452" s="28"/>
      <c r="F8452" s="28"/>
      <c r="H8452" s="28"/>
    </row>
    <row r="8453" spans="4:8" x14ac:dyDescent="0.25">
      <c r="D8453" s="28"/>
      <c r="F8453" s="28"/>
      <c r="H8453" s="28"/>
    </row>
    <row r="8454" spans="4:8" x14ac:dyDescent="0.25">
      <c r="D8454" s="28"/>
      <c r="F8454" s="28"/>
      <c r="H8454" s="28"/>
    </row>
    <row r="8455" spans="4:8" x14ac:dyDescent="0.25">
      <c r="D8455" s="28"/>
      <c r="F8455" s="28"/>
      <c r="H8455" s="28"/>
    </row>
    <row r="8456" spans="4:8" x14ac:dyDescent="0.25">
      <c r="D8456" s="28"/>
      <c r="F8456" s="28"/>
      <c r="H8456" s="28"/>
    </row>
    <row r="8457" spans="4:8" x14ac:dyDescent="0.25">
      <c r="D8457" s="28"/>
      <c r="F8457" s="28"/>
      <c r="H8457" s="28"/>
    </row>
    <row r="8458" spans="4:8" x14ac:dyDescent="0.25">
      <c r="D8458" s="28"/>
      <c r="F8458" s="28"/>
      <c r="H8458" s="28"/>
    </row>
    <row r="8459" spans="4:8" x14ac:dyDescent="0.25">
      <c r="D8459" s="28"/>
      <c r="F8459" s="28"/>
      <c r="H8459" s="28"/>
    </row>
    <row r="8460" spans="4:8" x14ac:dyDescent="0.25">
      <c r="D8460" s="28"/>
      <c r="F8460" s="28"/>
      <c r="H8460" s="28"/>
    </row>
    <row r="8461" spans="4:8" x14ac:dyDescent="0.25">
      <c r="D8461" s="28"/>
      <c r="F8461" s="28"/>
      <c r="H8461" s="28"/>
    </row>
    <row r="8462" spans="4:8" x14ac:dyDescent="0.25">
      <c r="D8462" s="28"/>
      <c r="F8462" s="28"/>
      <c r="H8462" s="28"/>
    </row>
    <row r="8463" spans="4:8" x14ac:dyDescent="0.25">
      <c r="D8463" s="28"/>
      <c r="F8463" s="28"/>
      <c r="H8463" s="28"/>
    </row>
    <row r="8464" spans="4:8" x14ac:dyDescent="0.25">
      <c r="D8464" s="28"/>
      <c r="F8464" s="28"/>
      <c r="H8464" s="28"/>
    </row>
    <row r="8465" spans="4:8" x14ac:dyDescent="0.25">
      <c r="D8465" s="28"/>
      <c r="F8465" s="28"/>
      <c r="H8465" s="28"/>
    </row>
    <row r="8466" spans="4:8" x14ac:dyDescent="0.25">
      <c r="D8466" s="28"/>
      <c r="F8466" s="28"/>
      <c r="H8466" s="28"/>
    </row>
    <row r="8467" spans="4:8" x14ac:dyDescent="0.25">
      <c r="D8467" s="28"/>
      <c r="F8467" s="28"/>
      <c r="H8467" s="28"/>
    </row>
    <row r="8468" spans="4:8" x14ac:dyDescent="0.25">
      <c r="D8468" s="28"/>
      <c r="F8468" s="28"/>
      <c r="H8468" s="28"/>
    </row>
    <row r="8469" spans="4:8" x14ac:dyDescent="0.25">
      <c r="D8469" s="28"/>
      <c r="F8469" s="28"/>
      <c r="H8469" s="28"/>
    </row>
    <row r="8470" spans="4:8" x14ac:dyDescent="0.25">
      <c r="D8470" s="28"/>
      <c r="F8470" s="28"/>
      <c r="H8470" s="28"/>
    </row>
    <row r="8471" spans="4:8" x14ac:dyDescent="0.25">
      <c r="D8471" s="28"/>
      <c r="F8471" s="28"/>
      <c r="H8471" s="28"/>
    </row>
    <row r="8472" spans="4:8" x14ac:dyDescent="0.25">
      <c r="D8472" s="28"/>
      <c r="F8472" s="28"/>
      <c r="H8472" s="28"/>
    </row>
    <row r="8473" spans="4:8" x14ac:dyDescent="0.25">
      <c r="D8473" s="28"/>
      <c r="F8473" s="28"/>
      <c r="H8473" s="28"/>
    </row>
    <row r="8474" spans="4:8" x14ac:dyDescent="0.25">
      <c r="D8474" s="28"/>
      <c r="F8474" s="28"/>
      <c r="H8474" s="28"/>
    </row>
    <row r="8475" spans="4:8" x14ac:dyDescent="0.25">
      <c r="D8475" s="28"/>
      <c r="F8475" s="28"/>
      <c r="H8475" s="28"/>
    </row>
    <row r="8476" spans="4:8" x14ac:dyDescent="0.25">
      <c r="D8476" s="28"/>
      <c r="F8476" s="28"/>
      <c r="H8476" s="28"/>
    </row>
    <row r="8477" spans="4:8" x14ac:dyDescent="0.25">
      <c r="D8477" s="28"/>
      <c r="F8477" s="28"/>
      <c r="H8477" s="28"/>
    </row>
    <row r="8478" spans="4:8" x14ac:dyDescent="0.25">
      <c r="D8478" s="28"/>
      <c r="F8478" s="28"/>
      <c r="H8478" s="28"/>
    </row>
    <row r="8479" spans="4:8" x14ac:dyDescent="0.25">
      <c r="D8479" s="28"/>
      <c r="F8479" s="28"/>
      <c r="H8479" s="28"/>
    </row>
    <row r="8480" spans="4:8" x14ac:dyDescent="0.25">
      <c r="D8480" s="28"/>
      <c r="F8480" s="28"/>
      <c r="H8480" s="28"/>
    </row>
    <row r="8481" spans="4:8" x14ac:dyDescent="0.25">
      <c r="D8481" s="28"/>
      <c r="F8481" s="28"/>
      <c r="H8481" s="28"/>
    </row>
    <row r="8482" spans="4:8" x14ac:dyDescent="0.25">
      <c r="D8482" s="28"/>
      <c r="F8482" s="28"/>
      <c r="H8482" s="28"/>
    </row>
    <row r="8483" spans="4:8" x14ac:dyDescent="0.25">
      <c r="D8483" s="28"/>
      <c r="F8483" s="28"/>
      <c r="H8483" s="28"/>
    </row>
    <row r="8484" spans="4:8" x14ac:dyDescent="0.25">
      <c r="D8484" s="28"/>
      <c r="F8484" s="28"/>
      <c r="H8484" s="28"/>
    </row>
    <row r="8485" spans="4:8" x14ac:dyDescent="0.25">
      <c r="D8485" s="28"/>
      <c r="F8485" s="28"/>
      <c r="H8485" s="28"/>
    </row>
    <row r="8486" spans="4:8" x14ac:dyDescent="0.25">
      <c r="D8486" s="28"/>
      <c r="F8486" s="28"/>
      <c r="H8486" s="28"/>
    </row>
    <row r="8487" spans="4:8" x14ac:dyDescent="0.25">
      <c r="D8487" s="28"/>
      <c r="F8487" s="28"/>
      <c r="H8487" s="28"/>
    </row>
    <row r="8488" spans="4:8" x14ac:dyDescent="0.25">
      <c r="D8488" s="28"/>
      <c r="F8488" s="28"/>
      <c r="H8488" s="28"/>
    </row>
    <row r="8489" spans="4:8" x14ac:dyDescent="0.25">
      <c r="D8489" s="28"/>
      <c r="F8489" s="28"/>
      <c r="H8489" s="28"/>
    </row>
    <row r="8490" spans="4:8" x14ac:dyDescent="0.25">
      <c r="D8490" s="28"/>
      <c r="F8490" s="28"/>
      <c r="H8490" s="28"/>
    </row>
    <row r="8491" spans="4:8" x14ac:dyDescent="0.25">
      <c r="D8491" s="28"/>
      <c r="F8491" s="28"/>
      <c r="H8491" s="28"/>
    </row>
    <row r="8492" spans="4:8" x14ac:dyDescent="0.25">
      <c r="D8492" s="28"/>
      <c r="F8492" s="28"/>
      <c r="H8492" s="28"/>
    </row>
    <row r="8493" spans="4:8" x14ac:dyDescent="0.25">
      <c r="D8493" s="28"/>
      <c r="F8493" s="28"/>
      <c r="H8493" s="28"/>
    </row>
    <row r="8494" spans="4:8" x14ac:dyDescent="0.25">
      <c r="D8494" s="28"/>
      <c r="F8494" s="28"/>
      <c r="H8494" s="28"/>
    </row>
    <row r="8495" spans="4:8" x14ac:dyDescent="0.25">
      <c r="D8495" s="28"/>
      <c r="F8495" s="28"/>
      <c r="H8495" s="28"/>
    </row>
    <row r="8496" spans="4:8" x14ac:dyDescent="0.25">
      <c r="D8496" s="28"/>
      <c r="F8496" s="28"/>
      <c r="H8496" s="28"/>
    </row>
    <row r="8497" spans="4:8" x14ac:dyDescent="0.25">
      <c r="D8497" s="28"/>
      <c r="F8497" s="28"/>
      <c r="H8497" s="28"/>
    </row>
    <row r="8498" spans="4:8" x14ac:dyDescent="0.25">
      <c r="D8498" s="28"/>
      <c r="F8498" s="28"/>
      <c r="H8498" s="28"/>
    </row>
    <row r="8499" spans="4:8" x14ac:dyDescent="0.25">
      <c r="D8499" s="28"/>
      <c r="F8499" s="28"/>
      <c r="H8499" s="28"/>
    </row>
    <row r="8500" spans="4:8" x14ac:dyDescent="0.25">
      <c r="D8500" s="28"/>
      <c r="F8500" s="28"/>
      <c r="H8500" s="28"/>
    </row>
    <row r="8501" spans="4:8" x14ac:dyDescent="0.25">
      <c r="D8501" s="28"/>
      <c r="F8501" s="28"/>
      <c r="H8501" s="28"/>
    </row>
    <row r="8502" spans="4:8" x14ac:dyDescent="0.25">
      <c r="D8502" s="28"/>
      <c r="F8502" s="28"/>
      <c r="H8502" s="28"/>
    </row>
    <row r="8503" spans="4:8" x14ac:dyDescent="0.25">
      <c r="D8503" s="28"/>
      <c r="F8503" s="28"/>
      <c r="H8503" s="28"/>
    </row>
    <row r="8504" spans="4:8" x14ac:dyDescent="0.25">
      <c r="D8504" s="28"/>
      <c r="F8504" s="28"/>
      <c r="H8504" s="28"/>
    </row>
    <row r="8505" spans="4:8" x14ac:dyDescent="0.25">
      <c r="D8505" s="28"/>
      <c r="F8505" s="28"/>
      <c r="H8505" s="28"/>
    </row>
    <row r="8506" spans="4:8" x14ac:dyDescent="0.25">
      <c r="D8506" s="28"/>
      <c r="F8506" s="28"/>
      <c r="H8506" s="28"/>
    </row>
    <row r="8507" spans="4:8" x14ac:dyDescent="0.25">
      <c r="D8507" s="28"/>
      <c r="F8507" s="28"/>
      <c r="H8507" s="28"/>
    </row>
    <row r="8508" spans="4:8" x14ac:dyDescent="0.25">
      <c r="D8508" s="28"/>
      <c r="F8508" s="28"/>
      <c r="H8508" s="28"/>
    </row>
    <row r="8509" spans="4:8" x14ac:dyDescent="0.25">
      <c r="D8509" s="28"/>
      <c r="F8509" s="28"/>
      <c r="H8509" s="28"/>
    </row>
    <row r="8510" spans="4:8" x14ac:dyDescent="0.25">
      <c r="D8510" s="28"/>
      <c r="F8510" s="28"/>
      <c r="H8510" s="28"/>
    </row>
    <row r="8511" spans="4:8" x14ac:dyDescent="0.25">
      <c r="D8511" s="28"/>
      <c r="F8511" s="28"/>
      <c r="H8511" s="28"/>
    </row>
    <row r="8512" spans="4:8" x14ac:dyDescent="0.25">
      <c r="D8512" s="28"/>
      <c r="F8512" s="28"/>
      <c r="H8512" s="28"/>
    </row>
    <row r="8513" spans="4:8" x14ac:dyDescent="0.25">
      <c r="D8513" s="28"/>
      <c r="F8513" s="28"/>
      <c r="H8513" s="28"/>
    </row>
    <row r="8514" spans="4:8" x14ac:dyDescent="0.25">
      <c r="D8514" s="28"/>
      <c r="F8514" s="28"/>
      <c r="H8514" s="28"/>
    </row>
    <row r="8515" spans="4:8" x14ac:dyDescent="0.25">
      <c r="D8515" s="28"/>
      <c r="F8515" s="28"/>
      <c r="H8515" s="28"/>
    </row>
    <row r="8516" spans="4:8" x14ac:dyDescent="0.25">
      <c r="D8516" s="28"/>
      <c r="F8516" s="28"/>
      <c r="H8516" s="28"/>
    </row>
    <row r="8517" spans="4:8" x14ac:dyDescent="0.25">
      <c r="D8517" s="28"/>
      <c r="F8517" s="28"/>
      <c r="H8517" s="28"/>
    </row>
    <row r="8518" spans="4:8" x14ac:dyDescent="0.25">
      <c r="D8518" s="28"/>
      <c r="F8518" s="28"/>
      <c r="H8518" s="28"/>
    </row>
    <row r="8519" spans="4:8" x14ac:dyDescent="0.25">
      <c r="D8519" s="28"/>
      <c r="F8519" s="28"/>
      <c r="H8519" s="28"/>
    </row>
    <row r="8520" spans="4:8" x14ac:dyDescent="0.25">
      <c r="D8520" s="28"/>
      <c r="F8520" s="28"/>
      <c r="H8520" s="28"/>
    </row>
    <row r="8521" spans="4:8" x14ac:dyDescent="0.25">
      <c r="D8521" s="28"/>
      <c r="F8521" s="28"/>
      <c r="H8521" s="28"/>
    </row>
    <row r="8522" spans="4:8" x14ac:dyDescent="0.25">
      <c r="D8522" s="28"/>
      <c r="F8522" s="28"/>
      <c r="H8522" s="28"/>
    </row>
    <row r="8523" spans="4:8" x14ac:dyDescent="0.25">
      <c r="D8523" s="28"/>
      <c r="F8523" s="28"/>
      <c r="H8523" s="28"/>
    </row>
    <row r="8524" spans="4:8" x14ac:dyDescent="0.25">
      <c r="D8524" s="28"/>
      <c r="F8524" s="28"/>
      <c r="H8524" s="28"/>
    </row>
    <row r="8525" spans="4:8" x14ac:dyDescent="0.25">
      <c r="D8525" s="28"/>
      <c r="F8525" s="28"/>
      <c r="H8525" s="28"/>
    </row>
    <row r="8526" spans="4:8" x14ac:dyDescent="0.25">
      <c r="D8526" s="28"/>
      <c r="F8526" s="28"/>
      <c r="H8526" s="28"/>
    </row>
    <row r="8527" spans="4:8" x14ac:dyDescent="0.25">
      <c r="D8527" s="28"/>
      <c r="F8527" s="28"/>
      <c r="H8527" s="28"/>
    </row>
    <row r="8528" spans="4:8" x14ac:dyDescent="0.25">
      <c r="D8528" s="28"/>
      <c r="F8528" s="28"/>
      <c r="H8528" s="28"/>
    </row>
    <row r="8529" spans="4:8" x14ac:dyDescent="0.25">
      <c r="D8529" s="28"/>
      <c r="F8529" s="28"/>
      <c r="H8529" s="28"/>
    </row>
    <row r="8530" spans="4:8" x14ac:dyDescent="0.25">
      <c r="D8530" s="28"/>
      <c r="F8530" s="28"/>
      <c r="H8530" s="28"/>
    </row>
    <row r="8531" spans="4:8" x14ac:dyDescent="0.25">
      <c r="D8531" s="28"/>
      <c r="F8531" s="28"/>
      <c r="H8531" s="28"/>
    </row>
    <row r="8532" spans="4:8" x14ac:dyDescent="0.25">
      <c r="D8532" s="28"/>
      <c r="F8532" s="28"/>
      <c r="H8532" s="28"/>
    </row>
    <row r="8533" spans="4:8" x14ac:dyDescent="0.25">
      <c r="D8533" s="28"/>
      <c r="F8533" s="28"/>
      <c r="H8533" s="28"/>
    </row>
    <row r="8534" spans="4:8" x14ac:dyDescent="0.25">
      <c r="D8534" s="28"/>
      <c r="F8534" s="28"/>
      <c r="H8534" s="28"/>
    </row>
    <row r="8535" spans="4:8" x14ac:dyDescent="0.25">
      <c r="D8535" s="28"/>
      <c r="F8535" s="28"/>
      <c r="H8535" s="28"/>
    </row>
    <row r="8536" spans="4:8" x14ac:dyDescent="0.25">
      <c r="D8536" s="28"/>
      <c r="F8536" s="28"/>
      <c r="H8536" s="28"/>
    </row>
    <row r="8537" spans="4:8" x14ac:dyDescent="0.25">
      <c r="D8537" s="28"/>
      <c r="F8537" s="28"/>
      <c r="H8537" s="28"/>
    </row>
    <row r="8538" spans="4:8" x14ac:dyDescent="0.25">
      <c r="D8538" s="28"/>
      <c r="F8538" s="28"/>
      <c r="H8538" s="28"/>
    </row>
    <row r="8539" spans="4:8" x14ac:dyDescent="0.25">
      <c r="D8539" s="28"/>
      <c r="F8539" s="28"/>
      <c r="H8539" s="28"/>
    </row>
    <row r="8540" spans="4:8" x14ac:dyDescent="0.25">
      <c r="D8540" s="28"/>
      <c r="F8540" s="28"/>
      <c r="H8540" s="28"/>
    </row>
    <row r="8541" spans="4:8" x14ac:dyDescent="0.25">
      <c r="D8541" s="28"/>
      <c r="F8541" s="28"/>
      <c r="H8541" s="28"/>
    </row>
    <row r="8542" spans="4:8" x14ac:dyDescent="0.25">
      <c r="D8542" s="28"/>
      <c r="F8542" s="28"/>
      <c r="H8542" s="28"/>
    </row>
    <row r="8543" spans="4:8" x14ac:dyDescent="0.25">
      <c r="D8543" s="28"/>
      <c r="F8543" s="28"/>
      <c r="H8543" s="28"/>
    </row>
    <row r="8544" spans="4:8" x14ac:dyDescent="0.25">
      <c r="D8544" s="28"/>
      <c r="F8544" s="28"/>
      <c r="H8544" s="28"/>
    </row>
    <row r="8545" spans="4:8" x14ac:dyDescent="0.25">
      <c r="D8545" s="28"/>
      <c r="F8545" s="28"/>
      <c r="H8545" s="28"/>
    </row>
    <row r="8546" spans="4:8" x14ac:dyDescent="0.25">
      <c r="D8546" s="28"/>
      <c r="F8546" s="28"/>
      <c r="H8546" s="28"/>
    </row>
    <row r="8547" spans="4:8" x14ac:dyDescent="0.25">
      <c r="D8547" s="28"/>
      <c r="F8547" s="28"/>
      <c r="H8547" s="28"/>
    </row>
    <row r="8548" spans="4:8" x14ac:dyDescent="0.25">
      <c r="D8548" s="28"/>
      <c r="F8548" s="28"/>
      <c r="H8548" s="28"/>
    </row>
    <row r="8549" spans="4:8" x14ac:dyDescent="0.25">
      <c r="D8549" s="28"/>
      <c r="F8549" s="28"/>
      <c r="H8549" s="28"/>
    </row>
    <row r="8550" spans="4:8" x14ac:dyDescent="0.25">
      <c r="D8550" s="28"/>
      <c r="F8550" s="28"/>
      <c r="H8550" s="28"/>
    </row>
    <row r="8551" spans="4:8" x14ac:dyDescent="0.25">
      <c r="D8551" s="28"/>
      <c r="F8551" s="28"/>
      <c r="H8551" s="28"/>
    </row>
    <row r="8552" spans="4:8" x14ac:dyDescent="0.25">
      <c r="D8552" s="28"/>
      <c r="F8552" s="28"/>
      <c r="H8552" s="28"/>
    </row>
    <row r="8553" spans="4:8" x14ac:dyDescent="0.25">
      <c r="D8553" s="28"/>
      <c r="F8553" s="28"/>
      <c r="H8553" s="28"/>
    </row>
    <row r="8554" spans="4:8" x14ac:dyDescent="0.25">
      <c r="D8554" s="28"/>
      <c r="F8554" s="28"/>
      <c r="H8554" s="28"/>
    </row>
    <row r="8555" spans="4:8" x14ac:dyDescent="0.25">
      <c r="D8555" s="28"/>
      <c r="F8555" s="28"/>
      <c r="H8555" s="28"/>
    </row>
    <row r="8556" spans="4:8" x14ac:dyDescent="0.25">
      <c r="D8556" s="28"/>
      <c r="F8556" s="28"/>
      <c r="H8556" s="28"/>
    </row>
    <row r="8557" spans="4:8" x14ac:dyDescent="0.25">
      <c r="D8557" s="28"/>
      <c r="F8557" s="28"/>
      <c r="H8557" s="28"/>
    </row>
    <row r="8558" spans="4:8" x14ac:dyDescent="0.25">
      <c r="D8558" s="28"/>
      <c r="F8558" s="28"/>
      <c r="H8558" s="28"/>
    </row>
    <row r="8559" spans="4:8" x14ac:dyDescent="0.25">
      <c r="D8559" s="28"/>
      <c r="F8559" s="28"/>
      <c r="H8559" s="28"/>
    </row>
    <row r="8560" spans="4:8" x14ac:dyDescent="0.25">
      <c r="D8560" s="28"/>
      <c r="F8560" s="28"/>
      <c r="H8560" s="28"/>
    </row>
    <row r="8561" spans="4:8" x14ac:dyDescent="0.25">
      <c r="D8561" s="28"/>
      <c r="F8561" s="28"/>
      <c r="H8561" s="28"/>
    </row>
    <row r="8562" spans="4:8" x14ac:dyDescent="0.25">
      <c r="D8562" s="28"/>
      <c r="F8562" s="28"/>
      <c r="H8562" s="28"/>
    </row>
    <row r="8563" spans="4:8" x14ac:dyDescent="0.25">
      <c r="D8563" s="28"/>
      <c r="F8563" s="28"/>
      <c r="H8563" s="28"/>
    </row>
    <row r="8564" spans="4:8" x14ac:dyDescent="0.25">
      <c r="D8564" s="28"/>
      <c r="F8564" s="28"/>
      <c r="H8564" s="28"/>
    </row>
    <row r="8565" spans="4:8" x14ac:dyDescent="0.25">
      <c r="D8565" s="28"/>
      <c r="F8565" s="28"/>
      <c r="H8565" s="28"/>
    </row>
    <row r="8566" spans="4:8" x14ac:dyDescent="0.25">
      <c r="D8566" s="28"/>
      <c r="F8566" s="28"/>
      <c r="H8566" s="28"/>
    </row>
    <row r="8567" spans="4:8" x14ac:dyDescent="0.25">
      <c r="D8567" s="28"/>
      <c r="F8567" s="28"/>
      <c r="H8567" s="28"/>
    </row>
    <row r="8568" spans="4:8" x14ac:dyDescent="0.25">
      <c r="D8568" s="28"/>
      <c r="F8568" s="28"/>
      <c r="H8568" s="28"/>
    </row>
    <row r="8569" spans="4:8" x14ac:dyDescent="0.25">
      <c r="D8569" s="28"/>
      <c r="F8569" s="28"/>
      <c r="H8569" s="28"/>
    </row>
    <row r="8570" spans="4:8" x14ac:dyDescent="0.25">
      <c r="D8570" s="28"/>
      <c r="F8570" s="28"/>
      <c r="H8570" s="28"/>
    </row>
    <row r="8571" spans="4:8" x14ac:dyDescent="0.25">
      <c r="D8571" s="28"/>
      <c r="F8571" s="28"/>
      <c r="H8571" s="28"/>
    </row>
    <row r="8572" spans="4:8" x14ac:dyDescent="0.25">
      <c r="D8572" s="28"/>
      <c r="F8572" s="28"/>
      <c r="H8572" s="28"/>
    </row>
    <row r="8573" spans="4:8" x14ac:dyDescent="0.25">
      <c r="D8573" s="28"/>
      <c r="F8573" s="28"/>
      <c r="H8573" s="28"/>
    </row>
    <row r="8574" spans="4:8" x14ac:dyDescent="0.25">
      <c r="D8574" s="28"/>
      <c r="F8574" s="28"/>
      <c r="H8574" s="28"/>
    </row>
    <row r="8575" spans="4:8" x14ac:dyDescent="0.25">
      <c r="D8575" s="28"/>
      <c r="F8575" s="28"/>
      <c r="H8575" s="28"/>
    </row>
    <row r="8576" spans="4:8" x14ac:dyDescent="0.25">
      <c r="D8576" s="28"/>
      <c r="F8576" s="28"/>
      <c r="H8576" s="28"/>
    </row>
    <row r="8577" spans="4:8" x14ac:dyDescent="0.25">
      <c r="D8577" s="28"/>
      <c r="F8577" s="28"/>
      <c r="H8577" s="28"/>
    </row>
    <row r="8578" spans="4:8" x14ac:dyDescent="0.25">
      <c r="D8578" s="28"/>
      <c r="F8578" s="28"/>
      <c r="H8578" s="28"/>
    </row>
    <row r="8579" spans="4:8" x14ac:dyDescent="0.25">
      <c r="D8579" s="28"/>
      <c r="F8579" s="28"/>
      <c r="H8579" s="28"/>
    </row>
    <row r="8580" spans="4:8" x14ac:dyDescent="0.25">
      <c r="D8580" s="28"/>
      <c r="F8580" s="28"/>
      <c r="H8580" s="28"/>
    </row>
    <row r="8581" spans="4:8" x14ac:dyDescent="0.25">
      <c r="D8581" s="28"/>
      <c r="F8581" s="28"/>
      <c r="H8581" s="28"/>
    </row>
    <row r="8582" spans="4:8" x14ac:dyDescent="0.25">
      <c r="D8582" s="28"/>
      <c r="F8582" s="28"/>
      <c r="H8582" s="28"/>
    </row>
    <row r="8583" spans="4:8" x14ac:dyDescent="0.25">
      <c r="D8583" s="28"/>
      <c r="F8583" s="28"/>
      <c r="H8583" s="28"/>
    </row>
    <row r="8584" spans="4:8" x14ac:dyDescent="0.25">
      <c r="D8584" s="28"/>
      <c r="F8584" s="28"/>
      <c r="H8584" s="28"/>
    </row>
    <row r="8585" spans="4:8" x14ac:dyDescent="0.25">
      <c r="D8585" s="28"/>
      <c r="F8585" s="28"/>
      <c r="H8585" s="28"/>
    </row>
    <row r="8586" spans="4:8" x14ac:dyDescent="0.25">
      <c r="D8586" s="28"/>
      <c r="F8586" s="28"/>
      <c r="H8586" s="28"/>
    </row>
    <row r="8587" spans="4:8" x14ac:dyDescent="0.25">
      <c r="D8587" s="28"/>
      <c r="F8587" s="28"/>
      <c r="H8587" s="28"/>
    </row>
    <row r="8588" spans="4:8" x14ac:dyDescent="0.25">
      <c r="D8588" s="28"/>
      <c r="F8588" s="28"/>
      <c r="H8588" s="28"/>
    </row>
    <row r="8589" spans="4:8" x14ac:dyDescent="0.25">
      <c r="D8589" s="28"/>
      <c r="F8589" s="28"/>
      <c r="H8589" s="28"/>
    </row>
    <row r="8590" spans="4:8" x14ac:dyDescent="0.25">
      <c r="D8590" s="28"/>
      <c r="F8590" s="28"/>
      <c r="H8590" s="28"/>
    </row>
    <row r="8591" spans="4:8" x14ac:dyDescent="0.25">
      <c r="D8591" s="28"/>
      <c r="F8591" s="28"/>
      <c r="H8591" s="28"/>
    </row>
    <row r="8592" spans="4:8" x14ac:dyDescent="0.25">
      <c r="D8592" s="28"/>
      <c r="F8592" s="28"/>
      <c r="H8592" s="28"/>
    </row>
    <row r="8593" spans="4:8" x14ac:dyDescent="0.25">
      <c r="D8593" s="28"/>
      <c r="F8593" s="28"/>
      <c r="H8593" s="28"/>
    </row>
    <row r="8594" spans="4:8" x14ac:dyDescent="0.25">
      <c r="D8594" s="28"/>
      <c r="F8594" s="28"/>
      <c r="H8594" s="28"/>
    </row>
    <row r="8595" spans="4:8" x14ac:dyDescent="0.25">
      <c r="D8595" s="28"/>
      <c r="F8595" s="28"/>
      <c r="H8595" s="28"/>
    </row>
    <row r="8596" spans="4:8" x14ac:dyDescent="0.25">
      <c r="D8596" s="28"/>
      <c r="F8596" s="28"/>
      <c r="H8596" s="28"/>
    </row>
    <row r="8597" spans="4:8" x14ac:dyDescent="0.25">
      <c r="D8597" s="28"/>
      <c r="F8597" s="28"/>
      <c r="H8597" s="28"/>
    </row>
    <row r="8598" spans="4:8" x14ac:dyDescent="0.25">
      <c r="D8598" s="28"/>
      <c r="F8598" s="28"/>
      <c r="H8598" s="28"/>
    </row>
    <row r="8599" spans="4:8" x14ac:dyDescent="0.25">
      <c r="D8599" s="28"/>
      <c r="F8599" s="28"/>
      <c r="H8599" s="28"/>
    </row>
    <row r="8600" spans="4:8" x14ac:dyDescent="0.25">
      <c r="D8600" s="28"/>
      <c r="F8600" s="28"/>
      <c r="H8600" s="28"/>
    </row>
    <row r="8601" spans="4:8" x14ac:dyDescent="0.25">
      <c r="D8601" s="28"/>
      <c r="F8601" s="28"/>
      <c r="H8601" s="28"/>
    </row>
    <row r="8602" spans="4:8" x14ac:dyDescent="0.25">
      <c r="D8602" s="28"/>
      <c r="F8602" s="28"/>
      <c r="H8602" s="28"/>
    </row>
    <row r="8603" spans="4:8" x14ac:dyDescent="0.25">
      <c r="D8603" s="28"/>
      <c r="F8603" s="28"/>
      <c r="H8603" s="28"/>
    </row>
    <row r="8604" spans="4:8" x14ac:dyDescent="0.25">
      <c r="D8604" s="28"/>
      <c r="F8604" s="28"/>
      <c r="H8604" s="28"/>
    </row>
    <row r="8605" spans="4:8" x14ac:dyDescent="0.25">
      <c r="D8605" s="28"/>
      <c r="F8605" s="28"/>
      <c r="H8605" s="28"/>
    </row>
    <row r="8606" spans="4:8" x14ac:dyDescent="0.25">
      <c r="D8606" s="28"/>
      <c r="F8606" s="28"/>
      <c r="H8606" s="28"/>
    </row>
    <row r="8607" spans="4:8" x14ac:dyDescent="0.25">
      <c r="D8607" s="28"/>
      <c r="F8607" s="28"/>
      <c r="H8607" s="28"/>
    </row>
    <row r="8608" spans="4:8" x14ac:dyDescent="0.25">
      <c r="D8608" s="28"/>
      <c r="F8608" s="28"/>
      <c r="H8608" s="28"/>
    </row>
    <row r="8609" spans="4:8" x14ac:dyDescent="0.25">
      <c r="D8609" s="28"/>
      <c r="F8609" s="28"/>
      <c r="H8609" s="28"/>
    </row>
    <row r="8610" spans="4:8" x14ac:dyDescent="0.25">
      <c r="D8610" s="28"/>
      <c r="F8610" s="28"/>
      <c r="H8610" s="28"/>
    </row>
    <row r="8611" spans="4:8" x14ac:dyDescent="0.25">
      <c r="D8611" s="28"/>
      <c r="F8611" s="28"/>
      <c r="H8611" s="28"/>
    </row>
    <row r="8612" spans="4:8" x14ac:dyDescent="0.25">
      <c r="D8612" s="28"/>
      <c r="F8612" s="28"/>
      <c r="H8612" s="28"/>
    </row>
    <row r="8613" spans="4:8" x14ac:dyDescent="0.25">
      <c r="D8613" s="28"/>
      <c r="F8613" s="28"/>
      <c r="H8613" s="28"/>
    </row>
    <row r="8614" spans="4:8" x14ac:dyDescent="0.25">
      <c r="D8614" s="28"/>
      <c r="F8614" s="28"/>
      <c r="H8614" s="28"/>
    </row>
    <row r="8615" spans="4:8" x14ac:dyDescent="0.25">
      <c r="D8615" s="28"/>
      <c r="F8615" s="28"/>
      <c r="H8615" s="28"/>
    </row>
    <row r="8616" spans="4:8" x14ac:dyDescent="0.25">
      <c r="D8616" s="28"/>
      <c r="F8616" s="28"/>
      <c r="H8616" s="28"/>
    </row>
    <row r="8617" spans="4:8" x14ac:dyDescent="0.25">
      <c r="D8617" s="28"/>
      <c r="F8617" s="28"/>
      <c r="H8617" s="28"/>
    </row>
    <row r="8618" spans="4:8" x14ac:dyDescent="0.25">
      <c r="D8618" s="28"/>
      <c r="F8618" s="28"/>
      <c r="H8618" s="28"/>
    </row>
    <row r="8619" spans="4:8" x14ac:dyDescent="0.25">
      <c r="D8619" s="28"/>
      <c r="F8619" s="28"/>
      <c r="H8619" s="28"/>
    </row>
    <row r="8620" spans="4:8" x14ac:dyDescent="0.25">
      <c r="D8620" s="28"/>
      <c r="F8620" s="28"/>
      <c r="H8620" s="28"/>
    </row>
    <row r="8621" spans="4:8" x14ac:dyDescent="0.25">
      <c r="D8621" s="28"/>
      <c r="F8621" s="28"/>
      <c r="H8621" s="28"/>
    </row>
    <row r="8622" spans="4:8" x14ac:dyDescent="0.25">
      <c r="D8622" s="28"/>
      <c r="F8622" s="28"/>
      <c r="H8622" s="28"/>
    </row>
    <row r="8623" spans="4:8" x14ac:dyDescent="0.25">
      <c r="D8623" s="28"/>
      <c r="F8623" s="28"/>
      <c r="H8623" s="28"/>
    </row>
    <row r="8624" spans="4:8" x14ac:dyDescent="0.25">
      <c r="D8624" s="28"/>
      <c r="F8624" s="28"/>
      <c r="H8624" s="28"/>
    </row>
    <row r="8625" spans="4:8" x14ac:dyDescent="0.25">
      <c r="D8625" s="28"/>
      <c r="F8625" s="28"/>
      <c r="H8625" s="28"/>
    </row>
    <row r="8626" spans="4:8" x14ac:dyDescent="0.25">
      <c r="D8626" s="28"/>
      <c r="F8626" s="28"/>
      <c r="H8626" s="28"/>
    </row>
    <row r="8627" spans="4:8" x14ac:dyDescent="0.25">
      <c r="D8627" s="28"/>
      <c r="F8627" s="28"/>
      <c r="H8627" s="28"/>
    </row>
    <row r="8628" spans="4:8" x14ac:dyDescent="0.25">
      <c r="D8628" s="28"/>
      <c r="F8628" s="28"/>
      <c r="H8628" s="28"/>
    </row>
    <row r="8629" spans="4:8" x14ac:dyDescent="0.25">
      <c r="D8629" s="28"/>
      <c r="F8629" s="28"/>
      <c r="H8629" s="28"/>
    </row>
    <row r="8630" spans="4:8" x14ac:dyDescent="0.25">
      <c r="D8630" s="28"/>
      <c r="F8630" s="28"/>
      <c r="H8630" s="28"/>
    </row>
    <row r="8631" spans="4:8" x14ac:dyDescent="0.25">
      <c r="D8631" s="28"/>
      <c r="F8631" s="28"/>
      <c r="H8631" s="28"/>
    </row>
    <row r="8632" spans="4:8" x14ac:dyDescent="0.25">
      <c r="D8632" s="28"/>
      <c r="F8632" s="28"/>
      <c r="H8632" s="28"/>
    </row>
    <row r="8633" spans="4:8" x14ac:dyDescent="0.25">
      <c r="D8633" s="28"/>
      <c r="F8633" s="28"/>
      <c r="H8633" s="28"/>
    </row>
    <row r="8634" spans="4:8" x14ac:dyDescent="0.25">
      <c r="D8634" s="28"/>
      <c r="F8634" s="28"/>
      <c r="H8634" s="28"/>
    </row>
    <row r="8635" spans="4:8" x14ac:dyDescent="0.25">
      <c r="D8635" s="28"/>
      <c r="F8635" s="28"/>
      <c r="H8635" s="28"/>
    </row>
    <row r="8636" spans="4:8" x14ac:dyDescent="0.25">
      <c r="D8636" s="28"/>
      <c r="F8636" s="28"/>
      <c r="H8636" s="28"/>
    </row>
    <row r="8637" spans="4:8" x14ac:dyDescent="0.25">
      <c r="D8637" s="28"/>
      <c r="F8637" s="28"/>
      <c r="H8637" s="28"/>
    </row>
    <row r="8638" spans="4:8" x14ac:dyDescent="0.25">
      <c r="D8638" s="28"/>
      <c r="F8638" s="28"/>
      <c r="H8638" s="28"/>
    </row>
    <row r="8639" spans="4:8" x14ac:dyDescent="0.25">
      <c r="D8639" s="28"/>
      <c r="F8639" s="28"/>
      <c r="H8639" s="28"/>
    </row>
    <row r="8640" spans="4:8" x14ac:dyDescent="0.25">
      <c r="D8640" s="28"/>
      <c r="F8640" s="28"/>
      <c r="H8640" s="28"/>
    </row>
    <row r="8641" spans="4:8" x14ac:dyDescent="0.25">
      <c r="D8641" s="28"/>
      <c r="F8641" s="28"/>
      <c r="H8641" s="28"/>
    </row>
    <row r="8642" spans="4:8" x14ac:dyDescent="0.25">
      <c r="D8642" s="28"/>
      <c r="F8642" s="28"/>
      <c r="H8642" s="28"/>
    </row>
    <row r="8643" spans="4:8" x14ac:dyDescent="0.25">
      <c r="D8643" s="28"/>
      <c r="F8643" s="28"/>
      <c r="H8643" s="28"/>
    </row>
    <row r="8644" spans="4:8" x14ac:dyDescent="0.25">
      <c r="D8644" s="28"/>
      <c r="F8644" s="28"/>
      <c r="H8644" s="28"/>
    </row>
    <row r="8645" spans="4:8" x14ac:dyDescent="0.25">
      <c r="D8645" s="28"/>
      <c r="F8645" s="28"/>
      <c r="H8645" s="28"/>
    </row>
    <row r="8646" spans="4:8" x14ac:dyDescent="0.25">
      <c r="D8646" s="28"/>
      <c r="F8646" s="28"/>
      <c r="H8646" s="28"/>
    </row>
    <row r="8647" spans="4:8" x14ac:dyDescent="0.25">
      <c r="D8647" s="28"/>
      <c r="F8647" s="28"/>
      <c r="H8647" s="28"/>
    </row>
    <row r="8648" spans="4:8" x14ac:dyDescent="0.25">
      <c r="D8648" s="28"/>
      <c r="F8648" s="28"/>
      <c r="H8648" s="28"/>
    </row>
    <row r="8649" spans="4:8" x14ac:dyDescent="0.25">
      <c r="D8649" s="28"/>
      <c r="F8649" s="28"/>
      <c r="H8649" s="28"/>
    </row>
    <row r="8650" spans="4:8" x14ac:dyDescent="0.25">
      <c r="D8650" s="28"/>
      <c r="F8650" s="28"/>
      <c r="H8650" s="28"/>
    </row>
    <row r="8651" spans="4:8" x14ac:dyDescent="0.25">
      <c r="D8651" s="28"/>
      <c r="F8651" s="28"/>
      <c r="H8651" s="28"/>
    </row>
    <row r="8652" spans="4:8" x14ac:dyDescent="0.25">
      <c r="D8652" s="28"/>
      <c r="F8652" s="28"/>
      <c r="H8652" s="28"/>
    </row>
    <row r="8653" spans="4:8" x14ac:dyDescent="0.25">
      <c r="D8653" s="28"/>
      <c r="F8653" s="28"/>
      <c r="H8653" s="28"/>
    </row>
    <row r="8654" spans="4:8" x14ac:dyDescent="0.25">
      <c r="D8654" s="28"/>
      <c r="F8654" s="28"/>
      <c r="H8654" s="28"/>
    </row>
    <row r="8655" spans="4:8" x14ac:dyDescent="0.25">
      <c r="D8655" s="28"/>
      <c r="F8655" s="28"/>
      <c r="H8655" s="28"/>
    </row>
    <row r="8656" spans="4:8" x14ac:dyDescent="0.25">
      <c r="D8656" s="28"/>
      <c r="F8656" s="28"/>
      <c r="H8656" s="28"/>
    </row>
    <row r="8657" spans="4:8" x14ac:dyDescent="0.25">
      <c r="D8657" s="28"/>
      <c r="F8657" s="28"/>
      <c r="H8657" s="28"/>
    </row>
    <row r="8658" spans="4:8" x14ac:dyDescent="0.25">
      <c r="D8658" s="28"/>
      <c r="F8658" s="28"/>
      <c r="H8658" s="28"/>
    </row>
    <row r="8659" spans="4:8" x14ac:dyDescent="0.25">
      <c r="D8659" s="28"/>
      <c r="F8659" s="28"/>
      <c r="H8659" s="28"/>
    </row>
    <row r="8660" spans="4:8" x14ac:dyDescent="0.25">
      <c r="D8660" s="28"/>
      <c r="F8660" s="28"/>
      <c r="H8660" s="28"/>
    </row>
    <row r="8661" spans="4:8" x14ac:dyDescent="0.25">
      <c r="D8661" s="28"/>
      <c r="F8661" s="28"/>
      <c r="H8661" s="28"/>
    </row>
    <row r="8662" spans="4:8" x14ac:dyDescent="0.25">
      <c r="D8662" s="28"/>
      <c r="F8662" s="28"/>
      <c r="H8662" s="28"/>
    </row>
    <row r="8663" spans="4:8" x14ac:dyDescent="0.25">
      <c r="D8663" s="28"/>
      <c r="F8663" s="28"/>
      <c r="H8663" s="28"/>
    </row>
    <row r="8664" spans="4:8" x14ac:dyDescent="0.25">
      <c r="D8664" s="28"/>
      <c r="F8664" s="28"/>
      <c r="H8664" s="28"/>
    </row>
    <row r="8665" spans="4:8" x14ac:dyDescent="0.25">
      <c r="D8665" s="28"/>
      <c r="F8665" s="28"/>
      <c r="H8665" s="28"/>
    </row>
    <row r="8666" spans="4:8" x14ac:dyDescent="0.25">
      <c r="D8666" s="28"/>
      <c r="F8666" s="28"/>
      <c r="H8666" s="28"/>
    </row>
    <row r="8667" spans="4:8" x14ac:dyDescent="0.25">
      <c r="D8667" s="28"/>
      <c r="F8667" s="28"/>
      <c r="H8667" s="28"/>
    </row>
    <row r="8668" spans="4:8" x14ac:dyDescent="0.25">
      <c r="D8668" s="28"/>
      <c r="F8668" s="28"/>
      <c r="H8668" s="28"/>
    </row>
    <row r="8669" spans="4:8" x14ac:dyDescent="0.25">
      <c r="D8669" s="28"/>
      <c r="F8669" s="28"/>
      <c r="H8669" s="28"/>
    </row>
    <row r="8670" spans="4:8" x14ac:dyDescent="0.25">
      <c r="D8670" s="28"/>
      <c r="F8670" s="28"/>
      <c r="H8670" s="28"/>
    </row>
    <row r="8671" spans="4:8" x14ac:dyDescent="0.25">
      <c r="D8671" s="28"/>
      <c r="F8671" s="28"/>
      <c r="H8671" s="28"/>
    </row>
    <row r="8672" spans="4:8" x14ac:dyDescent="0.25">
      <c r="D8672" s="28"/>
      <c r="F8672" s="28"/>
      <c r="H8672" s="28"/>
    </row>
    <row r="8673" spans="4:8" x14ac:dyDescent="0.25">
      <c r="D8673" s="28"/>
      <c r="F8673" s="28"/>
      <c r="H8673" s="28"/>
    </row>
    <row r="8674" spans="4:8" x14ac:dyDescent="0.25">
      <c r="D8674" s="28"/>
      <c r="F8674" s="28"/>
      <c r="H8674" s="28"/>
    </row>
    <row r="8675" spans="4:8" x14ac:dyDescent="0.25">
      <c r="D8675" s="28"/>
      <c r="F8675" s="28"/>
      <c r="H8675" s="28"/>
    </row>
    <row r="8676" spans="4:8" x14ac:dyDescent="0.25">
      <c r="D8676" s="28"/>
      <c r="F8676" s="28"/>
      <c r="H8676" s="28"/>
    </row>
    <row r="8677" spans="4:8" x14ac:dyDescent="0.25">
      <c r="D8677" s="28"/>
      <c r="F8677" s="28"/>
      <c r="H8677" s="28"/>
    </row>
    <row r="8678" spans="4:8" x14ac:dyDescent="0.25">
      <c r="D8678" s="28"/>
      <c r="F8678" s="28"/>
      <c r="H8678" s="28"/>
    </row>
    <row r="8679" spans="4:8" x14ac:dyDescent="0.25">
      <c r="D8679" s="28"/>
      <c r="F8679" s="28"/>
      <c r="H8679" s="28"/>
    </row>
    <row r="8680" spans="4:8" x14ac:dyDescent="0.25">
      <c r="D8680" s="28"/>
      <c r="F8680" s="28"/>
      <c r="H8680" s="28"/>
    </row>
    <row r="8681" spans="4:8" x14ac:dyDescent="0.25">
      <c r="D8681" s="28"/>
      <c r="F8681" s="28"/>
      <c r="H8681" s="28"/>
    </row>
    <row r="8682" spans="4:8" x14ac:dyDescent="0.25">
      <c r="D8682" s="28"/>
      <c r="F8682" s="28"/>
      <c r="H8682" s="28"/>
    </row>
    <row r="8683" spans="4:8" x14ac:dyDescent="0.25">
      <c r="D8683" s="28"/>
      <c r="F8683" s="28"/>
      <c r="H8683" s="28"/>
    </row>
    <row r="8684" spans="4:8" x14ac:dyDescent="0.25">
      <c r="D8684" s="28"/>
      <c r="F8684" s="28"/>
      <c r="H8684" s="28"/>
    </row>
    <row r="8685" spans="4:8" x14ac:dyDescent="0.25">
      <c r="D8685" s="28"/>
      <c r="F8685" s="28"/>
      <c r="H8685" s="28"/>
    </row>
    <row r="8686" spans="4:8" x14ac:dyDescent="0.25">
      <c r="D8686" s="28"/>
      <c r="F8686" s="28"/>
      <c r="H8686" s="28"/>
    </row>
    <row r="8687" spans="4:8" x14ac:dyDescent="0.25">
      <c r="D8687" s="28"/>
      <c r="F8687" s="28"/>
      <c r="H8687" s="28"/>
    </row>
    <row r="8688" spans="4:8" x14ac:dyDescent="0.25">
      <c r="D8688" s="28"/>
      <c r="F8688" s="28"/>
      <c r="H8688" s="28"/>
    </row>
    <row r="8689" spans="4:8" x14ac:dyDescent="0.25">
      <c r="D8689" s="28"/>
      <c r="F8689" s="28"/>
      <c r="H8689" s="28"/>
    </row>
    <row r="8690" spans="4:8" x14ac:dyDescent="0.25">
      <c r="D8690" s="28"/>
      <c r="F8690" s="28"/>
      <c r="H8690" s="28"/>
    </row>
    <row r="8691" spans="4:8" x14ac:dyDescent="0.25">
      <c r="D8691" s="28"/>
      <c r="F8691" s="28"/>
      <c r="H8691" s="28"/>
    </row>
    <row r="8692" spans="4:8" x14ac:dyDescent="0.25">
      <c r="D8692" s="28"/>
      <c r="F8692" s="28"/>
      <c r="H8692" s="28"/>
    </row>
    <row r="8693" spans="4:8" x14ac:dyDescent="0.25">
      <c r="D8693" s="28"/>
      <c r="F8693" s="28"/>
      <c r="H8693" s="28"/>
    </row>
    <row r="8694" spans="4:8" x14ac:dyDescent="0.25">
      <c r="D8694" s="28"/>
      <c r="F8694" s="28"/>
      <c r="H8694" s="28"/>
    </row>
    <row r="8695" spans="4:8" x14ac:dyDescent="0.25">
      <c r="D8695" s="28"/>
      <c r="F8695" s="28"/>
      <c r="H8695" s="28"/>
    </row>
    <row r="8696" spans="4:8" x14ac:dyDescent="0.25">
      <c r="D8696" s="28"/>
      <c r="F8696" s="28"/>
      <c r="H8696" s="28"/>
    </row>
    <row r="8697" spans="4:8" x14ac:dyDescent="0.25">
      <c r="D8697" s="28"/>
      <c r="F8697" s="28"/>
      <c r="H8697" s="28"/>
    </row>
    <row r="8698" spans="4:8" x14ac:dyDescent="0.25">
      <c r="D8698" s="28"/>
      <c r="F8698" s="28"/>
      <c r="H8698" s="28"/>
    </row>
    <row r="8699" spans="4:8" x14ac:dyDescent="0.25">
      <c r="D8699" s="28"/>
      <c r="F8699" s="28"/>
      <c r="H8699" s="28"/>
    </row>
    <row r="8700" spans="4:8" x14ac:dyDescent="0.25">
      <c r="D8700" s="28"/>
      <c r="F8700" s="28"/>
      <c r="H8700" s="28"/>
    </row>
    <row r="8701" spans="4:8" x14ac:dyDescent="0.25">
      <c r="D8701" s="28"/>
      <c r="F8701" s="28"/>
      <c r="H8701" s="28"/>
    </row>
    <row r="8702" spans="4:8" x14ac:dyDescent="0.25">
      <c r="D8702" s="28"/>
      <c r="F8702" s="28"/>
      <c r="H8702" s="28"/>
    </row>
    <row r="8703" spans="4:8" x14ac:dyDescent="0.25">
      <c r="D8703" s="28"/>
      <c r="F8703" s="28"/>
      <c r="H8703" s="28"/>
    </row>
    <row r="8704" spans="4:8" x14ac:dyDescent="0.25">
      <c r="D8704" s="28"/>
      <c r="F8704" s="28"/>
      <c r="H8704" s="28"/>
    </row>
    <row r="8705" spans="4:8" x14ac:dyDescent="0.25">
      <c r="D8705" s="28"/>
      <c r="F8705" s="28"/>
      <c r="H8705" s="28"/>
    </row>
    <row r="8706" spans="4:8" x14ac:dyDescent="0.25">
      <c r="D8706" s="28"/>
      <c r="F8706" s="28"/>
      <c r="H8706" s="28"/>
    </row>
    <row r="8707" spans="4:8" x14ac:dyDescent="0.25">
      <c r="D8707" s="28"/>
      <c r="F8707" s="28"/>
      <c r="H8707" s="28"/>
    </row>
    <row r="8708" spans="4:8" x14ac:dyDescent="0.25">
      <c r="D8708" s="28"/>
      <c r="F8708" s="28"/>
      <c r="H8708" s="28"/>
    </row>
    <row r="8709" spans="4:8" x14ac:dyDescent="0.25">
      <c r="D8709" s="28"/>
      <c r="F8709" s="28"/>
      <c r="H8709" s="28"/>
    </row>
    <row r="8710" spans="4:8" x14ac:dyDescent="0.25">
      <c r="D8710" s="28"/>
      <c r="F8710" s="28"/>
      <c r="H8710" s="28"/>
    </row>
    <row r="8711" spans="4:8" x14ac:dyDescent="0.25">
      <c r="D8711" s="28"/>
      <c r="F8711" s="28"/>
      <c r="H8711" s="28"/>
    </row>
    <row r="8712" spans="4:8" x14ac:dyDescent="0.25">
      <c r="D8712" s="28"/>
      <c r="F8712" s="28"/>
      <c r="H8712" s="28"/>
    </row>
    <row r="8713" spans="4:8" x14ac:dyDescent="0.25">
      <c r="D8713" s="28"/>
      <c r="F8713" s="28"/>
      <c r="H8713" s="28"/>
    </row>
    <row r="8714" spans="4:8" x14ac:dyDescent="0.25">
      <c r="D8714" s="28"/>
      <c r="F8714" s="28"/>
      <c r="H8714" s="28"/>
    </row>
    <row r="8715" spans="4:8" x14ac:dyDescent="0.25">
      <c r="D8715" s="28"/>
      <c r="F8715" s="28"/>
      <c r="H8715" s="28"/>
    </row>
    <row r="8716" spans="4:8" x14ac:dyDescent="0.25">
      <c r="D8716" s="28"/>
      <c r="F8716" s="28"/>
      <c r="H8716" s="28"/>
    </row>
    <row r="8717" spans="4:8" x14ac:dyDescent="0.25">
      <c r="D8717" s="28"/>
      <c r="F8717" s="28"/>
      <c r="H8717" s="28"/>
    </row>
    <row r="8718" spans="4:8" x14ac:dyDescent="0.25">
      <c r="D8718" s="28"/>
      <c r="F8718" s="28"/>
      <c r="H8718" s="28"/>
    </row>
    <row r="8719" spans="4:8" x14ac:dyDescent="0.25">
      <c r="D8719" s="28"/>
      <c r="F8719" s="28"/>
      <c r="H8719" s="28"/>
    </row>
    <row r="8720" spans="4:8" x14ac:dyDescent="0.25">
      <c r="D8720" s="28"/>
      <c r="F8720" s="28"/>
      <c r="H8720" s="28"/>
    </row>
    <row r="8721" spans="4:8" x14ac:dyDescent="0.25">
      <c r="D8721" s="28"/>
      <c r="F8721" s="28"/>
      <c r="H8721" s="28"/>
    </row>
    <row r="8722" spans="4:8" x14ac:dyDescent="0.25">
      <c r="D8722" s="28"/>
      <c r="F8722" s="28"/>
      <c r="H8722" s="28"/>
    </row>
    <row r="8723" spans="4:8" x14ac:dyDescent="0.25">
      <c r="D8723" s="28"/>
      <c r="F8723" s="28"/>
      <c r="H8723" s="28"/>
    </row>
    <row r="8724" spans="4:8" x14ac:dyDescent="0.25">
      <c r="D8724" s="28"/>
      <c r="F8724" s="28"/>
      <c r="H8724" s="28"/>
    </row>
    <row r="8725" spans="4:8" x14ac:dyDescent="0.25">
      <c r="D8725" s="28"/>
      <c r="F8725" s="28"/>
      <c r="H8725" s="28"/>
    </row>
    <row r="8726" spans="4:8" x14ac:dyDescent="0.25">
      <c r="D8726" s="28"/>
      <c r="F8726" s="28"/>
      <c r="H8726" s="28"/>
    </row>
    <row r="8727" spans="4:8" x14ac:dyDescent="0.25">
      <c r="D8727" s="28"/>
      <c r="F8727" s="28"/>
      <c r="H8727" s="28"/>
    </row>
    <row r="8728" spans="4:8" x14ac:dyDescent="0.25">
      <c r="D8728" s="28"/>
      <c r="F8728" s="28"/>
      <c r="H8728" s="28"/>
    </row>
    <row r="8729" spans="4:8" x14ac:dyDescent="0.25">
      <c r="D8729" s="28"/>
      <c r="F8729" s="28"/>
      <c r="H8729" s="28"/>
    </row>
    <row r="8730" spans="4:8" x14ac:dyDescent="0.25">
      <c r="D8730" s="28"/>
      <c r="F8730" s="28"/>
      <c r="H8730" s="28"/>
    </row>
    <row r="8731" spans="4:8" x14ac:dyDescent="0.25">
      <c r="D8731" s="28"/>
      <c r="F8731" s="28"/>
      <c r="H8731" s="28"/>
    </row>
    <row r="8732" spans="4:8" x14ac:dyDescent="0.25">
      <c r="D8732" s="28"/>
      <c r="F8732" s="28"/>
      <c r="H8732" s="28"/>
    </row>
    <row r="8733" spans="4:8" x14ac:dyDescent="0.25">
      <c r="D8733" s="28"/>
      <c r="F8733" s="28"/>
      <c r="H8733" s="28"/>
    </row>
    <row r="8734" spans="4:8" x14ac:dyDescent="0.25">
      <c r="D8734" s="28"/>
      <c r="F8734" s="28"/>
      <c r="H8734" s="28"/>
    </row>
    <row r="8735" spans="4:8" x14ac:dyDescent="0.25">
      <c r="D8735" s="28"/>
      <c r="F8735" s="28"/>
      <c r="H8735" s="28"/>
    </row>
    <row r="8736" spans="4:8" x14ac:dyDescent="0.25">
      <c r="D8736" s="28"/>
      <c r="F8736" s="28"/>
      <c r="H8736" s="28"/>
    </row>
    <row r="8737" spans="4:8" x14ac:dyDescent="0.25">
      <c r="D8737" s="28"/>
      <c r="F8737" s="28"/>
      <c r="H8737" s="28"/>
    </row>
    <row r="8738" spans="4:8" x14ac:dyDescent="0.25">
      <c r="D8738" s="28"/>
      <c r="F8738" s="28"/>
      <c r="H8738" s="28"/>
    </row>
    <row r="8739" spans="4:8" x14ac:dyDescent="0.25">
      <c r="D8739" s="28"/>
      <c r="F8739" s="28"/>
      <c r="H8739" s="28"/>
    </row>
    <row r="8740" spans="4:8" x14ac:dyDescent="0.25">
      <c r="D8740" s="28"/>
      <c r="F8740" s="28"/>
      <c r="H8740" s="28"/>
    </row>
    <row r="8741" spans="4:8" x14ac:dyDescent="0.25">
      <c r="D8741" s="28"/>
      <c r="F8741" s="28"/>
      <c r="H8741" s="28"/>
    </row>
    <row r="8742" spans="4:8" x14ac:dyDescent="0.25">
      <c r="D8742" s="28"/>
      <c r="F8742" s="28"/>
      <c r="H8742" s="28"/>
    </row>
    <row r="8743" spans="4:8" x14ac:dyDescent="0.25">
      <c r="D8743" s="28"/>
      <c r="F8743" s="28"/>
      <c r="H8743" s="28"/>
    </row>
    <row r="8744" spans="4:8" x14ac:dyDescent="0.25">
      <c r="D8744" s="28"/>
      <c r="F8744" s="28"/>
      <c r="H8744" s="28"/>
    </row>
    <row r="8745" spans="4:8" x14ac:dyDescent="0.25">
      <c r="D8745" s="28"/>
      <c r="F8745" s="28"/>
      <c r="H8745" s="28"/>
    </row>
    <row r="8746" spans="4:8" x14ac:dyDescent="0.25">
      <c r="D8746" s="28"/>
      <c r="F8746" s="28"/>
      <c r="H8746" s="28"/>
    </row>
    <row r="8747" spans="4:8" x14ac:dyDescent="0.25">
      <c r="D8747" s="28"/>
      <c r="F8747" s="28"/>
      <c r="H8747" s="28"/>
    </row>
    <row r="8748" spans="4:8" x14ac:dyDescent="0.25">
      <c r="D8748" s="28"/>
      <c r="F8748" s="28"/>
      <c r="H8748" s="28"/>
    </row>
    <row r="8749" spans="4:8" x14ac:dyDescent="0.25">
      <c r="D8749" s="28"/>
      <c r="F8749" s="28"/>
      <c r="H8749" s="28"/>
    </row>
    <row r="8750" spans="4:8" x14ac:dyDescent="0.25">
      <c r="D8750" s="28"/>
      <c r="F8750" s="28"/>
      <c r="H8750" s="28"/>
    </row>
    <row r="8751" spans="4:8" x14ac:dyDescent="0.25">
      <c r="D8751" s="28"/>
      <c r="F8751" s="28"/>
      <c r="H8751" s="28"/>
    </row>
    <row r="8752" spans="4:8" x14ac:dyDescent="0.25">
      <c r="D8752" s="28"/>
      <c r="F8752" s="28"/>
      <c r="H8752" s="28"/>
    </row>
    <row r="8753" spans="4:8" x14ac:dyDescent="0.25">
      <c r="D8753" s="28"/>
      <c r="F8753" s="28"/>
      <c r="H8753" s="28"/>
    </row>
    <row r="8754" spans="4:8" x14ac:dyDescent="0.25">
      <c r="D8754" s="28"/>
      <c r="F8754" s="28"/>
      <c r="H8754" s="28"/>
    </row>
    <row r="8755" spans="4:8" x14ac:dyDescent="0.25">
      <c r="D8755" s="28"/>
      <c r="F8755" s="28"/>
      <c r="H8755" s="28"/>
    </row>
    <row r="8756" spans="4:8" x14ac:dyDescent="0.25">
      <c r="D8756" s="28"/>
      <c r="F8756" s="28"/>
      <c r="H8756" s="28"/>
    </row>
    <row r="8757" spans="4:8" x14ac:dyDescent="0.25">
      <c r="D8757" s="28"/>
      <c r="F8757" s="28"/>
      <c r="H8757" s="28"/>
    </row>
    <row r="8758" spans="4:8" x14ac:dyDescent="0.25">
      <c r="D8758" s="28"/>
      <c r="F8758" s="28"/>
      <c r="H8758" s="28"/>
    </row>
    <row r="8759" spans="4:8" x14ac:dyDescent="0.25">
      <c r="D8759" s="28"/>
      <c r="F8759" s="28"/>
      <c r="H8759" s="28"/>
    </row>
    <row r="8760" spans="4:8" x14ac:dyDescent="0.25">
      <c r="D8760" s="28"/>
      <c r="F8760" s="28"/>
      <c r="H8760" s="28"/>
    </row>
    <row r="8761" spans="4:8" x14ac:dyDescent="0.25">
      <c r="D8761" s="28"/>
      <c r="F8761" s="28"/>
      <c r="H8761" s="28"/>
    </row>
    <row r="8762" spans="4:8" x14ac:dyDescent="0.25">
      <c r="D8762" s="28"/>
      <c r="F8762" s="28"/>
      <c r="H8762" s="28"/>
    </row>
    <row r="8763" spans="4:8" x14ac:dyDescent="0.25">
      <c r="D8763" s="28"/>
      <c r="F8763" s="28"/>
      <c r="H8763" s="28"/>
    </row>
    <row r="8764" spans="4:8" x14ac:dyDescent="0.25">
      <c r="D8764" s="28"/>
      <c r="F8764" s="28"/>
      <c r="H8764" s="28"/>
    </row>
    <row r="8765" spans="4:8" x14ac:dyDescent="0.25">
      <c r="D8765" s="28"/>
      <c r="F8765" s="28"/>
      <c r="H8765" s="28"/>
    </row>
    <row r="8766" spans="4:8" x14ac:dyDescent="0.25">
      <c r="D8766" s="28"/>
      <c r="F8766" s="28"/>
      <c r="H8766" s="28"/>
    </row>
    <row r="8767" spans="4:8" x14ac:dyDescent="0.25">
      <c r="D8767" s="28"/>
      <c r="F8767" s="28"/>
      <c r="H8767" s="28"/>
    </row>
    <row r="8768" spans="4:8" x14ac:dyDescent="0.25">
      <c r="D8768" s="28"/>
      <c r="F8768" s="28"/>
      <c r="H8768" s="28"/>
    </row>
    <row r="8769" spans="4:8" x14ac:dyDescent="0.25">
      <c r="D8769" s="28"/>
      <c r="F8769" s="28"/>
      <c r="H8769" s="28"/>
    </row>
    <row r="8770" spans="4:8" x14ac:dyDescent="0.25">
      <c r="D8770" s="28"/>
      <c r="F8770" s="28"/>
      <c r="H8770" s="28"/>
    </row>
    <row r="8771" spans="4:8" x14ac:dyDescent="0.25">
      <c r="D8771" s="28"/>
      <c r="F8771" s="28"/>
      <c r="H8771" s="28"/>
    </row>
    <row r="8772" spans="4:8" x14ac:dyDescent="0.25">
      <c r="D8772" s="28"/>
      <c r="F8772" s="28"/>
      <c r="H8772" s="28"/>
    </row>
    <row r="8773" spans="4:8" x14ac:dyDescent="0.25">
      <c r="D8773" s="28"/>
      <c r="F8773" s="28"/>
      <c r="H8773" s="28"/>
    </row>
    <row r="8774" spans="4:8" x14ac:dyDescent="0.25">
      <c r="D8774" s="28"/>
      <c r="F8774" s="28"/>
      <c r="H8774" s="28"/>
    </row>
    <row r="8775" spans="4:8" x14ac:dyDescent="0.25">
      <c r="D8775" s="28"/>
      <c r="F8775" s="28"/>
      <c r="H8775" s="28"/>
    </row>
    <row r="8776" spans="4:8" x14ac:dyDescent="0.25">
      <c r="D8776" s="28"/>
      <c r="F8776" s="28"/>
      <c r="H8776" s="28"/>
    </row>
    <row r="8777" spans="4:8" x14ac:dyDescent="0.25">
      <c r="D8777" s="28"/>
      <c r="F8777" s="28"/>
      <c r="H8777" s="28"/>
    </row>
    <row r="8778" spans="4:8" x14ac:dyDescent="0.25">
      <c r="D8778" s="28"/>
      <c r="F8778" s="28"/>
      <c r="H8778" s="28"/>
    </row>
    <row r="8779" spans="4:8" x14ac:dyDescent="0.25">
      <c r="D8779" s="28"/>
      <c r="F8779" s="28"/>
      <c r="H8779" s="28"/>
    </row>
    <row r="8780" spans="4:8" x14ac:dyDescent="0.25">
      <c r="D8780" s="28"/>
      <c r="F8780" s="28"/>
      <c r="H8780" s="28"/>
    </row>
    <row r="8781" spans="4:8" x14ac:dyDescent="0.25">
      <c r="D8781" s="28"/>
      <c r="F8781" s="28"/>
      <c r="H8781" s="28"/>
    </row>
    <row r="8782" spans="4:8" x14ac:dyDescent="0.25">
      <c r="D8782" s="28"/>
      <c r="F8782" s="28"/>
      <c r="H8782" s="28"/>
    </row>
    <row r="8783" spans="4:8" x14ac:dyDescent="0.25">
      <c r="D8783" s="28"/>
      <c r="F8783" s="28"/>
      <c r="H8783" s="28"/>
    </row>
    <row r="8784" spans="4:8" x14ac:dyDescent="0.25">
      <c r="D8784" s="28"/>
      <c r="F8784" s="28"/>
      <c r="H8784" s="28"/>
    </row>
    <row r="8785" spans="4:8" x14ac:dyDescent="0.25">
      <c r="D8785" s="28"/>
      <c r="F8785" s="28"/>
      <c r="H8785" s="28"/>
    </row>
    <row r="8786" spans="4:8" x14ac:dyDescent="0.25">
      <c r="D8786" s="28"/>
      <c r="F8786" s="28"/>
      <c r="H8786" s="28"/>
    </row>
    <row r="8787" spans="4:8" x14ac:dyDescent="0.25">
      <c r="D8787" s="28"/>
      <c r="F8787" s="28"/>
      <c r="H8787" s="28"/>
    </row>
    <row r="8788" spans="4:8" x14ac:dyDescent="0.25">
      <c r="D8788" s="28"/>
      <c r="F8788" s="28"/>
      <c r="H8788" s="28"/>
    </row>
    <row r="8789" spans="4:8" x14ac:dyDescent="0.25">
      <c r="D8789" s="28"/>
      <c r="F8789" s="28"/>
      <c r="H8789" s="28"/>
    </row>
    <row r="8790" spans="4:8" x14ac:dyDescent="0.25">
      <c r="D8790" s="28"/>
      <c r="F8790" s="28"/>
      <c r="H8790" s="28"/>
    </row>
    <row r="8791" spans="4:8" x14ac:dyDescent="0.25">
      <c r="D8791" s="28"/>
      <c r="F8791" s="28"/>
      <c r="H8791" s="28"/>
    </row>
    <row r="8792" spans="4:8" x14ac:dyDescent="0.25">
      <c r="D8792" s="28"/>
      <c r="F8792" s="28"/>
      <c r="H8792" s="28"/>
    </row>
    <row r="8793" spans="4:8" x14ac:dyDescent="0.25">
      <c r="D8793" s="28"/>
      <c r="F8793" s="28"/>
      <c r="H8793" s="28"/>
    </row>
    <row r="8794" spans="4:8" x14ac:dyDescent="0.25">
      <c r="D8794" s="28"/>
      <c r="F8794" s="28"/>
      <c r="H8794" s="28"/>
    </row>
    <row r="8795" spans="4:8" x14ac:dyDescent="0.25">
      <c r="D8795" s="28"/>
      <c r="F8795" s="28"/>
      <c r="H8795" s="28"/>
    </row>
    <row r="8796" spans="4:8" x14ac:dyDescent="0.25">
      <c r="D8796" s="28"/>
      <c r="F8796" s="28"/>
      <c r="H8796" s="28"/>
    </row>
    <row r="8797" spans="4:8" x14ac:dyDescent="0.25">
      <c r="D8797" s="28"/>
      <c r="F8797" s="28"/>
      <c r="H8797" s="28"/>
    </row>
    <row r="8798" spans="4:8" x14ac:dyDescent="0.25">
      <c r="D8798" s="28"/>
      <c r="F8798" s="28"/>
      <c r="H8798" s="28"/>
    </row>
    <row r="8799" spans="4:8" x14ac:dyDescent="0.25">
      <c r="D8799" s="28"/>
      <c r="F8799" s="28"/>
      <c r="H8799" s="28"/>
    </row>
    <row r="8800" spans="4:8" x14ac:dyDescent="0.25">
      <c r="D8800" s="28"/>
      <c r="F8800" s="28"/>
      <c r="H8800" s="28"/>
    </row>
    <row r="8801" spans="4:8" x14ac:dyDescent="0.25">
      <c r="D8801" s="28"/>
      <c r="F8801" s="28"/>
      <c r="H8801" s="28"/>
    </row>
    <row r="8802" spans="4:8" x14ac:dyDescent="0.25">
      <c r="D8802" s="28"/>
      <c r="F8802" s="28"/>
      <c r="H8802" s="28"/>
    </row>
    <row r="8803" spans="4:8" x14ac:dyDescent="0.25">
      <c r="D8803" s="28"/>
      <c r="F8803" s="28"/>
      <c r="H8803" s="28"/>
    </row>
    <row r="8804" spans="4:8" x14ac:dyDescent="0.25">
      <c r="D8804" s="28"/>
      <c r="F8804" s="28"/>
      <c r="H8804" s="28"/>
    </row>
    <row r="8805" spans="4:8" x14ac:dyDescent="0.25">
      <c r="D8805" s="28"/>
      <c r="F8805" s="28"/>
      <c r="H8805" s="28"/>
    </row>
    <row r="8806" spans="4:8" x14ac:dyDescent="0.25">
      <c r="D8806" s="28"/>
      <c r="F8806" s="28"/>
      <c r="H8806" s="28"/>
    </row>
    <row r="8807" spans="4:8" x14ac:dyDescent="0.25">
      <c r="D8807" s="28"/>
      <c r="F8807" s="28"/>
      <c r="H8807" s="28"/>
    </row>
    <row r="8808" spans="4:8" x14ac:dyDescent="0.25">
      <c r="D8808" s="28"/>
      <c r="F8808" s="28"/>
      <c r="H8808" s="28"/>
    </row>
    <row r="8809" spans="4:8" x14ac:dyDescent="0.25">
      <c r="D8809" s="28"/>
      <c r="F8809" s="28"/>
      <c r="H8809" s="28"/>
    </row>
    <row r="8810" spans="4:8" x14ac:dyDescent="0.25">
      <c r="D8810" s="28"/>
      <c r="F8810" s="28"/>
      <c r="H8810" s="28"/>
    </row>
    <row r="8811" spans="4:8" x14ac:dyDescent="0.25">
      <c r="D8811" s="28"/>
      <c r="F8811" s="28"/>
      <c r="H8811" s="28"/>
    </row>
    <row r="8812" spans="4:8" x14ac:dyDescent="0.25">
      <c r="D8812" s="28"/>
      <c r="F8812" s="28"/>
      <c r="H8812" s="28"/>
    </row>
    <row r="8813" spans="4:8" x14ac:dyDescent="0.25">
      <c r="D8813" s="28"/>
      <c r="F8813" s="28"/>
      <c r="H8813" s="28"/>
    </row>
    <row r="8814" spans="4:8" x14ac:dyDescent="0.25">
      <c r="D8814" s="28"/>
      <c r="F8814" s="28"/>
      <c r="H8814" s="28"/>
    </row>
    <row r="8815" spans="4:8" x14ac:dyDescent="0.25">
      <c r="D8815" s="28"/>
      <c r="F8815" s="28"/>
      <c r="H8815" s="28"/>
    </row>
    <row r="8816" spans="4:8" x14ac:dyDescent="0.25">
      <c r="D8816" s="28"/>
      <c r="F8816" s="28"/>
      <c r="H8816" s="28"/>
    </row>
    <row r="8817" spans="4:8" x14ac:dyDescent="0.25">
      <c r="D8817" s="28"/>
      <c r="F8817" s="28"/>
      <c r="H8817" s="28"/>
    </row>
    <row r="8818" spans="4:8" x14ac:dyDescent="0.25">
      <c r="D8818" s="28"/>
      <c r="F8818" s="28"/>
      <c r="H8818" s="28"/>
    </row>
    <row r="8819" spans="4:8" x14ac:dyDescent="0.25">
      <c r="D8819" s="28"/>
      <c r="F8819" s="28"/>
      <c r="H8819" s="28"/>
    </row>
    <row r="8820" spans="4:8" x14ac:dyDescent="0.25">
      <c r="D8820" s="28"/>
      <c r="F8820" s="28"/>
      <c r="H8820" s="28"/>
    </row>
    <row r="8821" spans="4:8" x14ac:dyDescent="0.25">
      <c r="D8821" s="28"/>
      <c r="F8821" s="28"/>
      <c r="H8821" s="28"/>
    </row>
    <row r="8822" spans="4:8" x14ac:dyDescent="0.25">
      <c r="D8822" s="28"/>
      <c r="F8822" s="28"/>
      <c r="H8822" s="28"/>
    </row>
    <row r="8823" spans="4:8" x14ac:dyDescent="0.25">
      <c r="D8823" s="28"/>
      <c r="F8823" s="28"/>
      <c r="H8823" s="28"/>
    </row>
    <row r="8824" spans="4:8" x14ac:dyDescent="0.25">
      <c r="D8824" s="28"/>
      <c r="F8824" s="28"/>
      <c r="H8824" s="28"/>
    </row>
    <row r="8825" spans="4:8" x14ac:dyDescent="0.25">
      <c r="D8825" s="28"/>
      <c r="F8825" s="28"/>
      <c r="H8825" s="28"/>
    </row>
    <row r="8826" spans="4:8" x14ac:dyDescent="0.25">
      <c r="D8826" s="28"/>
      <c r="F8826" s="28"/>
      <c r="H8826" s="28"/>
    </row>
    <row r="8827" spans="4:8" x14ac:dyDescent="0.25">
      <c r="D8827" s="28"/>
      <c r="F8827" s="28"/>
      <c r="H8827" s="28"/>
    </row>
    <row r="8828" spans="4:8" x14ac:dyDescent="0.25">
      <c r="D8828" s="28"/>
      <c r="F8828" s="28"/>
      <c r="H8828" s="28"/>
    </row>
    <row r="8829" spans="4:8" x14ac:dyDescent="0.25">
      <c r="D8829" s="28"/>
      <c r="F8829" s="28"/>
      <c r="H8829" s="28"/>
    </row>
    <row r="8830" spans="4:8" x14ac:dyDescent="0.25">
      <c r="D8830" s="28"/>
      <c r="F8830" s="28"/>
      <c r="H8830" s="28"/>
    </row>
    <row r="8831" spans="4:8" x14ac:dyDescent="0.25">
      <c r="D8831" s="28"/>
      <c r="F8831" s="28"/>
      <c r="H8831" s="28"/>
    </row>
    <row r="8832" spans="4:8" x14ac:dyDescent="0.25">
      <c r="D8832" s="28"/>
      <c r="F8832" s="28"/>
      <c r="H8832" s="28"/>
    </row>
    <row r="8833" spans="4:8" x14ac:dyDescent="0.25">
      <c r="D8833" s="28"/>
      <c r="F8833" s="28"/>
      <c r="H8833" s="28"/>
    </row>
    <row r="8834" spans="4:8" x14ac:dyDescent="0.25">
      <c r="D8834" s="28"/>
      <c r="F8834" s="28"/>
      <c r="H8834" s="28"/>
    </row>
    <row r="8835" spans="4:8" x14ac:dyDescent="0.25">
      <c r="D8835" s="28"/>
      <c r="F8835" s="28"/>
      <c r="H8835" s="28"/>
    </row>
    <row r="8836" spans="4:8" x14ac:dyDescent="0.25">
      <c r="D8836" s="28"/>
      <c r="F8836" s="28"/>
      <c r="H8836" s="28"/>
    </row>
    <row r="8837" spans="4:8" x14ac:dyDescent="0.25">
      <c r="D8837" s="28"/>
      <c r="F8837" s="28"/>
      <c r="H8837" s="28"/>
    </row>
    <row r="8838" spans="4:8" x14ac:dyDescent="0.25">
      <c r="D8838" s="28"/>
      <c r="F8838" s="28"/>
      <c r="H8838" s="28"/>
    </row>
    <row r="8839" spans="4:8" x14ac:dyDescent="0.25">
      <c r="D8839" s="28"/>
      <c r="F8839" s="28"/>
      <c r="H8839" s="28"/>
    </row>
    <row r="8840" spans="4:8" x14ac:dyDescent="0.25">
      <c r="D8840" s="28"/>
      <c r="F8840" s="28"/>
      <c r="H8840" s="28"/>
    </row>
    <row r="8841" spans="4:8" x14ac:dyDescent="0.25">
      <c r="D8841" s="28"/>
      <c r="F8841" s="28"/>
      <c r="H8841" s="28"/>
    </row>
    <row r="8842" spans="4:8" x14ac:dyDescent="0.25">
      <c r="D8842" s="28"/>
      <c r="F8842" s="28"/>
      <c r="H8842" s="28"/>
    </row>
    <row r="8843" spans="4:8" x14ac:dyDescent="0.25">
      <c r="D8843" s="28"/>
      <c r="F8843" s="28"/>
      <c r="H8843" s="28"/>
    </row>
    <row r="8844" spans="4:8" x14ac:dyDescent="0.25">
      <c r="D8844" s="28"/>
      <c r="F8844" s="28"/>
      <c r="H8844" s="28"/>
    </row>
    <row r="8845" spans="4:8" x14ac:dyDescent="0.25">
      <c r="D8845" s="28"/>
      <c r="F8845" s="28"/>
      <c r="H8845" s="28"/>
    </row>
    <row r="8846" spans="4:8" x14ac:dyDescent="0.25">
      <c r="D8846" s="28"/>
      <c r="F8846" s="28"/>
      <c r="H8846" s="28"/>
    </row>
    <row r="8847" spans="4:8" x14ac:dyDescent="0.25">
      <c r="D8847" s="28"/>
      <c r="F8847" s="28"/>
      <c r="H8847" s="28"/>
    </row>
    <row r="8848" spans="4:8" x14ac:dyDescent="0.25">
      <c r="D8848" s="28"/>
      <c r="F8848" s="28"/>
      <c r="H8848" s="28"/>
    </row>
    <row r="8849" spans="4:8" x14ac:dyDescent="0.25">
      <c r="D8849" s="28"/>
      <c r="F8849" s="28"/>
      <c r="H8849" s="28"/>
    </row>
    <row r="8850" spans="4:8" x14ac:dyDescent="0.25">
      <c r="D8850" s="28"/>
      <c r="F8850" s="28"/>
      <c r="H8850" s="28"/>
    </row>
    <row r="8851" spans="4:8" x14ac:dyDescent="0.25">
      <c r="D8851" s="28"/>
      <c r="F8851" s="28"/>
      <c r="H8851" s="28"/>
    </row>
    <row r="8852" spans="4:8" x14ac:dyDescent="0.25">
      <c r="D8852" s="28"/>
      <c r="F8852" s="28"/>
      <c r="H8852" s="28"/>
    </row>
    <row r="8853" spans="4:8" x14ac:dyDescent="0.25">
      <c r="D8853" s="28"/>
      <c r="F8853" s="28"/>
      <c r="H8853" s="28"/>
    </row>
    <row r="8854" spans="4:8" x14ac:dyDescent="0.25">
      <c r="D8854" s="28"/>
      <c r="F8854" s="28"/>
      <c r="H8854" s="28"/>
    </row>
    <row r="8855" spans="4:8" x14ac:dyDescent="0.25">
      <c r="D8855" s="28"/>
      <c r="F8855" s="28"/>
      <c r="H8855" s="28"/>
    </row>
    <row r="8856" spans="4:8" x14ac:dyDescent="0.25">
      <c r="D8856" s="28"/>
      <c r="F8856" s="28"/>
      <c r="H8856" s="28"/>
    </row>
    <row r="8857" spans="4:8" x14ac:dyDescent="0.25">
      <c r="D8857" s="28"/>
      <c r="F8857" s="28"/>
      <c r="H8857" s="28"/>
    </row>
    <row r="8858" spans="4:8" x14ac:dyDescent="0.25">
      <c r="D8858" s="28"/>
      <c r="F8858" s="28"/>
      <c r="H8858" s="28"/>
    </row>
    <row r="8859" spans="4:8" x14ac:dyDescent="0.25">
      <c r="D8859" s="28"/>
      <c r="F8859" s="28"/>
      <c r="H8859" s="28"/>
    </row>
    <row r="8860" spans="4:8" x14ac:dyDescent="0.25">
      <c r="D8860" s="28"/>
      <c r="F8860" s="28"/>
      <c r="H8860" s="28"/>
    </row>
    <row r="8861" spans="4:8" x14ac:dyDescent="0.25">
      <c r="D8861" s="28"/>
      <c r="F8861" s="28"/>
      <c r="H8861" s="28"/>
    </row>
    <row r="8862" spans="4:8" x14ac:dyDescent="0.25">
      <c r="D8862" s="28"/>
      <c r="F8862" s="28"/>
      <c r="H8862" s="28"/>
    </row>
    <row r="8863" spans="4:8" x14ac:dyDescent="0.25">
      <c r="D8863" s="28"/>
      <c r="F8863" s="28"/>
      <c r="H8863" s="28"/>
    </row>
    <row r="8864" spans="4:8" x14ac:dyDescent="0.25">
      <c r="D8864" s="28"/>
      <c r="F8864" s="28"/>
      <c r="H8864" s="28"/>
    </row>
    <row r="8865" spans="4:8" x14ac:dyDescent="0.25">
      <c r="D8865" s="28"/>
      <c r="F8865" s="28"/>
      <c r="H8865" s="28"/>
    </row>
    <row r="8866" spans="4:8" x14ac:dyDescent="0.25">
      <c r="D8866" s="28"/>
      <c r="F8866" s="28"/>
      <c r="H8866" s="28"/>
    </row>
    <row r="8867" spans="4:8" x14ac:dyDescent="0.25">
      <c r="D8867" s="28"/>
      <c r="F8867" s="28"/>
      <c r="H8867" s="28"/>
    </row>
    <row r="8868" spans="4:8" x14ac:dyDescent="0.25">
      <c r="D8868" s="28"/>
      <c r="F8868" s="28"/>
      <c r="H8868" s="28"/>
    </row>
    <row r="8869" spans="4:8" x14ac:dyDescent="0.25">
      <c r="D8869" s="28"/>
      <c r="F8869" s="28"/>
      <c r="H8869" s="28"/>
    </row>
    <row r="8870" spans="4:8" x14ac:dyDescent="0.25">
      <c r="D8870" s="28"/>
      <c r="F8870" s="28"/>
      <c r="H8870" s="28"/>
    </row>
    <row r="8871" spans="4:8" x14ac:dyDescent="0.25">
      <c r="D8871" s="28"/>
      <c r="F8871" s="28"/>
      <c r="H8871" s="28"/>
    </row>
    <row r="8872" spans="4:8" x14ac:dyDescent="0.25">
      <c r="D8872" s="28"/>
      <c r="F8872" s="28"/>
      <c r="H8872" s="28"/>
    </row>
    <row r="8873" spans="4:8" x14ac:dyDescent="0.25">
      <c r="D8873" s="28"/>
      <c r="F8873" s="28"/>
      <c r="H8873" s="28"/>
    </row>
    <row r="8874" spans="4:8" x14ac:dyDescent="0.25">
      <c r="D8874" s="28"/>
      <c r="F8874" s="28"/>
      <c r="H8874" s="28"/>
    </row>
    <row r="8875" spans="4:8" x14ac:dyDescent="0.25">
      <c r="D8875" s="28"/>
      <c r="F8875" s="28"/>
      <c r="H8875" s="28"/>
    </row>
    <row r="8876" spans="4:8" x14ac:dyDescent="0.25">
      <c r="D8876" s="28"/>
      <c r="F8876" s="28"/>
      <c r="H8876" s="28"/>
    </row>
    <row r="8877" spans="4:8" x14ac:dyDescent="0.25">
      <c r="D8877" s="28"/>
      <c r="F8877" s="28"/>
      <c r="H8877" s="28"/>
    </row>
    <row r="8878" spans="4:8" x14ac:dyDescent="0.25">
      <c r="D8878" s="28"/>
      <c r="F8878" s="28"/>
      <c r="H8878" s="28"/>
    </row>
    <row r="8879" spans="4:8" x14ac:dyDescent="0.25">
      <c r="D8879" s="28"/>
      <c r="F8879" s="28"/>
      <c r="H8879" s="28"/>
    </row>
    <row r="8880" spans="4:8" x14ac:dyDescent="0.25">
      <c r="D8880" s="28"/>
      <c r="F8880" s="28"/>
      <c r="H8880" s="28"/>
    </row>
    <row r="8881" spans="4:8" x14ac:dyDescent="0.25">
      <c r="D8881" s="28"/>
      <c r="F8881" s="28"/>
      <c r="H8881" s="28"/>
    </row>
    <row r="8882" spans="4:8" x14ac:dyDescent="0.25">
      <c r="D8882" s="28"/>
      <c r="F8882" s="28"/>
      <c r="H8882" s="28"/>
    </row>
    <row r="8883" spans="4:8" x14ac:dyDescent="0.25">
      <c r="D8883" s="28"/>
      <c r="F8883" s="28"/>
      <c r="H8883" s="28"/>
    </row>
    <row r="8884" spans="4:8" x14ac:dyDescent="0.25">
      <c r="D8884" s="28"/>
      <c r="F8884" s="28"/>
      <c r="H8884" s="28"/>
    </row>
    <row r="8885" spans="4:8" x14ac:dyDescent="0.25">
      <c r="D8885" s="28"/>
      <c r="F8885" s="28"/>
      <c r="H8885" s="28"/>
    </row>
    <row r="8886" spans="4:8" x14ac:dyDescent="0.25">
      <c r="D8886" s="28"/>
      <c r="F8886" s="28"/>
      <c r="H8886" s="28"/>
    </row>
    <row r="8887" spans="4:8" x14ac:dyDescent="0.25">
      <c r="D8887" s="28"/>
      <c r="F8887" s="28"/>
      <c r="H8887" s="28"/>
    </row>
    <row r="8888" spans="4:8" x14ac:dyDescent="0.25">
      <c r="D8888" s="28"/>
      <c r="F8888" s="28"/>
      <c r="H8888" s="28"/>
    </row>
    <row r="8889" spans="4:8" x14ac:dyDescent="0.25">
      <c r="D8889" s="28"/>
      <c r="F8889" s="28"/>
      <c r="H8889" s="28"/>
    </row>
    <row r="8890" spans="4:8" x14ac:dyDescent="0.25">
      <c r="D8890" s="28"/>
      <c r="F8890" s="28"/>
      <c r="H8890" s="28"/>
    </row>
    <row r="8891" spans="4:8" x14ac:dyDescent="0.25">
      <c r="D8891" s="28"/>
      <c r="F8891" s="28"/>
      <c r="H8891" s="28"/>
    </row>
    <row r="8892" spans="4:8" x14ac:dyDescent="0.25">
      <c r="D8892" s="28"/>
      <c r="F8892" s="28"/>
      <c r="H8892" s="28"/>
    </row>
    <row r="8893" spans="4:8" x14ac:dyDescent="0.25">
      <c r="D8893" s="28"/>
      <c r="F8893" s="28"/>
      <c r="H8893" s="28"/>
    </row>
    <row r="8894" spans="4:8" x14ac:dyDescent="0.25">
      <c r="D8894" s="28"/>
      <c r="F8894" s="28"/>
      <c r="H8894" s="28"/>
    </row>
    <row r="8895" spans="4:8" x14ac:dyDescent="0.25">
      <c r="D8895" s="28"/>
      <c r="F8895" s="28"/>
      <c r="H8895" s="28"/>
    </row>
    <row r="8896" spans="4:8" x14ac:dyDescent="0.25">
      <c r="D8896" s="28"/>
      <c r="F8896" s="28"/>
      <c r="H8896" s="28"/>
    </row>
    <row r="8897" spans="4:8" x14ac:dyDescent="0.25">
      <c r="D8897" s="28"/>
      <c r="F8897" s="28"/>
      <c r="H8897" s="28"/>
    </row>
    <row r="8898" spans="4:8" x14ac:dyDescent="0.25">
      <c r="D8898" s="28"/>
      <c r="F8898" s="28"/>
      <c r="H8898" s="28"/>
    </row>
    <row r="8899" spans="4:8" x14ac:dyDescent="0.25">
      <c r="D8899" s="28"/>
      <c r="F8899" s="28"/>
      <c r="H8899" s="28"/>
    </row>
    <row r="8900" spans="4:8" x14ac:dyDescent="0.25">
      <c r="D8900" s="28"/>
      <c r="F8900" s="28"/>
      <c r="H8900" s="28"/>
    </row>
    <row r="8901" spans="4:8" x14ac:dyDescent="0.25">
      <c r="D8901" s="28"/>
      <c r="F8901" s="28"/>
      <c r="H8901" s="28"/>
    </row>
    <row r="8902" spans="4:8" x14ac:dyDescent="0.25">
      <c r="D8902" s="28"/>
      <c r="F8902" s="28"/>
      <c r="H8902" s="28"/>
    </row>
    <row r="8903" spans="4:8" x14ac:dyDescent="0.25">
      <c r="D8903" s="28"/>
      <c r="F8903" s="28"/>
      <c r="H8903" s="28"/>
    </row>
    <row r="8904" spans="4:8" x14ac:dyDescent="0.25">
      <c r="D8904" s="28"/>
      <c r="F8904" s="28"/>
      <c r="H8904" s="28"/>
    </row>
    <row r="8905" spans="4:8" x14ac:dyDescent="0.25">
      <c r="D8905" s="28"/>
      <c r="F8905" s="28"/>
      <c r="H8905" s="28"/>
    </row>
    <row r="8906" spans="4:8" x14ac:dyDescent="0.25">
      <c r="D8906" s="28"/>
      <c r="F8906" s="28"/>
      <c r="H8906" s="28"/>
    </row>
    <row r="8907" spans="4:8" x14ac:dyDescent="0.25">
      <c r="D8907" s="28"/>
      <c r="F8907" s="28"/>
      <c r="H8907" s="28"/>
    </row>
    <row r="8908" spans="4:8" x14ac:dyDescent="0.25">
      <c r="D8908" s="28"/>
      <c r="F8908" s="28"/>
      <c r="H8908" s="28"/>
    </row>
    <row r="8909" spans="4:8" x14ac:dyDescent="0.25">
      <c r="D8909" s="28"/>
      <c r="F8909" s="28"/>
      <c r="H8909" s="28"/>
    </row>
    <row r="8910" spans="4:8" x14ac:dyDescent="0.25">
      <c r="D8910" s="28"/>
      <c r="F8910" s="28"/>
      <c r="H8910" s="28"/>
    </row>
    <row r="8911" spans="4:8" x14ac:dyDescent="0.25">
      <c r="D8911" s="28"/>
      <c r="F8911" s="28"/>
      <c r="H8911" s="28"/>
    </row>
    <row r="8912" spans="4:8" x14ac:dyDescent="0.25">
      <c r="D8912" s="28"/>
      <c r="F8912" s="28"/>
      <c r="H8912" s="28"/>
    </row>
    <row r="8913" spans="4:8" x14ac:dyDescent="0.25">
      <c r="D8913" s="28"/>
      <c r="F8913" s="28"/>
      <c r="H8913" s="28"/>
    </row>
    <row r="8914" spans="4:8" x14ac:dyDescent="0.25">
      <c r="D8914" s="28"/>
      <c r="F8914" s="28"/>
      <c r="H8914" s="28"/>
    </row>
    <row r="8915" spans="4:8" x14ac:dyDescent="0.25">
      <c r="D8915" s="28"/>
      <c r="F8915" s="28"/>
      <c r="H8915" s="28"/>
    </row>
    <row r="8916" spans="4:8" x14ac:dyDescent="0.25">
      <c r="D8916" s="28"/>
      <c r="F8916" s="28"/>
      <c r="H8916" s="28"/>
    </row>
    <row r="8917" spans="4:8" x14ac:dyDescent="0.25">
      <c r="D8917" s="28"/>
      <c r="F8917" s="28"/>
      <c r="H8917" s="28"/>
    </row>
    <row r="8918" spans="4:8" x14ac:dyDescent="0.25">
      <c r="D8918" s="28"/>
      <c r="F8918" s="28"/>
      <c r="H8918" s="28"/>
    </row>
    <row r="8919" spans="4:8" x14ac:dyDescent="0.25">
      <c r="D8919" s="28"/>
      <c r="F8919" s="28"/>
      <c r="H8919" s="28"/>
    </row>
    <row r="8920" spans="4:8" x14ac:dyDescent="0.25">
      <c r="D8920" s="28"/>
      <c r="F8920" s="28"/>
      <c r="H8920" s="28"/>
    </row>
    <row r="8921" spans="4:8" x14ac:dyDescent="0.25">
      <c r="D8921" s="28"/>
      <c r="F8921" s="28"/>
      <c r="H8921" s="28"/>
    </row>
    <row r="8922" spans="4:8" x14ac:dyDescent="0.25">
      <c r="D8922" s="28"/>
      <c r="F8922" s="28"/>
      <c r="H8922" s="28"/>
    </row>
    <row r="8923" spans="4:8" x14ac:dyDescent="0.25">
      <c r="D8923" s="28"/>
      <c r="F8923" s="28"/>
      <c r="H8923" s="28"/>
    </row>
    <row r="8924" spans="4:8" x14ac:dyDescent="0.25">
      <c r="D8924" s="28"/>
      <c r="F8924" s="28"/>
      <c r="H8924" s="28"/>
    </row>
    <row r="8925" spans="4:8" x14ac:dyDescent="0.25">
      <c r="D8925" s="28"/>
      <c r="F8925" s="28"/>
      <c r="H8925" s="28"/>
    </row>
    <row r="8926" spans="4:8" x14ac:dyDescent="0.25">
      <c r="D8926" s="28"/>
      <c r="F8926" s="28"/>
      <c r="H8926" s="28"/>
    </row>
    <row r="8927" spans="4:8" x14ac:dyDescent="0.25">
      <c r="D8927" s="28"/>
      <c r="F8927" s="28"/>
      <c r="H8927" s="28"/>
    </row>
    <row r="8928" spans="4:8" x14ac:dyDescent="0.25">
      <c r="D8928" s="28"/>
      <c r="F8928" s="28"/>
      <c r="H8928" s="28"/>
    </row>
    <row r="8929" spans="4:8" x14ac:dyDescent="0.25">
      <c r="D8929" s="28"/>
      <c r="F8929" s="28"/>
      <c r="H8929" s="28"/>
    </row>
    <row r="8930" spans="4:8" x14ac:dyDescent="0.25">
      <c r="D8930" s="28"/>
      <c r="F8930" s="28"/>
      <c r="H8930" s="28"/>
    </row>
    <row r="8931" spans="4:8" x14ac:dyDescent="0.25">
      <c r="D8931" s="28"/>
      <c r="F8931" s="28"/>
      <c r="H8931" s="28"/>
    </row>
    <row r="8932" spans="4:8" x14ac:dyDescent="0.25">
      <c r="D8932" s="28"/>
      <c r="F8932" s="28"/>
      <c r="H8932" s="28"/>
    </row>
    <row r="8933" spans="4:8" x14ac:dyDescent="0.25">
      <c r="D8933" s="28"/>
      <c r="F8933" s="28"/>
      <c r="H8933" s="28"/>
    </row>
    <row r="8934" spans="4:8" x14ac:dyDescent="0.25">
      <c r="D8934" s="28"/>
      <c r="F8934" s="28"/>
      <c r="H8934" s="28"/>
    </row>
    <row r="8935" spans="4:8" x14ac:dyDescent="0.25">
      <c r="D8935" s="28"/>
      <c r="F8935" s="28"/>
      <c r="H8935" s="28"/>
    </row>
    <row r="8936" spans="4:8" x14ac:dyDescent="0.25">
      <c r="D8936" s="28"/>
      <c r="F8936" s="28"/>
      <c r="H8936" s="28"/>
    </row>
    <row r="8937" spans="4:8" x14ac:dyDescent="0.25">
      <c r="D8937" s="28"/>
      <c r="F8937" s="28"/>
      <c r="H8937" s="28"/>
    </row>
    <row r="8938" spans="4:8" x14ac:dyDescent="0.25">
      <c r="D8938" s="28"/>
      <c r="F8938" s="28"/>
      <c r="H8938" s="28"/>
    </row>
    <row r="8939" spans="4:8" x14ac:dyDescent="0.25">
      <c r="D8939" s="28"/>
      <c r="F8939" s="28"/>
      <c r="H8939" s="28"/>
    </row>
    <row r="8940" spans="4:8" x14ac:dyDescent="0.25">
      <c r="D8940" s="28"/>
      <c r="F8940" s="28"/>
      <c r="H8940" s="28"/>
    </row>
    <row r="8941" spans="4:8" x14ac:dyDescent="0.25">
      <c r="D8941" s="28"/>
      <c r="F8941" s="28"/>
      <c r="H8941" s="28"/>
    </row>
    <row r="8942" spans="4:8" x14ac:dyDescent="0.25">
      <c r="D8942" s="28"/>
      <c r="F8942" s="28"/>
      <c r="H8942" s="28"/>
    </row>
    <row r="8943" spans="4:8" x14ac:dyDescent="0.25">
      <c r="D8943" s="28"/>
      <c r="F8943" s="28"/>
      <c r="H8943" s="28"/>
    </row>
    <row r="8944" spans="4:8" x14ac:dyDescent="0.25">
      <c r="D8944" s="28"/>
      <c r="F8944" s="28"/>
      <c r="H8944" s="28"/>
    </row>
    <row r="8945" spans="4:8" x14ac:dyDescent="0.25">
      <c r="D8945" s="28"/>
      <c r="F8945" s="28"/>
      <c r="H8945" s="28"/>
    </row>
    <row r="8946" spans="4:8" x14ac:dyDescent="0.25">
      <c r="D8946" s="28"/>
      <c r="F8946" s="28"/>
      <c r="H8946" s="28"/>
    </row>
    <row r="8947" spans="4:8" x14ac:dyDescent="0.25">
      <c r="D8947" s="28"/>
      <c r="F8947" s="28"/>
      <c r="H8947" s="28"/>
    </row>
    <row r="8948" spans="4:8" x14ac:dyDescent="0.25">
      <c r="D8948" s="28"/>
      <c r="F8948" s="28"/>
      <c r="H8948" s="28"/>
    </row>
    <row r="8949" spans="4:8" x14ac:dyDescent="0.25">
      <c r="D8949" s="28"/>
      <c r="F8949" s="28"/>
      <c r="H8949" s="28"/>
    </row>
    <row r="8950" spans="4:8" x14ac:dyDescent="0.25">
      <c r="D8950" s="28"/>
      <c r="F8950" s="28"/>
      <c r="H8950" s="28"/>
    </row>
    <row r="8951" spans="4:8" x14ac:dyDescent="0.25">
      <c r="D8951" s="28"/>
      <c r="F8951" s="28"/>
      <c r="H8951" s="28"/>
    </row>
    <row r="8952" spans="4:8" x14ac:dyDescent="0.25">
      <c r="D8952" s="28"/>
      <c r="F8952" s="28"/>
      <c r="H8952" s="28"/>
    </row>
    <row r="8953" spans="4:8" x14ac:dyDescent="0.25">
      <c r="D8953" s="28"/>
      <c r="F8953" s="28"/>
      <c r="H8953" s="28"/>
    </row>
    <row r="8954" spans="4:8" x14ac:dyDescent="0.25">
      <c r="D8954" s="28"/>
      <c r="F8954" s="28"/>
      <c r="H8954" s="28"/>
    </row>
    <row r="8955" spans="4:8" x14ac:dyDescent="0.25">
      <c r="D8955" s="28"/>
      <c r="F8955" s="28"/>
      <c r="H8955" s="28"/>
    </row>
    <row r="8956" spans="4:8" x14ac:dyDescent="0.25">
      <c r="D8956" s="28"/>
      <c r="F8956" s="28"/>
      <c r="H8956" s="28"/>
    </row>
    <row r="8957" spans="4:8" x14ac:dyDescent="0.25">
      <c r="D8957" s="28"/>
      <c r="F8957" s="28"/>
      <c r="H8957" s="28"/>
    </row>
    <row r="8958" spans="4:8" x14ac:dyDescent="0.25">
      <c r="D8958" s="28"/>
      <c r="F8958" s="28"/>
      <c r="H8958" s="28"/>
    </row>
    <row r="8959" spans="4:8" x14ac:dyDescent="0.25">
      <c r="D8959" s="28"/>
      <c r="F8959" s="28"/>
      <c r="H8959" s="28"/>
    </row>
    <row r="8960" spans="4:8" x14ac:dyDescent="0.25">
      <c r="D8960" s="28"/>
      <c r="F8960" s="28"/>
      <c r="H8960" s="28"/>
    </row>
    <row r="8961" spans="4:8" x14ac:dyDescent="0.25">
      <c r="D8961" s="28"/>
      <c r="F8961" s="28"/>
      <c r="H8961" s="28"/>
    </row>
    <row r="8962" spans="4:8" x14ac:dyDescent="0.25">
      <c r="D8962" s="28"/>
      <c r="F8962" s="28"/>
      <c r="H8962" s="28"/>
    </row>
    <row r="8963" spans="4:8" x14ac:dyDescent="0.25">
      <c r="D8963" s="28"/>
      <c r="F8963" s="28"/>
      <c r="H8963" s="28"/>
    </row>
    <row r="8964" spans="4:8" x14ac:dyDescent="0.25">
      <c r="D8964" s="28"/>
      <c r="F8964" s="28"/>
      <c r="H8964" s="28"/>
    </row>
    <row r="8965" spans="4:8" x14ac:dyDescent="0.25">
      <c r="D8965" s="28"/>
      <c r="F8965" s="28"/>
      <c r="H8965" s="28"/>
    </row>
    <row r="8966" spans="4:8" x14ac:dyDescent="0.25">
      <c r="D8966" s="28"/>
      <c r="F8966" s="28"/>
      <c r="H8966" s="28"/>
    </row>
    <row r="8967" spans="4:8" x14ac:dyDescent="0.25">
      <c r="D8967" s="28"/>
      <c r="F8967" s="28"/>
      <c r="H8967" s="28"/>
    </row>
    <row r="8968" spans="4:8" x14ac:dyDescent="0.25">
      <c r="D8968" s="28"/>
      <c r="F8968" s="28"/>
      <c r="H8968" s="28"/>
    </row>
    <row r="8969" spans="4:8" x14ac:dyDescent="0.25">
      <c r="D8969" s="28"/>
      <c r="F8969" s="28"/>
      <c r="H8969" s="28"/>
    </row>
    <row r="8970" spans="4:8" x14ac:dyDescent="0.25">
      <c r="D8970" s="28"/>
      <c r="F8970" s="28"/>
      <c r="H8970" s="28"/>
    </row>
    <row r="8971" spans="4:8" x14ac:dyDescent="0.25">
      <c r="D8971" s="28"/>
      <c r="F8971" s="28"/>
      <c r="H8971" s="28"/>
    </row>
    <row r="8972" spans="4:8" x14ac:dyDescent="0.25">
      <c r="D8972" s="28"/>
      <c r="F8972" s="28"/>
      <c r="H8972" s="28"/>
    </row>
    <row r="8973" spans="4:8" x14ac:dyDescent="0.25">
      <c r="D8973" s="28"/>
      <c r="F8973" s="28"/>
      <c r="H8973" s="28"/>
    </row>
    <row r="8974" spans="4:8" x14ac:dyDescent="0.25">
      <c r="D8974" s="28"/>
      <c r="F8974" s="28"/>
      <c r="H8974" s="28"/>
    </row>
    <row r="8975" spans="4:8" x14ac:dyDescent="0.25">
      <c r="D8975" s="28"/>
      <c r="F8975" s="28"/>
      <c r="H8975" s="28"/>
    </row>
    <row r="8976" spans="4:8" x14ac:dyDescent="0.25">
      <c r="D8976" s="28"/>
      <c r="F8976" s="28"/>
      <c r="H8976" s="28"/>
    </row>
    <row r="8977" spans="4:8" x14ac:dyDescent="0.25">
      <c r="D8977" s="28"/>
      <c r="F8977" s="28"/>
      <c r="H8977" s="28"/>
    </row>
    <row r="8978" spans="4:8" x14ac:dyDescent="0.25">
      <c r="D8978" s="28"/>
      <c r="F8978" s="28"/>
      <c r="H8978" s="28"/>
    </row>
    <row r="8979" spans="4:8" x14ac:dyDescent="0.25">
      <c r="D8979" s="28"/>
      <c r="F8979" s="28"/>
      <c r="H8979" s="28"/>
    </row>
    <row r="8980" spans="4:8" x14ac:dyDescent="0.25">
      <c r="D8980" s="28"/>
      <c r="F8980" s="28"/>
      <c r="H8980" s="28"/>
    </row>
    <row r="8981" spans="4:8" x14ac:dyDescent="0.25">
      <c r="D8981" s="28"/>
      <c r="F8981" s="28"/>
      <c r="H8981" s="28"/>
    </row>
    <row r="8982" spans="4:8" x14ac:dyDescent="0.25">
      <c r="D8982" s="28"/>
      <c r="F8982" s="28"/>
      <c r="H8982" s="28"/>
    </row>
    <row r="8983" spans="4:8" x14ac:dyDescent="0.25">
      <c r="D8983" s="28"/>
      <c r="F8983" s="28"/>
      <c r="H8983" s="28"/>
    </row>
    <row r="8984" spans="4:8" x14ac:dyDescent="0.25">
      <c r="D8984" s="28"/>
      <c r="F8984" s="28"/>
      <c r="H8984" s="28"/>
    </row>
    <row r="8985" spans="4:8" x14ac:dyDescent="0.25">
      <c r="D8985" s="28"/>
      <c r="F8985" s="28"/>
      <c r="H8985" s="28"/>
    </row>
    <row r="8986" spans="4:8" x14ac:dyDescent="0.25">
      <c r="D8986" s="28"/>
      <c r="F8986" s="28"/>
      <c r="H8986" s="28"/>
    </row>
    <row r="8987" spans="4:8" x14ac:dyDescent="0.25">
      <c r="D8987" s="28"/>
      <c r="F8987" s="28"/>
      <c r="H8987" s="28"/>
    </row>
    <row r="8988" spans="4:8" x14ac:dyDescent="0.25">
      <c r="D8988" s="28"/>
      <c r="F8988" s="28"/>
      <c r="H8988" s="28"/>
    </row>
    <row r="8989" spans="4:8" x14ac:dyDescent="0.25">
      <c r="D8989" s="28"/>
      <c r="F8989" s="28"/>
      <c r="H8989" s="28"/>
    </row>
    <row r="8990" spans="4:8" x14ac:dyDescent="0.25">
      <c r="D8990" s="28"/>
      <c r="F8990" s="28"/>
      <c r="H8990" s="28"/>
    </row>
    <row r="8991" spans="4:8" x14ac:dyDescent="0.25">
      <c r="D8991" s="28"/>
      <c r="F8991" s="28"/>
      <c r="H8991" s="28"/>
    </row>
    <row r="8992" spans="4:8" x14ac:dyDescent="0.25">
      <c r="D8992" s="28"/>
      <c r="F8992" s="28"/>
      <c r="H8992" s="28"/>
    </row>
    <row r="8993" spans="4:8" x14ac:dyDescent="0.25">
      <c r="D8993" s="28"/>
      <c r="F8993" s="28"/>
      <c r="H8993" s="28"/>
    </row>
    <row r="8994" spans="4:8" x14ac:dyDescent="0.25">
      <c r="D8994" s="28"/>
      <c r="F8994" s="28"/>
      <c r="H8994" s="28"/>
    </row>
    <row r="8995" spans="4:8" x14ac:dyDescent="0.25">
      <c r="D8995" s="28"/>
      <c r="F8995" s="28"/>
      <c r="H8995" s="28"/>
    </row>
    <row r="8996" spans="4:8" x14ac:dyDescent="0.25">
      <c r="D8996" s="28"/>
      <c r="F8996" s="28"/>
      <c r="H8996" s="28"/>
    </row>
    <row r="8997" spans="4:8" x14ac:dyDescent="0.25">
      <c r="D8997" s="28"/>
      <c r="F8997" s="28"/>
      <c r="H8997" s="28"/>
    </row>
    <row r="8998" spans="4:8" x14ac:dyDescent="0.25">
      <c r="D8998" s="28"/>
      <c r="F8998" s="28"/>
      <c r="H8998" s="28"/>
    </row>
    <row r="8999" spans="4:8" x14ac:dyDescent="0.25">
      <c r="D8999" s="28"/>
      <c r="F8999" s="28"/>
      <c r="H8999" s="28"/>
    </row>
    <row r="9000" spans="4:8" x14ac:dyDescent="0.25">
      <c r="D9000" s="28"/>
      <c r="F9000" s="28"/>
      <c r="H9000" s="28"/>
    </row>
    <row r="9001" spans="4:8" x14ac:dyDescent="0.25">
      <c r="D9001" s="28"/>
      <c r="F9001" s="28"/>
      <c r="H9001" s="28"/>
    </row>
    <row r="9002" spans="4:8" x14ac:dyDescent="0.25">
      <c r="D9002" s="28"/>
      <c r="F9002" s="28"/>
      <c r="H9002" s="28"/>
    </row>
    <row r="9003" spans="4:8" x14ac:dyDescent="0.25">
      <c r="D9003" s="28"/>
      <c r="F9003" s="28"/>
      <c r="H9003" s="28"/>
    </row>
    <row r="9004" spans="4:8" x14ac:dyDescent="0.25">
      <c r="D9004" s="28"/>
      <c r="F9004" s="28"/>
      <c r="H9004" s="28"/>
    </row>
    <row r="9005" spans="4:8" x14ac:dyDescent="0.25">
      <c r="D9005" s="28"/>
      <c r="F9005" s="28"/>
      <c r="H9005" s="28"/>
    </row>
    <row r="9006" spans="4:8" x14ac:dyDescent="0.25">
      <c r="D9006" s="28"/>
      <c r="F9006" s="28"/>
      <c r="H9006" s="28"/>
    </row>
    <row r="9007" spans="4:8" x14ac:dyDescent="0.25">
      <c r="D9007" s="28"/>
      <c r="F9007" s="28"/>
      <c r="H9007" s="28"/>
    </row>
    <row r="9008" spans="4:8" x14ac:dyDescent="0.25">
      <c r="D9008" s="28"/>
      <c r="F9008" s="28"/>
      <c r="H9008" s="28"/>
    </row>
    <row r="9009" spans="4:8" x14ac:dyDescent="0.25">
      <c r="D9009" s="28"/>
      <c r="F9009" s="28"/>
      <c r="H9009" s="28"/>
    </row>
    <row r="9010" spans="4:8" x14ac:dyDescent="0.25">
      <c r="D9010" s="28"/>
      <c r="F9010" s="28"/>
      <c r="H9010" s="28"/>
    </row>
    <row r="9011" spans="4:8" x14ac:dyDescent="0.25">
      <c r="D9011" s="28"/>
      <c r="F9011" s="28"/>
      <c r="H9011" s="28"/>
    </row>
    <row r="9012" spans="4:8" x14ac:dyDescent="0.25">
      <c r="D9012" s="28"/>
      <c r="F9012" s="28"/>
      <c r="H9012" s="28"/>
    </row>
    <row r="9013" spans="4:8" x14ac:dyDescent="0.25">
      <c r="D9013" s="28"/>
      <c r="F9013" s="28"/>
      <c r="H9013" s="28"/>
    </row>
    <row r="9014" spans="4:8" x14ac:dyDescent="0.25">
      <c r="D9014" s="28"/>
      <c r="F9014" s="28"/>
      <c r="H9014" s="28"/>
    </row>
    <row r="9015" spans="4:8" x14ac:dyDescent="0.25">
      <c r="D9015" s="28"/>
      <c r="F9015" s="28"/>
      <c r="H9015" s="28"/>
    </row>
    <row r="9016" spans="4:8" x14ac:dyDescent="0.25">
      <c r="D9016" s="28"/>
      <c r="F9016" s="28"/>
      <c r="H9016" s="28"/>
    </row>
    <row r="9017" spans="4:8" x14ac:dyDescent="0.25">
      <c r="D9017" s="28"/>
      <c r="F9017" s="28"/>
      <c r="H9017" s="28"/>
    </row>
    <row r="9018" spans="4:8" x14ac:dyDescent="0.25">
      <c r="D9018" s="28"/>
      <c r="F9018" s="28"/>
      <c r="H9018" s="28"/>
    </row>
    <row r="9019" spans="4:8" x14ac:dyDescent="0.25">
      <c r="D9019" s="28"/>
      <c r="F9019" s="28"/>
      <c r="H9019" s="28"/>
    </row>
    <row r="9020" spans="4:8" x14ac:dyDescent="0.25">
      <c r="D9020" s="28"/>
      <c r="F9020" s="28"/>
      <c r="H9020" s="28"/>
    </row>
    <row r="9021" spans="4:8" x14ac:dyDescent="0.25">
      <c r="D9021" s="28"/>
      <c r="F9021" s="28"/>
      <c r="H9021" s="28"/>
    </row>
    <row r="9022" spans="4:8" x14ac:dyDescent="0.25">
      <c r="D9022" s="28"/>
      <c r="F9022" s="28"/>
      <c r="H9022" s="28"/>
    </row>
    <row r="9023" spans="4:8" x14ac:dyDescent="0.25">
      <c r="D9023" s="28"/>
      <c r="F9023" s="28"/>
      <c r="H9023" s="28"/>
    </row>
    <row r="9024" spans="4:8" x14ac:dyDescent="0.25">
      <c r="D9024" s="28"/>
      <c r="F9024" s="28"/>
      <c r="H9024" s="28"/>
    </row>
    <row r="9025" spans="4:8" x14ac:dyDescent="0.25">
      <c r="D9025" s="28"/>
      <c r="F9025" s="28"/>
      <c r="H9025" s="28"/>
    </row>
    <row r="9026" spans="4:8" x14ac:dyDescent="0.25">
      <c r="D9026" s="28"/>
      <c r="F9026" s="28"/>
      <c r="H9026" s="28"/>
    </row>
    <row r="9027" spans="4:8" x14ac:dyDescent="0.25">
      <c r="D9027" s="28"/>
      <c r="F9027" s="28"/>
      <c r="H9027" s="28"/>
    </row>
    <row r="9028" spans="4:8" x14ac:dyDescent="0.25">
      <c r="D9028" s="28"/>
      <c r="F9028" s="28"/>
      <c r="H9028" s="28"/>
    </row>
    <row r="9029" spans="4:8" x14ac:dyDescent="0.25">
      <c r="D9029" s="28"/>
      <c r="F9029" s="28"/>
      <c r="H9029" s="28"/>
    </row>
    <row r="9030" spans="4:8" x14ac:dyDescent="0.25">
      <c r="D9030" s="28"/>
      <c r="F9030" s="28"/>
      <c r="H9030" s="28"/>
    </row>
    <row r="9031" spans="4:8" x14ac:dyDescent="0.25">
      <c r="D9031" s="28"/>
      <c r="F9031" s="28"/>
      <c r="H9031" s="28"/>
    </row>
    <row r="9032" spans="4:8" x14ac:dyDescent="0.25">
      <c r="D9032" s="28"/>
      <c r="F9032" s="28"/>
      <c r="H9032" s="28"/>
    </row>
    <row r="9033" spans="4:8" x14ac:dyDescent="0.25">
      <c r="D9033" s="28"/>
      <c r="F9033" s="28"/>
      <c r="H9033" s="28"/>
    </row>
    <row r="9034" spans="4:8" x14ac:dyDescent="0.25">
      <c r="D9034" s="28"/>
      <c r="F9034" s="28"/>
      <c r="H9034" s="28"/>
    </row>
    <row r="9035" spans="4:8" x14ac:dyDescent="0.25">
      <c r="D9035" s="28"/>
      <c r="F9035" s="28"/>
      <c r="H9035" s="28"/>
    </row>
    <row r="9036" spans="4:8" x14ac:dyDescent="0.25">
      <c r="D9036" s="28"/>
      <c r="F9036" s="28"/>
      <c r="H9036" s="28"/>
    </row>
    <row r="9037" spans="4:8" x14ac:dyDescent="0.25">
      <c r="D9037" s="28"/>
      <c r="F9037" s="28"/>
      <c r="H9037" s="28"/>
    </row>
    <row r="9038" spans="4:8" x14ac:dyDescent="0.25">
      <c r="D9038" s="28"/>
      <c r="F9038" s="28"/>
      <c r="H9038" s="28"/>
    </row>
    <row r="9039" spans="4:8" x14ac:dyDescent="0.25">
      <c r="D9039" s="28"/>
      <c r="F9039" s="28"/>
      <c r="H9039" s="28"/>
    </row>
    <row r="9040" spans="4:8" x14ac:dyDescent="0.25">
      <c r="D9040" s="28"/>
      <c r="F9040" s="28"/>
      <c r="H9040" s="28"/>
    </row>
    <row r="9041" spans="4:8" x14ac:dyDescent="0.25">
      <c r="D9041" s="28"/>
      <c r="F9041" s="28"/>
      <c r="H9041" s="28"/>
    </row>
    <row r="9042" spans="4:8" x14ac:dyDescent="0.25">
      <c r="D9042" s="28"/>
      <c r="F9042" s="28"/>
      <c r="H9042" s="28"/>
    </row>
    <row r="9043" spans="4:8" x14ac:dyDescent="0.25">
      <c r="D9043" s="28"/>
      <c r="F9043" s="28"/>
      <c r="H9043" s="28"/>
    </row>
    <row r="9044" spans="4:8" x14ac:dyDescent="0.25">
      <c r="D9044" s="28"/>
      <c r="F9044" s="28"/>
      <c r="H9044" s="28"/>
    </row>
    <row r="9045" spans="4:8" x14ac:dyDescent="0.25">
      <c r="D9045" s="28"/>
      <c r="F9045" s="28"/>
      <c r="H9045" s="28"/>
    </row>
    <row r="9046" spans="4:8" x14ac:dyDescent="0.25">
      <c r="D9046" s="28"/>
      <c r="F9046" s="28"/>
      <c r="H9046" s="28"/>
    </row>
    <row r="9047" spans="4:8" x14ac:dyDescent="0.25">
      <c r="D9047" s="28"/>
      <c r="F9047" s="28"/>
      <c r="H9047" s="28"/>
    </row>
    <row r="9048" spans="4:8" x14ac:dyDescent="0.25">
      <c r="D9048" s="28"/>
      <c r="F9048" s="28"/>
      <c r="H9048" s="28"/>
    </row>
    <row r="9049" spans="4:8" x14ac:dyDescent="0.25">
      <c r="D9049" s="28"/>
      <c r="F9049" s="28"/>
      <c r="H9049" s="28"/>
    </row>
    <row r="9050" spans="4:8" x14ac:dyDescent="0.25">
      <c r="D9050" s="28"/>
      <c r="F9050" s="28"/>
      <c r="H9050" s="28"/>
    </row>
    <row r="9051" spans="4:8" x14ac:dyDescent="0.25">
      <c r="D9051" s="28"/>
      <c r="F9051" s="28"/>
      <c r="H9051" s="28"/>
    </row>
    <row r="9052" spans="4:8" x14ac:dyDescent="0.25">
      <c r="D9052" s="28"/>
      <c r="F9052" s="28"/>
      <c r="H9052" s="28"/>
    </row>
    <row r="9053" spans="4:8" x14ac:dyDescent="0.25">
      <c r="D9053" s="28"/>
      <c r="F9053" s="28"/>
      <c r="H9053" s="28"/>
    </row>
    <row r="9054" spans="4:8" x14ac:dyDescent="0.25">
      <c r="D9054" s="28"/>
      <c r="F9054" s="28"/>
      <c r="H9054" s="28"/>
    </row>
    <row r="9055" spans="4:8" x14ac:dyDescent="0.25">
      <c r="D9055" s="28"/>
      <c r="F9055" s="28"/>
      <c r="H9055" s="28"/>
    </row>
    <row r="9056" spans="4:8" x14ac:dyDescent="0.25">
      <c r="D9056" s="28"/>
      <c r="F9056" s="28"/>
      <c r="H9056" s="28"/>
    </row>
    <row r="9057" spans="4:8" x14ac:dyDescent="0.25">
      <c r="D9057" s="28"/>
      <c r="F9057" s="28"/>
      <c r="H9057" s="28"/>
    </row>
    <row r="9058" spans="4:8" x14ac:dyDescent="0.25">
      <c r="D9058" s="28"/>
      <c r="F9058" s="28"/>
      <c r="H9058" s="28"/>
    </row>
    <row r="9059" spans="4:8" x14ac:dyDescent="0.25">
      <c r="D9059" s="28"/>
      <c r="F9059" s="28"/>
      <c r="H9059" s="28"/>
    </row>
    <row r="9060" spans="4:8" x14ac:dyDescent="0.25">
      <c r="D9060" s="28"/>
      <c r="F9060" s="28"/>
      <c r="H9060" s="28"/>
    </row>
    <row r="9061" spans="4:8" x14ac:dyDescent="0.25">
      <c r="D9061" s="28"/>
      <c r="F9061" s="28"/>
      <c r="H9061" s="28"/>
    </row>
    <row r="9062" spans="4:8" x14ac:dyDescent="0.25">
      <c r="D9062" s="28"/>
      <c r="F9062" s="28"/>
      <c r="H9062" s="28"/>
    </row>
    <row r="9063" spans="4:8" x14ac:dyDescent="0.25">
      <c r="D9063" s="28"/>
      <c r="F9063" s="28"/>
      <c r="H9063" s="28"/>
    </row>
    <row r="9064" spans="4:8" x14ac:dyDescent="0.25">
      <c r="D9064" s="28"/>
      <c r="F9064" s="28"/>
      <c r="H9064" s="28"/>
    </row>
    <row r="9065" spans="4:8" x14ac:dyDescent="0.25">
      <c r="D9065" s="28"/>
      <c r="F9065" s="28"/>
      <c r="H9065" s="28"/>
    </row>
    <row r="9066" spans="4:8" x14ac:dyDescent="0.25">
      <c r="D9066" s="28"/>
      <c r="F9066" s="28"/>
      <c r="H9066" s="28"/>
    </row>
    <row r="9067" spans="4:8" x14ac:dyDescent="0.25">
      <c r="D9067" s="28"/>
      <c r="F9067" s="28"/>
      <c r="H9067" s="28"/>
    </row>
    <row r="9068" spans="4:8" x14ac:dyDescent="0.25">
      <c r="D9068" s="28"/>
      <c r="F9068" s="28"/>
      <c r="H9068" s="28"/>
    </row>
    <row r="9069" spans="4:8" x14ac:dyDescent="0.25">
      <c r="D9069" s="28"/>
      <c r="F9069" s="28"/>
      <c r="H9069" s="28"/>
    </row>
    <row r="9070" spans="4:8" x14ac:dyDescent="0.25">
      <c r="D9070" s="28"/>
      <c r="F9070" s="28"/>
      <c r="H9070" s="28"/>
    </row>
    <row r="9071" spans="4:8" x14ac:dyDescent="0.25">
      <c r="D9071" s="28"/>
      <c r="F9071" s="28"/>
      <c r="H9071" s="28"/>
    </row>
    <row r="9072" spans="4:8" x14ac:dyDescent="0.25">
      <c r="D9072" s="28"/>
      <c r="F9072" s="28"/>
      <c r="H9072" s="28"/>
    </row>
    <row r="9073" spans="4:8" x14ac:dyDescent="0.25">
      <c r="D9073" s="28"/>
      <c r="F9073" s="28"/>
      <c r="H9073" s="28"/>
    </row>
    <row r="9074" spans="4:8" x14ac:dyDescent="0.25">
      <c r="D9074" s="28"/>
      <c r="F9074" s="28"/>
      <c r="H9074" s="28"/>
    </row>
    <row r="9075" spans="4:8" x14ac:dyDescent="0.25">
      <c r="D9075" s="28"/>
      <c r="F9075" s="28"/>
      <c r="H9075" s="28"/>
    </row>
    <row r="9076" spans="4:8" x14ac:dyDescent="0.25">
      <c r="D9076" s="28"/>
      <c r="F9076" s="28"/>
      <c r="H9076" s="28"/>
    </row>
    <row r="9077" spans="4:8" x14ac:dyDescent="0.25">
      <c r="D9077" s="28"/>
      <c r="F9077" s="28"/>
      <c r="H9077" s="28"/>
    </row>
    <row r="9078" spans="4:8" x14ac:dyDescent="0.25">
      <c r="D9078" s="28"/>
      <c r="F9078" s="28"/>
      <c r="H9078" s="28"/>
    </row>
    <row r="9079" spans="4:8" x14ac:dyDescent="0.25">
      <c r="D9079" s="28"/>
      <c r="F9079" s="28"/>
      <c r="H9079" s="28"/>
    </row>
    <row r="9080" spans="4:8" x14ac:dyDescent="0.25">
      <c r="D9080" s="28"/>
      <c r="F9080" s="28"/>
      <c r="H9080" s="28"/>
    </row>
    <row r="9081" spans="4:8" x14ac:dyDescent="0.25">
      <c r="D9081" s="28"/>
      <c r="F9081" s="28"/>
      <c r="H9081" s="28"/>
    </row>
    <row r="9082" spans="4:8" x14ac:dyDescent="0.25">
      <c r="D9082" s="28"/>
      <c r="F9082" s="28"/>
      <c r="H9082" s="28"/>
    </row>
    <row r="9083" spans="4:8" x14ac:dyDescent="0.25">
      <c r="D9083" s="28"/>
      <c r="F9083" s="28"/>
      <c r="H9083" s="28"/>
    </row>
    <row r="9084" spans="4:8" x14ac:dyDescent="0.25">
      <c r="D9084" s="28"/>
      <c r="F9084" s="28"/>
      <c r="H9084" s="28"/>
    </row>
    <row r="9085" spans="4:8" x14ac:dyDescent="0.25">
      <c r="D9085" s="28"/>
      <c r="F9085" s="28"/>
      <c r="H9085" s="28"/>
    </row>
    <row r="9086" spans="4:8" x14ac:dyDescent="0.25">
      <c r="D9086" s="28"/>
      <c r="F9086" s="28"/>
      <c r="H9086" s="28"/>
    </row>
    <row r="9087" spans="4:8" x14ac:dyDescent="0.25">
      <c r="D9087" s="28"/>
      <c r="F9087" s="28"/>
      <c r="H9087" s="28"/>
    </row>
    <row r="9088" spans="4:8" x14ac:dyDescent="0.25">
      <c r="D9088" s="28"/>
      <c r="F9088" s="28"/>
      <c r="H9088" s="28"/>
    </row>
    <row r="9089" spans="4:8" x14ac:dyDescent="0.25">
      <c r="D9089" s="28"/>
      <c r="F9089" s="28"/>
      <c r="H9089" s="28"/>
    </row>
    <row r="9090" spans="4:8" x14ac:dyDescent="0.25">
      <c r="D9090" s="28"/>
      <c r="F9090" s="28"/>
      <c r="H9090" s="28"/>
    </row>
    <row r="9091" spans="4:8" x14ac:dyDescent="0.25">
      <c r="D9091" s="28"/>
      <c r="F9091" s="28"/>
      <c r="H9091" s="28"/>
    </row>
    <row r="9092" spans="4:8" x14ac:dyDescent="0.25">
      <c r="D9092" s="28"/>
      <c r="F9092" s="28"/>
      <c r="H9092" s="28"/>
    </row>
    <row r="9093" spans="4:8" x14ac:dyDescent="0.25">
      <c r="D9093" s="28"/>
      <c r="F9093" s="28"/>
      <c r="H9093" s="28"/>
    </row>
    <row r="9094" spans="4:8" x14ac:dyDescent="0.25">
      <c r="D9094" s="28"/>
      <c r="F9094" s="28"/>
      <c r="H9094" s="28"/>
    </row>
    <row r="9095" spans="4:8" x14ac:dyDescent="0.25">
      <c r="D9095" s="28"/>
      <c r="F9095" s="28"/>
      <c r="H9095" s="28"/>
    </row>
    <row r="9096" spans="4:8" x14ac:dyDescent="0.25">
      <c r="D9096" s="28"/>
      <c r="F9096" s="28"/>
      <c r="H9096" s="28"/>
    </row>
    <row r="9097" spans="4:8" x14ac:dyDescent="0.25">
      <c r="D9097" s="28"/>
      <c r="F9097" s="28"/>
      <c r="H9097" s="28"/>
    </row>
    <row r="9098" spans="4:8" x14ac:dyDescent="0.25">
      <c r="D9098" s="28"/>
      <c r="F9098" s="28"/>
      <c r="H9098" s="28"/>
    </row>
    <row r="9099" spans="4:8" x14ac:dyDescent="0.25">
      <c r="D9099" s="28"/>
      <c r="F9099" s="28"/>
      <c r="H9099" s="28"/>
    </row>
    <row r="9100" spans="4:8" x14ac:dyDescent="0.25">
      <c r="D9100" s="28"/>
      <c r="F9100" s="28"/>
      <c r="H9100" s="28"/>
    </row>
    <row r="9101" spans="4:8" x14ac:dyDescent="0.25">
      <c r="D9101" s="28"/>
      <c r="F9101" s="28"/>
      <c r="H9101" s="28"/>
    </row>
    <row r="9102" spans="4:8" x14ac:dyDescent="0.25">
      <c r="D9102" s="28"/>
      <c r="F9102" s="28"/>
      <c r="H9102" s="28"/>
    </row>
    <row r="9103" spans="4:8" x14ac:dyDescent="0.25">
      <c r="D9103" s="28"/>
      <c r="F9103" s="28"/>
      <c r="H9103" s="28"/>
    </row>
    <row r="9104" spans="4:8" x14ac:dyDescent="0.25">
      <c r="D9104" s="28"/>
      <c r="F9104" s="28"/>
      <c r="H9104" s="28"/>
    </row>
    <row r="9105" spans="4:8" x14ac:dyDescent="0.25">
      <c r="D9105" s="28"/>
      <c r="F9105" s="28"/>
      <c r="H9105" s="28"/>
    </row>
    <row r="9106" spans="4:8" x14ac:dyDescent="0.25">
      <c r="D9106" s="28"/>
      <c r="F9106" s="28"/>
      <c r="H9106" s="28"/>
    </row>
    <row r="9107" spans="4:8" x14ac:dyDescent="0.25">
      <c r="D9107" s="28"/>
      <c r="F9107" s="28"/>
      <c r="H9107" s="28"/>
    </row>
    <row r="9108" spans="4:8" x14ac:dyDescent="0.25">
      <c r="D9108" s="28"/>
      <c r="F9108" s="28"/>
      <c r="H9108" s="28"/>
    </row>
    <row r="9109" spans="4:8" x14ac:dyDescent="0.25">
      <c r="D9109" s="28"/>
      <c r="F9109" s="28"/>
      <c r="H9109" s="28"/>
    </row>
    <row r="9110" spans="4:8" x14ac:dyDescent="0.25">
      <c r="D9110" s="28"/>
      <c r="F9110" s="28"/>
      <c r="H9110" s="28"/>
    </row>
    <row r="9111" spans="4:8" x14ac:dyDescent="0.25">
      <c r="D9111" s="28"/>
      <c r="F9111" s="28"/>
      <c r="H9111" s="28"/>
    </row>
    <row r="9112" spans="4:8" x14ac:dyDescent="0.25">
      <c r="D9112" s="28"/>
      <c r="F9112" s="28"/>
      <c r="H9112" s="28"/>
    </row>
    <row r="9113" spans="4:8" x14ac:dyDescent="0.25">
      <c r="D9113" s="28"/>
      <c r="F9113" s="28"/>
      <c r="H9113" s="28"/>
    </row>
    <row r="9114" spans="4:8" x14ac:dyDescent="0.25">
      <c r="D9114" s="28"/>
      <c r="F9114" s="28"/>
      <c r="H9114" s="28"/>
    </row>
    <row r="9115" spans="4:8" x14ac:dyDescent="0.25">
      <c r="D9115" s="28"/>
      <c r="F9115" s="28"/>
      <c r="H9115" s="28"/>
    </row>
    <row r="9116" spans="4:8" x14ac:dyDescent="0.25">
      <c r="D9116" s="28"/>
      <c r="F9116" s="28"/>
      <c r="H9116" s="28"/>
    </row>
    <row r="9117" spans="4:8" x14ac:dyDescent="0.25">
      <c r="D9117" s="28"/>
      <c r="F9117" s="28"/>
      <c r="H9117" s="28"/>
    </row>
    <row r="9118" spans="4:8" x14ac:dyDescent="0.25">
      <c r="D9118" s="28"/>
      <c r="F9118" s="28"/>
      <c r="H9118" s="28"/>
    </row>
    <row r="9119" spans="4:8" x14ac:dyDescent="0.25">
      <c r="D9119" s="28"/>
      <c r="F9119" s="28"/>
      <c r="H9119" s="28"/>
    </row>
    <row r="9120" spans="4:8" x14ac:dyDescent="0.25">
      <c r="D9120" s="28"/>
      <c r="F9120" s="28"/>
      <c r="H9120" s="28"/>
    </row>
    <row r="9121" spans="4:8" x14ac:dyDescent="0.25">
      <c r="D9121" s="28"/>
      <c r="F9121" s="28"/>
      <c r="H9121" s="28"/>
    </row>
    <row r="9122" spans="4:8" x14ac:dyDescent="0.25">
      <c r="D9122" s="28"/>
      <c r="F9122" s="28"/>
      <c r="H9122" s="28"/>
    </row>
    <row r="9123" spans="4:8" x14ac:dyDescent="0.25">
      <c r="D9123" s="28"/>
      <c r="F9123" s="28"/>
      <c r="H9123" s="28"/>
    </row>
    <row r="9124" spans="4:8" x14ac:dyDescent="0.25">
      <c r="D9124" s="28"/>
      <c r="F9124" s="28"/>
      <c r="H9124" s="28"/>
    </row>
    <row r="9125" spans="4:8" x14ac:dyDescent="0.25">
      <c r="D9125" s="28"/>
      <c r="F9125" s="28"/>
      <c r="H9125" s="28"/>
    </row>
    <row r="9126" spans="4:8" x14ac:dyDescent="0.25">
      <c r="D9126" s="28"/>
      <c r="F9126" s="28"/>
      <c r="H9126" s="28"/>
    </row>
    <row r="9127" spans="4:8" x14ac:dyDescent="0.25">
      <c r="D9127" s="28"/>
      <c r="F9127" s="28"/>
      <c r="H9127" s="28"/>
    </row>
    <row r="9128" spans="4:8" x14ac:dyDescent="0.25">
      <c r="D9128" s="28"/>
      <c r="F9128" s="28"/>
      <c r="H9128" s="28"/>
    </row>
    <row r="9129" spans="4:8" x14ac:dyDescent="0.25">
      <c r="D9129" s="28"/>
      <c r="F9129" s="28"/>
      <c r="H9129" s="28"/>
    </row>
    <row r="9130" spans="4:8" x14ac:dyDescent="0.25">
      <c r="D9130" s="28"/>
      <c r="F9130" s="28"/>
      <c r="H9130" s="28"/>
    </row>
    <row r="9131" spans="4:8" x14ac:dyDescent="0.25">
      <c r="D9131" s="28"/>
      <c r="F9131" s="28"/>
      <c r="H9131" s="28"/>
    </row>
    <row r="9132" spans="4:8" x14ac:dyDescent="0.25">
      <c r="D9132" s="28"/>
      <c r="F9132" s="28"/>
      <c r="H9132" s="28"/>
    </row>
    <row r="9133" spans="4:8" x14ac:dyDescent="0.25">
      <c r="D9133" s="28"/>
      <c r="F9133" s="28"/>
      <c r="H9133" s="28"/>
    </row>
    <row r="9134" spans="4:8" x14ac:dyDescent="0.25">
      <c r="D9134" s="28"/>
      <c r="F9134" s="28"/>
      <c r="H9134" s="28"/>
    </row>
    <row r="9135" spans="4:8" x14ac:dyDescent="0.25">
      <c r="D9135" s="28"/>
      <c r="F9135" s="28"/>
      <c r="H9135" s="28"/>
    </row>
    <row r="9136" spans="4:8" x14ac:dyDescent="0.25">
      <c r="D9136" s="28"/>
      <c r="F9136" s="28"/>
      <c r="H9136" s="28"/>
    </row>
    <row r="9137" spans="4:8" x14ac:dyDescent="0.25">
      <c r="D9137" s="28"/>
      <c r="F9137" s="28"/>
      <c r="H9137" s="28"/>
    </row>
    <row r="9138" spans="4:8" x14ac:dyDescent="0.25">
      <c r="D9138" s="28"/>
      <c r="F9138" s="28"/>
      <c r="H9138" s="28"/>
    </row>
    <row r="9139" spans="4:8" x14ac:dyDescent="0.25">
      <c r="D9139" s="28"/>
      <c r="F9139" s="28"/>
      <c r="H9139" s="28"/>
    </row>
    <row r="9140" spans="4:8" x14ac:dyDescent="0.25">
      <c r="D9140" s="28"/>
      <c r="F9140" s="28"/>
      <c r="H9140" s="28"/>
    </row>
    <row r="9141" spans="4:8" x14ac:dyDescent="0.25">
      <c r="D9141" s="28"/>
      <c r="F9141" s="28"/>
      <c r="H9141" s="28"/>
    </row>
    <row r="9142" spans="4:8" x14ac:dyDescent="0.25">
      <c r="D9142" s="28"/>
      <c r="F9142" s="28"/>
      <c r="H9142" s="28"/>
    </row>
    <row r="9143" spans="4:8" x14ac:dyDescent="0.25">
      <c r="D9143" s="28"/>
      <c r="F9143" s="28"/>
      <c r="H9143" s="28"/>
    </row>
    <row r="9144" spans="4:8" x14ac:dyDescent="0.25">
      <c r="D9144" s="28"/>
      <c r="F9144" s="28"/>
      <c r="H9144" s="28"/>
    </row>
    <row r="9145" spans="4:8" x14ac:dyDescent="0.25">
      <c r="D9145" s="28"/>
      <c r="F9145" s="28"/>
      <c r="H9145" s="28"/>
    </row>
    <row r="9146" spans="4:8" x14ac:dyDescent="0.25">
      <c r="D9146" s="28"/>
      <c r="F9146" s="28"/>
      <c r="H9146" s="28"/>
    </row>
    <row r="9147" spans="4:8" x14ac:dyDescent="0.25">
      <c r="D9147" s="28"/>
      <c r="F9147" s="28"/>
      <c r="H9147" s="28"/>
    </row>
    <row r="9148" spans="4:8" x14ac:dyDescent="0.25">
      <c r="D9148" s="28"/>
      <c r="F9148" s="28"/>
      <c r="H9148" s="28"/>
    </row>
    <row r="9149" spans="4:8" x14ac:dyDescent="0.25">
      <c r="D9149" s="28"/>
      <c r="F9149" s="28"/>
      <c r="H9149" s="28"/>
    </row>
    <row r="9150" spans="4:8" x14ac:dyDescent="0.25">
      <c r="D9150" s="28"/>
      <c r="F9150" s="28"/>
      <c r="H9150" s="28"/>
    </row>
    <row r="9151" spans="4:8" x14ac:dyDescent="0.25">
      <c r="D9151" s="28"/>
      <c r="F9151" s="28"/>
      <c r="H9151" s="28"/>
    </row>
    <row r="9152" spans="4:8" x14ac:dyDescent="0.25">
      <c r="D9152" s="28"/>
      <c r="F9152" s="28"/>
      <c r="H9152" s="28"/>
    </row>
    <row r="9153" spans="4:8" x14ac:dyDescent="0.25">
      <c r="D9153" s="28"/>
      <c r="F9153" s="28"/>
      <c r="H9153" s="28"/>
    </row>
    <row r="9154" spans="4:8" x14ac:dyDescent="0.25">
      <c r="D9154" s="28"/>
      <c r="F9154" s="28"/>
      <c r="H9154" s="28"/>
    </row>
    <row r="9155" spans="4:8" x14ac:dyDescent="0.25">
      <c r="D9155" s="28"/>
      <c r="F9155" s="28"/>
      <c r="H9155" s="28"/>
    </row>
    <row r="9156" spans="4:8" x14ac:dyDescent="0.25">
      <c r="D9156" s="28"/>
      <c r="F9156" s="28"/>
      <c r="H9156" s="28"/>
    </row>
    <row r="9157" spans="4:8" x14ac:dyDescent="0.25">
      <c r="D9157" s="28"/>
      <c r="F9157" s="28"/>
      <c r="H9157" s="28"/>
    </row>
    <row r="9158" spans="4:8" x14ac:dyDescent="0.25">
      <c r="D9158" s="28"/>
      <c r="F9158" s="28"/>
      <c r="H9158" s="28"/>
    </row>
    <row r="9159" spans="4:8" x14ac:dyDescent="0.25">
      <c r="D9159" s="28"/>
      <c r="F9159" s="28"/>
      <c r="H9159" s="28"/>
    </row>
    <row r="9160" spans="4:8" x14ac:dyDescent="0.25">
      <c r="D9160" s="28"/>
      <c r="F9160" s="28"/>
      <c r="H9160" s="28"/>
    </row>
    <row r="9161" spans="4:8" x14ac:dyDescent="0.25">
      <c r="D9161" s="28"/>
      <c r="F9161" s="28"/>
      <c r="H9161" s="28"/>
    </row>
    <row r="9162" spans="4:8" x14ac:dyDescent="0.25">
      <c r="D9162" s="28"/>
      <c r="F9162" s="28"/>
      <c r="H9162" s="28"/>
    </row>
    <row r="9163" spans="4:8" x14ac:dyDescent="0.25">
      <c r="D9163" s="28"/>
      <c r="F9163" s="28"/>
      <c r="H9163" s="28"/>
    </row>
    <row r="9164" spans="4:8" x14ac:dyDescent="0.25">
      <c r="D9164" s="28"/>
      <c r="F9164" s="28"/>
      <c r="H9164" s="28"/>
    </row>
    <row r="9165" spans="4:8" x14ac:dyDescent="0.25">
      <c r="D9165" s="28"/>
      <c r="F9165" s="28"/>
      <c r="H9165" s="28"/>
    </row>
    <row r="9166" spans="4:8" x14ac:dyDescent="0.25">
      <c r="D9166" s="28"/>
      <c r="F9166" s="28"/>
      <c r="H9166" s="28"/>
    </row>
    <row r="9167" spans="4:8" x14ac:dyDescent="0.25">
      <c r="D9167" s="28"/>
      <c r="F9167" s="28"/>
      <c r="H9167" s="28"/>
    </row>
    <row r="9168" spans="4:8" x14ac:dyDescent="0.25">
      <c r="D9168" s="28"/>
      <c r="F9168" s="28"/>
      <c r="H9168" s="28"/>
    </row>
    <row r="9169" spans="4:8" x14ac:dyDescent="0.25">
      <c r="D9169" s="28"/>
      <c r="F9169" s="28"/>
      <c r="H9169" s="28"/>
    </row>
    <row r="9170" spans="4:8" x14ac:dyDescent="0.25">
      <c r="D9170" s="28"/>
      <c r="F9170" s="28"/>
      <c r="H9170" s="28"/>
    </row>
    <row r="9171" spans="4:8" x14ac:dyDescent="0.25">
      <c r="D9171" s="28"/>
      <c r="F9171" s="28"/>
      <c r="H9171" s="28"/>
    </row>
    <row r="9172" spans="4:8" x14ac:dyDescent="0.25">
      <c r="D9172" s="28"/>
      <c r="F9172" s="28"/>
      <c r="H9172" s="28"/>
    </row>
    <row r="9173" spans="4:8" x14ac:dyDescent="0.25">
      <c r="D9173" s="28"/>
      <c r="F9173" s="28"/>
      <c r="H9173" s="28"/>
    </row>
    <row r="9174" spans="4:8" x14ac:dyDescent="0.25">
      <c r="D9174" s="28"/>
      <c r="F9174" s="28"/>
      <c r="H9174" s="28"/>
    </row>
    <row r="9175" spans="4:8" x14ac:dyDescent="0.25">
      <c r="D9175" s="28"/>
      <c r="F9175" s="28"/>
      <c r="H9175" s="28"/>
    </row>
    <row r="9176" spans="4:8" x14ac:dyDescent="0.25">
      <c r="D9176" s="28"/>
      <c r="F9176" s="28"/>
      <c r="H9176" s="28"/>
    </row>
    <row r="9177" spans="4:8" x14ac:dyDescent="0.25">
      <c r="D9177" s="28"/>
      <c r="F9177" s="28"/>
      <c r="H9177" s="28"/>
    </row>
    <row r="9178" spans="4:8" x14ac:dyDescent="0.25">
      <c r="D9178" s="28"/>
      <c r="F9178" s="28"/>
      <c r="H9178" s="28"/>
    </row>
    <row r="9179" spans="4:8" x14ac:dyDescent="0.25">
      <c r="D9179" s="28"/>
      <c r="F9179" s="28"/>
      <c r="H9179" s="28"/>
    </row>
    <row r="9180" spans="4:8" x14ac:dyDescent="0.25">
      <c r="D9180" s="28"/>
      <c r="F9180" s="28"/>
      <c r="H9180" s="28"/>
    </row>
    <row r="9181" spans="4:8" x14ac:dyDescent="0.25">
      <c r="D9181" s="28"/>
      <c r="F9181" s="28"/>
      <c r="H9181" s="28"/>
    </row>
    <row r="9182" spans="4:8" x14ac:dyDescent="0.25">
      <c r="D9182" s="28"/>
      <c r="F9182" s="28"/>
      <c r="H9182" s="28"/>
    </row>
    <row r="9183" spans="4:8" x14ac:dyDescent="0.25">
      <c r="D9183" s="28"/>
      <c r="F9183" s="28"/>
      <c r="H9183" s="28"/>
    </row>
    <row r="9184" spans="4:8" x14ac:dyDescent="0.25">
      <c r="D9184" s="28"/>
      <c r="F9184" s="28"/>
      <c r="H9184" s="28"/>
    </row>
    <row r="9185" spans="4:8" x14ac:dyDescent="0.25">
      <c r="D9185" s="28"/>
      <c r="F9185" s="28"/>
      <c r="H9185" s="28"/>
    </row>
    <row r="9186" spans="4:8" x14ac:dyDescent="0.25">
      <c r="D9186" s="28"/>
      <c r="F9186" s="28"/>
      <c r="H9186" s="28"/>
    </row>
    <row r="9187" spans="4:8" x14ac:dyDescent="0.25">
      <c r="D9187" s="28"/>
      <c r="F9187" s="28"/>
      <c r="H9187" s="28"/>
    </row>
    <row r="9188" spans="4:8" x14ac:dyDescent="0.25">
      <c r="D9188" s="28"/>
      <c r="F9188" s="28"/>
      <c r="H9188" s="28"/>
    </row>
    <row r="9189" spans="4:8" x14ac:dyDescent="0.25">
      <c r="D9189" s="28"/>
      <c r="F9189" s="28"/>
      <c r="H9189" s="28"/>
    </row>
    <row r="9190" spans="4:8" x14ac:dyDescent="0.25">
      <c r="D9190" s="28"/>
      <c r="F9190" s="28"/>
      <c r="H9190" s="28"/>
    </row>
    <row r="9191" spans="4:8" x14ac:dyDescent="0.25">
      <c r="D9191" s="28"/>
      <c r="F9191" s="28"/>
      <c r="H9191" s="28"/>
    </row>
    <row r="9192" spans="4:8" x14ac:dyDescent="0.25">
      <c r="D9192" s="28"/>
      <c r="F9192" s="28"/>
      <c r="H9192" s="28"/>
    </row>
    <row r="9193" spans="4:8" x14ac:dyDescent="0.25">
      <c r="D9193" s="28"/>
      <c r="F9193" s="28"/>
      <c r="H9193" s="28"/>
    </row>
    <row r="9194" spans="4:8" x14ac:dyDescent="0.25">
      <c r="D9194" s="28"/>
      <c r="F9194" s="28"/>
      <c r="H9194" s="28"/>
    </row>
    <row r="9195" spans="4:8" x14ac:dyDescent="0.25">
      <c r="D9195" s="28"/>
      <c r="F9195" s="28"/>
      <c r="H9195" s="28"/>
    </row>
    <row r="9196" spans="4:8" x14ac:dyDescent="0.25">
      <c r="D9196" s="28"/>
      <c r="F9196" s="28"/>
      <c r="H9196" s="28"/>
    </row>
    <row r="9197" spans="4:8" x14ac:dyDescent="0.25">
      <c r="D9197" s="28"/>
      <c r="F9197" s="28"/>
      <c r="H9197" s="28"/>
    </row>
    <row r="9198" spans="4:8" x14ac:dyDescent="0.25">
      <c r="D9198" s="28"/>
      <c r="F9198" s="28"/>
      <c r="H9198" s="28"/>
    </row>
    <row r="9199" spans="4:8" x14ac:dyDescent="0.25">
      <c r="D9199" s="28"/>
      <c r="F9199" s="28"/>
      <c r="H9199" s="28"/>
    </row>
    <row r="9200" spans="4:8" x14ac:dyDescent="0.25">
      <c r="D9200" s="28"/>
      <c r="F9200" s="28"/>
      <c r="H9200" s="28"/>
    </row>
    <row r="9201" spans="4:8" x14ac:dyDescent="0.25">
      <c r="D9201" s="28"/>
      <c r="F9201" s="28"/>
      <c r="H9201" s="28"/>
    </row>
    <row r="9202" spans="4:8" x14ac:dyDescent="0.25">
      <c r="D9202" s="28"/>
      <c r="F9202" s="28"/>
      <c r="H9202" s="28"/>
    </row>
    <row r="9203" spans="4:8" x14ac:dyDescent="0.25">
      <c r="D9203" s="28"/>
      <c r="F9203" s="28"/>
      <c r="H9203" s="28"/>
    </row>
    <row r="9204" spans="4:8" x14ac:dyDescent="0.25">
      <c r="D9204" s="28"/>
      <c r="F9204" s="28"/>
      <c r="H9204" s="28"/>
    </row>
    <row r="9205" spans="4:8" x14ac:dyDescent="0.25">
      <c r="D9205" s="28"/>
      <c r="F9205" s="28"/>
      <c r="H9205" s="28"/>
    </row>
    <row r="9206" spans="4:8" x14ac:dyDescent="0.25">
      <c r="D9206" s="28"/>
      <c r="F9206" s="28"/>
      <c r="H9206" s="28"/>
    </row>
    <row r="9207" spans="4:8" x14ac:dyDescent="0.25">
      <c r="D9207" s="28"/>
      <c r="F9207" s="28"/>
      <c r="H9207" s="28"/>
    </row>
    <row r="9208" spans="4:8" x14ac:dyDescent="0.25">
      <c r="D9208" s="28"/>
      <c r="F9208" s="28"/>
      <c r="H9208" s="28"/>
    </row>
    <row r="9209" spans="4:8" x14ac:dyDescent="0.25">
      <c r="D9209" s="28"/>
      <c r="F9209" s="28"/>
      <c r="H9209" s="28"/>
    </row>
    <row r="9210" spans="4:8" x14ac:dyDescent="0.25">
      <c r="D9210" s="28"/>
      <c r="F9210" s="28"/>
      <c r="H9210" s="28"/>
    </row>
    <row r="9211" spans="4:8" x14ac:dyDescent="0.25">
      <c r="D9211" s="28"/>
      <c r="F9211" s="28"/>
      <c r="H9211" s="28"/>
    </row>
    <row r="9212" spans="4:8" x14ac:dyDescent="0.25">
      <c r="D9212" s="28"/>
      <c r="F9212" s="28"/>
      <c r="H9212" s="28"/>
    </row>
    <row r="9213" spans="4:8" x14ac:dyDescent="0.25">
      <c r="D9213" s="28"/>
      <c r="F9213" s="28"/>
      <c r="H9213" s="28"/>
    </row>
    <row r="9214" spans="4:8" x14ac:dyDescent="0.25">
      <c r="D9214" s="28"/>
      <c r="F9214" s="28"/>
      <c r="H9214" s="28"/>
    </row>
    <row r="9215" spans="4:8" x14ac:dyDescent="0.25">
      <c r="D9215" s="28"/>
      <c r="F9215" s="28"/>
      <c r="H9215" s="28"/>
    </row>
    <row r="9216" spans="4:8" x14ac:dyDescent="0.25">
      <c r="D9216" s="28"/>
      <c r="F9216" s="28"/>
      <c r="H9216" s="28"/>
    </row>
    <row r="9217" spans="4:8" x14ac:dyDescent="0.25">
      <c r="D9217" s="28"/>
      <c r="F9217" s="28"/>
      <c r="H9217" s="28"/>
    </row>
    <row r="9218" spans="4:8" x14ac:dyDescent="0.25">
      <c r="D9218" s="28"/>
      <c r="F9218" s="28"/>
      <c r="H9218" s="28"/>
    </row>
    <row r="9219" spans="4:8" x14ac:dyDescent="0.25">
      <c r="D9219" s="28"/>
      <c r="F9219" s="28"/>
      <c r="H9219" s="28"/>
    </row>
    <row r="9220" spans="4:8" x14ac:dyDescent="0.25">
      <c r="D9220" s="28"/>
      <c r="F9220" s="28"/>
      <c r="H9220" s="28"/>
    </row>
    <row r="9221" spans="4:8" x14ac:dyDescent="0.25">
      <c r="D9221" s="28"/>
      <c r="F9221" s="28"/>
      <c r="H9221" s="28"/>
    </row>
    <row r="9222" spans="4:8" x14ac:dyDescent="0.25">
      <c r="D9222" s="28"/>
      <c r="F9222" s="28"/>
      <c r="H9222" s="28"/>
    </row>
    <row r="9223" spans="4:8" x14ac:dyDescent="0.25">
      <c r="D9223" s="28"/>
      <c r="F9223" s="28"/>
      <c r="H9223" s="28"/>
    </row>
    <row r="9224" spans="4:8" x14ac:dyDescent="0.25">
      <c r="D9224" s="28"/>
      <c r="F9224" s="28"/>
      <c r="H9224" s="28"/>
    </row>
    <row r="9225" spans="4:8" x14ac:dyDescent="0.25">
      <c r="D9225" s="28"/>
      <c r="F9225" s="28"/>
      <c r="H9225" s="28"/>
    </row>
    <row r="9226" spans="4:8" x14ac:dyDescent="0.25">
      <c r="D9226" s="28"/>
      <c r="F9226" s="28"/>
      <c r="H9226" s="28"/>
    </row>
    <row r="9227" spans="4:8" x14ac:dyDescent="0.25">
      <c r="D9227" s="28"/>
      <c r="F9227" s="28"/>
      <c r="H9227" s="28"/>
    </row>
    <row r="9228" spans="4:8" x14ac:dyDescent="0.25">
      <c r="D9228" s="28"/>
      <c r="F9228" s="28"/>
      <c r="H9228" s="28"/>
    </row>
    <row r="9229" spans="4:8" x14ac:dyDescent="0.25">
      <c r="D9229" s="28"/>
      <c r="F9229" s="28"/>
      <c r="H9229" s="28"/>
    </row>
    <row r="9230" spans="4:8" x14ac:dyDescent="0.25">
      <c r="D9230" s="28"/>
      <c r="F9230" s="28"/>
      <c r="H9230" s="28"/>
    </row>
    <row r="9231" spans="4:8" x14ac:dyDescent="0.25">
      <c r="D9231" s="28"/>
      <c r="F9231" s="28"/>
      <c r="H9231" s="28"/>
    </row>
    <row r="9232" spans="4:8" x14ac:dyDescent="0.25">
      <c r="D9232" s="28"/>
      <c r="F9232" s="28"/>
      <c r="H9232" s="28"/>
    </row>
    <row r="9233" spans="4:8" x14ac:dyDescent="0.25">
      <c r="D9233" s="28"/>
      <c r="F9233" s="28"/>
      <c r="H9233" s="28"/>
    </row>
    <row r="9234" spans="4:8" x14ac:dyDescent="0.25">
      <c r="D9234" s="28"/>
      <c r="F9234" s="28"/>
      <c r="H9234" s="28"/>
    </row>
    <row r="9235" spans="4:8" x14ac:dyDescent="0.25">
      <c r="D9235" s="28"/>
      <c r="F9235" s="28"/>
      <c r="H9235" s="28"/>
    </row>
    <row r="9236" spans="4:8" x14ac:dyDescent="0.25">
      <c r="D9236" s="28"/>
      <c r="F9236" s="28"/>
      <c r="H9236" s="28"/>
    </row>
    <row r="9237" spans="4:8" x14ac:dyDescent="0.25">
      <c r="D9237" s="28"/>
      <c r="F9237" s="28"/>
      <c r="H9237" s="28"/>
    </row>
    <row r="9238" spans="4:8" x14ac:dyDescent="0.25">
      <c r="D9238" s="28"/>
      <c r="F9238" s="28"/>
      <c r="H9238" s="28"/>
    </row>
    <row r="9239" spans="4:8" x14ac:dyDescent="0.25">
      <c r="D9239" s="28"/>
      <c r="F9239" s="28"/>
      <c r="H9239" s="28"/>
    </row>
    <row r="9240" spans="4:8" x14ac:dyDescent="0.25">
      <c r="D9240" s="28"/>
      <c r="F9240" s="28"/>
      <c r="H9240" s="28"/>
    </row>
    <row r="9241" spans="4:8" x14ac:dyDescent="0.25">
      <c r="D9241" s="28"/>
      <c r="F9241" s="28"/>
      <c r="H9241" s="28"/>
    </row>
    <row r="9242" spans="4:8" x14ac:dyDescent="0.25">
      <c r="D9242" s="28"/>
      <c r="F9242" s="28"/>
      <c r="H9242" s="28"/>
    </row>
    <row r="9243" spans="4:8" x14ac:dyDescent="0.25">
      <c r="D9243" s="28"/>
      <c r="F9243" s="28"/>
      <c r="H9243" s="28"/>
    </row>
    <row r="9244" spans="4:8" x14ac:dyDescent="0.25">
      <c r="D9244" s="28"/>
      <c r="F9244" s="28"/>
      <c r="H9244" s="28"/>
    </row>
    <row r="9245" spans="4:8" x14ac:dyDescent="0.25">
      <c r="D9245" s="28"/>
      <c r="F9245" s="28"/>
      <c r="H9245" s="28"/>
    </row>
    <row r="9246" spans="4:8" x14ac:dyDescent="0.25">
      <c r="D9246" s="28"/>
      <c r="F9246" s="28"/>
      <c r="H9246" s="28"/>
    </row>
    <row r="9247" spans="4:8" x14ac:dyDescent="0.25">
      <c r="D9247" s="28"/>
      <c r="F9247" s="28"/>
      <c r="H9247" s="28"/>
    </row>
    <row r="9248" spans="4:8" x14ac:dyDescent="0.25">
      <c r="D9248" s="28"/>
      <c r="F9248" s="28"/>
      <c r="H9248" s="28"/>
    </row>
    <row r="9249" spans="4:8" x14ac:dyDescent="0.25">
      <c r="D9249" s="28"/>
      <c r="F9249" s="28"/>
      <c r="H9249" s="28"/>
    </row>
    <row r="9250" spans="4:8" x14ac:dyDescent="0.25">
      <c r="D9250" s="28"/>
      <c r="F9250" s="28"/>
      <c r="H9250" s="28"/>
    </row>
    <row r="9251" spans="4:8" x14ac:dyDescent="0.25">
      <c r="D9251" s="28"/>
      <c r="F9251" s="28"/>
      <c r="H9251" s="28"/>
    </row>
    <row r="9252" spans="4:8" x14ac:dyDescent="0.25">
      <c r="D9252" s="28"/>
      <c r="F9252" s="28"/>
      <c r="H9252" s="28"/>
    </row>
    <row r="9253" spans="4:8" x14ac:dyDescent="0.25">
      <c r="D9253" s="28"/>
      <c r="F9253" s="28"/>
      <c r="H9253" s="28"/>
    </row>
    <row r="9254" spans="4:8" x14ac:dyDescent="0.25">
      <c r="D9254" s="28"/>
      <c r="F9254" s="28"/>
      <c r="H9254" s="28"/>
    </row>
    <row r="9255" spans="4:8" x14ac:dyDescent="0.25">
      <c r="D9255" s="28"/>
      <c r="F9255" s="28"/>
      <c r="H9255" s="28"/>
    </row>
    <row r="9256" spans="4:8" x14ac:dyDescent="0.25">
      <c r="D9256" s="28"/>
      <c r="F9256" s="28"/>
      <c r="H9256" s="28"/>
    </row>
    <row r="9257" spans="4:8" x14ac:dyDescent="0.25">
      <c r="D9257" s="28"/>
      <c r="F9257" s="28"/>
      <c r="H9257" s="28"/>
    </row>
    <row r="9258" spans="4:8" x14ac:dyDescent="0.25">
      <c r="D9258" s="28"/>
      <c r="F9258" s="28"/>
      <c r="H9258" s="28"/>
    </row>
    <row r="9259" spans="4:8" x14ac:dyDescent="0.25">
      <c r="D9259" s="28"/>
      <c r="F9259" s="28"/>
      <c r="H9259" s="28"/>
    </row>
    <row r="9260" spans="4:8" x14ac:dyDescent="0.25">
      <c r="D9260" s="28"/>
      <c r="F9260" s="28"/>
      <c r="H9260" s="28"/>
    </row>
    <row r="9261" spans="4:8" x14ac:dyDescent="0.25">
      <c r="D9261" s="28"/>
      <c r="F9261" s="28"/>
      <c r="H9261" s="28"/>
    </row>
    <row r="9262" spans="4:8" x14ac:dyDescent="0.25">
      <c r="D9262" s="28"/>
      <c r="F9262" s="28"/>
      <c r="H9262" s="28"/>
    </row>
    <row r="9263" spans="4:8" x14ac:dyDescent="0.25">
      <c r="D9263" s="28"/>
      <c r="F9263" s="28"/>
      <c r="H9263" s="28"/>
    </row>
    <row r="9264" spans="4:8" x14ac:dyDescent="0.25">
      <c r="D9264" s="28"/>
      <c r="F9264" s="28"/>
      <c r="H9264" s="28"/>
    </row>
    <row r="9265" spans="4:8" x14ac:dyDescent="0.25">
      <c r="D9265" s="28"/>
      <c r="F9265" s="28"/>
      <c r="H9265" s="28"/>
    </row>
    <row r="9266" spans="4:8" x14ac:dyDescent="0.25">
      <c r="D9266" s="28"/>
      <c r="F9266" s="28"/>
      <c r="H9266" s="28"/>
    </row>
    <row r="9267" spans="4:8" x14ac:dyDescent="0.25">
      <c r="D9267" s="28"/>
      <c r="F9267" s="28"/>
      <c r="H9267" s="28"/>
    </row>
    <row r="9268" spans="4:8" x14ac:dyDescent="0.25">
      <c r="D9268" s="28"/>
      <c r="F9268" s="28"/>
      <c r="H9268" s="28"/>
    </row>
    <row r="9269" spans="4:8" x14ac:dyDescent="0.25">
      <c r="D9269" s="28"/>
      <c r="F9269" s="28"/>
      <c r="H9269" s="28"/>
    </row>
    <row r="9270" spans="4:8" x14ac:dyDescent="0.25">
      <c r="D9270" s="28"/>
      <c r="F9270" s="28"/>
      <c r="H9270" s="28"/>
    </row>
    <row r="9271" spans="4:8" x14ac:dyDescent="0.25">
      <c r="D9271" s="28"/>
      <c r="F9271" s="28"/>
      <c r="H9271" s="28"/>
    </row>
    <row r="9272" spans="4:8" x14ac:dyDescent="0.25">
      <c r="D9272" s="28"/>
      <c r="F9272" s="28"/>
      <c r="H9272" s="28"/>
    </row>
    <row r="9273" spans="4:8" x14ac:dyDescent="0.25">
      <c r="D9273" s="28"/>
      <c r="F9273" s="28"/>
      <c r="H9273" s="28"/>
    </row>
    <row r="9274" spans="4:8" x14ac:dyDescent="0.25">
      <c r="D9274" s="28"/>
      <c r="F9274" s="28"/>
      <c r="H9274" s="28"/>
    </row>
    <row r="9275" spans="4:8" x14ac:dyDescent="0.25">
      <c r="D9275" s="28"/>
      <c r="F9275" s="28"/>
      <c r="H9275" s="28"/>
    </row>
    <row r="9276" spans="4:8" x14ac:dyDescent="0.25">
      <c r="D9276" s="28"/>
      <c r="F9276" s="28"/>
      <c r="H9276" s="28"/>
    </row>
    <row r="9277" spans="4:8" x14ac:dyDescent="0.25">
      <c r="D9277" s="28"/>
      <c r="F9277" s="28"/>
      <c r="H9277" s="28"/>
    </row>
    <row r="9278" spans="4:8" x14ac:dyDescent="0.25">
      <c r="D9278" s="28"/>
      <c r="F9278" s="28"/>
      <c r="H9278" s="28"/>
    </row>
    <row r="9279" spans="4:8" x14ac:dyDescent="0.25">
      <c r="D9279" s="28"/>
      <c r="F9279" s="28"/>
      <c r="H9279" s="28"/>
    </row>
    <row r="9280" spans="4:8" x14ac:dyDescent="0.25">
      <c r="D9280" s="28"/>
      <c r="F9280" s="28"/>
      <c r="H9280" s="28"/>
    </row>
    <row r="9281" spans="4:8" x14ac:dyDescent="0.25">
      <c r="D9281" s="28"/>
      <c r="F9281" s="28"/>
      <c r="H9281" s="28"/>
    </row>
    <row r="9282" spans="4:8" x14ac:dyDescent="0.25">
      <c r="D9282" s="28"/>
      <c r="F9282" s="28"/>
      <c r="H9282" s="28"/>
    </row>
    <row r="9283" spans="4:8" x14ac:dyDescent="0.25">
      <c r="D9283" s="28"/>
      <c r="F9283" s="28"/>
      <c r="H9283" s="28"/>
    </row>
    <row r="9284" spans="4:8" x14ac:dyDescent="0.25">
      <c r="D9284" s="28"/>
      <c r="F9284" s="28"/>
      <c r="H9284" s="28"/>
    </row>
    <row r="9285" spans="4:8" x14ac:dyDescent="0.25">
      <c r="D9285" s="28"/>
      <c r="F9285" s="28"/>
      <c r="H9285" s="28"/>
    </row>
    <row r="9286" spans="4:8" x14ac:dyDescent="0.25">
      <c r="D9286" s="28"/>
      <c r="F9286" s="28"/>
      <c r="H9286" s="28"/>
    </row>
    <row r="9287" spans="4:8" x14ac:dyDescent="0.25">
      <c r="D9287" s="28"/>
      <c r="F9287" s="28"/>
      <c r="H9287" s="28"/>
    </row>
    <row r="9288" spans="4:8" x14ac:dyDescent="0.25">
      <c r="D9288" s="28"/>
      <c r="F9288" s="28"/>
      <c r="H9288" s="28"/>
    </row>
    <row r="9289" spans="4:8" x14ac:dyDescent="0.25">
      <c r="D9289" s="28"/>
      <c r="F9289" s="28"/>
      <c r="H9289" s="28"/>
    </row>
    <row r="9290" spans="4:8" x14ac:dyDescent="0.25">
      <c r="D9290" s="28"/>
      <c r="F9290" s="28"/>
      <c r="H9290" s="28"/>
    </row>
    <row r="9291" spans="4:8" x14ac:dyDescent="0.25">
      <c r="D9291" s="28"/>
      <c r="F9291" s="28"/>
      <c r="H9291" s="28"/>
    </row>
    <row r="9292" spans="4:8" x14ac:dyDescent="0.25">
      <c r="D9292" s="28"/>
      <c r="F9292" s="28"/>
      <c r="H9292" s="28"/>
    </row>
    <row r="9293" spans="4:8" x14ac:dyDescent="0.25">
      <c r="D9293" s="28"/>
      <c r="F9293" s="28"/>
      <c r="H9293" s="28"/>
    </row>
    <row r="9294" spans="4:8" x14ac:dyDescent="0.25">
      <c r="D9294" s="28"/>
      <c r="F9294" s="28"/>
      <c r="H9294" s="28"/>
    </row>
    <row r="9295" spans="4:8" x14ac:dyDescent="0.25">
      <c r="D9295" s="28"/>
      <c r="F9295" s="28"/>
      <c r="H9295" s="28"/>
    </row>
    <row r="9296" spans="4:8" x14ac:dyDescent="0.25">
      <c r="D9296" s="28"/>
      <c r="F9296" s="28"/>
      <c r="H9296" s="28"/>
    </row>
    <row r="9297" spans="4:8" x14ac:dyDescent="0.25">
      <c r="D9297" s="28"/>
      <c r="F9297" s="28"/>
      <c r="H9297" s="28"/>
    </row>
    <row r="9298" spans="4:8" x14ac:dyDescent="0.25">
      <c r="D9298" s="28"/>
      <c r="F9298" s="28"/>
      <c r="H9298" s="28"/>
    </row>
    <row r="9299" spans="4:8" x14ac:dyDescent="0.25">
      <c r="D9299" s="28"/>
      <c r="F9299" s="28"/>
      <c r="H9299" s="28"/>
    </row>
    <row r="9300" spans="4:8" x14ac:dyDescent="0.25">
      <c r="D9300" s="28"/>
      <c r="F9300" s="28"/>
      <c r="H9300" s="28"/>
    </row>
    <row r="9301" spans="4:8" x14ac:dyDescent="0.25">
      <c r="D9301" s="28"/>
      <c r="F9301" s="28"/>
      <c r="H9301" s="28"/>
    </row>
    <row r="9302" spans="4:8" x14ac:dyDescent="0.25">
      <c r="D9302" s="28"/>
      <c r="F9302" s="28"/>
      <c r="H9302" s="28"/>
    </row>
    <row r="9303" spans="4:8" x14ac:dyDescent="0.25">
      <c r="D9303" s="28"/>
      <c r="F9303" s="28"/>
      <c r="H9303" s="28"/>
    </row>
    <row r="9304" spans="4:8" x14ac:dyDescent="0.25">
      <c r="D9304" s="28"/>
      <c r="F9304" s="28"/>
      <c r="H9304" s="28"/>
    </row>
    <row r="9305" spans="4:8" x14ac:dyDescent="0.25">
      <c r="D9305" s="28"/>
      <c r="F9305" s="28"/>
      <c r="H9305" s="28"/>
    </row>
    <row r="9306" spans="4:8" x14ac:dyDescent="0.25">
      <c r="D9306" s="28"/>
      <c r="F9306" s="28"/>
      <c r="H9306" s="28"/>
    </row>
    <row r="9307" spans="4:8" x14ac:dyDescent="0.25">
      <c r="D9307" s="28"/>
      <c r="F9307" s="28"/>
      <c r="H9307" s="28"/>
    </row>
    <row r="9308" spans="4:8" x14ac:dyDescent="0.25">
      <c r="D9308" s="28"/>
      <c r="F9308" s="28"/>
      <c r="H9308" s="28"/>
    </row>
    <row r="9309" spans="4:8" x14ac:dyDescent="0.25">
      <c r="D9309" s="28"/>
      <c r="F9309" s="28"/>
      <c r="H9309" s="28"/>
    </row>
    <row r="9310" spans="4:8" x14ac:dyDescent="0.25">
      <c r="D9310" s="28"/>
      <c r="F9310" s="28"/>
      <c r="H9310" s="28"/>
    </row>
    <row r="9311" spans="4:8" x14ac:dyDescent="0.25">
      <c r="D9311" s="28"/>
      <c r="F9311" s="28"/>
      <c r="H9311" s="28"/>
    </row>
    <row r="9312" spans="4:8" x14ac:dyDescent="0.25">
      <c r="D9312" s="28"/>
      <c r="F9312" s="28"/>
      <c r="H9312" s="28"/>
    </row>
    <row r="9313" spans="4:8" x14ac:dyDescent="0.25">
      <c r="D9313" s="28"/>
      <c r="F9313" s="28"/>
      <c r="H9313" s="28"/>
    </row>
    <row r="9314" spans="4:8" x14ac:dyDescent="0.25">
      <c r="D9314" s="28"/>
      <c r="F9314" s="28"/>
      <c r="H9314" s="28"/>
    </row>
    <row r="9315" spans="4:8" x14ac:dyDescent="0.25">
      <c r="D9315" s="28"/>
      <c r="F9315" s="28"/>
      <c r="H9315" s="28"/>
    </row>
    <row r="9316" spans="4:8" x14ac:dyDescent="0.25">
      <c r="D9316" s="28"/>
      <c r="F9316" s="28"/>
      <c r="H9316" s="28"/>
    </row>
    <row r="9317" spans="4:8" x14ac:dyDescent="0.25">
      <c r="D9317" s="28"/>
      <c r="F9317" s="28"/>
      <c r="H9317" s="28"/>
    </row>
    <row r="9318" spans="4:8" x14ac:dyDescent="0.25">
      <c r="D9318" s="28"/>
      <c r="F9318" s="28"/>
      <c r="H9318" s="28"/>
    </row>
    <row r="9319" spans="4:8" x14ac:dyDescent="0.25">
      <c r="D9319" s="28"/>
      <c r="F9319" s="28"/>
      <c r="H9319" s="28"/>
    </row>
    <row r="9320" spans="4:8" x14ac:dyDescent="0.25">
      <c r="D9320" s="28"/>
      <c r="F9320" s="28"/>
      <c r="H9320" s="28"/>
    </row>
    <row r="9321" spans="4:8" x14ac:dyDescent="0.25">
      <c r="D9321" s="28"/>
      <c r="F9321" s="28"/>
      <c r="H9321" s="28"/>
    </row>
    <row r="9322" spans="4:8" x14ac:dyDescent="0.25">
      <c r="D9322" s="28"/>
      <c r="F9322" s="28"/>
      <c r="H9322" s="28"/>
    </row>
    <row r="9323" spans="4:8" x14ac:dyDescent="0.25">
      <c r="D9323" s="28"/>
      <c r="F9323" s="28"/>
      <c r="H9323" s="28"/>
    </row>
    <row r="9324" spans="4:8" x14ac:dyDescent="0.25">
      <c r="D9324" s="28"/>
      <c r="F9324" s="28"/>
      <c r="H9324" s="28"/>
    </row>
    <row r="9325" spans="4:8" x14ac:dyDescent="0.25">
      <c r="D9325" s="28"/>
      <c r="F9325" s="28"/>
      <c r="H9325" s="28"/>
    </row>
    <row r="9326" spans="4:8" x14ac:dyDescent="0.25">
      <c r="D9326" s="28"/>
      <c r="F9326" s="28"/>
      <c r="H9326" s="28"/>
    </row>
    <row r="9327" spans="4:8" x14ac:dyDescent="0.25">
      <c r="D9327" s="28"/>
      <c r="F9327" s="28"/>
      <c r="H9327" s="28"/>
    </row>
    <row r="9328" spans="4:8" x14ac:dyDescent="0.25">
      <c r="D9328" s="28"/>
      <c r="F9328" s="28"/>
      <c r="H9328" s="28"/>
    </row>
    <row r="9329" spans="4:8" x14ac:dyDescent="0.25">
      <c r="D9329" s="28"/>
      <c r="F9329" s="28"/>
      <c r="H9329" s="28"/>
    </row>
    <row r="9330" spans="4:8" x14ac:dyDescent="0.25">
      <c r="D9330" s="28"/>
      <c r="F9330" s="28"/>
      <c r="H9330" s="28"/>
    </row>
    <row r="9331" spans="4:8" x14ac:dyDescent="0.25">
      <c r="D9331" s="28"/>
      <c r="F9331" s="28"/>
      <c r="H9331" s="28"/>
    </row>
    <row r="9332" spans="4:8" x14ac:dyDescent="0.25">
      <c r="D9332" s="28"/>
      <c r="F9332" s="28"/>
      <c r="H9332" s="28"/>
    </row>
    <row r="9333" spans="4:8" x14ac:dyDescent="0.25">
      <c r="D9333" s="28"/>
      <c r="F9333" s="28"/>
      <c r="H9333" s="28"/>
    </row>
    <row r="9334" spans="4:8" x14ac:dyDescent="0.25">
      <c r="D9334" s="28"/>
      <c r="F9334" s="28"/>
      <c r="H9334" s="28"/>
    </row>
    <row r="9335" spans="4:8" x14ac:dyDescent="0.25">
      <c r="D9335" s="28"/>
      <c r="F9335" s="28"/>
      <c r="H9335" s="28"/>
    </row>
    <row r="9336" spans="4:8" x14ac:dyDescent="0.25">
      <c r="D9336" s="28"/>
      <c r="F9336" s="28"/>
      <c r="H9336" s="28"/>
    </row>
    <row r="9337" spans="4:8" x14ac:dyDescent="0.25">
      <c r="D9337" s="28"/>
      <c r="F9337" s="28"/>
      <c r="H9337" s="28"/>
    </row>
    <row r="9338" spans="4:8" x14ac:dyDescent="0.25">
      <c r="D9338" s="28"/>
      <c r="F9338" s="28"/>
      <c r="H9338" s="28"/>
    </row>
    <row r="9339" spans="4:8" x14ac:dyDescent="0.25">
      <c r="D9339" s="28"/>
      <c r="F9339" s="28"/>
      <c r="H9339" s="28"/>
    </row>
    <row r="9340" spans="4:8" x14ac:dyDescent="0.25">
      <c r="D9340" s="28"/>
      <c r="F9340" s="28"/>
      <c r="H9340" s="28"/>
    </row>
    <row r="9341" spans="4:8" x14ac:dyDescent="0.25">
      <c r="D9341" s="28"/>
      <c r="F9341" s="28"/>
      <c r="H9341" s="28"/>
    </row>
    <row r="9342" spans="4:8" x14ac:dyDescent="0.25">
      <c r="D9342" s="28"/>
      <c r="F9342" s="28"/>
      <c r="H9342" s="28"/>
    </row>
    <row r="9343" spans="4:8" x14ac:dyDescent="0.25">
      <c r="D9343" s="28"/>
      <c r="F9343" s="28"/>
      <c r="H9343" s="28"/>
    </row>
    <row r="9344" spans="4:8" x14ac:dyDescent="0.25">
      <c r="D9344" s="28"/>
      <c r="F9344" s="28"/>
      <c r="H9344" s="28"/>
    </row>
    <row r="9345" spans="4:8" x14ac:dyDescent="0.25">
      <c r="D9345" s="28"/>
      <c r="F9345" s="28"/>
      <c r="H9345" s="28"/>
    </row>
    <row r="9346" spans="4:8" x14ac:dyDescent="0.25">
      <c r="D9346" s="28"/>
      <c r="F9346" s="28"/>
      <c r="H9346" s="28"/>
    </row>
    <row r="9347" spans="4:8" x14ac:dyDescent="0.25">
      <c r="D9347" s="28"/>
      <c r="F9347" s="28"/>
      <c r="H9347" s="28"/>
    </row>
    <row r="9348" spans="4:8" x14ac:dyDescent="0.25">
      <c r="D9348" s="28"/>
      <c r="F9348" s="28"/>
      <c r="H9348" s="28"/>
    </row>
    <row r="9349" spans="4:8" x14ac:dyDescent="0.25">
      <c r="D9349" s="28"/>
      <c r="F9349" s="28"/>
      <c r="H9349" s="28"/>
    </row>
    <row r="9350" spans="4:8" x14ac:dyDescent="0.25">
      <c r="D9350" s="28"/>
      <c r="F9350" s="28"/>
      <c r="H9350" s="28"/>
    </row>
    <row r="9351" spans="4:8" x14ac:dyDescent="0.25">
      <c r="D9351" s="28"/>
      <c r="F9351" s="28"/>
      <c r="H9351" s="28"/>
    </row>
    <row r="9352" spans="4:8" x14ac:dyDescent="0.25">
      <c r="D9352" s="28"/>
      <c r="F9352" s="28"/>
      <c r="H9352" s="28"/>
    </row>
    <row r="9353" spans="4:8" x14ac:dyDescent="0.25">
      <c r="D9353" s="28"/>
      <c r="F9353" s="28"/>
      <c r="H9353" s="28"/>
    </row>
    <row r="9354" spans="4:8" x14ac:dyDescent="0.25">
      <c r="D9354" s="28"/>
      <c r="F9354" s="28"/>
      <c r="H9354" s="28"/>
    </row>
    <row r="9355" spans="4:8" x14ac:dyDescent="0.25">
      <c r="D9355" s="28"/>
      <c r="F9355" s="28"/>
      <c r="H9355" s="28"/>
    </row>
    <row r="9356" spans="4:8" x14ac:dyDescent="0.25">
      <c r="D9356" s="28"/>
      <c r="F9356" s="28"/>
      <c r="H9356" s="28"/>
    </row>
    <row r="9357" spans="4:8" x14ac:dyDescent="0.25">
      <c r="D9357" s="28"/>
      <c r="F9357" s="28"/>
      <c r="H9357" s="28"/>
    </row>
    <row r="9358" spans="4:8" x14ac:dyDescent="0.25">
      <c r="D9358" s="28"/>
      <c r="F9358" s="28"/>
      <c r="H9358" s="28"/>
    </row>
    <row r="9359" spans="4:8" x14ac:dyDescent="0.25">
      <c r="D9359" s="28"/>
      <c r="F9359" s="28"/>
      <c r="H9359" s="28"/>
    </row>
    <row r="9360" spans="4:8" x14ac:dyDescent="0.25">
      <c r="D9360" s="28"/>
      <c r="F9360" s="28"/>
      <c r="H9360" s="28"/>
    </row>
    <row r="9361" spans="4:8" x14ac:dyDescent="0.25">
      <c r="D9361" s="28"/>
      <c r="F9361" s="28"/>
      <c r="H9361" s="28"/>
    </row>
    <row r="9362" spans="4:8" x14ac:dyDescent="0.25">
      <c r="D9362" s="28"/>
      <c r="F9362" s="28"/>
      <c r="H9362" s="28"/>
    </row>
    <row r="9363" spans="4:8" x14ac:dyDescent="0.25">
      <c r="D9363" s="28"/>
      <c r="F9363" s="28"/>
      <c r="H9363" s="28"/>
    </row>
    <row r="9364" spans="4:8" x14ac:dyDescent="0.25">
      <c r="D9364" s="28"/>
      <c r="F9364" s="28"/>
      <c r="H9364" s="28"/>
    </row>
    <row r="9365" spans="4:8" x14ac:dyDescent="0.25">
      <c r="D9365" s="28"/>
      <c r="F9365" s="28"/>
      <c r="H9365" s="28"/>
    </row>
    <row r="9366" spans="4:8" x14ac:dyDescent="0.25">
      <c r="D9366" s="28"/>
      <c r="F9366" s="28"/>
      <c r="H9366" s="28"/>
    </row>
    <row r="9367" spans="4:8" x14ac:dyDescent="0.25">
      <c r="D9367" s="28"/>
      <c r="F9367" s="28"/>
      <c r="H9367" s="28"/>
    </row>
    <row r="9368" spans="4:8" x14ac:dyDescent="0.25">
      <c r="D9368" s="28"/>
      <c r="F9368" s="28"/>
      <c r="H9368" s="28"/>
    </row>
    <row r="9369" spans="4:8" x14ac:dyDescent="0.25">
      <c r="D9369" s="28"/>
      <c r="F9369" s="28"/>
      <c r="H9369" s="28"/>
    </row>
    <row r="9370" spans="4:8" x14ac:dyDescent="0.25">
      <c r="D9370" s="28"/>
      <c r="F9370" s="28"/>
      <c r="H9370" s="28"/>
    </row>
    <row r="9371" spans="4:8" x14ac:dyDescent="0.25">
      <c r="D9371" s="28"/>
      <c r="F9371" s="28"/>
      <c r="H9371" s="28"/>
    </row>
    <row r="9372" spans="4:8" x14ac:dyDescent="0.25">
      <c r="D9372" s="28"/>
      <c r="F9372" s="28"/>
      <c r="H9372" s="28"/>
    </row>
    <row r="9373" spans="4:8" x14ac:dyDescent="0.25">
      <c r="D9373" s="28"/>
      <c r="F9373" s="28"/>
      <c r="H9373" s="28"/>
    </row>
    <row r="9374" spans="4:8" x14ac:dyDescent="0.25">
      <c r="D9374" s="28"/>
      <c r="F9374" s="28"/>
      <c r="H9374" s="28"/>
    </row>
    <row r="9375" spans="4:8" x14ac:dyDescent="0.25">
      <c r="D9375" s="28"/>
      <c r="F9375" s="28"/>
      <c r="H9375" s="28"/>
    </row>
    <row r="9376" spans="4:8" x14ac:dyDescent="0.25">
      <c r="D9376" s="28"/>
      <c r="F9376" s="28"/>
      <c r="H9376" s="28"/>
    </row>
    <row r="9377" spans="4:8" x14ac:dyDescent="0.25">
      <c r="D9377" s="28"/>
      <c r="F9377" s="28"/>
      <c r="H9377" s="28"/>
    </row>
    <row r="9378" spans="4:8" x14ac:dyDescent="0.25">
      <c r="D9378" s="28"/>
      <c r="F9378" s="28"/>
      <c r="H9378" s="28"/>
    </row>
    <row r="9379" spans="4:8" x14ac:dyDescent="0.25">
      <c r="D9379" s="28"/>
      <c r="F9379" s="28"/>
      <c r="H9379" s="28"/>
    </row>
    <row r="9380" spans="4:8" x14ac:dyDescent="0.25">
      <c r="D9380" s="28"/>
      <c r="F9380" s="28"/>
      <c r="H9380" s="28"/>
    </row>
    <row r="9381" spans="4:8" x14ac:dyDescent="0.25">
      <c r="D9381" s="28"/>
      <c r="F9381" s="28"/>
      <c r="H9381" s="28"/>
    </row>
    <row r="9382" spans="4:8" x14ac:dyDescent="0.25">
      <c r="D9382" s="28"/>
      <c r="F9382" s="28"/>
      <c r="H9382" s="28"/>
    </row>
    <row r="9383" spans="4:8" x14ac:dyDescent="0.25">
      <c r="D9383" s="28"/>
      <c r="F9383" s="28"/>
      <c r="H9383" s="28"/>
    </row>
    <row r="9384" spans="4:8" x14ac:dyDescent="0.25">
      <c r="D9384" s="28"/>
      <c r="F9384" s="28"/>
      <c r="H9384" s="28"/>
    </row>
    <row r="9385" spans="4:8" x14ac:dyDescent="0.25">
      <c r="D9385" s="28"/>
      <c r="F9385" s="28"/>
      <c r="H9385" s="28"/>
    </row>
    <row r="9386" spans="4:8" x14ac:dyDescent="0.25">
      <c r="D9386" s="28"/>
      <c r="F9386" s="28"/>
      <c r="H9386" s="28"/>
    </row>
    <row r="9387" spans="4:8" x14ac:dyDescent="0.25">
      <c r="D9387" s="28"/>
      <c r="F9387" s="28"/>
      <c r="H9387" s="28"/>
    </row>
    <row r="9388" spans="4:8" x14ac:dyDescent="0.25">
      <c r="D9388" s="28"/>
      <c r="F9388" s="28"/>
      <c r="H9388" s="28"/>
    </row>
    <row r="9389" spans="4:8" x14ac:dyDescent="0.25">
      <c r="D9389" s="28"/>
      <c r="F9389" s="28"/>
      <c r="H9389" s="28"/>
    </row>
    <row r="9390" spans="4:8" x14ac:dyDescent="0.25">
      <c r="D9390" s="28"/>
      <c r="F9390" s="28"/>
      <c r="H9390" s="28"/>
    </row>
    <row r="9391" spans="4:8" x14ac:dyDescent="0.25">
      <c r="D9391" s="28"/>
      <c r="F9391" s="28"/>
      <c r="H9391" s="28"/>
    </row>
    <row r="9392" spans="4:8" x14ac:dyDescent="0.25">
      <c r="D9392" s="28"/>
      <c r="F9392" s="28"/>
      <c r="H9392" s="28"/>
    </row>
    <row r="9393" spans="4:8" x14ac:dyDescent="0.25">
      <c r="D9393" s="28"/>
      <c r="F9393" s="28"/>
      <c r="H9393" s="28"/>
    </row>
    <row r="9394" spans="4:8" x14ac:dyDescent="0.25">
      <c r="D9394" s="28"/>
      <c r="F9394" s="28"/>
      <c r="H9394" s="28"/>
    </row>
    <row r="9395" spans="4:8" x14ac:dyDescent="0.25">
      <c r="D9395" s="28"/>
      <c r="F9395" s="28"/>
      <c r="H9395" s="28"/>
    </row>
    <row r="9396" spans="4:8" x14ac:dyDescent="0.25">
      <c r="D9396" s="28"/>
      <c r="F9396" s="28"/>
      <c r="H9396" s="28"/>
    </row>
    <row r="9397" spans="4:8" x14ac:dyDescent="0.25">
      <c r="D9397" s="28"/>
      <c r="F9397" s="28"/>
      <c r="H9397" s="28"/>
    </row>
    <row r="9398" spans="4:8" x14ac:dyDescent="0.25">
      <c r="D9398" s="28"/>
      <c r="F9398" s="28"/>
      <c r="H9398" s="28"/>
    </row>
    <row r="9399" spans="4:8" x14ac:dyDescent="0.25">
      <c r="D9399" s="28"/>
      <c r="F9399" s="28"/>
      <c r="H9399" s="28"/>
    </row>
    <row r="9400" spans="4:8" x14ac:dyDescent="0.25">
      <c r="D9400" s="28"/>
      <c r="F9400" s="28"/>
      <c r="H9400" s="28"/>
    </row>
    <row r="9401" spans="4:8" x14ac:dyDescent="0.25">
      <c r="D9401" s="28"/>
      <c r="F9401" s="28"/>
      <c r="H9401" s="28"/>
    </row>
    <row r="9402" spans="4:8" x14ac:dyDescent="0.25">
      <c r="D9402" s="28"/>
      <c r="F9402" s="28"/>
      <c r="H9402" s="28"/>
    </row>
    <row r="9403" spans="4:8" x14ac:dyDescent="0.25">
      <c r="D9403" s="28"/>
      <c r="F9403" s="28"/>
      <c r="H9403" s="28"/>
    </row>
    <row r="9404" spans="4:8" x14ac:dyDescent="0.25">
      <c r="D9404" s="28"/>
      <c r="F9404" s="28"/>
      <c r="H9404" s="28"/>
    </row>
    <row r="9405" spans="4:8" x14ac:dyDescent="0.25">
      <c r="D9405" s="28"/>
      <c r="F9405" s="28"/>
      <c r="H9405" s="28"/>
    </row>
    <row r="9406" spans="4:8" x14ac:dyDescent="0.25">
      <c r="D9406" s="28"/>
      <c r="F9406" s="28"/>
      <c r="H9406" s="28"/>
    </row>
    <row r="9407" spans="4:8" x14ac:dyDescent="0.25">
      <c r="D9407" s="28"/>
      <c r="F9407" s="28"/>
      <c r="H9407" s="28"/>
    </row>
    <row r="9408" spans="4:8" x14ac:dyDescent="0.25">
      <c r="D9408" s="28"/>
      <c r="F9408" s="28"/>
      <c r="H9408" s="28"/>
    </row>
    <row r="9409" spans="4:8" x14ac:dyDescent="0.25">
      <c r="D9409" s="28"/>
      <c r="F9409" s="28"/>
      <c r="H9409" s="28"/>
    </row>
    <row r="9410" spans="4:8" x14ac:dyDescent="0.25">
      <c r="D9410" s="28"/>
      <c r="F9410" s="28"/>
      <c r="H9410" s="28"/>
    </row>
    <row r="9411" spans="4:8" x14ac:dyDescent="0.25">
      <c r="D9411" s="28"/>
      <c r="F9411" s="28"/>
      <c r="H9411" s="28"/>
    </row>
    <row r="9412" spans="4:8" x14ac:dyDescent="0.25">
      <c r="D9412" s="28"/>
      <c r="F9412" s="28"/>
      <c r="H9412" s="28"/>
    </row>
    <row r="9413" spans="4:8" x14ac:dyDescent="0.25">
      <c r="D9413" s="28"/>
      <c r="F9413" s="28"/>
      <c r="H9413" s="28"/>
    </row>
    <row r="9414" spans="4:8" x14ac:dyDescent="0.25">
      <c r="D9414" s="28"/>
      <c r="F9414" s="28"/>
      <c r="H9414" s="28"/>
    </row>
    <row r="9415" spans="4:8" x14ac:dyDescent="0.25">
      <c r="D9415" s="28"/>
      <c r="F9415" s="28"/>
      <c r="H9415" s="28"/>
    </row>
    <row r="9416" spans="4:8" x14ac:dyDescent="0.25">
      <c r="D9416" s="28"/>
      <c r="F9416" s="28"/>
      <c r="H9416" s="28"/>
    </row>
    <row r="9417" spans="4:8" x14ac:dyDescent="0.25">
      <c r="D9417" s="28"/>
      <c r="F9417" s="28"/>
      <c r="H9417" s="28"/>
    </row>
    <row r="9418" spans="4:8" x14ac:dyDescent="0.25">
      <c r="D9418" s="28"/>
      <c r="F9418" s="28"/>
      <c r="H9418" s="28"/>
    </row>
    <row r="9419" spans="4:8" x14ac:dyDescent="0.25">
      <c r="D9419" s="28"/>
      <c r="F9419" s="28"/>
      <c r="H9419" s="28"/>
    </row>
    <row r="9420" spans="4:8" x14ac:dyDescent="0.25">
      <c r="D9420" s="28"/>
      <c r="F9420" s="28"/>
      <c r="H9420" s="28"/>
    </row>
    <row r="9421" spans="4:8" x14ac:dyDescent="0.25">
      <c r="D9421" s="28"/>
      <c r="F9421" s="28"/>
      <c r="H9421" s="28"/>
    </row>
    <row r="9422" spans="4:8" x14ac:dyDescent="0.25">
      <c r="D9422" s="28"/>
      <c r="F9422" s="28"/>
      <c r="H9422" s="28"/>
    </row>
    <row r="9423" spans="4:8" x14ac:dyDescent="0.25">
      <c r="D9423" s="28"/>
      <c r="F9423" s="28"/>
      <c r="H9423" s="28"/>
    </row>
    <row r="9424" spans="4:8" x14ac:dyDescent="0.25">
      <c r="D9424" s="28"/>
      <c r="F9424" s="28"/>
      <c r="H9424" s="28"/>
    </row>
    <row r="9425" spans="4:8" x14ac:dyDescent="0.25">
      <c r="D9425" s="28"/>
      <c r="F9425" s="28"/>
      <c r="H9425" s="28"/>
    </row>
    <row r="9426" spans="4:8" x14ac:dyDescent="0.25">
      <c r="D9426" s="28"/>
      <c r="F9426" s="28"/>
      <c r="H9426" s="28"/>
    </row>
    <row r="9427" spans="4:8" x14ac:dyDescent="0.25">
      <c r="D9427" s="28"/>
      <c r="F9427" s="28"/>
      <c r="H9427" s="28"/>
    </row>
    <row r="9428" spans="4:8" x14ac:dyDescent="0.25">
      <c r="D9428" s="28"/>
      <c r="F9428" s="28"/>
      <c r="H9428" s="28"/>
    </row>
    <row r="9429" spans="4:8" x14ac:dyDescent="0.25">
      <c r="D9429" s="28"/>
      <c r="F9429" s="28"/>
      <c r="H9429" s="28"/>
    </row>
    <row r="9430" spans="4:8" x14ac:dyDescent="0.25">
      <c r="D9430" s="28"/>
      <c r="F9430" s="28"/>
      <c r="H9430" s="28"/>
    </row>
    <row r="9431" spans="4:8" x14ac:dyDescent="0.25">
      <c r="D9431" s="28"/>
      <c r="F9431" s="28"/>
      <c r="H9431" s="28"/>
    </row>
    <row r="9432" spans="4:8" x14ac:dyDescent="0.25">
      <c r="D9432" s="28"/>
      <c r="F9432" s="28"/>
      <c r="H9432" s="28"/>
    </row>
    <row r="9433" spans="4:8" x14ac:dyDescent="0.25">
      <c r="D9433" s="28"/>
      <c r="F9433" s="28"/>
      <c r="H9433" s="28"/>
    </row>
    <row r="9434" spans="4:8" x14ac:dyDescent="0.25">
      <c r="D9434" s="28"/>
      <c r="F9434" s="28"/>
      <c r="H9434" s="28"/>
    </row>
    <row r="9435" spans="4:8" x14ac:dyDescent="0.25">
      <c r="D9435" s="28"/>
      <c r="F9435" s="28"/>
      <c r="H9435" s="28"/>
    </row>
    <row r="9436" spans="4:8" x14ac:dyDescent="0.25">
      <c r="D9436" s="28"/>
      <c r="F9436" s="28"/>
      <c r="H9436" s="28"/>
    </row>
    <row r="9437" spans="4:8" x14ac:dyDescent="0.25">
      <c r="D9437" s="28"/>
      <c r="F9437" s="28"/>
      <c r="H9437" s="28"/>
    </row>
    <row r="9438" spans="4:8" x14ac:dyDescent="0.25">
      <c r="D9438" s="28"/>
      <c r="F9438" s="28"/>
      <c r="H9438" s="28"/>
    </row>
    <row r="9439" spans="4:8" x14ac:dyDescent="0.25">
      <c r="D9439" s="28"/>
      <c r="F9439" s="28"/>
      <c r="H9439" s="28"/>
    </row>
    <row r="9440" spans="4:8" x14ac:dyDescent="0.25">
      <c r="D9440" s="28"/>
      <c r="F9440" s="28"/>
      <c r="H9440" s="28"/>
    </row>
    <row r="9441" spans="4:8" x14ac:dyDescent="0.25">
      <c r="D9441" s="28"/>
      <c r="F9441" s="28"/>
      <c r="H9441" s="28"/>
    </row>
    <row r="9442" spans="4:8" x14ac:dyDescent="0.25">
      <c r="D9442" s="28"/>
      <c r="F9442" s="28"/>
      <c r="H9442" s="28"/>
    </row>
    <row r="9443" spans="4:8" x14ac:dyDescent="0.25">
      <c r="D9443" s="28"/>
      <c r="F9443" s="28"/>
      <c r="H9443" s="28"/>
    </row>
    <row r="9444" spans="4:8" x14ac:dyDescent="0.25">
      <c r="D9444" s="28"/>
      <c r="F9444" s="28"/>
      <c r="H9444" s="28"/>
    </row>
    <row r="9445" spans="4:8" x14ac:dyDescent="0.25">
      <c r="D9445" s="28"/>
      <c r="F9445" s="28"/>
      <c r="H9445" s="28"/>
    </row>
    <row r="9446" spans="4:8" x14ac:dyDescent="0.25">
      <c r="D9446" s="28"/>
      <c r="F9446" s="28"/>
      <c r="H9446" s="28"/>
    </row>
    <row r="9447" spans="4:8" x14ac:dyDescent="0.25">
      <c r="D9447" s="28"/>
      <c r="F9447" s="28"/>
      <c r="H9447" s="28"/>
    </row>
    <row r="9448" spans="4:8" x14ac:dyDescent="0.25">
      <c r="D9448" s="28"/>
      <c r="F9448" s="28"/>
      <c r="H9448" s="28"/>
    </row>
    <row r="9449" spans="4:8" x14ac:dyDescent="0.25">
      <c r="D9449" s="28"/>
      <c r="F9449" s="28"/>
      <c r="H9449" s="28"/>
    </row>
    <row r="9450" spans="4:8" x14ac:dyDescent="0.25">
      <c r="D9450" s="28"/>
      <c r="F9450" s="28"/>
      <c r="H9450" s="28"/>
    </row>
    <row r="9451" spans="4:8" x14ac:dyDescent="0.25">
      <c r="D9451" s="28"/>
      <c r="F9451" s="28"/>
      <c r="H9451" s="28"/>
    </row>
    <row r="9452" spans="4:8" x14ac:dyDescent="0.25">
      <c r="D9452" s="28"/>
      <c r="F9452" s="28"/>
      <c r="H9452" s="28"/>
    </row>
    <row r="9453" spans="4:8" x14ac:dyDescent="0.25">
      <c r="D9453" s="28"/>
      <c r="F9453" s="28"/>
      <c r="H9453" s="28"/>
    </row>
    <row r="9454" spans="4:8" x14ac:dyDescent="0.25">
      <c r="D9454" s="28"/>
      <c r="F9454" s="28"/>
      <c r="H9454" s="28"/>
    </row>
    <row r="9455" spans="4:8" x14ac:dyDescent="0.25">
      <c r="D9455" s="28"/>
      <c r="F9455" s="28"/>
      <c r="H9455" s="28"/>
    </row>
    <row r="9456" spans="4:8" x14ac:dyDescent="0.25">
      <c r="D9456" s="28"/>
      <c r="F9456" s="28"/>
      <c r="H9456" s="28"/>
    </row>
    <row r="9457" spans="4:8" x14ac:dyDescent="0.25">
      <c r="D9457" s="28"/>
      <c r="F9457" s="28"/>
      <c r="H9457" s="28"/>
    </row>
    <row r="9458" spans="4:8" x14ac:dyDescent="0.25">
      <c r="D9458" s="28"/>
      <c r="F9458" s="28"/>
      <c r="H9458" s="28"/>
    </row>
    <row r="9459" spans="4:8" x14ac:dyDescent="0.25">
      <c r="D9459" s="28"/>
      <c r="F9459" s="28"/>
      <c r="H9459" s="28"/>
    </row>
    <row r="9460" spans="4:8" x14ac:dyDescent="0.25">
      <c r="D9460" s="28"/>
      <c r="F9460" s="28"/>
      <c r="H9460" s="28"/>
    </row>
    <row r="9461" spans="4:8" x14ac:dyDescent="0.25">
      <c r="D9461" s="28"/>
      <c r="F9461" s="28"/>
      <c r="H9461" s="28"/>
    </row>
    <row r="9462" spans="4:8" x14ac:dyDescent="0.25">
      <c r="D9462" s="28"/>
      <c r="F9462" s="28"/>
      <c r="H9462" s="28"/>
    </row>
    <row r="9463" spans="4:8" x14ac:dyDescent="0.25">
      <c r="D9463" s="28"/>
      <c r="F9463" s="28"/>
      <c r="H9463" s="28"/>
    </row>
    <row r="9464" spans="4:8" x14ac:dyDescent="0.25">
      <c r="D9464" s="28"/>
      <c r="F9464" s="28"/>
      <c r="H9464" s="28"/>
    </row>
    <row r="9465" spans="4:8" x14ac:dyDescent="0.25">
      <c r="D9465" s="28"/>
      <c r="F9465" s="28"/>
      <c r="H9465" s="28"/>
    </row>
    <row r="9466" spans="4:8" x14ac:dyDescent="0.25">
      <c r="D9466" s="28"/>
      <c r="F9466" s="28"/>
      <c r="H9466" s="28"/>
    </row>
    <row r="9467" spans="4:8" x14ac:dyDescent="0.25">
      <c r="D9467" s="28"/>
      <c r="F9467" s="28"/>
      <c r="H9467" s="28"/>
    </row>
    <row r="9468" spans="4:8" x14ac:dyDescent="0.25">
      <c r="D9468" s="28"/>
      <c r="F9468" s="28"/>
      <c r="H9468" s="28"/>
    </row>
    <row r="9469" spans="4:8" x14ac:dyDescent="0.25">
      <c r="D9469" s="28"/>
      <c r="F9469" s="28"/>
      <c r="H9469" s="28"/>
    </row>
    <row r="9470" spans="4:8" x14ac:dyDescent="0.25">
      <c r="D9470" s="28"/>
      <c r="F9470" s="28"/>
      <c r="H9470" s="28"/>
    </row>
    <row r="9471" spans="4:8" x14ac:dyDescent="0.25">
      <c r="D9471" s="28"/>
      <c r="F9471" s="28"/>
      <c r="H9471" s="28"/>
    </row>
    <row r="9472" spans="4:8" x14ac:dyDescent="0.25">
      <c r="D9472" s="28"/>
      <c r="F9472" s="28"/>
      <c r="H9472" s="28"/>
    </row>
    <row r="9473" spans="4:8" x14ac:dyDescent="0.25">
      <c r="D9473" s="28"/>
      <c r="F9473" s="28"/>
      <c r="H9473" s="28"/>
    </row>
    <row r="9474" spans="4:8" x14ac:dyDescent="0.25">
      <c r="D9474" s="28"/>
      <c r="F9474" s="28"/>
      <c r="H9474" s="28"/>
    </row>
    <row r="9475" spans="4:8" x14ac:dyDescent="0.25">
      <c r="D9475" s="28"/>
      <c r="F9475" s="28"/>
      <c r="H9475" s="28"/>
    </row>
    <row r="9476" spans="4:8" x14ac:dyDescent="0.25">
      <c r="D9476" s="28"/>
      <c r="F9476" s="28"/>
      <c r="H9476" s="28"/>
    </row>
    <row r="9477" spans="4:8" x14ac:dyDescent="0.25">
      <c r="D9477" s="28"/>
      <c r="F9477" s="28"/>
      <c r="H9477" s="28"/>
    </row>
    <row r="9478" spans="4:8" x14ac:dyDescent="0.25">
      <c r="D9478" s="28"/>
      <c r="F9478" s="28"/>
      <c r="H9478" s="28"/>
    </row>
    <row r="9479" spans="4:8" x14ac:dyDescent="0.25">
      <c r="D9479" s="28"/>
      <c r="F9479" s="28"/>
      <c r="H9479" s="28"/>
    </row>
    <row r="9480" spans="4:8" x14ac:dyDescent="0.25">
      <c r="D9480" s="28"/>
      <c r="F9480" s="28"/>
      <c r="H9480" s="28"/>
    </row>
    <row r="9481" spans="4:8" x14ac:dyDescent="0.25">
      <c r="D9481" s="28"/>
      <c r="F9481" s="28"/>
      <c r="H9481" s="28"/>
    </row>
    <row r="9482" spans="4:8" x14ac:dyDescent="0.25">
      <c r="D9482" s="28"/>
      <c r="F9482" s="28"/>
      <c r="H9482" s="28"/>
    </row>
    <row r="9483" spans="4:8" x14ac:dyDescent="0.25">
      <c r="D9483" s="28"/>
      <c r="F9483" s="28"/>
      <c r="H9483" s="28"/>
    </row>
    <row r="9484" spans="4:8" x14ac:dyDescent="0.25">
      <c r="D9484" s="28"/>
      <c r="F9484" s="28"/>
      <c r="H9484" s="28"/>
    </row>
    <row r="9485" spans="4:8" x14ac:dyDescent="0.25">
      <c r="D9485" s="28"/>
      <c r="F9485" s="28"/>
      <c r="H9485" s="28"/>
    </row>
    <row r="9486" spans="4:8" x14ac:dyDescent="0.25">
      <c r="D9486" s="28"/>
      <c r="F9486" s="28"/>
      <c r="H9486" s="28"/>
    </row>
    <row r="9487" spans="4:8" x14ac:dyDescent="0.25">
      <c r="D9487" s="28"/>
      <c r="F9487" s="28"/>
      <c r="H9487" s="28"/>
    </row>
    <row r="9488" spans="4:8" x14ac:dyDescent="0.25">
      <c r="D9488" s="28"/>
      <c r="F9488" s="28"/>
      <c r="H9488" s="28"/>
    </row>
    <row r="9489" spans="4:8" x14ac:dyDescent="0.25">
      <c r="D9489" s="28"/>
      <c r="F9489" s="28"/>
      <c r="H9489" s="28"/>
    </row>
    <row r="9490" spans="4:8" x14ac:dyDescent="0.25">
      <c r="D9490" s="28"/>
      <c r="F9490" s="28"/>
      <c r="H9490" s="28"/>
    </row>
    <row r="9491" spans="4:8" x14ac:dyDescent="0.25">
      <c r="D9491" s="28"/>
      <c r="F9491" s="28"/>
      <c r="H9491" s="28"/>
    </row>
    <row r="9492" spans="4:8" x14ac:dyDescent="0.25">
      <c r="D9492" s="28"/>
      <c r="F9492" s="28"/>
      <c r="H9492" s="28"/>
    </row>
    <row r="9493" spans="4:8" x14ac:dyDescent="0.25">
      <c r="D9493" s="28"/>
      <c r="F9493" s="28"/>
      <c r="H9493" s="28"/>
    </row>
    <row r="9494" spans="4:8" x14ac:dyDescent="0.25">
      <c r="D9494" s="28"/>
      <c r="F9494" s="28"/>
      <c r="H9494" s="28"/>
    </row>
    <row r="9495" spans="4:8" x14ac:dyDescent="0.25">
      <c r="D9495" s="28"/>
      <c r="F9495" s="28"/>
      <c r="H9495" s="28"/>
    </row>
    <row r="9496" spans="4:8" x14ac:dyDescent="0.25">
      <c r="D9496" s="28"/>
      <c r="F9496" s="28"/>
      <c r="H9496" s="28"/>
    </row>
    <row r="9497" spans="4:8" x14ac:dyDescent="0.25">
      <c r="D9497" s="28"/>
      <c r="F9497" s="28"/>
      <c r="H9497" s="28"/>
    </row>
    <row r="9498" spans="4:8" x14ac:dyDescent="0.25">
      <c r="D9498" s="28"/>
      <c r="F9498" s="28"/>
      <c r="H9498" s="28"/>
    </row>
    <row r="9499" spans="4:8" x14ac:dyDescent="0.25">
      <c r="D9499" s="28"/>
      <c r="F9499" s="28"/>
      <c r="H9499" s="28"/>
    </row>
    <row r="9500" spans="4:8" x14ac:dyDescent="0.25">
      <c r="D9500" s="28"/>
      <c r="F9500" s="28"/>
      <c r="H9500" s="28"/>
    </row>
    <row r="9501" spans="4:8" x14ac:dyDescent="0.25">
      <c r="D9501" s="28"/>
      <c r="F9501" s="28"/>
      <c r="H9501" s="28"/>
    </row>
    <row r="9502" spans="4:8" x14ac:dyDescent="0.25">
      <c r="D9502" s="28"/>
      <c r="F9502" s="28"/>
      <c r="H9502" s="28"/>
    </row>
    <row r="9503" spans="4:8" x14ac:dyDescent="0.25">
      <c r="D9503" s="28"/>
      <c r="F9503" s="28"/>
      <c r="H9503" s="28"/>
    </row>
    <row r="9504" spans="4:8" x14ac:dyDescent="0.25">
      <c r="D9504" s="28"/>
      <c r="F9504" s="28"/>
      <c r="H9504" s="28"/>
    </row>
    <row r="9505" spans="4:8" x14ac:dyDescent="0.25">
      <c r="D9505" s="28"/>
      <c r="F9505" s="28"/>
      <c r="H9505" s="28"/>
    </row>
    <row r="9506" spans="4:8" x14ac:dyDescent="0.25">
      <c r="D9506" s="28"/>
      <c r="F9506" s="28"/>
      <c r="H9506" s="28"/>
    </row>
    <row r="9507" spans="4:8" x14ac:dyDescent="0.25">
      <c r="D9507" s="28"/>
      <c r="F9507" s="28"/>
      <c r="H9507" s="28"/>
    </row>
    <row r="9508" spans="4:8" x14ac:dyDescent="0.25">
      <c r="D9508" s="28"/>
      <c r="F9508" s="28"/>
      <c r="H9508" s="28"/>
    </row>
    <row r="9509" spans="4:8" x14ac:dyDescent="0.25">
      <c r="D9509" s="28"/>
      <c r="F9509" s="28"/>
      <c r="H9509" s="28"/>
    </row>
    <row r="9510" spans="4:8" x14ac:dyDescent="0.25">
      <c r="D9510" s="28"/>
      <c r="F9510" s="28"/>
      <c r="H9510" s="28"/>
    </row>
    <row r="9511" spans="4:8" x14ac:dyDescent="0.25">
      <c r="D9511" s="28"/>
      <c r="F9511" s="28"/>
      <c r="H9511" s="28"/>
    </row>
    <row r="9512" spans="4:8" x14ac:dyDescent="0.25">
      <c r="D9512" s="28"/>
      <c r="F9512" s="28"/>
      <c r="H9512" s="28"/>
    </row>
    <row r="9513" spans="4:8" x14ac:dyDescent="0.25">
      <c r="D9513" s="28"/>
      <c r="F9513" s="28"/>
      <c r="H9513" s="28"/>
    </row>
    <row r="9514" spans="4:8" x14ac:dyDescent="0.25">
      <c r="D9514" s="28"/>
      <c r="F9514" s="28"/>
      <c r="H9514" s="28"/>
    </row>
    <row r="9515" spans="4:8" x14ac:dyDescent="0.25">
      <c r="D9515" s="28"/>
      <c r="F9515" s="28"/>
      <c r="H9515" s="28"/>
    </row>
    <row r="9516" spans="4:8" x14ac:dyDescent="0.25">
      <c r="D9516" s="28"/>
      <c r="F9516" s="28"/>
      <c r="H9516" s="28"/>
    </row>
    <row r="9517" spans="4:8" x14ac:dyDescent="0.25">
      <c r="D9517" s="28"/>
      <c r="F9517" s="28"/>
      <c r="H9517" s="28"/>
    </row>
    <row r="9518" spans="4:8" x14ac:dyDescent="0.25">
      <c r="D9518" s="28"/>
      <c r="F9518" s="28"/>
      <c r="H9518" s="28"/>
    </row>
    <row r="9519" spans="4:8" x14ac:dyDescent="0.25">
      <c r="D9519" s="28"/>
      <c r="F9519" s="28"/>
      <c r="H9519" s="28"/>
    </row>
    <row r="9520" spans="4:8" x14ac:dyDescent="0.25">
      <c r="D9520" s="28"/>
      <c r="F9520" s="28"/>
      <c r="H9520" s="28"/>
    </row>
    <row r="9521" spans="4:8" x14ac:dyDescent="0.25">
      <c r="D9521" s="28"/>
      <c r="F9521" s="28"/>
      <c r="H9521" s="28"/>
    </row>
    <row r="9522" spans="4:8" x14ac:dyDescent="0.25">
      <c r="D9522" s="28"/>
      <c r="F9522" s="28"/>
      <c r="H9522" s="28"/>
    </row>
    <row r="9523" spans="4:8" x14ac:dyDescent="0.25">
      <c r="D9523" s="28"/>
      <c r="F9523" s="28"/>
      <c r="H9523" s="28"/>
    </row>
    <row r="9524" spans="4:8" x14ac:dyDescent="0.25">
      <c r="D9524" s="28"/>
      <c r="F9524" s="28"/>
      <c r="H9524" s="28"/>
    </row>
    <row r="9525" spans="4:8" x14ac:dyDescent="0.25">
      <c r="D9525" s="28"/>
      <c r="F9525" s="28"/>
      <c r="H9525" s="28"/>
    </row>
    <row r="9526" spans="4:8" x14ac:dyDescent="0.25">
      <c r="D9526" s="28"/>
      <c r="F9526" s="28"/>
      <c r="H9526" s="28"/>
    </row>
    <row r="9527" spans="4:8" x14ac:dyDescent="0.25">
      <c r="D9527" s="28"/>
      <c r="F9527" s="28"/>
      <c r="H9527" s="28"/>
    </row>
    <row r="9528" spans="4:8" x14ac:dyDescent="0.25">
      <c r="D9528" s="28"/>
      <c r="F9528" s="28"/>
      <c r="H9528" s="28"/>
    </row>
    <row r="9529" spans="4:8" x14ac:dyDescent="0.25">
      <c r="D9529" s="28"/>
      <c r="F9529" s="28"/>
      <c r="H9529" s="28"/>
    </row>
    <row r="9530" spans="4:8" x14ac:dyDescent="0.25">
      <c r="D9530" s="28"/>
      <c r="F9530" s="28"/>
      <c r="H9530" s="28"/>
    </row>
    <row r="9531" spans="4:8" x14ac:dyDescent="0.25">
      <c r="D9531" s="28"/>
      <c r="F9531" s="28"/>
      <c r="H9531" s="28"/>
    </row>
    <row r="9532" spans="4:8" x14ac:dyDescent="0.25">
      <c r="D9532" s="28"/>
      <c r="F9532" s="28"/>
      <c r="H9532" s="28"/>
    </row>
    <row r="9533" spans="4:8" x14ac:dyDescent="0.25">
      <c r="D9533" s="28"/>
      <c r="F9533" s="28"/>
      <c r="H9533" s="28"/>
    </row>
    <row r="9534" spans="4:8" x14ac:dyDescent="0.25">
      <c r="D9534" s="28"/>
      <c r="F9534" s="28"/>
      <c r="H9534" s="28"/>
    </row>
    <row r="9535" spans="4:8" x14ac:dyDescent="0.25">
      <c r="D9535" s="28"/>
      <c r="F9535" s="28"/>
      <c r="H9535" s="28"/>
    </row>
    <row r="9536" spans="4:8" x14ac:dyDescent="0.25">
      <c r="D9536" s="28"/>
      <c r="F9536" s="28"/>
      <c r="H9536" s="28"/>
    </row>
    <row r="9537" spans="4:8" x14ac:dyDescent="0.25">
      <c r="D9537" s="28"/>
      <c r="F9537" s="28"/>
      <c r="H9537" s="28"/>
    </row>
    <row r="9538" spans="4:8" x14ac:dyDescent="0.25">
      <c r="D9538" s="28"/>
      <c r="F9538" s="28"/>
      <c r="H9538" s="28"/>
    </row>
    <row r="9539" spans="4:8" x14ac:dyDescent="0.25">
      <c r="D9539" s="28"/>
      <c r="F9539" s="28"/>
      <c r="H9539" s="28"/>
    </row>
    <row r="9540" spans="4:8" x14ac:dyDescent="0.25">
      <c r="D9540" s="28"/>
      <c r="F9540" s="28"/>
      <c r="H9540" s="28"/>
    </row>
    <row r="9541" spans="4:8" x14ac:dyDescent="0.25">
      <c r="D9541" s="28"/>
      <c r="F9541" s="28"/>
      <c r="H9541" s="28"/>
    </row>
    <row r="9542" spans="4:8" x14ac:dyDescent="0.25">
      <c r="D9542" s="28"/>
      <c r="F9542" s="28"/>
      <c r="H9542" s="28"/>
    </row>
    <row r="9543" spans="4:8" x14ac:dyDescent="0.25">
      <c r="D9543" s="28"/>
      <c r="F9543" s="28"/>
      <c r="H9543" s="28"/>
    </row>
    <row r="9544" spans="4:8" x14ac:dyDescent="0.25">
      <c r="D9544" s="28"/>
      <c r="F9544" s="28"/>
      <c r="H9544" s="28"/>
    </row>
    <row r="9545" spans="4:8" x14ac:dyDescent="0.25">
      <c r="D9545" s="28"/>
      <c r="F9545" s="28"/>
      <c r="H9545" s="28"/>
    </row>
    <row r="9546" spans="4:8" x14ac:dyDescent="0.25">
      <c r="D9546" s="28"/>
      <c r="F9546" s="28"/>
      <c r="H9546" s="28"/>
    </row>
    <row r="9547" spans="4:8" x14ac:dyDescent="0.25">
      <c r="D9547" s="28"/>
      <c r="F9547" s="28"/>
      <c r="H9547" s="28"/>
    </row>
    <row r="9548" spans="4:8" x14ac:dyDescent="0.25">
      <c r="D9548" s="28"/>
      <c r="F9548" s="28"/>
      <c r="H9548" s="28"/>
    </row>
    <row r="9549" spans="4:8" x14ac:dyDescent="0.25">
      <c r="D9549" s="28"/>
      <c r="F9549" s="28"/>
      <c r="H9549" s="28"/>
    </row>
    <row r="9550" spans="4:8" x14ac:dyDescent="0.25">
      <c r="D9550" s="28"/>
      <c r="F9550" s="28"/>
      <c r="H9550" s="28"/>
    </row>
    <row r="9551" spans="4:8" x14ac:dyDescent="0.25">
      <c r="D9551" s="28"/>
      <c r="F9551" s="28"/>
      <c r="H9551" s="28"/>
    </row>
    <row r="9552" spans="4:8" x14ac:dyDescent="0.25">
      <c r="D9552" s="28"/>
      <c r="F9552" s="28"/>
      <c r="H9552" s="28"/>
    </row>
    <row r="9553" spans="4:8" x14ac:dyDescent="0.25">
      <c r="D9553" s="28"/>
      <c r="F9553" s="28"/>
      <c r="H9553" s="28"/>
    </row>
    <row r="9554" spans="4:8" x14ac:dyDescent="0.25">
      <c r="D9554" s="28"/>
      <c r="F9554" s="28"/>
      <c r="H9554" s="28"/>
    </row>
    <row r="9555" spans="4:8" x14ac:dyDescent="0.25">
      <c r="D9555" s="28"/>
      <c r="F9555" s="28"/>
      <c r="H9555" s="28"/>
    </row>
    <row r="9556" spans="4:8" x14ac:dyDescent="0.25">
      <c r="D9556" s="28"/>
      <c r="F9556" s="28"/>
      <c r="H9556" s="28"/>
    </row>
    <row r="9557" spans="4:8" x14ac:dyDescent="0.25">
      <c r="D9557" s="28"/>
      <c r="F9557" s="28"/>
      <c r="H9557" s="28"/>
    </row>
    <row r="9558" spans="4:8" x14ac:dyDescent="0.25">
      <c r="D9558" s="28"/>
      <c r="F9558" s="28"/>
      <c r="H9558" s="28"/>
    </row>
    <row r="9559" spans="4:8" x14ac:dyDescent="0.25">
      <c r="D9559" s="28"/>
      <c r="F9559" s="28"/>
      <c r="H9559" s="28"/>
    </row>
    <row r="9560" spans="4:8" x14ac:dyDescent="0.25">
      <c r="D9560" s="28"/>
      <c r="F9560" s="28"/>
      <c r="H9560" s="28"/>
    </row>
    <row r="9561" spans="4:8" x14ac:dyDescent="0.25">
      <c r="D9561" s="28"/>
      <c r="F9561" s="28"/>
      <c r="H9561" s="28"/>
    </row>
    <row r="9562" spans="4:8" x14ac:dyDescent="0.25">
      <c r="D9562" s="28"/>
      <c r="F9562" s="28"/>
      <c r="H9562" s="28"/>
    </row>
    <row r="9563" spans="4:8" x14ac:dyDescent="0.25">
      <c r="D9563" s="28"/>
      <c r="F9563" s="28"/>
      <c r="H9563" s="28"/>
    </row>
    <row r="9564" spans="4:8" x14ac:dyDescent="0.25">
      <c r="D9564" s="28"/>
      <c r="F9564" s="28"/>
      <c r="H9564" s="28"/>
    </row>
    <row r="9565" spans="4:8" x14ac:dyDescent="0.25">
      <c r="D9565" s="28"/>
      <c r="F9565" s="28"/>
      <c r="H9565" s="28"/>
    </row>
    <row r="9566" spans="4:8" x14ac:dyDescent="0.25">
      <c r="D9566" s="28"/>
      <c r="F9566" s="28"/>
      <c r="H9566" s="28"/>
    </row>
    <row r="9567" spans="4:8" x14ac:dyDescent="0.25">
      <c r="D9567" s="28"/>
      <c r="F9567" s="28"/>
      <c r="H9567" s="28"/>
    </row>
    <row r="9568" spans="4:8" x14ac:dyDescent="0.25">
      <c r="D9568" s="28"/>
      <c r="F9568" s="28"/>
      <c r="H9568" s="28"/>
    </row>
    <row r="9569" spans="4:8" x14ac:dyDescent="0.25">
      <c r="D9569" s="28"/>
      <c r="F9569" s="28"/>
      <c r="H9569" s="28"/>
    </row>
    <row r="9570" spans="4:8" x14ac:dyDescent="0.25">
      <c r="D9570" s="28"/>
      <c r="F9570" s="28"/>
      <c r="H9570" s="28"/>
    </row>
    <row r="9571" spans="4:8" x14ac:dyDescent="0.25">
      <c r="D9571" s="28"/>
      <c r="F9571" s="28"/>
      <c r="H9571" s="28"/>
    </row>
    <row r="9572" spans="4:8" x14ac:dyDescent="0.25">
      <c r="D9572" s="28"/>
      <c r="F9572" s="28"/>
      <c r="H9572" s="28"/>
    </row>
    <row r="9573" spans="4:8" x14ac:dyDescent="0.25">
      <c r="D9573" s="28"/>
      <c r="F9573" s="28"/>
      <c r="H9573" s="28"/>
    </row>
    <row r="9574" spans="4:8" x14ac:dyDescent="0.25">
      <c r="D9574" s="28"/>
      <c r="F9574" s="28"/>
      <c r="H9574" s="28"/>
    </row>
    <row r="9575" spans="4:8" x14ac:dyDescent="0.25">
      <c r="D9575" s="28"/>
      <c r="F9575" s="28"/>
      <c r="H9575" s="28"/>
    </row>
    <row r="9576" spans="4:8" x14ac:dyDescent="0.25">
      <c r="D9576" s="28"/>
      <c r="F9576" s="28"/>
      <c r="H9576" s="28"/>
    </row>
    <row r="9577" spans="4:8" x14ac:dyDescent="0.25">
      <c r="D9577" s="28"/>
      <c r="F9577" s="28"/>
      <c r="H9577" s="28"/>
    </row>
    <row r="9578" spans="4:8" x14ac:dyDescent="0.25">
      <c r="D9578" s="28"/>
      <c r="F9578" s="28"/>
      <c r="H9578" s="28"/>
    </row>
    <row r="9579" spans="4:8" x14ac:dyDescent="0.25">
      <c r="D9579" s="28"/>
      <c r="F9579" s="28"/>
      <c r="H9579" s="28"/>
    </row>
    <row r="9580" spans="4:8" x14ac:dyDescent="0.25">
      <c r="D9580" s="28"/>
      <c r="F9580" s="28"/>
      <c r="H9580" s="28"/>
    </row>
    <row r="9581" spans="4:8" x14ac:dyDescent="0.25">
      <c r="D9581" s="28"/>
      <c r="F9581" s="28"/>
      <c r="H9581" s="28"/>
    </row>
    <row r="9582" spans="4:8" x14ac:dyDescent="0.25">
      <c r="D9582" s="28"/>
      <c r="F9582" s="28"/>
      <c r="H9582" s="28"/>
    </row>
    <row r="9583" spans="4:8" x14ac:dyDescent="0.25">
      <c r="D9583" s="28"/>
      <c r="F9583" s="28"/>
      <c r="H9583" s="28"/>
    </row>
    <row r="9584" spans="4:8" x14ac:dyDescent="0.25">
      <c r="D9584" s="28"/>
      <c r="F9584" s="28"/>
      <c r="H9584" s="28"/>
    </row>
    <row r="9585" spans="4:8" x14ac:dyDescent="0.25">
      <c r="D9585" s="28"/>
      <c r="F9585" s="28"/>
      <c r="H9585" s="28"/>
    </row>
    <row r="9586" spans="4:8" x14ac:dyDescent="0.25">
      <c r="D9586" s="28"/>
      <c r="F9586" s="28"/>
      <c r="H9586" s="28"/>
    </row>
    <row r="9587" spans="4:8" x14ac:dyDescent="0.25">
      <c r="D9587" s="28"/>
      <c r="F9587" s="28"/>
      <c r="H9587" s="28"/>
    </row>
    <row r="9588" spans="4:8" x14ac:dyDescent="0.25">
      <c r="D9588" s="28"/>
      <c r="F9588" s="28"/>
      <c r="H9588" s="28"/>
    </row>
    <row r="9589" spans="4:8" x14ac:dyDescent="0.25">
      <c r="D9589" s="28"/>
      <c r="F9589" s="28"/>
      <c r="H9589" s="28"/>
    </row>
    <row r="9590" spans="4:8" x14ac:dyDescent="0.25">
      <c r="D9590" s="28"/>
      <c r="F9590" s="28"/>
      <c r="H9590" s="28"/>
    </row>
    <row r="9591" spans="4:8" x14ac:dyDescent="0.25">
      <c r="D9591" s="28"/>
      <c r="F9591" s="28"/>
      <c r="H9591" s="28"/>
    </row>
    <row r="9592" spans="4:8" x14ac:dyDescent="0.25">
      <c r="D9592" s="28"/>
      <c r="F9592" s="28"/>
      <c r="H9592" s="28"/>
    </row>
    <row r="9593" spans="4:8" x14ac:dyDescent="0.25">
      <c r="D9593" s="28"/>
      <c r="F9593" s="28"/>
      <c r="H9593" s="28"/>
    </row>
    <row r="9594" spans="4:8" x14ac:dyDescent="0.25">
      <c r="D9594" s="28"/>
      <c r="F9594" s="28"/>
      <c r="H9594" s="28"/>
    </row>
    <row r="9595" spans="4:8" x14ac:dyDescent="0.25">
      <c r="D9595" s="28"/>
      <c r="F9595" s="28"/>
      <c r="H9595" s="28"/>
    </row>
    <row r="9596" spans="4:8" x14ac:dyDescent="0.25">
      <c r="D9596" s="28"/>
      <c r="F9596" s="28"/>
      <c r="H9596" s="28"/>
    </row>
    <row r="9597" spans="4:8" x14ac:dyDescent="0.25">
      <c r="D9597" s="28"/>
      <c r="F9597" s="28"/>
      <c r="H9597" s="28"/>
    </row>
    <row r="9598" spans="4:8" x14ac:dyDescent="0.25">
      <c r="D9598" s="28"/>
      <c r="F9598" s="28"/>
      <c r="H9598" s="28"/>
    </row>
    <row r="9599" spans="4:8" x14ac:dyDescent="0.25">
      <c r="D9599" s="28"/>
      <c r="F9599" s="28"/>
      <c r="H9599" s="28"/>
    </row>
    <row r="9600" spans="4:8" x14ac:dyDescent="0.25">
      <c r="D9600" s="28"/>
      <c r="F9600" s="28"/>
      <c r="H9600" s="28"/>
    </row>
    <row r="9601" spans="4:8" x14ac:dyDescent="0.25">
      <c r="D9601" s="28"/>
      <c r="F9601" s="28"/>
      <c r="H9601" s="28"/>
    </row>
    <row r="9602" spans="4:8" x14ac:dyDescent="0.25">
      <c r="D9602" s="28"/>
      <c r="F9602" s="28"/>
      <c r="H9602" s="28"/>
    </row>
    <row r="9603" spans="4:8" x14ac:dyDescent="0.25">
      <c r="D9603" s="28"/>
      <c r="F9603" s="28"/>
      <c r="H9603" s="28"/>
    </row>
    <row r="9604" spans="4:8" x14ac:dyDescent="0.25">
      <c r="D9604" s="28"/>
      <c r="F9604" s="28"/>
      <c r="H9604" s="28"/>
    </row>
    <row r="9605" spans="4:8" x14ac:dyDescent="0.25">
      <c r="D9605" s="28"/>
      <c r="F9605" s="28"/>
      <c r="H9605" s="28"/>
    </row>
    <row r="9606" spans="4:8" x14ac:dyDescent="0.25">
      <c r="D9606" s="28"/>
      <c r="F9606" s="28"/>
      <c r="H9606" s="28"/>
    </row>
    <row r="9607" spans="4:8" x14ac:dyDescent="0.25">
      <c r="D9607" s="28"/>
      <c r="F9607" s="28"/>
      <c r="H9607" s="28"/>
    </row>
    <row r="9608" spans="4:8" x14ac:dyDescent="0.25">
      <c r="D9608" s="28"/>
      <c r="F9608" s="28"/>
      <c r="H9608" s="28"/>
    </row>
    <row r="9609" spans="4:8" x14ac:dyDescent="0.25">
      <c r="D9609" s="28"/>
      <c r="F9609" s="28"/>
      <c r="H9609" s="28"/>
    </row>
    <row r="9610" spans="4:8" x14ac:dyDescent="0.25">
      <c r="D9610" s="28"/>
      <c r="F9610" s="28"/>
      <c r="H9610" s="28"/>
    </row>
    <row r="9611" spans="4:8" x14ac:dyDescent="0.25">
      <c r="D9611" s="28"/>
      <c r="F9611" s="28"/>
      <c r="H9611" s="28"/>
    </row>
    <row r="9612" spans="4:8" x14ac:dyDescent="0.25">
      <c r="D9612" s="28"/>
      <c r="F9612" s="28"/>
      <c r="H9612" s="28"/>
    </row>
    <row r="9613" spans="4:8" x14ac:dyDescent="0.25">
      <c r="D9613" s="28"/>
      <c r="F9613" s="28"/>
      <c r="H9613" s="28"/>
    </row>
    <row r="9614" spans="4:8" x14ac:dyDescent="0.25">
      <c r="D9614" s="28"/>
      <c r="F9614" s="28"/>
      <c r="H9614" s="28"/>
    </row>
    <row r="9615" spans="4:8" x14ac:dyDescent="0.25">
      <c r="D9615" s="28"/>
      <c r="F9615" s="28"/>
      <c r="H9615" s="28"/>
    </row>
    <row r="9616" spans="4:8" x14ac:dyDescent="0.25">
      <c r="D9616" s="28"/>
      <c r="F9616" s="28"/>
      <c r="H9616" s="28"/>
    </row>
    <row r="9617" spans="4:8" x14ac:dyDescent="0.25">
      <c r="D9617" s="28"/>
      <c r="F9617" s="28"/>
      <c r="H9617" s="28"/>
    </row>
    <row r="9618" spans="4:8" x14ac:dyDescent="0.25">
      <c r="D9618" s="28"/>
      <c r="F9618" s="28"/>
      <c r="H9618" s="28"/>
    </row>
    <row r="9619" spans="4:8" x14ac:dyDescent="0.25">
      <c r="D9619" s="28"/>
      <c r="F9619" s="28"/>
      <c r="H9619" s="28"/>
    </row>
    <row r="9620" spans="4:8" x14ac:dyDescent="0.25">
      <c r="D9620" s="28"/>
      <c r="F9620" s="28"/>
      <c r="H9620" s="28"/>
    </row>
    <row r="9621" spans="4:8" x14ac:dyDescent="0.25">
      <c r="D9621" s="28"/>
      <c r="F9621" s="28"/>
      <c r="H9621" s="28"/>
    </row>
    <row r="9622" spans="4:8" x14ac:dyDescent="0.25">
      <c r="D9622" s="28"/>
      <c r="F9622" s="28"/>
      <c r="H9622" s="28"/>
    </row>
    <row r="9623" spans="4:8" x14ac:dyDescent="0.25">
      <c r="D9623" s="28"/>
      <c r="F9623" s="28"/>
      <c r="H9623" s="28"/>
    </row>
    <row r="9624" spans="4:8" x14ac:dyDescent="0.25">
      <c r="D9624" s="28"/>
      <c r="F9624" s="28"/>
      <c r="H9624" s="28"/>
    </row>
    <row r="9625" spans="4:8" x14ac:dyDescent="0.25">
      <c r="D9625" s="28"/>
      <c r="F9625" s="28"/>
      <c r="H9625" s="28"/>
    </row>
    <row r="9626" spans="4:8" x14ac:dyDescent="0.25">
      <c r="D9626" s="28"/>
      <c r="F9626" s="28"/>
      <c r="H9626" s="28"/>
    </row>
    <row r="9627" spans="4:8" x14ac:dyDescent="0.25">
      <c r="D9627" s="28"/>
      <c r="F9627" s="28"/>
      <c r="H9627" s="28"/>
    </row>
    <row r="9628" spans="4:8" x14ac:dyDescent="0.25">
      <c r="D9628" s="28"/>
      <c r="F9628" s="28"/>
      <c r="H9628" s="28"/>
    </row>
    <row r="9629" spans="4:8" x14ac:dyDescent="0.25">
      <c r="D9629" s="28"/>
      <c r="F9629" s="28"/>
      <c r="H9629" s="28"/>
    </row>
    <row r="9630" spans="4:8" x14ac:dyDescent="0.25">
      <c r="D9630" s="28"/>
      <c r="F9630" s="28"/>
      <c r="H9630" s="28"/>
    </row>
    <row r="9631" spans="4:8" x14ac:dyDescent="0.25">
      <c r="D9631" s="28"/>
      <c r="F9631" s="28"/>
      <c r="H9631" s="28"/>
    </row>
    <row r="9632" spans="4:8" x14ac:dyDescent="0.25">
      <c r="D9632" s="28"/>
      <c r="F9632" s="28"/>
      <c r="H9632" s="28"/>
    </row>
    <row r="9633" spans="4:8" x14ac:dyDescent="0.25">
      <c r="D9633" s="28"/>
      <c r="F9633" s="28"/>
      <c r="H9633" s="28"/>
    </row>
    <row r="9634" spans="4:8" x14ac:dyDescent="0.25">
      <c r="D9634" s="28"/>
      <c r="F9634" s="28"/>
      <c r="H9634" s="28"/>
    </row>
    <row r="9635" spans="4:8" x14ac:dyDescent="0.25">
      <c r="D9635" s="28"/>
      <c r="F9635" s="28"/>
      <c r="H9635" s="28"/>
    </row>
    <row r="9636" spans="4:8" x14ac:dyDescent="0.25">
      <c r="D9636" s="28"/>
      <c r="F9636" s="28"/>
      <c r="H9636" s="28"/>
    </row>
    <row r="9637" spans="4:8" x14ac:dyDescent="0.25">
      <c r="D9637" s="28"/>
      <c r="F9637" s="28"/>
      <c r="H9637" s="28"/>
    </row>
    <row r="9638" spans="4:8" x14ac:dyDescent="0.25">
      <c r="D9638" s="28"/>
      <c r="F9638" s="28"/>
      <c r="H9638" s="28"/>
    </row>
    <row r="9639" spans="4:8" x14ac:dyDescent="0.25">
      <c r="D9639" s="28"/>
      <c r="F9639" s="28"/>
      <c r="H9639" s="28"/>
    </row>
    <row r="9640" spans="4:8" x14ac:dyDescent="0.25">
      <c r="D9640" s="28"/>
      <c r="F9640" s="28"/>
      <c r="H9640" s="28"/>
    </row>
    <row r="9641" spans="4:8" x14ac:dyDescent="0.25">
      <c r="D9641" s="28"/>
      <c r="F9641" s="28"/>
      <c r="H9641" s="28"/>
    </row>
    <row r="9642" spans="4:8" x14ac:dyDescent="0.25">
      <c r="D9642" s="28"/>
      <c r="F9642" s="28"/>
      <c r="H9642" s="28"/>
    </row>
    <row r="9643" spans="4:8" x14ac:dyDescent="0.25">
      <c r="D9643" s="28"/>
      <c r="F9643" s="28"/>
      <c r="H9643" s="28"/>
    </row>
    <row r="9644" spans="4:8" x14ac:dyDescent="0.25">
      <c r="D9644" s="28"/>
      <c r="F9644" s="28"/>
      <c r="H9644" s="28"/>
    </row>
    <row r="9645" spans="4:8" x14ac:dyDescent="0.25">
      <c r="D9645" s="28"/>
      <c r="F9645" s="28"/>
      <c r="H9645" s="28"/>
    </row>
    <row r="9646" spans="4:8" x14ac:dyDescent="0.25">
      <c r="D9646" s="28"/>
      <c r="F9646" s="28"/>
      <c r="H9646" s="28"/>
    </row>
    <row r="9647" spans="4:8" x14ac:dyDescent="0.25">
      <c r="D9647" s="28"/>
      <c r="F9647" s="28"/>
      <c r="H9647" s="28"/>
    </row>
    <row r="9648" spans="4:8" x14ac:dyDescent="0.25">
      <c r="D9648" s="28"/>
      <c r="F9648" s="28"/>
      <c r="H9648" s="28"/>
    </row>
    <row r="9649" spans="4:8" x14ac:dyDescent="0.25">
      <c r="D9649" s="28"/>
      <c r="F9649" s="28"/>
      <c r="H9649" s="28"/>
    </row>
    <row r="9650" spans="4:8" x14ac:dyDescent="0.25">
      <c r="D9650" s="28"/>
      <c r="F9650" s="28"/>
      <c r="H9650" s="28"/>
    </row>
    <row r="9651" spans="4:8" x14ac:dyDescent="0.25">
      <c r="D9651" s="28"/>
      <c r="F9651" s="28"/>
      <c r="H9651" s="28"/>
    </row>
    <row r="9652" spans="4:8" x14ac:dyDescent="0.25">
      <c r="D9652" s="28"/>
      <c r="F9652" s="28"/>
      <c r="H9652" s="28"/>
    </row>
    <row r="9653" spans="4:8" x14ac:dyDescent="0.25">
      <c r="D9653" s="28"/>
      <c r="F9653" s="28"/>
      <c r="H9653" s="28"/>
    </row>
    <row r="9654" spans="4:8" x14ac:dyDescent="0.25">
      <c r="D9654" s="28"/>
      <c r="F9654" s="28"/>
      <c r="H9654" s="28"/>
    </row>
    <row r="9655" spans="4:8" x14ac:dyDescent="0.25">
      <c r="D9655" s="28"/>
      <c r="F9655" s="28"/>
      <c r="H9655" s="28"/>
    </row>
    <row r="9656" spans="4:8" x14ac:dyDescent="0.25">
      <c r="D9656" s="28"/>
      <c r="F9656" s="28"/>
      <c r="H9656" s="28"/>
    </row>
    <row r="9657" spans="4:8" x14ac:dyDescent="0.25">
      <c r="D9657" s="28"/>
      <c r="F9657" s="28"/>
      <c r="H9657" s="28"/>
    </row>
    <row r="9658" spans="4:8" x14ac:dyDescent="0.25">
      <c r="D9658" s="28"/>
      <c r="F9658" s="28"/>
      <c r="H9658" s="28"/>
    </row>
    <row r="9659" spans="4:8" x14ac:dyDescent="0.25">
      <c r="D9659" s="28"/>
      <c r="F9659" s="28"/>
      <c r="H9659" s="28"/>
    </row>
    <row r="9660" spans="4:8" x14ac:dyDescent="0.25">
      <c r="D9660" s="28"/>
      <c r="F9660" s="28"/>
      <c r="H9660" s="28"/>
    </row>
    <row r="9661" spans="4:8" x14ac:dyDescent="0.25">
      <c r="D9661" s="28"/>
      <c r="F9661" s="28"/>
      <c r="H9661" s="28"/>
    </row>
    <row r="9662" spans="4:8" x14ac:dyDescent="0.25">
      <c r="D9662" s="28"/>
      <c r="F9662" s="28"/>
      <c r="H9662" s="28"/>
    </row>
    <row r="9663" spans="4:8" x14ac:dyDescent="0.25">
      <c r="D9663" s="28"/>
      <c r="F9663" s="28"/>
      <c r="H9663" s="28"/>
    </row>
    <row r="9664" spans="4:8" x14ac:dyDescent="0.25">
      <c r="D9664" s="28"/>
      <c r="F9664" s="28"/>
      <c r="H9664" s="28"/>
    </row>
    <row r="9665" spans="4:8" x14ac:dyDescent="0.25">
      <c r="D9665" s="28"/>
      <c r="F9665" s="28"/>
      <c r="H9665" s="28"/>
    </row>
    <row r="9666" spans="4:8" x14ac:dyDescent="0.25">
      <c r="D9666" s="28"/>
      <c r="F9666" s="28"/>
      <c r="H9666" s="28"/>
    </row>
    <row r="9667" spans="4:8" x14ac:dyDescent="0.25">
      <c r="D9667" s="28"/>
      <c r="F9667" s="28"/>
      <c r="H9667" s="28"/>
    </row>
    <row r="9668" spans="4:8" x14ac:dyDescent="0.25">
      <c r="D9668" s="28"/>
      <c r="F9668" s="28"/>
      <c r="H9668" s="28"/>
    </row>
    <row r="9669" spans="4:8" x14ac:dyDescent="0.25">
      <c r="D9669" s="28"/>
      <c r="F9669" s="28"/>
      <c r="H9669" s="28"/>
    </row>
    <row r="9670" spans="4:8" x14ac:dyDescent="0.25">
      <c r="D9670" s="28"/>
      <c r="F9670" s="28"/>
      <c r="H9670" s="28"/>
    </row>
    <row r="9671" spans="4:8" x14ac:dyDescent="0.25">
      <c r="D9671" s="28"/>
      <c r="F9671" s="28"/>
      <c r="H9671" s="28"/>
    </row>
    <row r="9672" spans="4:8" x14ac:dyDescent="0.25">
      <c r="D9672" s="28"/>
      <c r="F9672" s="28"/>
      <c r="H9672" s="28"/>
    </row>
    <row r="9673" spans="4:8" x14ac:dyDescent="0.25">
      <c r="D9673" s="28"/>
      <c r="F9673" s="28"/>
      <c r="H9673" s="28"/>
    </row>
    <row r="9674" spans="4:8" x14ac:dyDescent="0.25">
      <c r="D9674" s="28"/>
      <c r="F9674" s="28"/>
      <c r="H9674" s="28"/>
    </row>
    <row r="9675" spans="4:8" x14ac:dyDescent="0.25">
      <c r="D9675" s="28"/>
      <c r="F9675" s="28"/>
      <c r="H9675" s="28"/>
    </row>
    <row r="9676" spans="4:8" x14ac:dyDescent="0.25">
      <c r="D9676" s="28"/>
      <c r="F9676" s="28"/>
      <c r="H9676" s="28"/>
    </row>
    <row r="9677" spans="4:8" x14ac:dyDescent="0.25">
      <c r="D9677" s="28"/>
      <c r="F9677" s="28"/>
      <c r="H9677" s="28"/>
    </row>
    <row r="9678" spans="4:8" x14ac:dyDescent="0.25">
      <c r="D9678" s="28"/>
      <c r="F9678" s="28"/>
      <c r="H9678" s="28"/>
    </row>
    <row r="9679" spans="4:8" x14ac:dyDescent="0.25">
      <c r="D9679" s="28"/>
      <c r="F9679" s="28"/>
      <c r="H9679" s="28"/>
    </row>
    <row r="9680" spans="4:8" x14ac:dyDescent="0.25">
      <c r="D9680" s="28"/>
      <c r="F9680" s="28"/>
      <c r="H9680" s="28"/>
    </row>
    <row r="9681" spans="4:8" x14ac:dyDescent="0.25">
      <c r="D9681" s="28"/>
      <c r="F9681" s="28"/>
      <c r="H9681" s="28"/>
    </row>
    <row r="9682" spans="4:8" x14ac:dyDescent="0.25">
      <c r="D9682" s="28"/>
      <c r="F9682" s="28"/>
      <c r="H9682" s="28"/>
    </row>
    <row r="9683" spans="4:8" x14ac:dyDescent="0.25">
      <c r="D9683" s="28"/>
      <c r="F9683" s="28"/>
      <c r="H9683" s="28"/>
    </row>
    <row r="9684" spans="4:8" x14ac:dyDescent="0.25">
      <c r="D9684" s="28"/>
      <c r="F9684" s="28"/>
      <c r="H9684" s="28"/>
    </row>
    <row r="9685" spans="4:8" x14ac:dyDescent="0.25">
      <c r="D9685" s="28"/>
      <c r="F9685" s="28"/>
      <c r="H9685" s="28"/>
    </row>
    <row r="9686" spans="4:8" x14ac:dyDescent="0.25">
      <c r="D9686" s="28"/>
      <c r="F9686" s="28"/>
      <c r="H9686" s="28"/>
    </row>
    <row r="9687" spans="4:8" x14ac:dyDescent="0.25">
      <c r="D9687" s="28"/>
      <c r="F9687" s="28"/>
      <c r="H9687" s="28"/>
    </row>
    <row r="9688" spans="4:8" x14ac:dyDescent="0.25">
      <c r="D9688" s="28"/>
      <c r="F9688" s="28"/>
      <c r="H9688" s="28"/>
    </row>
    <row r="9689" spans="4:8" x14ac:dyDescent="0.25">
      <c r="D9689" s="28"/>
      <c r="F9689" s="28"/>
      <c r="H9689" s="28"/>
    </row>
    <row r="9690" spans="4:8" x14ac:dyDescent="0.25">
      <c r="D9690" s="28"/>
      <c r="F9690" s="28"/>
      <c r="H9690" s="28"/>
    </row>
    <row r="9691" spans="4:8" x14ac:dyDescent="0.25">
      <c r="D9691" s="28"/>
      <c r="F9691" s="28"/>
      <c r="H9691" s="28"/>
    </row>
    <row r="9692" spans="4:8" x14ac:dyDescent="0.25">
      <c r="D9692" s="28"/>
      <c r="F9692" s="28"/>
      <c r="H9692" s="28"/>
    </row>
    <row r="9693" spans="4:8" x14ac:dyDescent="0.25">
      <c r="D9693" s="28"/>
      <c r="F9693" s="28"/>
      <c r="H9693" s="28"/>
    </row>
    <row r="9694" spans="4:8" x14ac:dyDescent="0.25">
      <c r="D9694" s="28"/>
      <c r="F9694" s="28"/>
      <c r="H9694" s="28"/>
    </row>
    <row r="9695" spans="4:8" x14ac:dyDescent="0.25">
      <c r="D9695" s="28"/>
      <c r="F9695" s="28"/>
      <c r="H9695" s="28"/>
    </row>
    <row r="9696" spans="4:8" x14ac:dyDescent="0.25">
      <c r="D9696" s="28"/>
      <c r="F9696" s="28"/>
      <c r="H9696" s="28"/>
    </row>
    <row r="9697" spans="4:8" x14ac:dyDescent="0.25">
      <c r="D9697" s="28"/>
      <c r="F9697" s="28"/>
      <c r="H9697" s="28"/>
    </row>
    <row r="9698" spans="4:8" x14ac:dyDescent="0.25">
      <c r="D9698" s="28"/>
      <c r="F9698" s="28"/>
      <c r="H9698" s="28"/>
    </row>
    <row r="9699" spans="4:8" x14ac:dyDescent="0.25">
      <c r="D9699" s="28"/>
      <c r="F9699" s="28"/>
      <c r="H9699" s="28"/>
    </row>
    <row r="9700" spans="4:8" x14ac:dyDescent="0.25">
      <c r="D9700" s="28"/>
      <c r="F9700" s="28"/>
      <c r="H9700" s="28"/>
    </row>
    <row r="9701" spans="4:8" x14ac:dyDescent="0.25">
      <c r="D9701" s="28"/>
      <c r="F9701" s="28"/>
      <c r="H9701" s="28"/>
    </row>
    <row r="9702" spans="4:8" x14ac:dyDescent="0.25">
      <c r="D9702" s="28"/>
      <c r="F9702" s="28"/>
      <c r="H9702" s="28"/>
    </row>
    <row r="9703" spans="4:8" x14ac:dyDescent="0.25">
      <c r="D9703" s="28"/>
      <c r="F9703" s="28"/>
      <c r="H9703" s="28"/>
    </row>
    <row r="9704" spans="4:8" x14ac:dyDescent="0.25">
      <c r="D9704" s="28"/>
      <c r="F9704" s="28"/>
      <c r="H9704" s="28"/>
    </row>
    <row r="9705" spans="4:8" x14ac:dyDescent="0.25">
      <c r="D9705" s="28"/>
      <c r="F9705" s="28"/>
      <c r="H9705" s="28"/>
    </row>
    <row r="9706" spans="4:8" x14ac:dyDescent="0.25">
      <c r="D9706" s="28"/>
      <c r="F9706" s="28"/>
      <c r="H9706" s="28"/>
    </row>
    <row r="9707" spans="4:8" x14ac:dyDescent="0.25">
      <c r="D9707" s="28"/>
      <c r="F9707" s="28"/>
      <c r="H9707" s="28"/>
    </row>
    <row r="9708" spans="4:8" x14ac:dyDescent="0.25">
      <c r="D9708" s="28"/>
      <c r="F9708" s="28"/>
      <c r="H9708" s="28"/>
    </row>
    <row r="9709" spans="4:8" x14ac:dyDescent="0.25">
      <c r="D9709" s="28"/>
      <c r="F9709" s="28"/>
      <c r="H9709" s="28"/>
    </row>
    <row r="9710" spans="4:8" x14ac:dyDescent="0.25">
      <c r="D9710" s="28"/>
      <c r="F9710" s="28"/>
      <c r="H9710" s="28"/>
    </row>
    <row r="9711" spans="4:8" x14ac:dyDescent="0.25">
      <c r="D9711" s="28"/>
      <c r="F9711" s="28"/>
      <c r="H9711" s="28"/>
    </row>
    <row r="9712" spans="4:8" x14ac:dyDescent="0.25">
      <c r="D9712" s="28"/>
      <c r="F9712" s="28"/>
      <c r="H9712" s="28"/>
    </row>
    <row r="9713" spans="4:8" x14ac:dyDescent="0.25">
      <c r="D9713" s="28"/>
      <c r="F9713" s="28"/>
      <c r="H9713" s="28"/>
    </row>
    <row r="9714" spans="4:8" x14ac:dyDescent="0.25">
      <c r="D9714" s="28"/>
      <c r="F9714" s="28"/>
      <c r="H9714" s="28"/>
    </row>
    <row r="9715" spans="4:8" x14ac:dyDescent="0.25">
      <c r="D9715" s="28"/>
      <c r="F9715" s="28"/>
      <c r="H9715" s="28"/>
    </row>
    <row r="9716" spans="4:8" x14ac:dyDescent="0.25">
      <c r="D9716" s="28"/>
      <c r="F9716" s="28"/>
      <c r="H9716" s="28"/>
    </row>
    <row r="9717" spans="4:8" x14ac:dyDescent="0.25">
      <c r="D9717" s="28"/>
      <c r="F9717" s="28"/>
      <c r="H9717" s="28"/>
    </row>
    <row r="9718" spans="4:8" x14ac:dyDescent="0.25">
      <c r="D9718" s="28"/>
      <c r="F9718" s="28"/>
      <c r="H9718" s="28"/>
    </row>
    <row r="9719" spans="4:8" x14ac:dyDescent="0.25">
      <c r="D9719" s="28"/>
      <c r="F9719" s="28"/>
      <c r="H9719" s="28"/>
    </row>
    <row r="9720" spans="4:8" x14ac:dyDescent="0.25">
      <c r="D9720" s="28"/>
      <c r="F9720" s="28"/>
      <c r="H9720" s="28"/>
    </row>
    <row r="9721" spans="4:8" x14ac:dyDescent="0.25">
      <c r="D9721" s="28"/>
      <c r="F9721" s="28"/>
      <c r="H9721" s="28"/>
    </row>
    <row r="9722" spans="4:8" x14ac:dyDescent="0.25">
      <c r="D9722" s="28"/>
      <c r="F9722" s="28"/>
      <c r="H9722" s="28"/>
    </row>
    <row r="9723" spans="4:8" x14ac:dyDescent="0.25">
      <c r="D9723" s="28"/>
      <c r="F9723" s="28"/>
      <c r="H9723" s="28"/>
    </row>
    <row r="9724" spans="4:8" x14ac:dyDescent="0.25">
      <c r="D9724" s="28"/>
      <c r="F9724" s="28"/>
      <c r="H9724" s="28"/>
    </row>
    <row r="9725" spans="4:8" x14ac:dyDescent="0.25">
      <c r="D9725" s="28"/>
      <c r="F9725" s="28"/>
      <c r="H9725" s="28"/>
    </row>
    <row r="9726" spans="4:8" x14ac:dyDescent="0.25">
      <c r="D9726" s="28"/>
      <c r="F9726" s="28"/>
      <c r="H9726" s="28"/>
    </row>
    <row r="9727" spans="4:8" x14ac:dyDescent="0.25">
      <c r="D9727" s="28"/>
      <c r="F9727" s="28"/>
      <c r="H9727" s="28"/>
    </row>
    <row r="9728" spans="4:8" x14ac:dyDescent="0.25">
      <c r="D9728" s="28"/>
      <c r="F9728" s="28"/>
      <c r="H9728" s="28"/>
    </row>
    <row r="9729" spans="4:8" x14ac:dyDescent="0.25">
      <c r="D9729" s="28"/>
      <c r="F9729" s="28"/>
      <c r="H9729" s="28"/>
    </row>
    <row r="9730" spans="4:8" x14ac:dyDescent="0.25">
      <c r="D9730" s="28"/>
      <c r="F9730" s="28"/>
      <c r="H9730" s="28"/>
    </row>
    <row r="9731" spans="4:8" x14ac:dyDescent="0.25">
      <c r="D9731" s="28"/>
      <c r="F9731" s="28"/>
      <c r="H9731" s="28"/>
    </row>
    <row r="9732" spans="4:8" x14ac:dyDescent="0.25">
      <c r="D9732" s="28"/>
      <c r="F9732" s="28"/>
      <c r="H9732" s="28"/>
    </row>
    <row r="9733" spans="4:8" x14ac:dyDescent="0.25">
      <c r="D9733" s="28"/>
      <c r="F9733" s="28"/>
      <c r="H9733" s="28"/>
    </row>
    <row r="9734" spans="4:8" x14ac:dyDescent="0.25">
      <c r="D9734" s="28"/>
      <c r="F9734" s="28"/>
      <c r="H9734" s="28"/>
    </row>
    <row r="9735" spans="4:8" x14ac:dyDescent="0.25">
      <c r="D9735" s="28"/>
      <c r="F9735" s="28"/>
      <c r="H9735" s="28"/>
    </row>
    <row r="9736" spans="4:8" x14ac:dyDescent="0.25">
      <c r="D9736" s="28"/>
      <c r="F9736" s="28"/>
      <c r="H9736" s="28"/>
    </row>
    <row r="9737" spans="4:8" x14ac:dyDescent="0.25">
      <c r="D9737" s="28"/>
      <c r="F9737" s="28"/>
      <c r="H9737" s="28"/>
    </row>
    <row r="9738" spans="4:8" x14ac:dyDescent="0.25">
      <c r="D9738" s="28"/>
      <c r="F9738" s="28"/>
      <c r="H9738" s="28"/>
    </row>
    <row r="9739" spans="4:8" x14ac:dyDescent="0.25">
      <c r="D9739" s="28"/>
      <c r="F9739" s="28"/>
      <c r="H9739" s="28"/>
    </row>
    <row r="9740" spans="4:8" x14ac:dyDescent="0.25">
      <c r="D9740" s="28"/>
      <c r="F9740" s="28"/>
      <c r="H9740" s="28"/>
    </row>
    <row r="9741" spans="4:8" x14ac:dyDescent="0.25">
      <c r="D9741" s="28"/>
      <c r="F9741" s="28"/>
      <c r="H9741" s="28"/>
    </row>
    <row r="9742" spans="4:8" x14ac:dyDescent="0.25">
      <c r="D9742" s="28"/>
      <c r="F9742" s="28"/>
      <c r="H9742" s="28"/>
    </row>
    <row r="9743" spans="4:8" x14ac:dyDescent="0.25">
      <c r="D9743" s="28"/>
      <c r="F9743" s="28"/>
      <c r="H9743" s="28"/>
    </row>
    <row r="9744" spans="4:8" x14ac:dyDescent="0.25">
      <c r="D9744" s="28"/>
      <c r="F9744" s="28"/>
      <c r="H9744" s="28"/>
    </row>
    <row r="9745" spans="4:8" x14ac:dyDescent="0.25">
      <c r="D9745" s="28"/>
      <c r="F9745" s="28"/>
      <c r="H9745" s="28"/>
    </row>
    <row r="9746" spans="4:8" x14ac:dyDescent="0.25">
      <c r="D9746" s="28"/>
      <c r="F9746" s="28"/>
      <c r="H9746" s="28"/>
    </row>
    <row r="9747" spans="4:8" x14ac:dyDescent="0.25">
      <c r="D9747" s="28"/>
      <c r="F9747" s="28"/>
      <c r="H9747" s="28"/>
    </row>
    <row r="9748" spans="4:8" x14ac:dyDescent="0.25">
      <c r="D9748" s="28"/>
      <c r="F9748" s="28"/>
      <c r="H9748" s="28"/>
    </row>
    <row r="9749" spans="4:8" x14ac:dyDescent="0.25">
      <c r="D9749" s="28"/>
      <c r="F9749" s="28"/>
      <c r="H9749" s="28"/>
    </row>
    <row r="9750" spans="4:8" x14ac:dyDescent="0.25">
      <c r="D9750" s="28"/>
      <c r="F9750" s="28"/>
      <c r="H9750" s="28"/>
    </row>
    <row r="9751" spans="4:8" x14ac:dyDescent="0.25">
      <c r="D9751" s="28"/>
      <c r="F9751" s="28"/>
      <c r="H9751" s="28"/>
    </row>
    <row r="9752" spans="4:8" x14ac:dyDescent="0.25">
      <c r="D9752" s="28"/>
      <c r="F9752" s="28"/>
      <c r="H9752" s="28"/>
    </row>
    <row r="9753" spans="4:8" x14ac:dyDescent="0.25">
      <c r="D9753" s="28"/>
      <c r="F9753" s="28"/>
      <c r="H9753" s="28"/>
    </row>
    <row r="9754" spans="4:8" x14ac:dyDescent="0.25">
      <c r="D9754" s="28"/>
      <c r="F9754" s="28"/>
      <c r="H9754" s="28"/>
    </row>
    <row r="9755" spans="4:8" x14ac:dyDescent="0.25">
      <c r="D9755" s="28"/>
      <c r="F9755" s="28"/>
      <c r="H9755" s="28"/>
    </row>
    <row r="9756" spans="4:8" x14ac:dyDescent="0.25">
      <c r="D9756" s="28"/>
      <c r="F9756" s="28"/>
      <c r="H9756" s="28"/>
    </row>
    <row r="9757" spans="4:8" x14ac:dyDescent="0.25">
      <c r="D9757" s="28"/>
      <c r="F9757" s="28"/>
      <c r="H9757" s="28"/>
    </row>
    <row r="9758" spans="4:8" x14ac:dyDescent="0.25">
      <c r="D9758" s="28"/>
      <c r="F9758" s="28"/>
      <c r="H9758" s="28"/>
    </row>
    <row r="9759" spans="4:8" x14ac:dyDescent="0.25">
      <c r="D9759" s="28"/>
      <c r="F9759" s="28"/>
      <c r="H9759" s="28"/>
    </row>
    <row r="9760" spans="4:8" x14ac:dyDescent="0.25">
      <c r="D9760" s="28"/>
      <c r="F9760" s="28"/>
      <c r="H9760" s="28"/>
    </row>
    <row r="9761" spans="4:8" x14ac:dyDescent="0.25">
      <c r="D9761" s="28"/>
      <c r="F9761" s="28"/>
      <c r="H9761" s="28"/>
    </row>
    <row r="9762" spans="4:8" x14ac:dyDescent="0.25">
      <c r="D9762" s="28"/>
      <c r="F9762" s="28"/>
      <c r="H9762" s="28"/>
    </row>
    <row r="9763" spans="4:8" x14ac:dyDescent="0.25">
      <c r="D9763" s="28"/>
      <c r="F9763" s="28"/>
      <c r="H9763" s="28"/>
    </row>
    <row r="9764" spans="4:8" x14ac:dyDescent="0.25">
      <c r="D9764" s="28"/>
      <c r="F9764" s="28"/>
      <c r="H9764" s="28"/>
    </row>
    <row r="9765" spans="4:8" x14ac:dyDescent="0.25">
      <c r="D9765" s="28"/>
      <c r="F9765" s="28"/>
      <c r="H9765" s="28"/>
    </row>
    <row r="9766" spans="4:8" x14ac:dyDescent="0.25">
      <c r="D9766" s="28"/>
      <c r="F9766" s="28"/>
      <c r="H9766" s="28"/>
    </row>
    <row r="9767" spans="4:8" x14ac:dyDescent="0.25">
      <c r="D9767" s="28"/>
      <c r="F9767" s="28"/>
      <c r="H9767" s="28"/>
    </row>
    <row r="9768" spans="4:8" x14ac:dyDescent="0.25">
      <c r="D9768" s="28"/>
      <c r="F9768" s="28"/>
      <c r="H9768" s="28"/>
    </row>
    <row r="9769" spans="4:8" x14ac:dyDescent="0.25">
      <c r="D9769" s="28"/>
      <c r="F9769" s="28"/>
      <c r="H9769" s="28"/>
    </row>
    <row r="9770" spans="4:8" x14ac:dyDescent="0.25">
      <c r="D9770" s="28"/>
      <c r="F9770" s="28"/>
      <c r="H9770" s="28"/>
    </row>
    <row r="9771" spans="4:8" x14ac:dyDescent="0.25">
      <c r="D9771" s="28"/>
      <c r="F9771" s="28"/>
      <c r="H9771" s="28"/>
    </row>
    <row r="9772" spans="4:8" x14ac:dyDescent="0.25">
      <c r="D9772" s="28"/>
      <c r="F9772" s="28"/>
      <c r="H9772" s="28"/>
    </row>
    <row r="9773" spans="4:8" x14ac:dyDescent="0.25">
      <c r="D9773" s="28"/>
      <c r="F9773" s="28"/>
      <c r="H9773" s="28"/>
    </row>
    <row r="9774" spans="4:8" x14ac:dyDescent="0.25">
      <c r="D9774" s="28"/>
      <c r="F9774" s="28"/>
      <c r="H9774" s="28"/>
    </row>
    <row r="9775" spans="4:8" x14ac:dyDescent="0.25">
      <c r="D9775" s="28"/>
      <c r="F9775" s="28"/>
      <c r="H9775" s="28"/>
    </row>
    <row r="9776" spans="4:8" x14ac:dyDescent="0.25">
      <c r="D9776" s="28"/>
      <c r="F9776" s="28"/>
      <c r="H9776" s="28"/>
    </row>
    <row r="9777" spans="4:8" x14ac:dyDescent="0.25">
      <c r="D9777" s="28"/>
      <c r="F9777" s="28"/>
      <c r="H9777" s="28"/>
    </row>
    <row r="9778" spans="4:8" x14ac:dyDescent="0.25">
      <c r="D9778" s="28"/>
      <c r="F9778" s="28"/>
      <c r="H9778" s="28"/>
    </row>
    <row r="9779" spans="4:8" x14ac:dyDescent="0.25">
      <c r="D9779" s="28"/>
      <c r="F9779" s="28"/>
      <c r="H9779" s="28"/>
    </row>
    <row r="9780" spans="4:8" x14ac:dyDescent="0.25">
      <c r="D9780" s="28"/>
      <c r="F9780" s="28"/>
      <c r="H9780" s="28"/>
    </row>
    <row r="9781" spans="4:8" x14ac:dyDescent="0.25">
      <c r="D9781" s="28"/>
      <c r="F9781" s="28"/>
      <c r="H9781" s="28"/>
    </row>
    <row r="9782" spans="4:8" x14ac:dyDescent="0.25">
      <c r="D9782" s="28"/>
      <c r="F9782" s="28"/>
      <c r="H9782" s="28"/>
    </row>
    <row r="9783" spans="4:8" x14ac:dyDescent="0.25">
      <c r="D9783" s="28"/>
      <c r="F9783" s="28"/>
      <c r="H9783" s="28"/>
    </row>
    <row r="9784" spans="4:8" x14ac:dyDescent="0.25">
      <c r="D9784" s="28"/>
      <c r="F9784" s="28"/>
      <c r="H9784" s="28"/>
    </row>
    <row r="9785" spans="4:8" x14ac:dyDescent="0.25">
      <c r="D9785" s="28"/>
      <c r="F9785" s="28"/>
      <c r="H9785" s="28"/>
    </row>
    <row r="9786" spans="4:8" x14ac:dyDescent="0.25">
      <c r="D9786" s="28"/>
      <c r="F9786" s="28"/>
      <c r="H9786" s="28"/>
    </row>
    <row r="9787" spans="4:8" x14ac:dyDescent="0.25">
      <c r="D9787" s="28"/>
      <c r="F9787" s="28"/>
      <c r="H9787" s="28"/>
    </row>
    <row r="9788" spans="4:8" x14ac:dyDescent="0.25">
      <c r="D9788" s="28"/>
      <c r="F9788" s="28"/>
      <c r="H9788" s="28"/>
    </row>
    <row r="9789" spans="4:8" x14ac:dyDescent="0.25">
      <c r="D9789" s="28"/>
      <c r="F9789" s="28"/>
      <c r="H9789" s="28"/>
    </row>
    <row r="9790" spans="4:8" x14ac:dyDescent="0.25">
      <c r="D9790" s="28"/>
      <c r="F9790" s="28"/>
      <c r="H9790" s="28"/>
    </row>
    <row r="9791" spans="4:8" x14ac:dyDescent="0.25">
      <c r="D9791" s="28"/>
      <c r="F9791" s="28"/>
      <c r="H9791" s="28"/>
    </row>
    <row r="9792" spans="4:8" x14ac:dyDescent="0.25">
      <c r="D9792" s="28"/>
      <c r="F9792" s="28"/>
      <c r="H9792" s="28"/>
    </row>
    <row r="9793" spans="4:8" x14ac:dyDescent="0.25">
      <c r="D9793" s="28"/>
      <c r="F9793" s="28"/>
      <c r="H9793" s="28"/>
    </row>
    <row r="9794" spans="4:8" x14ac:dyDescent="0.25">
      <c r="D9794" s="28"/>
      <c r="F9794" s="28"/>
      <c r="H9794" s="28"/>
    </row>
    <row r="9795" spans="4:8" x14ac:dyDescent="0.25">
      <c r="D9795" s="28"/>
      <c r="F9795" s="28"/>
      <c r="H9795" s="28"/>
    </row>
    <row r="9796" spans="4:8" x14ac:dyDescent="0.25">
      <c r="D9796" s="28"/>
      <c r="F9796" s="28"/>
      <c r="H9796" s="28"/>
    </row>
    <row r="9797" spans="4:8" x14ac:dyDescent="0.25">
      <c r="D9797" s="28"/>
      <c r="F9797" s="28"/>
      <c r="H9797" s="28"/>
    </row>
    <row r="9798" spans="4:8" x14ac:dyDescent="0.25">
      <c r="D9798" s="28"/>
      <c r="F9798" s="28"/>
      <c r="H9798" s="28"/>
    </row>
    <row r="9799" spans="4:8" x14ac:dyDescent="0.25">
      <c r="D9799" s="28"/>
      <c r="F9799" s="28"/>
      <c r="H9799" s="28"/>
    </row>
    <row r="9800" spans="4:8" x14ac:dyDescent="0.25">
      <c r="D9800" s="28"/>
      <c r="F9800" s="28"/>
      <c r="H9800" s="28"/>
    </row>
    <row r="9801" spans="4:8" x14ac:dyDescent="0.25">
      <c r="D9801" s="28"/>
      <c r="F9801" s="28"/>
      <c r="H9801" s="28"/>
    </row>
    <row r="9802" spans="4:8" x14ac:dyDescent="0.25">
      <c r="D9802" s="28"/>
      <c r="F9802" s="28"/>
      <c r="H9802" s="28"/>
    </row>
    <row r="9803" spans="4:8" x14ac:dyDescent="0.25">
      <c r="D9803" s="28"/>
      <c r="F9803" s="28"/>
      <c r="H9803" s="28"/>
    </row>
    <row r="9804" spans="4:8" x14ac:dyDescent="0.25">
      <c r="D9804" s="28"/>
      <c r="F9804" s="28"/>
      <c r="H9804" s="28"/>
    </row>
    <row r="9805" spans="4:8" x14ac:dyDescent="0.25">
      <c r="D9805" s="28"/>
      <c r="F9805" s="28"/>
      <c r="H9805" s="28"/>
    </row>
    <row r="9806" spans="4:8" x14ac:dyDescent="0.25">
      <c r="D9806" s="28"/>
      <c r="F9806" s="28"/>
      <c r="H9806" s="28"/>
    </row>
    <row r="9807" spans="4:8" x14ac:dyDescent="0.25">
      <c r="D9807" s="28"/>
      <c r="F9807" s="28"/>
      <c r="H9807" s="28"/>
    </row>
    <row r="9808" spans="4:8" x14ac:dyDescent="0.25">
      <c r="D9808" s="28"/>
      <c r="F9808" s="28"/>
      <c r="H9808" s="28"/>
    </row>
    <row r="9809" spans="4:8" x14ac:dyDescent="0.25">
      <c r="D9809" s="28"/>
      <c r="F9809" s="28"/>
      <c r="H9809" s="28"/>
    </row>
    <row r="9810" spans="4:8" x14ac:dyDescent="0.25">
      <c r="D9810" s="28"/>
      <c r="F9810" s="28"/>
      <c r="H9810" s="28"/>
    </row>
    <row r="9811" spans="4:8" x14ac:dyDescent="0.25">
      <c r="D9811" s="28"/>
      <c r="F9811" s="28"/>
      <c r="H9811" s="28"/>
    </row>
    <row r="9812" spans="4:8" x14ac:dyDescent="0.25">
      <c r="D9812" s="28"/>
      <c r="F9812" s="28"/>
      <c r="H9812" s="28"/>
    </row>
    <row r="9813" spans="4:8" x14ac:dyDescent="0.25">
      <c r="D9813" s="28"/>
      <c r="F9813" s="28"/>
      <c r="H9813" s="28"/>
    </row>
    <row r="9814" spans="4:8" x14ac:dyDescent="0.25">
      <c r="D9814" s="28"/>
      <c r="F9814" s="28"/>
      <c r="H9814" s="28"/>
    </row>
    <row r="9815" spans="4:8" x14ac:dyDescent="0.25">
      <c r="D9815" s="28"/>
      <c r="F9815" s="28"/>
      <c r="H9815" s="28"/>
    </row>
    <row r="9816" spans="4:8" x14ac:dyDescent="0.25">
      <c r="D9816" s="28"/>
      <c r="F9816" s="28"/>
      <c r="H9816" s="28"/>
    </row>
    <row r="9817" spans="4:8" x14ac:dyDescent="0.25">
      <c r="D9817" s="28"/>
      <c r="F9817" s="28"/>
      <c r="H9817" s="28"/>
    </row>
    <row r="9818" spans="4:8" x14ac:dyDescent="0.25">
      <c r="D9818" s="28"/>
      <c r="F9818" s="28"/>
      <c r="H9818" s="28"/>
    </row>
    <row r="9819" spans="4:8" x14ac:dyDescent="0.25">
      <c r="D9819" s="28"/>
      <c r="F9819" s="28"/>
      <c r="H9819" s="28"/>
    </row>
    <row r="9820" spans="4:8" x14ac:dyDescent="0.25">
      <c r="D9820" s="28"/>
      <c r="F9820" s="28"/>
      <c r="H9820" s="28"/>
    </row>
    <row r="9821" spans="4:8" x14ac:dyDescent="0.25">
      <c r="D9821" s="28"/>
      <c r="F9821" s="28"/>
      <c r="H9821" s="28"/>
    </row>
    <row r="9822" spans="4:8" x14ac:dyDescent="0.25">
      <c r="D9822" s="28"/>
      <c r="F9822" s="28"/>
      <c r="H9822" s="28"/>
    </row>
    <row r="9823" spans="4:8" x14ac:dyDescent="0.25">
      <c r="D9823" s="28"/>
      <c r="F9823" s="28"/>
      <c r="H9823" s="28"/>
    </row>
    <row r="9824" spans="4:8" x14ac:dyDescent="0.25">
      <c r="D9824" s="28"/>
      <c r="F9824" s="28"/>
      <c r="H9824" s="28"/>
    </row>
    <row r="9825" spans="4:8" x14ac:dyDescent="0.25">
      <c r="D9825" s="28"/>
      <c r="F9825" s="28"/>
      <c r="H9825" s="28"/>
    </row>
    <row r="9826" spans="4:8" x14ac:dyDescent="0.25">
      <c r="D9826" s="28"/>
      <c r="F9826" s="28"/>
      <c r="H9826" s="28"/>
    </row>
    <row r="9827" spans="4:8" x14ac:dyDescent="0.25">
      <c r="D9827" s="28"/>
      <c r="F9827" s="28"/>
      <c r="H9827" s="28"/>
    </row>
    <row r="9828" spans="4:8" x14ac:dyDescent="0.25">
      <c r="D9828" s="28"/>
      <c r="F9828" s="28"/>
      <c r="H9828" s="28"/>
    </row>
    <row r="9829" spans="4:8" x14ac:dyDescent="0.25">
      <c r="D9829" s="28"/>
      <c r="F9829" s="28"/>
      <c r="H9829" s="28"/>
    </row>
    <row r="9830" spans="4:8" x14ac:dyDescent="0.25">
      <c r="D9830" s="28"/>
      <c r="F9830" s="28"/>
      <c r="H9830" s="28"/>
    </row>
    <row r="9831" spans="4:8" x14ac:dyDescent="0.25">
      <c r="D9831" s="28"/>
      <c r="F9831" s="28"/>
      <c r="H9831" s="28"/>
    </row>
    <row r="9832" spans="4:8" x14ac:dyDescent="0.25">
      <c r="D9832" s="28"/>
      <c r="F9832" s="28"/>
      <c r="H9832" s="28"/>
    </row>
    <row r="9833" spans="4:8" x14ac:dyDescent="0.25">
      <c r="D9833" s="28"/>
      <c r="F9833" s="28"/>
      <c r="H9833" s="28"/>
    </row>
    <row r="9834" spans="4:8" x14ac:dyDescent="0.25">
      <c r="D9834" s="28"/>
      <c r="F9834" s="28"/>
      <c r="H9834" s="28"/>
    </row>
    <row r="9835" spans="4:8" x14ac:dyDescent="0.25">
      <c r="D9835" s="28"/>
      <c r="F9835" s="28"/>
      <c r="H9835" s="28"/>
    </row>
    <row r="9836" spans="4:8" x14ac:dyDescent="0.25">
      <c r="D9836" s="28"/>
      <c r="F9836" s="28"/>
      <c r="H9836" s="28"/>
    </row>
    <row r="9837" spans="4:8" x14ac:dyDescent="0.25">
      <c r="D9837" s="28"/>
      <c r="F9837" s="28"/>
      <c r="H9837" s="28"/>
    </row>
    <row r="9838" spans="4:8" x14ac:dyDescent="0.25">
      <c r="D9838" s="28"/>
      <c r="F9838" s="28"/>
      <c r="H9838" s="28"/>
    </row>
    <row r="9839" spans="4:8" x14ac:dyDescent="0.25">
      <c r="D9839" s="28"/>
      <c r="F9839" s="28"/>
      <c r="H9839" s="28"/>
    </row>
    <row r="9840" spans="4:8" x14ac:dyDescent="0.25">
      <c r="D9840" s="28"/>
      <c r="F9840" s="28"/>
      <c r="H9840" s="28"/>
    </row>
    <row r="9841" spans="4:8" x14ac:dyDescent="0.25">
      <c r="D9841" s="28"/>
      <c r="F9841" s="28"/>
      <c r="H9841" s="28"/>
    </row>
    <row r="9842" spans="4:8" x14ac:dyDescent="0.25">
      <c r="D9842" s="28"/>
      <c r="F9842" s="28"/>
      <c r="H9842" s="28"/>
    </row>
    <row r="9843" spans="4:8" x14ac:dyDescent="0.25">
      <c r="D9843" s="28"/>
      <c r="F9843" s="28"/>
      <c r="H9843" s="28"/>
    </row>
    <row r="9844" spans="4:8" x14ac:dyDescent="0.25">
      <c r="D9844" s="28"/>
      <c r="F9844" s="28"/>
      <c r="H9844" s="28"/>
    </row>
    <row r="9845" spans="4:8" x14ac:dyDescent="0.25">
      <c r="D9845" s="28"/>
      <c r="F9845" s="28"/>
      <c r="H9845" s="28"/>
    </row>
    <row r="9846" spans="4:8" x14ac:dyDescent="0.25">
      <c r="D9846" s="28"/>
      <c r="F9846" s="28"/>
      <c r="H9846" s="28"/>
    </row>
    <row r="9847" spans="4:8" x14ac:dyDescent="0.25">
      <c r="D9847" s="28"/>
      <c r="F9847" s="28"/>
      <c r="H9847" s="28"/>
    </row>
    <row r="9848" spans="4:8" x14ac:dyDescent="0.25">
      <c r="D9848" s="28"/>
      <c r="F9848" s="28"/>
      <c r="H9848" s="28"/>
    </row>
    <row r="9849" spans="4:8" x14ac:dyDescent="0.25">
      <c r="D9849" s="28"/>
      <c r="F9849" s="28"/>
      <c r="H9849" s="28"/>
    </row>
    <row r="9850" spans="4:8" x14ac:dyDescent="0.25">
      <c r="D9850" s="28"/>
      <c r="F9850" s="28"/>
      <c r="H9850" s="28"/>
    </row>
    <row r="9851" spans="4:8" x14ac:dyDescent="0.25">
      <c r="D9851" s="28"/>
      <c r="F9851" s="28"/>
      <c r="H9851" s="28"/>
    </row>
    <row r="9852" spans="4:8" x14ac:dyDescent="0.25">
      <c r="D9852" s="28"/>
      <c r="F9852" s="28"/>
      <c r="H9852" s="28"/>
    </row>
    <row r="9853" spans="4:8" x14ac:dyDescent="0.25">
      <c r="D9853" s="28"/>
      <c r="F9853" s="28"/>
      <c r="H9853" s="28"/>
    </row>
    <row r="9854" spans="4:8" x14ac:dyDescent="0.25">
      <c r="D9854" s="28"/>
      <c r="F9854" s="28"/>
      <c r="H9854" s="28"/>
    </row>
    <row r="9855" spans="4:8" x14ac:dyDescent="0.25">
      <c r="D9855" s="28"/>
      <c r="F9855" s="28"/>
      <c r="H9855" s="28"/>
    </row>
    <row r="9856" spans="4:8" x14ac:dyDescent="0.25">
      <c r="D9856" s="28"/>
      <c r="F9856" s="28"/>
      <c r="H9856" s="28"/>
    </row>
    <row r="9857" spans="4:8" x14ac:dyDescent="0.25">
      <c r="D9857" s="28"/>
      <c r="F9857" s="28"/>
      <c r="H9857" s="28"/>
    </row>
    <row r="9858" spans="4:8" x14ac:dyDescent="0.25">
      <c r="D9858" s="28"/>
      <c r="F9858" s="28"/>
      <c r="H9858" s="28"/>
    </row>
    <row r="9859" spans="4:8" x14ac:dyDescent="0.25">
      <c r="D9859" s="28"/>
      <c r="F9859" s="28"/>
      <c r="H9859" s="28"/>
    </row>
    <row r="9860" spans="4:8" x14ac:dyDescent="0.25">
      <c r="D9860" s="28"/>
      <c r="F9860" s="28"/>
      <c r="H9860" s="28"/>
    </row>
    <row r="9861" spans="4:8" x14ac:dyDescent="0.25">
      <c r="D9861" s="28"/>
      <c r="F9861" s="28"/>
      <c r="H9861" s="28"/>
    </row>
    <row r="9862" spans="4:8" x14ac:dyDescent="0.25">
      <c r="D9862" s="28"/>
      <c r="F9862" s="28"/>
      <c r="H9862" s="28"/>
    </row>
    <row r="9863" spans="4:8" x14ac:dyDescent="0.25">
      <c r="D9863" s="28"/>
      <c r="F9863" s="28"/>
      <c r="H9863" s="28"/>
    </row>
    <row r="9864" spans="4:8" x14ac:dyDescent="0.25">
      <c r="D9864" s="28"/>
      <c r="F9864" s="28"/>
      <c r="H9864" s="28"/>
    </row>
    <row r="9865" spans="4:8" x14ac:dyDescent="0.25">
      <c r="D9865" s="28"/>
      <c r="F9865" s="28"/>
      <c r="H9865" s="28"/>
    </row>
    <row r="9866" spans="4:8" x14ac:dyDescent="0.25">
      <c r="D9866" s="28"/>
      <c r="F9866" s="28"/>
      <c r="H9866" s="28"/>
    </row>
    <row r="9867" spans="4:8" x14ac:dyDescent="0.25">
      <c r="D9867" s="28"/>
      <c r="F9867" s="28"/>
      <c r="H9867" s="28"/>
    </row>
    <row r="9868" spans="4:8" x14ac:dyDescent="0.25">
      <c r="D9868" s="28"/>
      <c r="F9868" s="28"/>
      <c r="H9868" s="28"/>
    </row>
    <row r="9869" spans="4:8" x14ac:dyDescent="0.25">
      <c r="D9869" s="28"/>
      <c r="F9869" s="28"/>
      <c r="H9869" s="28"/>
    </row>
    <row r="9870" spans="4:8" x14ac:dyDescent="0.25">
      <c r="D9870" s="28"/>
      <c r="F9870" s="28"/>
      <c r="H9870" s="28"/>
    </row>
    <row r="9871" spans="4:8" x14ac:dyDescent="0.25">
      <c r="D9871" s="28"/>
      <c r="F9871" s="28"/>
      <c r="H9871" s="28"/>
    </row>
    <row r="9872" spans="4:8" x14ac:dyDescent="0.25">
      <c r="D9872" s="28"/>
      <c r="F9872" s="28"/>
      <c r="H9872" s="28"/>
    </row>
    <row r="9873" spans="4:8" x14ac:dyDescent="0.25">
      <c r="D9873" s="28"/>
      <c r="F9873" s="28"/>
      <c r="H9873" s="28"/>
    </row>
    <row r="9874" spans="4:8" x14ac:dyDescent="0.25">
      <c r="D9874" s="28"/>
      <c r="F9874" s="28"/>
      <c r="H9874" s="28"/>
    </row>
    <row r="9875" spans="4:8" x14ac:dyDescent="0.25">
      <c r="D9875" s="28"/>
      <c r="F9875" s="28"/>
      <c r="H9875" s="28"/>
    </row>
    <row r="9876" spans="4:8" x14ac:dyDescent="0.25">
      <c r="D9876" s="28"/>
      <c r="F9876" s="28"/>
      <c r="H9876" s="28"/>
    </row>
    <row r="9877" spans="4:8" x14ac:dyDescent="0.25">
      <c r="D9877" s="28"/>
      <c r="F9877" s="28"/>
      <c r="H9877" s="28"/>
    </row>
    <row r="9878" spans="4:8" x14ac:dyDescent="0.25">
      <c r="D9878" s="28"/>
      <c r="F9878" s="28"/>
      <c r="H9878" s="28"/>
    </row>
    <row r="9879" spans="4:8" x14ac:dyDescent="0.25">
      <c r="D9879" s="28"/>
      <c r="F9879" s="28"/>
      <c r="H9879" s="28"/>
    </row>
    <row r="9880" spans="4:8" x14ac:dyDescent="0.25">
      <c r="D9880" s="28"/>
      <c r="F9880" s="28"/>
      <c r="H9880" s="28"/>
    </row>
    <row r="9881" spans="4:8" x14ac:dyDescent="0.25">
      <c r="D9881" s="28"/>
      <c r="F9881" s="28"/>
      <c r="H9881" s="28"/>
    </row>
    <row r="9882" spans="4:8" x14ac:dyDescent="0.25">
      <c r="D9882" s="28"/>
      <c r="F9882" s="28"/>
      <c r="H9882" s="28"/>
    </row>
    <row r="9883" spans="4:8" x14ac:dyDescent="0.25">
      <c r="D9883" s="28"/>
      <c r="F9883" s="28"/>
      <c r="H9883" s="28"/>
    </row>
    <row r="9884" spans="4:8" x14ac:dyDescent="0.25">
      <c r="D9884" s="28"/>
      <c r="F9884" s="28"/>
      <c r="H9884" s="28"/>
    </row>
    <row r="9885" spans="4:8" x14ac:dyDescent="0.25">
      <c r="D9885" s="28"/>
      <c r="F9885" s="28"/>
      <c r="H9885" s="28"/>
    </row>
    <row r="9886" spans="4:8" x14ac:dyDescent="0.25">
      <c r="D9886" s="28"/>
      <c r="F9886" s="28"/>
      <c r="H9886" s="28"/>
    </row>
    <row r="9887" spans="4:8" x14ac:dyDescent="0.25">
      <c r="D9887" s="28"/>
      <c r="F9887" s="28"/>
      <c r="H9887" s="28"/>
    </row>
    <row r="9888" spans="4:8" x14ac:dyDescent="0.25">
      <c r="D9888" s="28"/>
      <c r="F9888" s="28"/>
      <c r="H9888" s="28"/>
    </row>
    <row r="9889" spans="4:8" x14ac:dyDescent="0.25">
      <c r="D9889" s="28"/>
      <c r="F9889" s="28"/>
      <c r="H9889" s="28"/>
    </row>
    <row r="9890" spans="4:8" x14ac:dyDescent="0.25">
      <c r="D9890" s="28"/>
      <c r="F9890" s="28"/>
      <c r="H9890" s="28"/>
    </row>
    <row r="9891" spans="4:8" x14ac:dyDescent="0.25">
      <c r="D9891" s="28"/>
      <c r="F9891" s="28"/>
      <c r="H9891" s="28"/>
    </row>
    <row r="9892" spans="4:8" x14ac:dyDescent="0.25">
      <c r="D9892" s="28"/>
      <c r="F9892" s="28"/>
      <c r="H9892" s="28"/>
    </row>
    <row r="9893" spans="4:8" x14ac:dyDescent="0.25">
      <c r="D9893" s="28"/>
      <c r="F9893" s="28"/>
      <c r="H9893" s="28"/>
    </row>
    <row r="9894" spans="4:8" x14ac:dyDescent="0.25">
      <c r="D9894" s="28"/>
      <c r="F9894" s="28"/>
      <c r="H9894" s="28"/>
    </row>
    <row r="9895" spans="4:8" x14ac:dyDescent="0.25">
      <c r="D9895" s="28"/>
      <c r="F9895" s="28"/>
      <c r="H9895" s="28"/>
    </row>
    <row r="9896" spans="4:8" x14ac:dyDescent="0.25">
      <c r="D9896" s="28"/>
      <c r="F9896" s="28"/>
      <c r="H9896" s="28"/>
    </row>
    <row r="9897" spans="4:8" x14ac:dyDescent="0.25">
      <c r="D9897" s="28"/>
      <c r="F9897" s="28"/>
      <c r="H9897" s="28"/>
    </row>
    <row r="9898" spans="4:8" x14ac:dyDescent="0.25">
      <c r="D9898" s="28"/>
      <c r="F9898" s="28"/>
      <c r="H9898" s="28"/>
    </row>
    <row r="9899" spans="4:8" x14ac:dyDescent="0.25">
      <c r="D9899" s="28"/>
      <c r="F9899" s="28"/>
      <c r="H9899" s="28"/>
    </row>
    <row r="9900" spans="4:8" x14ac:dyDescent="0.25">
      <c r="D9900" s="28"/>
      <c r="F9900" s="28"/>
      <c r="H9900" s="28"/>
    </row>
    <row r="9901" spans="4:8" x14ac:dyDescent="0.25">
      <c r="D9901" s="28"/>
      <c r="F9901" s="28"/>
      <c r="H9901" s="28"/>
    </row>
    <row r="9902" spans="4:8" x14ac:dyDescent="0.25">
      <c r="D9902" s="28"/>
      <c r="F9902" s="28"/>
      <c r="H9902" s="28"/>
    </row>
    <row r="9903" spans="4:8" x14ac:dyDescent="0.25">
      <c r="D9903" s="28"/>
      <c r="F9903" s="28"/>
      <c r="H9903" s="28"/>
    </row>
    <row r="9904" spans="4:8" x14ac:dyDescent="0.25">
      <c r="D9904" s="28"/>
      <c r="F9904" s="28"/>
      <c r="H9904" s="28"/>
    </row>
    <row r="9905" spans="4:8" x14ac:dyDescent="0.25">
      <c r="D9905" s="28"/>
      <c r="F9905" s="28"/>
      <c r="H9905" s="28"/>
    </row>
    <row r="9906" spans="4:8" x14ac:dyDescent="0.25">
      <c r="D9906" s="28"/>
      <c r="F9906" s="28"/>
      <c r="H9906" s="28"/>
    </row>
    <row r="9907" spans="4:8" x14ac:dyDescent="0.25">
      <c r="D9907" s="28"/>
      <c r="F9907" s="28"/>
      <c r="H9907" s="28"/>
    </row>
    <row r="9908" spans="4:8" x14ac:dyDescent="0.25">
      <c r="D9908" s="28"/>
      <c r="F9908" s="28"/>
      <c r="H9908" s="28"/>
    </row>
    <row r="9909" spans="4:8" x14ac:dyDescent="0.25">
      <c r="D9909" s="28"/>
      <c r="F9909" s="28"/>
      <c r="H9909" s="28"/>
    </row>
    <row r="9910" spans="4:8" x14ac:dyDescent="0.25">
      <c r="D9910" s="28"/>
      <c r="F9910" s="28"/>
      <c r="H9910" s="28"/>
    </row>
    <row r="9911" spans="4:8" x14ac:dyDescent="0.25">
      <c r="D9911" s="28"/>
      <c r="F9911" s="28"/>
      <c r="H9911" s="28"/>
    </row>
    <row r="9912" spans="4:8" x14ac:dyDescent="0.25">
      <c r="D9912" s="28"/>
      <c r="F9912" s="28"/>
      <c r="H9912" s="28"/>
    </row>
    <row r="9913" spans="4:8" x14ac:dyDescent="0.25">
      <c r="D9913" s="28"/>
      <c r="F9913" s="28"/>
      <c r="H9913" s="28"/>
    </row>
    <row r="9914" spans="4:8" x14ac:dyDescent="0.25">
      <c r="D9914" s="28"/>
      <c r="F9914" s="28"/>
      <c r="H9914" s="28"/>
    </row>
    <row r="9915" spans="4:8" x14ac:dyDescent="0.25">
      <c r="D9915" s="28"/>
      <c r="F9915" s="28"/>
      <c r="H9915" s="28"/>
    </row>
    <row r="9916" spans="4:8" x14ac:dyDescent="0.25">
      <c r="D9916" s="28"/>
      <c r="F9916" s="28"/>
      <c r="H9916" s="28"/>
    </row>
    <row r="9917" spans="4:8" x14ac:dyDescent="0.25">
      <c r="D9917" s="28"/>
      <c r="F9917" s="28"/>
      <c r="H9917" s="28"/>
    </row>
    <row r="9918" spans="4:8" x14ac:dyDescent="0.25">
      <c r="D9918" s="28"/>
      <c r="F9918" s="28"/>
      <c r="H9918" s="28"/>
    </row>
    <row r="9919" spans="4:8" x14ac:dyDescent="0.25">
      <c r="D9919" s="28"/>
      <c r="F9919" s="28"/>
      <c r="H9919" s="28"/>
    </row>
    <row r="9920" spans="4:8" x14ac:dyDescent="0.25">
      <c r="D9920" s="28"/>
      <c r="F9920" s="28"/>
      <c r="H9920" s="28"/>
    </row>
    <row r="9921" spans="4:8" x14ac:dyDescent="0.25">
      <c r="D9921" s="28"/>
      <c r="F9921" s="28"/>
      <c r="H9921" s="28"/>
    </row>
    <row r="9922" spans="4:8" x14ac:dyDescent="0.25">
      <c r="D9922" s="28"/>
      <c r="F9922" s="28"/>
      <c r="H9922" s="28"/>
    </row>
    <row r="9923" spans="4:8" x14ac:dyDescent="0.25">
      <c r="D9923" s="28"/>
      <c r="F9923" s="28"/>
      <c r="H9923" s="28"/>
    </row>
    <row r="9924" spans="4:8" x14ac:dyDescent="0.25">
      <c r="D9924" s="28"/>
      <c r="F9924" s="28"/>
      <c r="H9924" s="28"/>
    </row>
    <row r="9925" spans="4:8" x14ac:dyDescent="0.25">
      <c r="D9925" s="28"/>
      <c r="F9925" s="28"/>
      <c r="H9925" s="28"/>
    </row>
    <row r="9926" spans="4:8" x14ac:dyDescent="0.25">
      <c r="D9926" s="28"/>
      <c r="F9926" s="28"/>
      <c r="H9926" s="28"/>
    </row>
    <row r="9927" spans="4:8" x14ac:dyDescent="0.25">
      <c r="D9927" s="28"/>
      <c r="F9927" s="28"/>
      <c r="H9927" s="28"/>
    </row>
    <row r="9928" spans="4:8" x14ac:dyDescent="0.25">
      <c r="D9928" s="28"/>
      <c r="F9928" s="28"/>
      <c r="H9928" s="28"/>
    </row>
    <row r="9929" spans="4:8" x14ac:dyDescent="0.25">
      <c r="D9929" s="28"/>
      <c r="F9929" s="28"/>
      <c r="H9929" s="28"/>
    </row>
    <row r="9930" spans="4:8" x14ac:dyDescent="0.25">
      <c r="D9930" s="28"/>
      <c r="F9930" s="28"/>
      <c r="H9930" s="28"/>
    </row>
    <row r="9931" spans="4:8" x14ac:dyDescent="0.25">
      <c r="D9931" s="28"/>
      <c r="F9931" s="28"/>
      <c r="H9931" s="28"/>
    </row>
    <row r="9932" spans="4:8" x14ac:dyDescent="0.25">
      <c r="D9932" s="28"/>
      <c r="F9932" s="28"/>
      <c r="H9932" s="28"/>
    </row>
    <row r="9933" spans="4:8" x14ac:dyDescent="0.25">
      <c r="D9933" s="28"/>
      <c r="F9933" s="28"/>
      <c r="H9933" s="28"/>
    </row>
    <row r="9934" spans="4:8" x14ac:dyDescent="0.25">
      <c r="D9934" s="28"/>
      <c r="F9934" s="28"/>
      <c r="H9934" s="28"/>
    </row>
    <row r="9935" spans="4:8" x14ac:dyDescent="0.25">
      <c r="D9935" s="28"/>
      <c r="F9935" s="28"/>
      <c r="H9935" s="28"/>
    </row>
    <row r="9936" spans="4:8" x14ac:dyDescent="0.25">
      <c r="D9936" s="28"/>
      <c r="F9936" s="28"/>
      <c r="H9936" s="28"/>
    </row>
    <row r="9937" spans="4:8" x14ac:dyDescent="0.25">
      <c r="D9937" s="28"/>
      <c r="F9937" s="28"/>
      <c r="H9937" s="28"/>
    </row>
    <row r="9938" spans="4:8" x14ac:dyDescent="0.25">
      <c r="D9938" s="28"/>
      <c r="F9938" s="28"/>
      <c r="H9938" s="28"/>
    </row>
    <row r="9939" spans="4:8" x14ac:dyDescent="0.25">
      <c r="D9939" s="28"/>
      <c r="F9939" s="28"/>
      <c r="H9939" s="28"/>
    </row>
    <row r="9940" spans="4:8" x14ac:dyDescent="0.25">
      <c r="D9940" s="28"/>
      <c r="F9940" s="28"/>
      <c r="H9940" s="28"/>
    </row>
    <row r="9941" spans="4:8" x14ac:dyDescent="0.25">
      <c r="D9941" s="28"/>
      <c r="F9941" s="28"/>
      <c r="H9941" s="28"/>
    </row>
    <row r="9942" spans="4:8" x14ac:dyDescent="0.25">
      <c r="D9942" s="28"/>
      <c r="F9942" s="28"/>
      <c r="H9942" s="28"/>
    </row>
    <row r="9943" spans="4:8" x14ac:dyDescent="0.25">
      <c r="D9943" s="28"/>
      <c r="F9943" s="28"/>
      <c r="H9943" s="28"/>
    </row>
    <row r="9944" spans="4:8" x14ac:dyDescent="0.25">
      <c r="D9944" s="28"/>
      <c r="F9944" s="28"/>
      <c r="H9944" s="28"/>
    </row>
    <row r="9945" spans="4:8" x14ac:dyDescent="0.25">
      <c r="D9945" s="28"/>
      <c r="F9945" s="28"/>
      <c r="H9945" s="28"/>
    </row>
    <row r="9946" spans="4:8" x14ac:dyDescent="0.25">
      <c r="D9946" s="28"/>
      <c r="F9946" s="28"/>
      <c r="H9946" s="28"/>
    </row>
    <row r="9947" spans="4:8" x14ac:dyDescent="0.25">
      <c r="D9947" s="28"/>
      <c r="F9947" s="28"/>
      <c r="H9947" s="28"/>
    </row>
    <row r="9948" spans="4:8" x14ac:dyDescent="0.25">
      <c r="D9948" s="28"/>
      <c r="F9948" s="28"/>
      <c r="H9948" s="28"/>
    </row>
    <row r="9949" spans="4:8" x14ac:dyDescent="0.25">
      <c r="D9949" s="28"/>
      <c r="F9949" s="28"/>
      <c r="H9949" s="28"/>
    </row>
    <row r="9950" spans="4:8" x14ac:dyDescent="0.25">
      <c r="D9950" s="28"/>
      <c r="F9950" s="28"/>
      <c r="H9950" s="28"/>
    </row>
    <row r="9951" spans="4:8" x14ac:dyDescent="0.25">
      <c r="D9951" s="28"/>
      <c r="F9951" s="28"/>
      <c r="H9951" s="28"/>
    </row>
    <row r="9952" spans="4:8" x14ac:dyDescent="0.25">
      <c r="D9952" s="28"/>
      <c r="F9952" s="28"/>
      <c r="H9952" s="28"/>
    </row>
    <row r="9953" spans="4:8" x14ac:dyDescent="0.25">
      <c r="D9953" s="28"/>
      <c r="F9953" s="28"/>
      <c r="H9953" s="28"/>
    </row>
    <row r="9954" spans="4:8" x14ac:dyDescent="0.25">
      <c r="D9954" s="28"/>
      <c r="F9954" s="28"/>
      <c r="H9954" s="28"/>
    </row>
    <row r="9955" spans="4:8" x14ac:dyDescent="0.25">
      <c r="D9955" s="28"/>
      <c r="F9955" s="28"/>
      <c r="H9955" s="28"/>
    </row>
    <row r="9956" spans="4:8" x14ac:dyDescent="0.25">
      <c r="D9956" s="28"/>
      <c r="F9956" s="28"/>
      <c r="H9956" s="28"/>
    </row>
    <row r="9957" spans="4:8" x14ac:dyDescent="0.25">
      <c r="D9957" s="28"/>
      <c r="F9957" s="28"/>
      <c r="H9957" s="28"/>
    </row>
    <row r="9958" spans="4:8" x14ac:dyDescent="0.25">
      <c r="D9958" s="28"/>
      <c r="F9958" s="28"/>
      <c r="H9958" s="28"/>
    </row>
    <row r="9959" spans="4:8" x14ac:dyDescent="0.25">
      <c r="D9959" s="28"/>
      <c r="F9959" s="28"/>
      <c r="H9959" s="28"/>
    </row>
    <row r="9960" spans="4:8" x14ac:dyDescent="0.25">
      <c r="D9960" s="28"/>
      <c r="F9960" s="28"/>
      <c r="H9960" s="28"/>
    </row>
    <row r="9961" spans="4:8" x14ac:dyDescent="0.25">
      <c r="D9961" s="28"/>
      <c r="F9961" s="28"/>
      <c r="H9961" s="28"/>
    </row>
    <row r="9962" spans="4:8" x14ac:dyDescent="0.25">
      <c r="D9962" s="28"/>
      <c r="F9962" s="28"/>
      <c r="H9962" s="28"/>
    </row>
    <row r="9963" spans="4:8" x14ac:dyDescent="0.25">
      <c r="D9963" s="28"/>
      <c r="F9963" s="28"/>
      <c r="H9963" s="28"/>
    </row>
    <row r="9964" spans="4:8" x14ac:dyDescent="0.25">
      <c r="D9964" s="28"/>
      <c r="F9964" s="28"/>
      <c r="H9964" s="28"/>
    </row>
    <row r="9965" spans="4:8" x14ac:dyDescent="0.25">
      <c r="D9965" s="28"/>
      <c r="F9965" s="28"/>
      <c r="H9965" s="28"/>
    </row>
    <row r="9966" spans="4:8" x14ac:dyDescent="0.25">
      <c r="D9966" s="28"/>
      <c r="F9966" s="28"/>
      <c r="H9966" s="28"/>
    </row>
    <row r="9967" spans="4:8" x14ac:dyDescent="0.25">
      <c r="D9967" s="28"/>
      <c r="F9967" s="28"/>
      <c r="H9967" s="28"/>
    </row>
    <row r="9968" spans="4:8" x14ac:dyDescent="0.25">
      <c r="D9968" s="28"/>
      <c r="F9968" s="28"/>
      <c r="H9968" s="28"/>
    </row>
    <row r="9969" spans="4:8" x14ac:dyDescent="0.25">
      <c r="D9969" s="28"/>
      <c r="F9969" s="28"/>
      <c r="H9969" s="28"/>
    </row>
    <row r="9970" spans="4:8" x14ac:dyDescent="0.25">
      <c r="D9970" s="28"/>
      <c r="F9970" s="28"/>
      <c r="H9970" s="28"/>
    </row>
    <row r="9971" spans="4:8" x14ac:dyDescent="0.25">
      <c r="D9971" s="28"/>
      <c r="F9971" s="28"/>
      <c r="H9971" s="28"/>
    </row>
    <row r="9972" spans="4:8" x14ac:dyDescent="0.25">
      <c r="D9972" s="28"/>
      <c r="F9972" s="28"/>
      <c r="H9972" s="28"/>
    </row>
    <row r="9973" spans="4:8" x14ac:dyDescent="0.25">
      <c r="D9973" s="28"/>
      <c r="F9973" s="28"/>
      <c r="H9973" s="28"/>
    </row>
    <row r="9974" spans="4:8" x14ac:dyDescent="0.25">
      <c r="D9974" s="28"/>
      <c r="F9974" s="28"/>
      <c r="H9974" s="28"/>
    </row>
    <row r="9975" spans="4:8" x14ac:dyDescent="0.25">
      <c r="D9975" s="28"/>
      <c r="F9975" s="28"/>
      <c r="H9975" s="28"/>
    </row>
    <row r="9976" spans="4:8" x14ac:dyDescent="0.25">
      <c r="D9976" s="28"/>
      <c r="F9976" s="28"/>
      <c r="H9976" s="28"/>
    </row>
    <row r="9977" spans="4:8" x14ac:dyDescent="0.25">
      <c r="D9977" s="28"/>
      <c r="F9977" s="28"/>
      <c r="H9977" s="28"/>
    </row>
    <row r="9978" spans="4:8" x14ac:dyDescent="0.25">
      <c r="D9978" s="28"/>
      <c r="F9978" s="28"/>
      <c r="H9978" s="28"/>
    </row>
    <row r="9979" spans="4:8" x14ac:dyDescent="0.25">
      <c r="D9979" s="28"/>
      <c r="F9979" s="28"/>
      <c r="H9979" s="28"/>
    </row>
    <row r="9980" spans="4:8" x14ac:dyDescent="0.25">
      <c r="D9980" s="28"/>
      <c r="F9980" s="28"/>
      <c r="H9980" s="28"/>
    </row>
    <row r="9981" spans="4:8" x14ac:dyDescent="0.25">
      <c r="D9981" s="28"/>
      <c r="F9981" s="28"/>
      <c r="H9981" s="28"/>
    </row>
    <row r="9982" spans="4:8" x14ac:dyDescent="0.25">
      <c r="D9982" s="28"/>
      <c r="F9982" s="28"/>
      <c r="H9982" s="28"/>
    </row>
    <row r="9983" spans="4:8" x14ac:dyDescent="0.25">
      <c r="D9983" s="28"/>
      <c r="F9983" s="28"/>
      <c r="H9983" s="28"/>
    </row>
    <row r="9984" spans="4:8" x14ac:dyDescent="0.25">
      <c r="D9984" s="28"/>
      <c r="F9984" s="28"/>
      <c r="H9984" s="28"/>
    </row>
    <row r="9985" spans="4:8" x14ac:dyDescent="0.25">
      <c r="D9985" s="28"/>
      <c r="F9985" s="28"/>
      <c r="H9985" s="28"/>
    </row>
    <row r="9986" spans="4:8" x14ac:dyDescent="0.25">
      <c r="D9986" s="28"/>
      <c r="F9986" s="28"/>
      <c r="H9986" s="28"/>
    </row>
    <row r="9987" spans="4:8" x14ac:dyDescent="0.25">
      <c r="D9987" s="28"/>
      <c r="F9987" s="28"/>
      <c r="H9987" s="28"/>
    </row>
    <row r="9988" spans="4:8" x14ac:dyDescent="0.25">
      <c r="D9988" s="28"/>
      <c r="F9988" s="28"/>
      <c r="H9988" s="28"/>
    </row>
    <row r="9989" spans="4:8" x14ac:dyDescent="0.25">
      <c r="D9989" s="28"/>
      <c r="F9989" s="28"/>
      <c r="H9989" s="28"/>
    </row>
    <row r="9990" spans="4:8" x14ac:dyDescent="0.25">
      <c r="D9990" s="28"/>
      <c r="F9990" s="28"/>
      <c r="H9990" s="28"/>
    </row>
    <row r="9991" spans="4:8" x14ac:dyDescent="0.25">
      <c r="D9991" s="28"/>
      <c r="F9991" s="28"/>
      <c r="H9991" s="28"/>
    </row>
    <row r="9992" spans="4:8" x14ac:dyDescent="0.25">
      <c r="D9992" s="28"/>
      <c r="F9992" s="28"/>
      <c r="H9992" s="28"/>
    </row>
    <row r="9993" spans="4:8" x14ac:dyDescent="0.25">
      <c r="D9993" s="28"/>
      <c r="F9993" s="28"/>
      <c r="H9993" s="28"/>
    </row>
    <row r="9994" spans="4:8" x14ac:dyDescent="0.25">
      <c r="D9994" s="28"/>
      <c r="F9994" s="28"/>
      <c r="H9994" s="28"/>
    </row>
    <row r="9995" spans="4:8" x14ac:dyDescent="0.25">
      <c r="D9995" s="28"/>
      <c r="F9995" s="28"/>
      <c r="H9995" s="28"/>
    </row>
    <row r="9996" spans="4:8" x14ac:dyDescent="0.25">
      <c r="D9996" s="28"/>
      <c r="F9996" s="28"/>
      <c r="H9996" s="28"/>
    </row>
    <row r="9997" spans="4:8" x14ac:dyDescent="0.25">
      <c r="D9997" s="28"/>
      <c r="F9997" s="28"/>
      <c r="H9997" s="28"/>
    </row>
    <row r="9998" spans="4:8" x14ac:dyDescent="0.25">
      <c r="D9998" s="28"/>
      <c r="F9998" s="28"/>
      <c r="H9998" s="28"/>
    </row>
    <row r="9999" spans="4:8" x14ac:dyDescent="0.25">
      <c r="D9999" s="28"/>
      <c r="F9999" s="28"/>
      <c r="H9999" s="28"/>
    </row>
    <row r="10000" spans="4:8" x14ac:dyDescent="0.25">
      <c r="D10000" s="28"/>
      <c r="F10000" s="28"/>
      <c r="H10000" s="28"/>
    </row>
    <row r="10001" spans="4:8" x14ac:dyDescent="0.25">
      <c r="D10001" s="28"/>
      <c r="F10001" s="28"/>
      <c r="H10001" s="28"/>
    </row>
    <row r="10002" spans="4:8" x14ac:dyDescent="0.25">
      <c r="D10002" s="28"/>
      <c r="F10002" s="28"/>
      <c r="H10002" s="28"/>
    </row>
    <row r="10003" spans="4:8" x14ac:dyDescent="0.25">
      <c r="D10003" s="28"/>
      <c r="F10003" s="28"/>
      <c r="H10003" s="28"/>
    </row>
    <row r="10004" spans="4:8" x14ac:dyDescent="0.25">
      <c r="D10004" s="28"/>
      <c r="F10004" s="28"/>
      <c r="H10004" s="28"/>
    </row>
    <row r="10005" spans="4:8" x14ac:dyDescent="0.25">
      <c r="D10005" s="28"/>
      <c r="F10005" s="28"/>
      <c r="H10005" s="28"/>
    </row>
    <row r="10006" spans="4:8" x14ac:dyDescent="0.25">
      <c r="D10006" s="28"/>
      <c r="F10006" s="28"/>
      <c r="H10006" s="28"/>
    </row>
    <row r="10007" spans="4:8" x14ac:dyDescent="0.25">
      <c r="D10007" s="28"/>
      <c r="F10007" s="28"/>
      <c r="H10007" s="28"/>
    </row>
    <row r="10008" spans="4:8" x14ac:dyDescent="0.25">
      <c r="D10008" s="28"/>
      <c r="F10008" s="28"/>
      <c r="H10008" s="28"/>
    </row>
    <row r="10009" spans="4:8" x14ac:dyDescent="0.25">
      <c r="D10009" s="28"/>
      <c r="F10009" s="28"/>
      <c r="H10009" s="28"/>
    </row>
    <row r="10010" spans="4:8" x14ac:dyDescent="0.25">
      <c r="D10010" s="28"/>
      <c r="F10010" s="28"/>
      <c r="H10010" s="28"/>
    </row>
    <row r="10011" spans="4:8" x14ac:dyDescent="0.25">
      <c r="D10011" s="28"/>
      <c r="F10011" s="28"/>
      <c r="H10011" s="28"/>
    </row>
    <row r="10012" spans="4:8" x14ac:dyDescent="0.25">
      <c r="D10012" s="28"/>
      <c r="F10012" s="28"/>
      <c r="H10012" s="28"/>
    </row>
    <row r="10013" spans="4:8" x14ac:dyDescent="0.25">
      <c r="D10013" s="28"/>
      <c r="F10013" s="28"/>
      <c r="H10013" s="28"/>
    </row>
    <row r="10014" spans="4:8" x14ac:dyDescent="0.25">
      <c r="D10014" s="28"/>
      <c r="F10014" s="28"/>
      <c r="H10014" s="28"/>
    </row>
    <row r="10015" spans="4:8" x14ac:dyDescent="0.25">
      <c r="D10015" s="28"/>
      <c r="F10015" s="28"/>
      <c r="H10015" s="28"/>
    </row>
    <row r="10016" spans="4:8" x14ac:dyDescent="0.25">
      <c r="D10016" s="28"/>
      <c r="F10016" s="28"/>
      <c r="H10016" s="28"/>
    </row>
    <row r="10017" spans="4:8" x14ac:dyDescent="0.25">
      <c r="D10017" s="28"/>
      <c r="F10017" s="28"/>
      <c r="H10017" s="28"/>
    </row>
    <row r="10018" spans="4:8" x14ac:dyDescent="0.25">
      <c r="D10018" s="28"/>
      <c r="F10018" s="28"/>
      <c r="H10018" s="28"/>
    </row>
    <row r="10019" spans="4:8" x14ac:dyDescent="0.25">
      <c r="D10019" s="28"/>
      <c r="F10019" s="28"/>
      <c r="H10019" s="28"/>
    </row>
    <row r="10020" spans="4:8" x14ac:dyDescent="0.25">
      <c r="D10020" s="28"/>
      <c r="F10020" s="28"/>
      <c r="H10020" s="28"/>
    </row>
    <row r="10021" spans="4:8" x14ac:dyDescent="0.25">
      <c r="D10021" s="28"/>
      <c r="F10021" s="28"/>
      <c r="H10021" s="28"/>
    </row>
    <row r="10022" spans="4:8" x14ac:dyDescent="0.25">
      <c r="D10022" s="28"/>
      <c r="F10022" s="28"/>
      <c r="H10022" s="28"/>
    </row>
    <row r="10023" spans="4:8" x14ac:dyDescent="0.25">
      <c r="D10023" s="28"/>
      <c r="F10023" s="28"/>
      <c r="H10023" s="28"/>
    </row>
    <row r="10024" spans="4:8" x14ac:dyDescent="0.25">
      <c r="D10024" s="28"/>
      <c r="F10024" s="28"/>
      <c r="H10024" s="28"/>
    </row>
    <row r="10025" spans="4:8" x14ac:dyDescent="0.25">
      <c r="D10025" s="28"/>
      <c r="F10025" s="28"/>
      <c r="H10025" s="28"/>
    </row>
    <row r="10026" spans="4:8" x14ac:dyDescent="0.25">
      <c r="D10026" s="28"/>
      <c r="F10026" s="28"/>
      <c r="H10026" s="28"/>
    </row>
    <row r="10027" spans="4:8" x14ac:dyDescent="0.25">
      <c r="D10027" s="28"/>
      <c r="F10027" s="28"/>
      <c r="H10027" s="28"/>
    </row>
    <row r="10028" spans="4:8" x14ac:dyDescent="0.25">
      <c r="D10028" s="28"/>
      <c r="F10028" s="28"/>
      <c r="H10028" s="28"/>
    </row>
    <row r="10029" spans="4:8" x14ac:dyDescent="0.25">
      <c r="D10029" s="28"/>
      <c r="F10029" s="28"/>
      <c r="H10029" s="28"/>
    </row>
    <row r="10030" spans="4:8" x14ac:dyDescent="0.25">
      <c r="D10030" s="28"/>
      <c r="F10030" s="28"/>
      <c r="H10030" s="28"/>
    </row>
    <row r="10031" spans="4:8" x14ac:dyDescent="0.25">
      <c r="D10031" s="28"/>
      <c r="F10031" s="28"/>
      <c r="H10031" s="28"/>
    </row>
    <row r="10032" spans="4:8" x14ac:dyDescent="0.25">
      <c r="D10032" s="28"/>
      <c r="F10032" s="28"/>
      <c r="H10032" s="28"/>
    </row>
    <row r="10033" spans="4:8" x14ac:dyDescent="0.25">
      <c r="D10033" s="28"/>
      <c r="F10033" s="28"/>
      <c r="H10033" s="28"/>
    </row>
    <row r="10034" spans="4:8" x14ac:dyDescent="0.25">
      <c r="D10034" s="28"/>
      <c r="F10034" s="28"/>
      <c r="H10034" s="28"/>
    </row>
    <row r="10035" spans="4:8" x14ac:dyDescent="0.25">
      <c r="D10035" s="28"/>
      <c r="F10035" s="28"/>
      <c r="H10035" s="28"/>
    </row>
    <row r="10036" spans="4:8" x14ac:dyDescent="0.25">
      <c r="D10036" s="28"/>
      <c r="F10036" s="28"/>
      <c r="H10036" s="28"/>
    </row>
    <row r="10037" spans="4:8" x14ac:dyDescent="0.25">
      <c r="D10037" s="28"/>
      <c r="F10037" s="28"/>
      <c r="H10037" s="28"/>
    </row>
    <row r="10038" spans="4:8" x14ac:dyDescent="0.25">
      <c r="D10038" s="28"/>
      <c r="F10038" s="28"/>
      <c r="H10038" s="28"/>
    </row>
    <row r="10039" spans="4:8" x14ac:dyDescent="0.25">
      <c r="D10039" s="28"/>
      <c r="F10039" s="28"/>
      <c r="H10039" s="28"/>
    </row>
    <row r="10040" spans="4:8" x14ac:dyDescent="0.25">
      <c r="D10040" s="28"/>
      <c r="F10040" s="28"/>
      <c r="H10040" s="28"/>
    </row>
    <row r="10041" spans="4:8" x14ac:dyDescent="0.25">
      <c r="D10041" s="28"/>
      <c r="F10041" s="28"/>
      <c r="H10041" s="28"/>
    </row>
    <row r="10042" spans="4:8" x14ac:dyDescent="0.25">
      <c r="D10042" s="28"/>
      <c r="F10042" s="28"/>
      <c r="H10042" s="28"/>
    </row>
    <row r="10043" spans="4:8" x14ac:dyDescent="0.25">
      <c r="D10043" s="28"/>
      <c r="F10043" s="28"/>
      <c r="H10043" s="28"/>
    </row>
    <row r="10044" spans="4:8" x14ac:dyDescent="0.25">
      <c r="D10044" s="28"/>
      <c r="F10044" s="28"/>
      <c r="H10044" s="28"/>
    </row>
    <row r="10045" spans="4:8" x14ac:dyDescent="0.25">
      <c r="D10045" s="28"/>
      <c r="F10045" s="28"/>
      <c r="H10045" s="28"/>
    </row>
    <row r="10046" spans="4:8" x14ac:dyDescent="0.25">
      <c r="D10046" s="28"/>
      <c r="F10046" s="28"/>
      <c r="H10046" s="28"/>
    </row>
    <row r="10047" spans="4:8" x14ac:dyDescent="0.25">
      <c r="D10047" s="28"/>
      <c r="F10047" s="28"/>
      <c r="H10047" s="28"/>
    </row>
    <row r="10048" spans="4:8" x14ac:dyDescent="0.25">
      <c r="D10048" s="28"/>
      <c r="F10048" s="28"/>
      <c r="H10048" s="28"/>
    </row>
    <row r="10049" spans="4:8" x14ac:dyDescent="0.25">
      <c r="D10049" s="28"/>
      <c r="F10049" s="28"/>
      <c r="H10049" s="28"/>
    </row>
    <row r="10050" spans="4:8" x14ac:dyDescent="0.25">
      <c r="D10050" s="28"/>
      <c r="F10050" s="28"/>
      <c r="H10050" s="28"/>
    </row>
    <row r="10051" spans="4:8" x14ac:dyDescent="0.25">
      <c r="D10051" s="28"/>
      <c r="F10051" s="28"/>
      <c r="H10051" s="28"/>
    </row>
    <row r="10052" spans="4:8" x14ac:dyDescent="0.25">
      <c r="D10052" s="28"/>
      <c r="F10052" s="28"/>
      <c r="H10052" s="28"/>
    </row>
    <row r="10053" spans="4:8" x14ac:dyDescent="0.25">
      <c r="D10053" s="28"/>
      <c r="F10053" s="28"/>
      <c r="H10053" s="28"/>
    </row>
    <row r="10054" spans="4:8" x14ac:dyDescent="0.25">
      <c r="D10054" s="28"/>
      <c r="F10054" s="28"/>
      <c r="H10054" s="28"/>
    </row>
    <row r="10055" spans="4:8" x14ac:dyDescent="0.25">
      <c r="D10055" s="28"/>
      <c r="F10055" s="28"/>
      <c r="H10055" s="28"/>
    </row>
    <row r="10056" spans="4:8" x14ac:dyDescent="0.25">
      <c r="D10056" s="28"/>
      <c r="F10056" s="28"/>
      <c r="H10056" s="28"/>
    </row>
    <row r="10057" spans="4:8" x14ac:dyDescent="0.25">
      <c r="D10057" s="28"/>
      <c r="F10057" s="28"/>
      <c r="H10057" s="28"/>
    </row>
    <row r="10058" spans="4:8" x14ac:dyDescent="0.25">
      <c r="D10058" s="28"/>
      <c r="F10058" s="28"/>
      <c r="H10058" s="28"/>
    </row>
    <row r="10059" spans="4:8" x14ac:dyDescent="0.25">
      <c r="D10059" s="28"/>
      <c r="F10059" s="28"/>
      <c r="H10059" s="28"/>
    </row>
    <row r="10060" spans="4:8" x14ac:dyDescent="0.25">
      <c r="D10060" s="28"/>
      <c r="F10060" s="28"/>
      <c r="H10060" s="28"/>
    </row>
    <row r="10061" spans="4:8" x14ac:dyDescent="0.25">
      <c r="D10061" s="28"/>
      <c r="F10061" s="28"/>
      <c r="H10061" s="28"/>
    </row>
    <row r="10062" spans="4:8" x14ac:dyDescent="0.25">
      <c r="D10062" s="28"/>
      <c r="F10062" s="28"/>
      <c r="H10062" s="28"/>
    </row>
    <row r="10063" spans="4:8" x14ac:dyDescent="0.25">
      <c r="D10063" s="28"/>
      <c r="F10063" s="28"/>
      <c r="H10063" s="28"/>
    </row>
    <row r="10064" spans="4:8" x14ac:dyDescent="0.25">
      <c r="D10064" s="28"/>
      <c r="F10064" s="28"/>
      <c r="H10064" s="28"/>
    </row>
    <row r="10065" spans="4:8" x14ac:dyDescent="0.25">
      <c r="D10065" s="28"/>
      <c r="F10065" s="28"/>
      <c r="H10065" s="28"/>
    </row>
    <row r="10066" spans="4:8" x14ac:dyDescent="0.25">
      <c r="D10066" s="28"/>
      <c r="F10066" s="28"/>
      <c r="H10066" s="28"/>
    </row>
    <row r="10067" spans="4:8" x14ac:dyDescent="0.25">
      <c r="D10067" s="28"/>
      <c r="F10067" s="28"/>
      <c r="H10067" s="28"/>
    </row>
    <row r="10068" spans="4:8" x14ac:dyDescent="0.25">
      <c r="D10068" s="28"/>
      <c r="F10068" s="28"/>
      <c r="H10068" s="28"/>
    </row>
    <row r="10069" spans="4:8" x14ac:dyDescent="0.25">
      <c r="D10069" s="28"/>
      <c r="F10069" s="28"/>
      <c r="H10069" s="28"/>
    </row>
    <row r="10070" spans="4:8" x14ac:dyDescent="0.25">
      <c r="D10070" s="28"/>
      <c r="F10070" s="28"/>
      <c r="H10070" s="28"/>
    </row>
    <row r="10071" spans="4:8" x14ac:dyDescent="0.25">
      <c r="D10071" s="28"/>
      <c r="F10071" s="28"/>
      <c r="H10071" s="28"/>
    </row>
    <row r="10072" spans="4:8" x14ac:dyDescent="0.25">
      <c r="D10072" s="28"/>
      <c r="F10072" s="28"/>
      <c r="H10072" s="28"/>
    </row>
    <row r="10073" spans="4:8" x14ac:dyDescent="0.25">
      <c r="D10073" s="28"/>
      <c r="F10073" s="28"/>
      <c r="H10073" s="28"/>
    </row>
    <row r="10074" spans="4:8" x14ac:dyDescent="0.25">
      <c r="D10074" s="28"/>
      <c r="F10074" s="28"/>
      <c r="H10074" s="28"/>
    </row>
    <row r="10075" spans="4:8" x14ac:dyDescent="0.25">
      <c r="D10075" s="28"/>
      <c r="F10075" s="28"/>
      <c r="H10075" s="28"/>
    </row>
    <row r="10076" spans="4:8" x14ac:dyDescent="0.25">
      <c r="D10076" s="28"/>
      <c r="F10076" s="28"/>
      <c r="H10076" s="28"/>
    </row>
    <row r="10077" spans="4:8" x14ac:dyDescent="0.25">
      <c r="D10077" s="28"/>
      <c r="F10077" s="28"/>
      <c r="H10077" s="28"/>
    </row>
    <row r="10078" spans="4:8" x14ac:dyDescent="0.25">
      <c r="D10078" s="28"/>
      <c r="F10078" s="28"/>
      <c r="H10078" s="28"/>
    </row>
    <row r="10079" spans="4:8" x14ac:dyDescent="0.25">
      <c r="D10079" s="28"/>
      <c r="F10079" s="28"/>
      <c r="H10079" s="28"/>
    </row>
    <row r="10080" spans="4:8" x14ac:dyDescent="0.25">
      <c r="D10080" s="28"/>
      <c r="F10080" s="28"/>
      <c r="H10080" s="28"/>
    </row>
    <row r="10081" spans="4:8" x14ac:dyDescent="0.25">
      <c r="D10081" s="28"/>
      <c r="F10081" s="28"/>
      <c r="H10081" s="28"/>
    </row>
    <row r="10082" spans="4:8" x14ac:dyDescent="0.25">
      <c r="D10082" s="28"/>
      <c r="F10082" s="28"/>
      <c r="H10082" s="28"/>
    </row>
    <row r="10083" spans="4:8" x14ac:dyDescent="0.25">
      <c r="D10083" s="28"/>
      <c r="F10083" s="28"/>
      <c r="H10083" s="28"/>
    </row>
    <row r="10084" spans="4:8" x14ac:dyDescent="0.25">
      <c r="D10084" s="28"/>
      <c r="F10084" s="28"/>
      <c r="H10084" s="28"/>
    </row>
    <row r="10085" spans="4:8" x14ac:dyDescent="0.25">
      <c r="D10085" s="28"/>
      <c r="F10085" s="28"/>
      <c r="H10085" s="28"/>
    </row>
    <row r="10086" spans="4:8" x14ac:dyDescent="0.25">
      <c r="D10086" s="28"/>
      <c r="F10086" s="28"/>
      <c r="H10086" s="28"/>
    </row>
    <row r="10087" spans="4:8" x14ac:dyDescent="0.25">
      <c r="D10087" s="28"/>
      <c r="F10087" s="28"/>
      <c r="H10087" s="28"/>
    </row>
    <row r="10088" spans="4:8" x14ac:dyDescent="0.25">
      <c r="D10088" s="28"/>
      <c r="F10088" s="28"/>
      <c r="H10088" s="28"/>
    </row>
    <row r="10089" spans="4:8" x14ac:dyDescent="0.25">
      <c r="D10089" s="28"/>
      <c r="F10089" s="28"/>
      <c r="H10089" s="28"/>
    </row>
    <row r="10090" spans="4:8" x14ac:dyDescent="0.25">
      <c r="D10090" s="28"/>
      <c r="F10090" s="28"/>
      <c r="H10090" s="28"/>
    </row>
    <row r="10091" spans="4:8" x14ac:dyDescent="0.25">
      <c r="D10091" s="28"/>
      <c r="F10091" s="28"/>
      <c r="H10091" s="28"/>
    </row>
    <row r="10092" spans="4:8" x14ac:dyDescent="0.25">
      <c r="D10092" s="28"/>
      <c r="F10092" s="28"/>
      <c r="H10092" s="28"/>
    </row>
    <row r="10093" spans="4:8" x14ac:dyDescent="0.25">
      <c r="D10093" s="28"/>
      <c r="F10093" s="28"/>
      <c r="H10093" s="28"/>
    </row>
    <row r="10094" spans="4:8" x14ac:dyDescent="0.25">
      <c r="D10094" s="28"/>
      <c r="F10094" s="28"/>
      <c r="H10094" s="28"/>
    </row>
    <row r="10095" spans="4:8" x14ac:dyDescent="0.25">
      <c r="D10095" s="28"/>
      <c r="F10095" s="28"/>
      <c r="H10095" s="28"/>
    </row>
    <row r="10096" spans="4:8" x14ac:dyDescent="0.25">
      <c r="D10096" s="28"/>
      <c r="F10096" s="28"/>
      <c r="H10096" s="28"/>
    </row>
    <row r="10097" spans="4:8" x14ac:dyDescent="0.25">
      <c r="D10097" s="28"/>
      <c r="F10097" s="28"/>
      <c r="H10097" s="28"/>
    </row>
    <row r="10098" spans="4:8" x14ac:dyDescent="0.25">
      <c r="D10098" s="28"/>
      <c r="F10098" s="28"/>
      <c r="H10098" s="28"/>
    </row>
    <row r="10099" spans="4:8" x14ac:dyDescent="0.25">
      <c r="D10099" s="28"/>
      <c r="F10099" s="28"/>
      <c r="H10099" s="28"/>
    </row>
    <row r="10100" spans="4:8" x14ac:dyDescent="0.25">
      <c r="D10100" s="28"/>
      <c r="F10100" s="28"/>
      <c r="H10100" s="28"/>
    </row>
    <row r="10101" spans="4:8" x14ac:dyDescent="0.25">
      <c r="D10101" s="28"/>
      <c r="F10101" s="28"/>
      <c r="H10101" s="28"/>
    </row>
    <row r="10102" spans="4:8" x14ac:dyDescent="0.25">
      <c r="D10102" s="28"/>
      <c r="F10102" s="28"/>
      <c r="H10102" s="28"/>
    </row>
    <row r="10103" spans="4:8" x14ac:dyDescent="0.25">
      <c r="D10103" s="28"/>
      <c r="F10103" s="28"/>
      <c r="H10103" s="28"/>
    </row>
    <row r="10104" spans="4:8" x14ac:dyDescent="0.25">
      <c r="D10104" s="28"/>
      <c r="F10104" s="28"/>
      <c r="H10104" s="28"/>
    </row>
    <row r="10105" spans="4:8" x14ac:dyDescent="0.25">
      <c r="D10105" s="28"/>
      <c r="F10105" s="28"/>
      <c r="H10105" s="28"/>
    </row>
    <row r="10106" spans="4:8" x14ac:dyDescent="0.25">
      <c r="D10106" s="28"/>
      <c r="F10106" s="28"/>
      <c r="H10106" s="28"/>
    </row>
    <row r="10107" spans="4:8" x14ac:dyDescent="0.25">
      <c r="D10107" s="28"/>
      <c r="F10107" s="28"/>
      <c r="H10107" s="28"/>
    </row>
    <row r="10108" spans="4:8" x14ac:dyDescent="0.25">
      <c r="D10108" s="28"/>
      <c r="F10108" s="28"/>
      <c r="H10108" s="28"/>
    </row>
    <row r="10109" spans="4:8" x14ac:dyDescent="0.25">
      <c r="D10109" s="28"/>
      <c r="F10109" s="28"/>
      <c r="H10109" s="28"/>
    </row>
    <row r="10110" spans="4:8" x14ac:dyDescent="0.25">
      <c r="D10110" s="28"/>
      <c r="F10110" s="28"/>
      <c r="H10110" s="28"/>
    </row>
    <row r="10111" spans="4:8" x14ac:dyDescent="0.25">
      <c r="D10111" s="28"/>
      <c r="F10111" s="28"/>
      <c r="H10111" s="28"/>
    </row>
    <row r="10112" spans="4:8" x14ac:dyDescent="0.25">
      <c r="D10112" s="28"/>
      <c r="F10112" s="28"/>
      <c r="H10112" s="28"/>
    </row>
    <row r="10113" spans="4:8" x14ac:dyDescent="0.25">
      <c r="D10113" s="28"/>
      <c r="F10113" s="28"/>
      <c r="H10113" s="28"/>
    </row>
    <row r="10114" spans="4:8" x14ac:dyDescent="0.25">
      <c r="D10114" s="28"/>
      <c r="F10114" s="28"/>
      <c r="H10114" s="28"/>
    </row>
    <row r="10115" spans="4:8" x14ac:dyDescent="0.25">
      <c r="D10115" s="28"/>
      <c r="F10115" s="28"/>
      <c r="H10115" s="28"/>
    </row>
    <row r="10116" spans="4:8" x14ac:dyDescent="0.25">
      <c r="D10116" s="28"/>
      <c r="F10116" s="28"/>
      <c r="H10116" s="28"/>
    </row>
    <row r="10117" spans="4:8" x14ac:dyDescent="0.25">
      <c r="D10117" s="28"/>
      <c r="F10117" s="28"/>
      <c r="H10117" s="28"/>
    </row>
    <row r="10118" spans="4:8" x14ac:dyDescent="0.25">
      <c r="D10118" s="28"/>
      <c r="F10118" s="28"/>
      <c r="H10118" s="28"/>
    </row>
    <row r="10119" spans="4:8" x14ac:dyDescent="0.25">
      <c r="D10119" s="28"/>
      <c r="F10119" s="28"/>
      <c r="H10119" s="28"/>
    </row>
    <row r="10120" spans="4:8" x14ac:dyDescent="0.25">
      <c r="D10120" s="28"/>
      <c r="F10120" s="28"/>
      <c r="H10120" s="28"/>
    </row>
    <row r="10121" spans="4:8" x14ac:dyDescent="0.25">
      <c r="D10121" s="28"/>
      <c r="F10121" s="28"/>
      <c r="H10121" s="28"/>
    </row>
    <row r="10122" spans="4:8" x14ac:dyDescent="0.25">
      <c r="D10122" s="28"/>
      <c r="F10122" s="28"/>
      <c r="H10122" s="28"/>
    </row>
    <row r="10123" spans="4:8" x14ac:dyDescent="0.25">
      <c r="D10123" s="28"/>
      <c r="F10123" s="28"/>
      <c r="H10123" s="28"/>
    </row>
    <row r="10124" spans="4:8" x14ac:dyDescent="0.25">
      <c r="D10124" s="28"/>
      <c r="F10124" s="28"/>
      <c r="H10124" s="28"/>
    </row>
    <row r="10125" spans="4:8" x14ac:dyDescent="0.25">
      <c r="D10125" s="28"/>
      <c r="F10125" s="28"/>
      <c r="H10125" s="28"/>
    </row>
    <row r="10126" spans="4:8" x14ac:dyDescent="0.25">
      <c r="D10126" s="28"/>
      <c r="F10126" s="28"/>
      <c r="H10126" s="28"/>
    </row>
    <row r="10127" spans="4:8" x14ac:dyDescent="0.25">
      <c r="D10127" s="28"/>
      <c r="F10127" s="28"/>
      <c r="H10127" s="28"/>
    </row>
    <row r="10128" spans="4:8" x14ac:dyDescent="0.25">
      <c r="D10128" s="28"/>
      <c r="F10128" s="28"/>
      <c r="H10128" s="28"/>
    </row>
    <row r="10129" spans="4:8" x14ac:dyDescent="0.25">
      <c r="D10129" s="28"/>
      <c r="F10129" s="28"/>
      <c r="H10129" s="28"/>
    </row>
    <row r="10130" spans="4:8" x14ac:dyDescent="0.25">
      <c r="D10130" s="28"/>
      <c r="F10130" s="28"/>
      <c r="H10130" s="28"/>
    </row>
    <row r="10131" spans="4:8" x14ac:dyDescent="0.25">
      <c r="D10131" s="28"/>
      <c r="F10131" s="28"/>
      <c r="H10131" s="28"/>
    </row>
    <row r="10132" spans="4:8" x14ac:dyDescent="0.25">
      <c r="D10132" s="28"/>
      <c r="F10132" s="28"/>
      <c r="H10132" s="28"/>
    </row>
    <row r="10133" spans="4:8" x14ac:dyDescent="0.25">
      <c r="D10133" s="28"/>
      <c r="F10133" s="28"/>
      <c r="H10133" s="28"/>
    </row>
    <row r="10134" spans="4:8" x14ac:dyDescent="0.25">
      <c r="D10134" s="28"/>
      <c r="F10134" s="28"/>
      <c r="H10134" s="28"/>
    </row>
    <row r="10135" spans="4:8" x14ac:dyDescent="0.25">
      <c r="D10135" s="28"/>
      <c r="F10135" s="28"/>
      <c r="H10135" s="28"/>
    </row>
    <row r="10136" spans="4:8" x14ac:dyDescent="0.25">
      <c r="D10136" s="28"/>
      <c r="F10136" s="28"/>
      <c r="H10136" s="28"/>
    </row>
    <row r="10137" spans="4:8" x14ac:dyDescent="0.25">
      <c r="D10137" s="28"/>
      <c r="F10137" s="28"/>
      <c r="H10137" s="28"/>
    </row>
    <row r="10138" spans="4:8" x14ac:dyDescent="0.25">
      <c r="D10138" s="28"/>
      <c r="F10138" s="28"/>
      <c r="H10138" s="28"/>
    </row>
    <row r="10139" spans="4:8" x14ac:dyDescent="0.25">
      <c r="D10139" s="28"/>
      <c r="F10139" s="28"/>
      <c r="H10139" s="28"/>
    </row>
    <row r="10140" spans="4:8" x14ac:dyDescent="0.25">
      <c r="D10140" s="28"/>
      <c r="F10140" s="28"/>
      <c r="H10140" s="28"/>
    </row>
    <row r="10141" spans="4:8" x14ac:dyDescent="0.25">
      <c r="D10141" s="28"/>
      <c r="F10141" s="28"/>
      <c r="H10141" s="28"/>
    </row>
    <row r="10142" spans="4:8" x14ac:dyDescent="0.25">
      <c r="D10142" s="28"/>
      <c r="F10142" s="28"/>
      <c r="H10142" s="28"/>
    </row>
    <row r="10143" spans="4:8" x14ac:dyDescent="0.25">
      <c r="D10143" s="28"/>
      <c r="F10143" s="28"/>
      <c r="H10143" s="28"/>
    </row>
    <row r="10144" spans="4:8" x14ac:dyDescent="0.25">
      <c r="D10144" s="28"/>
      <c r="F10144" s="28"/>
      <c r="H10144" s="28"/>
    </row>
    <row r="10145" spans="4:8" x14ac:dyDescent="0.25">
      <c r="D10145" s="28"/>
      <c r="F10145" s="28"/>
      <c r="H10145" s="28"/>
    </row>
    <row r="10146" spans="4:8" x14ac:dyDescent="0.25">
      <c r="D10146" s="28"/>
      <c r="F10146" s="28"/>
      <c r="H10146" s="28"/>
    </row>
    <row r="10147" spans="4:8" x14ac:dyDescent="0.25">
      <c r="D10147" s="28"/>
      <c r="F10147" s="28"/>
      <c r="H10147" s="28"/>
    </row>
    <row r="10148" spans="4:8" x14ac:dyDescent="0.25">
      <c r="D10148" s="28"/>
      <c r="F10148" s="28"/>
      <c r="H10148" s="28"/>
    </row>
    <row r="10149" spans="4:8" x14ac:dyDescent="0.25">
      <c r="D10149" s="28"/>
      <c r="F10149" s="28"/>
      <c r="H10149" s="28"/>
    </row>
    <row r="10150" spans="4:8" x14ac:dyDescent="0.25">
      <c r="D10150" s="28"/>
      <c r="F10150" s="28"/>
      <c r="H10150" s="28"/>
    </row>
    <row r="10151" spans="4:8" x14ac:dyDescent="0.25">
      <c r="D10151" s="28"/>
      <c r="F10151" s="28"/>
      <c r="H10151" s="28"/>
    </row>
    <row r="10152" spans="4:8" x14ac:dyDescent="0.25">
      <c r="D10152" s="28"/>
      <c r="F10152" s="28"/>
      <c r="H10152" s="28"/>
    </row>
    <row r="10153" spans="4:8" x14ac:dyDescent="0.25">
      <c r="D10153" s="28"/>
      <c r="F10153" s="28"/>
      <c r="H10153" s="28"/>
    </row>
    <row r="10154" spans="4:8" x14ac:dyDescent="0.25">
      <c r="D10154" s="28"/>
      <c r="F10154" s="28"/>
      <c r="H10154" s="28"/>
    </row>
    <row r="10155" spans="4:8" x14ac:dyDescent="0.25">
      <c r="D10155" s="28"/>
      <c r="F10155" s="28"/>
      <c r="H10155" s="28"/>
    </row>
    <row r="10156" spans="4:8" x14ac:dyDescent="0.25">
      <c r="D10156" s="28"/>
      <c r="F10156" s="28"/>
      <c r="H10156" s="28"/>
    </row>
    <row r="10157" spans="4:8" x14ac:dyDescent="0.25">
      <c r="D10157" s="28"/>
      <c r="F10157" s="28"/>
      <c r="H10157" s="28"/>
    </row>
    <row r="10158" spans="4:8" x14ac:dyDescent="0.25">
      <c r="D10158" s="28"/>
      <c r="F10158" s="28"/>
      <c r="H10158" s="28"/>
    </row>
    <row r="10159" spans="4:8" x14ac:dyDescent="0.25">
      <c r="D10159" s="28"/>
      <c r="F10159" s="28"/>
      <c r="H10159" s="28"/>
    </row>
    <row r="10160" spans="4:8" x14ac:dyDescent="0.25">
      <c r="D10160" s="28"/>
      <c r="F10160" s="28"/>
      <c r="H10160" s="28"/>
    </row>
    <row r="10161" spans="4:8" x14ac:dyDescent="0.25">
      <c r="D10161" s="28"/>
      <c r="F10161" s="28"/>
      <c r="H10161" s="28"/>
    </row>
    <row r="10162" spans="4:8" x14ac:dyDescent="0.25">
      <c r="D10162" s="28"/>
      <c r="F10162" s="28"/>
      <c r="H10162" s="28"/>
    </row>
    <row r="10163" spans="4:8" x14ac:dyDescent="0.25">
      <c r="D10163" s="28"/>
      <c r="F10163" s="28"/>
      <c r="H10163" s="28"/>
    </row>
    <row r="10164" spans="4:8" x14ac:dyDescent="0.25">
      <c r="D10164" s="28"/>
      <c r="F10164" s="28"/>
      <c r="H10164" s="28"/>
    </row>
    <row r="10165" spans="4:8" x14ac:dyDescent="0.25">
      <c r="D10165" s="28"/>
      <c r="F10165" s="28"/>
      <c r="H10165" s="28"/>
    </row>
    <row r="10166" spans="4:8" x14ac:dyDescent="0.25">
      <c r="D10166" s="28"/>
      <c r="F10166" s="28"/>
      <c r="H10166" s="28"/>
    </row>
    <row r="10167" spans="4:8" x14ac:dyDescent="0.25">
      <c r="D10167" s="28"/>
      <c r="F10167" s="28"/>
      <c r="H10167" s="28"/>
    </row>
    <row r="10168" spans="4:8" x14ac:dyDescent="0.25">
      <c r="D10168" s="28"/>
      <c r="F10168" s="28"/>
      <c r="H10168" s="28"/>
    </row>
    <row r="10169" spans="4:8" x14ac:dyDescent="0.25">
      <c r="D10169" s="28"/>
      <c r="F10169" s="28"/>
      <c r="H10169" s="28"/>
    </row>
    <row r="10170" spans="4:8" x14ac:dyDescent="0.25">
      <c r="D10170" s="28"/>
      <c r="F10170" s="28"/>
      <c r="H10170" s="28"/>
    </row>
    <row r="10171" spans="4:8" x14ac:dyDescent="0.25">
      <c r="D10171" s="28"/>
      <c r="F10171" s="28"/>
      <c r="H10171" s="28"/>
    </row>
    <row r="10172" spans="4:8" x14ac:dyDescent="0.25">
      <c r="D10172" s="28"/>
      <c r="F10172" s="28"/>
      <c r="H10172" s="28"/>
    </row>
    <row r="10173" spans="4:8" x14ac:dyDescent="0.25">
      <c r="D10173" s="28"/>
      <c r="F10173" s="28"/>
      <c r="H10173" s="28"/>
    </row>
    <row r="10174" spans="4:8" x14ac:dyDescent="0.25">
      <c r="D10174" s="28"/>
      <c r="F10174" s="28"/>
      <c r="H10174" s="28"/>
    </row>
    <row r="10175" spans="4:8" x14ac:dyDescent="0.25">
      <c r="D10175" s="28"/>
      <c r="F10175" s="28"/>
      <c r="H10175" s="28"/>
    </row>
    <row r="10176" spans="4:8" x14ac:dyDescent="0.25">
      <c r="D10176" s="28"/>
      <c r="F10176" s="28"/>
      <c r="H10176" s="28"/>
    </row>
    <row r="10177" spans="4:8" x14ac:dyDescent="0.25">
      <c r="D10177" s="28"/>
      <c r="F10177" s="28"/>
      <c r="H10177" s="28"/>
    </row>
    <row r="10178" spans="4:8" x14ac:dyDescent="0.25">
      <c r="D10178" s="28"/>
      <c r="F10178" s="28"/>
      <c r="H10178" s="28"/>
    </row>
    <row r="10179" spans="4:8" x14ac:dyDescent="0.25">
      <c r="D10179" s="28"/>
      <c r="F10179" s="28"/>
      <c r="H10179" s="28"/>
    </row>
    <row r="10180" spans="4:8" x14ac:dyDescent="0.25">
      <c r="D10180" s="28"/>
      <c r="F10180" s="28"/>
      <c r="H10180" s="28"/>
    </row>
    <row r="10181" spans="4:8" x14ac:dyDescent="0.25">
      <c r="D10181" s="28"/>
      <c r="F10181" s="28"/>
      <c r="H10181" s="28"/>
    </row>
    <row r="10182" spans="4:8" x14ac:dyDescent="0.25">
      <c r="D10182" s="28"/>
      <c r="F10182" s="28"/>
      <c r="H10182" s="28"/>
    </row>
    <row r="10183" spans="4:8" x14ac:dyDescent="0.25">
      <c r="D10183" s="28"/>
      <c r="F10183" s="28"/>
      <c r="H10183" s="28"/>
    </row>
    <row r="10184" spans="4:8" x14ac:dyDescent="0.25">
      <c r="D10184" s="28"/>
      <c r="F10184" s="28"/>
      <c r="H10184" s="28"/>
    </row>
    <row r="10185" spans="4:8" x14ac:dyDescent="0.25">
      <c r="D10185" s="28"/>
      <c r="F10185" s="28"/>
      <c r="H10185" s="28"/>
    </row>
    <row r="10186" spans="4:8" x14ac:dyDescent="0.25">
      <c r="D10186" s="28"/>
      <c r="F10186" s="28"/>
      <c r="H10186" s="28"/>
    </row>
    <row r="10187" spans="4:8" x14ac:dyDescent="0.25">
      <c r="D10187" s="28"/>
      <c r="F10187" s="28"/>
      <c r="H10187" s="28"/>
    </row>
    <row r="10188" spans="4:8" x14ac:dyDescent="0.25">
      <c r="D10188" s="28"/>
      <c r="F10188" s="28"/>
      <c r="H10188" s="28"/>
    </row>
    <row r="10189" spans="4:8" x14ac:dyDescent="0.25">
      <c r="D10189" s="28"/>
      <c r="F10189" s="28"/>
      <c r="H10189" s="28"/>
    </row>
    <row r="10190" spans="4:8" x14ac:dyDescent="0.25">
      <c r="D10190" s="28"/>
      <c r="F10190" s="28"/>
      <c r="H10190" s="28"/>
    </row>
    <row r="10191" spans="4:8" x14ac:dyDescent="0.25">
      <c r="D10191" s="28"/>
      <c r="F10191" s="28"/>
      <c r="H10191" s="28"/>
    </row>
    <row r="10192" spans="4:8" x14ac:dyDescent="0.25">
      <c r="D10192" s="28"/>
      <c r="F10192" s="28"/>
      <c r="H10192" s="28"/>
    </row>
    <row r="10193" spans="4:8" x14ac:dyDescent="0.25">
      <c r="D10193" s="28"/>
      <c r="F10193" s="28"/>
      <c r="H10193" s="28"/>
    </row>
    <row r="10194" spans="4:8" x14ac:dyDescent="0.25">
      <c r="D10194" s="28"/>
      <c r="F10194" s="28"/>
      <c r="H10194" s="28"/>
    </row>
    <row r="10195" spans="4:8" x14ac:dyDescent="0.25">
      <c r="D10195" s="28"/>
      <c r="F10195" s="28"/>
      <c r="H10195" s="28"/>
    </row>
    <row r="10196" spans="4:8" x14ac:dyDescent="0.25">
      <c r="D10196" s="28"/>
      <c r="F10196" s="28"/>
      <c r="H10196" s="28"/>
    </row>
    <row r="10197" spans="4:8" x14ac:dyDescent="0.25">
      <c r="D10197" s="28"/>
      <c r="F10197" s="28"/>
      <c r="H10197" s="28"/>
    </row>
    <row r="10198" spans="4:8" x14ac:dyDescent="0.25">
      <c r="D10198" s="28"/>
      <c r="F10198" s="28"/>
      <c r="H10198" s="28"/>
    </row>
    <row r="10199" spans="4:8" x14ac:dyDescent="0.25">
      <c r="D10199" s="28"/>
      <c r="F10199" s="28"/>
      <c r="H10199" s="28"/>
    </row>
    <row r="10200" spans="4:8" x14ac:dyDescent="0.25">
      <c r="D10200" s="28"/>
      <c r="F10200" s="28"/>
      <c r="H10200" s="28"/>
    </row>
    <row r="10201" spans="4:8" x14ac:dyDescent="0.25">
      <c r="D10201" s="28"/>
      <c r="F10201" s="28"/>
      <c r="H10201" s="28"/>
    </row>
    <row r="10202" spans="4:8" x14ac:dyDescent="0.25">
      <c r="D10202" s="28"/>
      <c r="F10202" s="28"/>
      <c r="H10202" s="28"/>
    </row>
    <row r="10203" spans="4:8" x14ac:dyDescent="0.25">
      <c r="D10203" s="28"/>
      <c r="F10203" s="28"/>
      <c r="H10203" s="28"/>
    </row>
    <row r="10204" spans="4:8" x14ac:dyDescent="0.25">
      <c r="D10204" s="28"/>
      <c r="F10204" s="28"/>
      <c r="H10204" s="28"/>
    </row>
    <row r="10205" spans="4:8" x14ac:dyDescent="0.25">
      <c r="D10205" s="28"/>
      <c r="F10205" s="28"/>
      <c r="H10205" s="28"/>
    </row>
    <row r="10206" spans="4:8" x14ac:dyDescent="0.25">
      <c r="D10206" s="28"/>
      <c r="F10206" s="28"/>
      <c r="H10206" s="28"/>
    </row>
    <row r="10207" spans="4:8" x14ac:dyDescent="0.25">
      <c r="D10207" s="28"/>
      <c r="F10207" s="28"/>
      <c r="H10207" s="28"/>
    </row>
    <row r="10208" spans="4:8" x14ac:dyDescent="0.25">
      <c r="D10208" s="28"/>
      <c r="F10208" s="28"/>
      <c r="H10208" s="28"/>
    </row>
    <row r="10209" spans="4:8" x14ac:dyDescent="0.25">
      <c r="D10209" s="28"/>
      <c r="F10209" s="28"/>
      <c r="H10209" s="28"/>
    </row>
    <row r="10210" spans="4:8" x14ac:dyDescent="0.25">
      <c r="D10210" s="28"/>
      <c r="F10210" s="28"/>
      <c r="H10210" s="28"/>
    </row>
    <row r="10211" spans="4:8" x14ac:dyDescent="0.25">
      <c r="D10211" s="28"/>
      <c r="F10211" s="28"/>
      <c r="H10211" s="28"/>
    </row>
    <row r="10212" spans="4:8" x14ac:dyDescent="0.25">
      <c r="D10212" s="28"/>
      <c r="F10212" s="28"/>
      <c r="H10212" s="28"/>
    </row>
    <row r="10213" spans="4:8" x14ac:dyDescent="0.25">
      <c r="D10213" s="28"/>
      <c r="F10213" s="28"/>
      <c r="H10213" s="28"/>
    </row>
    <row r="10214" spans="4:8" x14ac:dyDescent="0.25">
      <c r="D10214" s="28"/>
      <c r="F10214" s="28"/>
      <c r="H10214" s="28"/>
    </row>
    <row r="10215" spans="4:8" x14ac:dyDescent="0.25">
      <c r="D10215" s="28"/>
      <c r="F10215" s="28"/>
      <c r="H10215" s="28"/>
    </row>
    <row r="10216" spans="4:8" x14ac:dyDescent="0.25">
      <c r="D10216" s="28"/>
      <c r="F10216" s="28"/>
      <c r="H10216" s="28"/>
    </row>
    <row r="10217" spans="4:8" x14ac:dyDescent="0.25">
      <c r="D10217" s="28"/>
      <c r="F10217" s="28"/>
      <c r="H10217" s="28"/>
    </row>
    <row r="10218" spans="4:8" x14ac:dyDescent="0.25">
      <c r="D10218" s="28"/>
      <c r="F10218" s="28"/>
      <c r="H10218" s="28"/>
    </row>
    <row r="10219" spans="4:8" x14ac:dyDescent="0.25">
      <c r="D10219" s="28"/>
      <c r="F10219" s="28"/>
      <c r="H10219" s="28"/>
    </row>
    <row r="10220" spans="4:8" x14ac:dyDescent="0.25">
      <c r="D10220" s="28"/>
      <c r="F10220" s="28"/>
      <c r="H10220" s="28"/>
    </row>
    <row r="10221" spans="4:8" x14ac:dyDescent="0.25">
      <c r="D10221" s="28"/>
      <c r="F10221" s="28"/>
      <c r="H10221" s="28"/>
    </row>
    <row r="10222" spans="4:8" x14ac:dyDescent="0.25">
      <c r="D10222" s="28"/>
      <c r="F10222" s="28"/>
      <c r="H10222" s="28"/>
    </row>
    <row r="10223" spans="4:8" x14ac:dyDescent="0.25">
      <c r="D10223" s="28"/>
      <c r="F10223" s="28"/>
      <c r="H10223" s="28"/>
    </row>
    <row r="10224" spans="4:8" x14ac:dyDescent="0.25">
      <c r="D10224" s="28"/>
      <c r="F10224" s="28"/>
      <c r="H10224" s="28"/>
    </row>
    <row r="10225" spans="4:8" x14ac:dyDescent="0.25">
      <c r="D10225" s="28"/>
      <c r="F10225" s="28"/>
      <c r="H10225" s="28"/>
    </row>
    <row r="10226" spans="4:8" x14ac:dyDescent="0.25">
      <c r="D10226" s="28"/>
      <c r="F10226" s="28"/>
      <c r="H10226" s="28"/>
    </row>
    <row r="10227" spans="4:8" x14ac:dyDescent="0.25">
      <c r="D10227" s="28"/>
      <c r="F10227" s="28"/>
      <c r="H10227" s="28"/>
    </row>
    <row r="10228" spans="4:8" x14ac:dyDescent="0.25">
      <c r="D10228" s="28"/>
      <c r="F10228" s="28"/>
      <c r="H10228" s="28"/>
    </row>
    <row r="10229" spans="4:8" x14ac:dyDescent="0.25">
      <c r="D10229" s="28"/>
      <c r="F10229" s="28"/>
      <c r="H10229" s="28"/>
    </row>
    <row r="10230" spans="4:8" x14ac:dyDescent="0.25">
      <c r="D10230" s="28"/>
      <c r="F10230" s="28"/>
      <c r="H10230" s="28"/>
    </row>
    <row r="10231" spans="4:8" x14ac:dyDescent="0.25">
      <c r="D10231" s="28"/>
      <c r="F10231" s="28"/>
      <c r="H10231" s="28"/>
    </row>
    <row r="10232" spans="4:8" x14ac:dyDescent="0.25">
      <c r="D10232" s="28"/>
      <c r="F10232" s="28"/>
      <c r="H10232" s="28"/>
    </row>
    <row r="10233" spans="4:8" x14ac:dyDescent="0.25">
      <c r="D10233" s="28"/>
      <c r="F10233" s="28"/>
      <c r="H10233" s="28"/>
    </row>
    <row r="10234" spans="4:8" x14ac:dyDescent="0.25">
      <c r="D10234" s="28"/>
      <c r="F10234" s="28"/>
      <c r="H10234" s="28"/>
    </row>
    <row r="10235" spans="4:8" x14ac:dyDescent="0.25">
      <c r="D10235" s="28"/>
      <c r="F10235" s="28"/>
      <c r="H10235" s="28"/>
    </row>
    <row r="10236" spans="4:8" x14ac:dyDescent="0.25">
      <c r="D10236" s="28"/>
      <c r="F10236" s="28"/>
      <c r="H10236" s="28"/>
    </row>
    <row r="10237" spans="4:8" x14ac:dyDescent="0.25">
      <c r="D10237" s="28"/>
      <c r="F10237" s="28"/>
      <c r="H10237" s="28"/>
    </row>
    <row r="10238" spans="4:8" x14ac:dyDescent="0.25">
      <c r="D10238" s="28"/>
      <c r="F10238" s="28"/>
      <c r="H10238" s="28"/>
    </row>
    <row r="10239" spans="4:8" x14ac:dyDescent="0.25">
      <c r="D10239" s="28"/>
      <c r="F10239" s="28"/>
      <c r="H10239" s="28"/>
    </row>
    <row r="10240" spans="4:8" x14ac:dyDescent="0.25">
      <c r="D10240" s="28"/>
      <c r="F10240" s="28"/>
      <c r="H10240" s="28"/>
    </row>
    <row r="10241" spans="4:8" x14ac:dyDescent="0.25">
      <c r="D10241" s="28"/>
      <c r="F10241" s="28"/>
      <c r="H10241" s="28"/>
    </row>
    <row r="10242" spans="4:8" x14ac:dyDescent="0.25">
      <c r="D10242" s="28"/>
      <c r="F10242" s="28"/>
      <c r="H10242" s="28"/>
    </row>
    <row r="10243" spans="4:8" x14ac:dyDescent="0.25">
      <c r="D10243" s="28"/>
      <c r="F10243" s="28"/>
      <c r="H10243" s="28"/>
    </row>
    <row r="10244" spans="4:8" x14ac:dyDescent="0.25">
      <c r="D10244" s="28"/>
      <c r="F10244" s="28"/>
      <c r="H10244" s="28"/>
    </row>
    <row r="10245" spans="4:8" x14ac:dyDescent="0.25">
      <c r="D10245" s="28"/>
      <c r="F10245" s="28"/>
      <c r="H10245" s="28"/>
    </row>
    <row r="10246" spans="4:8" x14ac:dyDescent="0.25">
      <c r="D10246" s="28"/>
      <c r="F10246" s="28"/>
      <c r="H10246" s="28"/>
    </row>
    <row r="10247" spans="4:8" x14ac:dyDescent="0.25">
      <c r="D10247" s="28"/>
      <c r="F10247" s="28"/>
      <c r="H10247" s="28"/>
    </row>
    <row r="10248" spans="4:8" x14ac:dyDescent="0.25">
      <c r="D10248" s="28"/>
      <c r="F10248" s="28"/>
      <c r="H10248" s="28"/>
    </row>
    <row r="10249" spans="4:8" x14ac:dyDescent="0.25">
      <c r="D10249" s="28"/>
      <c r="F10249" s="28"/>
      <c r="H10249" s="28"/>
    </row>
    <row r="10250" spans="4:8" x14ac:dyDescent="0.25">
      <c r="D10250" s="28"/>
      <c r="F10250" s="28"/>
      <c r="H10250" s="28"/>
    </row>
    <row r="10251" spans="4:8" x14ac:dyDescent="0.25">
      <c r="D10251" s="28"/>
      <c r="F10251" s="28"/>
      <c r="H10251" s="28"/>
    </row>
    <row r="10252" spans="4:8" x14ac:dyDescent="0.25">
      <c r="D10252" s="28"/>
      <c r="F10252" s="28"/>
      <c r="H10252" s="28"/>
    </row>
    <row r="10253" spans="4:8" x14ac:dyDescent="0.25">
      <c r="D10253" s="28"/>
      <c r="F10253" s="28"/>
      <c r="H10253" s="28"/>
    </row>
    <row r="10254" spans="4:8" x14ac:dyDescent="0.25">
      <c r="D10254" s="28"/>
      <c r="F10254" s="28"/>
      <c r="H10254" s="28"/>
    </row>
    <row r="10255" spans="4:8" x14ac:dyDescent="0.25">
      <c r="D10255" s="28"/>
      <c r="F10255" s="28"/>
      <c r="H10255" s="28"/>
    </row>
    <row r="10256" spans="4:8" x14ac:dyDescent="0.25">
      <c r="D10256" s="28"/>
      <c r="F10256" s="28"/>
      <c r="H10256" s="28"/>
    </row>
    <row r="10257" spans="4:8" x14ac:dyDescent="0.25">
      <c r="D10257" s="28"/>
      <c r="F10257" s="28"/>
      <c r="H10257" s="28"/>
    </row>
    <row r="10258" spans="4:8" x14ac:dyDescent="0.25">
      <c r="D10258" s="28"/>
      <c r="F10258" s="28"/>
      <c r="H10258" s="28"/>
    </row>
    <row r="10259" spans="4:8" x14ac:dyDescent="0.25">
      <c r="D10259" s="28"/>
      <c r="F10259" s="28"/>
      <c r="H10259" s="28"/>
    </row>
    <row r="10260" spans="4:8" x14ac:dyDescent="0.25">
      <c r="D10260" s="28"/>
      <c r="F10260" s="28"/>
      <c r="H10260" s="28"/>
    </row>
    <row r="10261" spans="4:8" x14ac:dyDescent="0.25">
      <c r="D10261" s="28"/>
      <c r="F10261" s="28"/>
      <c r="H10261" s="28"/>
    </row>
    <row r="10262" spans="4:8" x14ac:dyDescent="0.25">
      <c r="D10262" s="28"/>
      <c r="F10262" s="28"/>
      <c r="H10262" s="28"/>
    </row>
    <row r="10263" spans="4:8" x14ac:dyDescent="0.25">
      <c r="D10263" s="28"/>
      <c r="F10263" s="28"/>
      <c r="H10263" s="28"/>
    </row>
    <row r="10264" spans="4:8" x14ac:dyDescent="0.25">
      <c r="D10264" s="28"/>
      <c r="F10264" s="28"/>
      <c r="H10264" s="28"/>
    </row>
    <row r="10265" spans="4:8" x14ac:dyDescent="0.25">
      <c r="D10265" s="28"/>
      <c r="F10265" s="28"/>
      <c r="H10265" s="28"/>
    </row>
    <row r="10266" spans="4:8" x14ac:dyDescent="0.25">
      <c r="D10266" s="28"/>
      <c r="F10266" s="28"/>
      <c r="H10266" s="28"/>
    </row>
    <row r="10267" spans="4:8" x14ac:dyDescent="0.25">
      <c r="D10267" s="28"/>
      <c r="F10267" s="28"/>
      <c r="H10267" s="28"/>
    </row>
    <row r="10268" spans="4:8" x14ac:dyDescent="0.25">
      <c r="D10268" s="28"/>
      <c r="F10268" s="28"/>
      <c r="H10268" s="28"/>
    </row>
    <row r="10269" spans="4:8" x14ac:dyDescent="0.25">
      <c r="D10269" s="28"/>
      <c r="F10269" s="28"/>
      <c r="H10269" s="28"/>
    </row>
    <row r="10270" spans="4:8" x14ac:dyDescent="0.25">
      <c r="D10270" s="28"/>
      <c r="F10270" s="28"/>
      <c r="H10270" s="28"/>
    </row>
    <row r="10271" spans="4:8" x14ac:dyDescent="0.25">
      <c r="D10271" s="28"/>
      <c r="F10271" s="28"/>
      <c r="H10271" s="28"/>
    </row>
    <row r="10272" spans="4:8" x14ac:dyDescent="0.25">
      <c r="D10272" s="28"/>
      <c r="F10272" s="28"/>
      <c r="H10272" s="28"/>
    </row>
    <row r="10273" spans="4:8" x14ac:dyDescent="0.25">
      <c r="D10273" s="28"/>
      <c r="F10273" s="28"/>
      <c r="H10273" s="28"/>
    </row>
    <row r="10274" spans="4:8" x14ac:dyDescent="0.25">
      <c r="D10274" s="28"/>
      <c r="F10274" s="28"/>
      <c r="H10274" s="28"/>
    </row>
    <row r="10275" spans="4:8" x14ac:dyDescent="0.25">
      <c r="D10275" s="28"/>
      <c r="F10275" s="28"/>
      <c r="H10275" s="28"/>
    </row>
    <row r="10276" spans="4:8" x14ac:dyDescent="0.25">
      <c r="D10276" s="28"/>
      <c r="F10276" s="28"/>
      <c r="H10276" s="28"/>
    </row>
    <row r="10277" spans="4:8" x14ac:dyDescent="0.25">
      <c r="D10277" s="28"/>
      <c r="F10277" s="28"/>
      <c r="H10277" s="28"/>
    </row>
    <row r="10278" spans="4:8" x14ac:dyDescent="0.25">
      <c r="D10278" s="28"/>
      <c r="F10278" s="28"/>
      <c r="H10278" s="28"/>
    </row>
    <row r="10279" spans="4:8" x14ac:dyDescent="0.25">
      <c r="D10279" s="28"/>
      <c r="F10279" s="28"/>
      <c r="H10279" s="28"/>
    </row>
    <row r="10280" spans="4:8" x14ac:dyDescent="0.25">
      <c r="D10280" s="28"/>
      <c r="F10280" s="28"/>
      <c r="H10280" s="28"/>
    </row>
    <row r="10281" spans="4:8" x14ac:dyDescent="0.25">
      <c r="D10281" s="28"/>
      <c r="F10281" s="28"/>
      <c r="H10281" s="28"/>
    </row>
    <row r="10282" spans="4:8" x14ac:dyDescent="0.25">
      <c r="D10282" s="28"/>
      <c r="F10282" s="28"/>
      <c r="H10282" s="28"/>
    </row>
    <row r="10283" spans="4:8" x14ac:dyDescent="0.25">
      <c r="D10283" s="28"/>
      <c r="F10283" s="28"/>
      <c r="H10283" s="28"/>
    </row>
    <row r="10284" spans="4:8" x14ac:dyDescent="0.25">
      <c r="D10284" s="28"/>
      <c r="F10284" s="28"/>
      <c r="H10284" s="28"/>
    </row>
    <row r="10285" spans="4:8" x14ac:dyDescent="0.25">
      <c r="D10285" s="28"/>
      <c r="F10285" s="28"/>
      <c r="H10285" s="28"/>
    </row>
    <row r="10286" spans="4:8" x14ac:dyDescent="0.25">
      <c r="D10286" s="28"/>
      <c r="F10286" s="28"/>
      <c r="H10286" s="28"/>
    </row>
    <row r="10287" spans="4:8" x14ac:dyDescent="0.25">
      <c r="D10287" s="28"/>
      <c r="F10287" s="28"/>
      <c r="H10287" s="28"/>
    </row>
    <row r="10288" spans="4:8" x14ac:dyDescent="0.25">
      <c r="D10288" s="28"/>
      <c r="F10288" s="28"/>
      <c r="H10288" s="28"/>
    </row>
    <row r="10289" spans="4:8" x14ac:dyDescent="0.25">
      <c r="D10289" s="28"/>
      <c r="F10289" s="28"/>
      <c r="H10289" s="28"/>
    </row>
    <row r="10290" spans="4:8" x14ac:dyDescent="0.25">
      <c r="D10290" s="28"/>
      <c r="F10290" s="28"/>
      <c r="H10290" s="28"/>
    </row>
    <row r="10291" spans="4:8" x14ac:dyDescent="0.25">
      <c r="D10291" s="28"/>
      <c r="F10291" s="28"/>
      <c r="H10291" s="28"/>
    </row>
    <row r="10292" spans="4:8" x14ac:dyDescent="0.25">
      <c r="D10292" s="28"/>
      <c r="F10292" s="28"/>
      <c r="H10292" s="28"/>
    </row>
    <row r="10293" spans="4:8" x14ac:dyDescent="0.25">
      <c r="D10293" s="28"/>
      <c r="F10293" s="28"/>
      <c r="H10293" s="28"/>
    </row>
    <row r="10294" spans="4:8" x14ac:dyDescent="0.25">
      <c r="D10294" s="28"/>
      <c r="F10294" s="28"/>
      <c r="H10294" s="28"/>
    </row>
    <row r="10295" spans="4:8" x14ac:dyDescent="0.25">
      <c r="D10295" s="28"/>
      <c r="F10295" s="28"/>
      <c r="H10295" s="28"/>
    </row>
    <row r="10296" spans="4:8" x14ac:dyDescent="0.25">
      <c r="D10296" s="28"/>
      <c r="F10296" s="28"/>
      <c r="H10296" s="28"/>
    </row>
    <row r="10297" spans="4:8" x14ac:dyDescent="0.25">
      <c r="D10297" s="28"/>
      <c r="F10297" s="28"/>
      <c r="H10297" s="28"/>
    </row>
    <row r="10298" spans="4:8" x14ac:dyDescent="0.25">
      <c r="D10298" s="28"/>
      <c r="F10298" s="28"/>
      <c r="H10298" s="28"/>
    </row>
    <row r="10299" spans="4:8" x14ac:dyDescent="0.25">
      <c r="D10299" s="28"/>
      <c r="F10299" s="28"/>
      <c r="H10299" s="28"/>
    </row>
    <row r="10300" spans="4:8" x14ac:dyDescent="0.25">
      <c r="D10300" s="28"/>
      <c r="F10300" s="28"/>
      <c r="H10300" s="28"/>
    </row>
    <row r="10301" spans="4:8" x14ac:dyDescent="0.25">
      <c r="D10301" s="28"/>
      <c r="F10301" s="28"/>
      <c r="H10301" s="28"/>
    </row>
    <row r="10302" spans="4:8" x14ac:dyDescent="0.25">
      <c r="D10302" s="28"/>
      <c r="F10302" s="28"/>
      <c r="H10302" s="28"/>
    </row>
    <row r="10303" spans="4:8" x14ac:dyDescent="0.25">
      <c r="D10303" s="28"/>
      <c r="F10303" s="28"/>
      <c r="H10303" s="28"/>
    </row>
    <row r="10304" spans="4:8" x14ac:dyDescent="0.25">
      <c r="D10304" s="28"/>
      <c r="F10304" s="28"/>
      <c r="H10304" s="28"/>
    </row>
    <row r="10305" spans="4:8" x14ac:dyDescent="0.25">
      <c r="D10305" s="28"/>
      <c r="F10305" s="28"/>
      <c r="H10305" s="28"/>
    </row>
    <row r="10306" spans="4:8" x14ac:dyDescent="0.25">
      <c r="D10306" s="28"/>
      <c r="F10306" s="28"/>
      <c r="H10306" s="28"/>
    </row>
    <row r="10307" spans="4:8" x14ac:dyDescent="0.25">
      <c r="D10307" s="28"/>
      <c r="F10307" s="28"/>
      <c r="H10307" s="28"/>
    </row>
    <row r="10308" spans="4:8" x14ac:dyDescent="0.25">
      <c r="D10308" s="28"/>
      <c r="F10308" s="28"/>
      <c r="H10308" s="28"/>
    </row>
    <row r="10309" spans="4:8" x14ac:dyDescent="0.25">
      <c r="D10309" s="28"/>
      <c r="F10309" s="28"/>
      <c r="H10309" s="28"/>
    </row>
    <row r="10310" spans="4:8" x14ac:dyDescent="0.25">
      <c r="D10310" s="28"/>
      <c r="F10310" s="28"/>
      <c r="H10310" s="28"/>
    </row>
    <row r="10311" spans="4:8" x14ac:dyDescent="0.25">
      <c r="D10311" s="28"/>
      <c r="F10311" s="28"/>
      <c r="H10311" s="28"/>
    </row>
    <row r="10312" spans="4:8" x14ac:dyDescent="0.25">
      <c r="D10312" s="28"/>
      <c r="F10312" s="28"/>
      <c r="H10312" s="28"/>
    </row>
    <row r="10313" spans="4:8" x14ac:dyDescent="0.25">
      <c r="D10313" s="28"/>
      <c r="F10313" s="28"/>
      <c r="H10313" s="28"/>
    </row>
    <row r="10314" spans="4:8" x14ac:dyDescent="0.25">
      <c r="D10314" s="28"/>
      <c r="F10314" s="28"/>
      <c r="H10314" s="28"/>
    </row>
    <row r="10315" spans="4:8" x14ac:dyDescent="0.25">
      <c r="D10315" s="28"/>
      <c r="F10315" s="28"/>
      <c r="H10315" s="28"/>
    </row>
    <row r="10316" spans="4:8" x14ac:dyDescent="0.25">
      <c r="D10316" s="28"/>
      <c r="F10316" s="28"/>
      <c r="H10316" s="28"/>
    </row>
    <row r="10317" spans="4:8" x14ac:dyDescent="0.25">
      <c r="D10317" s="28"/>
      <c r="F10317" s="28"/>
      <c r="H10317" s="28"/>
    </row>
    <row r="10318" spans="4:8" x14ac:dyDescent="0.25">
      <c r="D10318" s="28"/>
      <c r="F10318" s="28"/>
      <c r="H10318" s="28"/>
    </row>
    <row r="10319" spans="4:8" x14ac:dyDescent="0.25">
      <c r="D10319" s="28"/>
      <c r="F10319" s="28"/>
      <c r="H10319" s="28"/>
    </row>
    <row r="10320" spans="4:8" x14ac:dyDescent="0.25">
      <c r="D10320" s="28"/>
      <c r="F10320" s="28"/>
      <c r="H10320" s="28"/>
    </row>
    <row r="10321" spans="4:8" x14ac:dyDescent="0.25">
      <c r="D10321" s="28"/>
      <c r="F10321" s="28"/>
      <c r="H10321" s="28"/>
    </row>
    <row r="10322" spans="4:8" x14ac:dyDescent="0.25">
      <c r="D10322" s="28"/>
      <c r="F10322" s="28"/>
      <c r="H10322" s="28"/>
    </row>
    <row r="10323" spans="4:8" x14ac:dyDescent="0.25">
      <c r="D10323" s="28"/>
      <c r="F10323" s="28"/>
      <c r="H10323" s="28"/>
    </row>
    <row r="10324" spans="4:8" x14ac:dyDescent="0.25">
      <c r="D10324" s="28"/>
      <c r="F10324" s="28"/>
      <c r="H10324" s="28"/>
    </row>
    <row r="10325" spans="4:8" x14ac:dyDescent="0.25">
      <c r="D10325" s="28"/>
      <c r="F10325" s="28"/>
      <c r="H10325" s="28"/>
    </row>
    <row r="10326" spans="4:8" x14ac:dyDescent="0.25">
      <c r="D10326" s="28"/>
      <c r="F10326" s="28"/>
      <c r="H10326" s="28"/>
    </row>
    <row r="10327" spans="4:8" x14ac:dyDescent="0.25">
      <c r="D10327" s="28"/>
      <c r="F10327" s="28"/>
      <c r="H10327" s="28"/>
    </row>
    <row r="10328" spans="4:8" x14ac:dyDescent="0.25">
      <c r="D10328" s="28"/>
      <c r="F10328" s="28"/>
      <c r="H10328" s="28"/>
    </row>
    <row r="10329" spans="4:8" x14ac:dyDescent="0.25">
      <c r="D10329" s="28"/>
      <c r="F10329" s="28"/>
      <c r="H10329" s="28"/>
    </row>
    <row r="10330" spans="4:8" x14ac:dyDescent="0.25">
      <c r="D10330" s="28"/>
      <c r="F10330" s="28"/>
      <c r="H10330" s="28"/>
    </row>
    <row r="10331" spans="4:8" x14ac:dyDescent="0.25">
      <c r="D10331" s="28"/>
      <c r="F10331" s="28"/>
      <c r="H10331" s="28"/>
    </row>
    <row r="10332" spans="4:8" x14ac:dyDescent="0.25">
      <c r="D10332" s="28"/>
      <c r="F10332" s="28"/>
      <c r="H10332" s="28"/>
    </row>
    <row r="10333" spans="4:8" x14ac:dyDescent="0.25">
      <c r="D10333" s="28"/>
      <c r="F10333" s="28"/>
      <c r="H10333" s="28"/>
    </row>
    <row r="10334" spans="4:8" x14ac:dyDescent="0.25">
      <c r="D10334" s="28"/>
      <c r="F10334" s="28"/>
      <c r="H10334" s="28"/>
    </row>
    <row r="10335" spans="4:8" x14ac:dyDescent="0.25">
      <c r="D10335" s="28"/>
      <c r="F10335" s="28"/>
      <c r="H10335" s="28"/>
    </row>
    <row r="10336" spans="4:8" x14ac:dyDescent="0.25">
      <c r="D10336" s="28"/>
      <c r="F10336" s="28"/>
      <c r="H10336" s="28"/>
    </row>
    <row r="10337" spans="4:8" x14ac:dyDescent="0.25">
      <c r="D10337" s="28"/>
      <c r="F10337" s="28"/>
      <c r="H10337" s="28"/>
    </row>
    <row r="10338" spans="4:8" x14ac:dyDescent="0.25">
      <c r="D10338" s="28"/>
      <c r="F10338" s="28"/>
      <c r="H10338" s="28"/>
    </row>
    <row r="10339" spans="4:8" x14ac:dyDescent="0.25">
      <c r="D10339" s="28"/>
      <c r="F10339" s="28"/>
      <c r="H10339" s="28"/>
    </row>
    <row r="10340" spans="4:8" x14ac:dyDescent="0.25">
      <c r="D10340" s="28"/>
      <c r="F10340" s="28"/>
      <c r="H10340" s="28"/>
    </row>
    <row r="10341" spans="4:8" x14ac:dyDescent="0.25">
      <c r="D10341" s="28"/>
      <c r="F10341" s="28"/>
      <c r="H10341" s="28"/>
    </row>
    <row r="10342" spans="4:8" x14ac:dyDescent="0.25">
      <c r="D10342" s="28"/>
      <c r="F10342" s="28"/>
      <c r="H10342" s="28"/>
    </row>
    <row r="10343" spans="4:8" x14ac:dyDescent="0.25">
      <c r="D10343" s="28"/>
      <c r="F10343" s="28"/>
      <c r="H10343" s="28"/>
    </row>
    <row r="10344" spans="4:8" x14ac:dyDescent="0.25">
      <c r="D10344" s="28"/>
      <c r="F10344" s="28"/>
      <c r="H10344" s="28"/>
    </row>
    <row r="10345" spans="4:8" x14ac:dyDescent="0.25">
      <c r="D10345" s="28"/>
      <c r="F10345" s="28"/>
      <c r="H10345" s="28"/>
    </row>
    <row r="10346" spans="4:8" x14ac:dyDescent="0.25">
      <c r="D10346" s="28"/>
      <c r="F10346" s="28"/>
      <c r="H10346" s="28"/>
    </row>
    <row r="10347" spans="4:8" x14ac:dyDescent="0.25">
      <c r="D10347" s="28"/>
      <c r="F10347" s="28"/>
      <c r="H10347" s="28"/>
    </row>
    <row r="10348" spans="4:8" x14ac:dyDescent="0.25">
      <c r="D10348" s="28"/>
      <c r="F10348" s="28"/>
      <c r="H10348" s="28"/>
    </row>
    <row r="10349" spans="4:8" x14ac:dyDescent="0.25">
      <c r="D10349" s="28"/>
      <c r="F10349" s="28"/>
      <c r="H10349" s="28"/>
    </row>
    <row r="10350" spans="4:8" x14ac:dyDescent="0.25">
      <c r="D10350" s="28"/>
      <c r="F10350" s="28"/>
      <c r="H10350" s="28"/>
    </row>
    <row r="10351" spans="4:8" x14ac:dyDescent="0.25">
      <c r="D10351" s="28"/>
      <c r="F10351" s="28"/>
      <c r="H10351" s="28"/>
    </row>
    <row r="10352" spans="4:8" x14ac:dyDescent="0.25">
      <c r="D10352" s="28"/>
      <c r="F10352" s="28"/>
      <c r="H10352" s="28"/>
    </row>
    <row r="10353" spans="4:8" x14ac:dyDescent="0.25">
      <c r="D10353" s="28"/>
      <c r="F10353" s="28"/>
      <c r="H10353" s="28"/>
    </row>
    <row r="10354" spans="4:8" x14ac:dyDescent="0.25">
      <c r="D10354" s="28"/>
      <c r="F10354" s="28"/>
      <c r="H10354" s="28"/>
    </row>
    <row r="10355" spans="4:8" x14ac:dyDescent="0.25">
      <c r="D10355" s="28"/>
      <c r="F10355" s="28"/>
      <c r="H10355" s="28"/>
    </row>
    <row r="10356" spans="4:8" x14ac:dyDescent="0.25">
      <c r="D10356" s="28"/>
      <c r="F10356" s="28"/>
      <c r="H10356" s="28"/>
    </row>
    <row r="10357" spans="4:8" x14ac:dyDescent="0.25">
      <c r="D10357" s="28"/>
      <c r="F10357" s="28"/>
      <c r="H10357" s="28"/>
    </row>
    <row r="10358" spans="4:8" x14ac:dyDescent="0.25">
      <c r="D10358" s="28"/>
      <c r="F10358" s="28"/>
      <c r="H10358" s="28"/>
    </row>
    <row r="10359" spans="4:8" x14ac:dyDescent="0.25">
      <c r="D10359" s="28"/>
      <c r="F10359" s="28"/>
      <c r="H10359" s="28"/>
    </row>
    <row r="10360" spans="4:8" x14ac:dyDescent="0.25">
      <c r="D10360" s="28"/>
      <c r="F10360" s="28"/>
      <c r="H10360" s="28"/>
    </row>
    <row r="10361" spans="4:8" x14ac:dyDescent="0.25">
      <c r="D10361" s="28"/>
      <c r="F10361" s="28"/>
      <c r="H10361" s="28"/>
    </row>
    <row r="10362" spans="4:8" x14ac:dyDescent="0.25">
      <c r="D10362" s="28"/>
      <c r="F10362" s="28"/>
      <c r="H10362" s="28"/>
    </row>
    <row r="10363" spans="4:8" x14ac:dyDescent="0.25">
      <c r="D10363" s="28"/>
      <c r="F10363" s="28"/>
      <c r="H10363" s="28"/>
    </row>
    <row r="10364" spans="4:8" x14ac:dyDescent="0.25">
      <c r="D10364" s="28"/>
      <c r="F10364" s="28"/>
      <c r="H10364" s="28"/>
    </row>
    <row r="10365" spans="4:8" x14ac:dyDescent="0.25">
      <c r="D10365" s="28"/>
      <c r="F10365" s="28"/>
      <c r="H10365" s="28"/>
    </row>
    <row r="10366" spans="4:8" x14ac:dyDescent="0.25">
      <c r="D10366" s="28"/>
      <c r="F10366" s="28"/>
      <c r="H10366" s="28"/>
    </row>
    <row r="10367" spans="4:8" x14ac:dyDescent="0.25">
      <c r="D10367" s="28"/>
      <c r="F10367" s="28"/>
      <c r="H10367" s="28"/>
    </row>
    <row r="10368" spans="4:8" x14ac:dyDescent="0.25">
      <c r="D10368" s="28"/>
      <c r="F10368" s="28"/>
      <c r="H10368" s="28"/>
    </row>
    <row r="10369" spans="4:8" x14ac:dyDescent="0.25">
      <c r="D10369" s="28"/>
      <c r="F10369" s="28"/>
      <c r="H10369" s="28"/>
    </row>
    <row r="10370" spans="4:8" x14ac:dyDescent="0.25">
      <c r="D10370" s="28"/>
      <c r="F10370" s="28"/>
      <c r="H10370" s="28"/>
    </row>
    <row r="10371" spans="4:8" x14ac:dyDescent="0.25">
      <c r="D10371" s="28"/>
      <c r="F10371" s="28"/>
      <c r="H10371" s="28"/>
    </row>
    <row r="10372" spans="4:8" x14ac:dyDescent="0.25">
      <c r="D10372" s="28"/>
      <c r="F10372" s="28"/>
      <c r="H10372" s="28"/>
    </row>
    <row r="10373" spans="4:8" x14ac:dyDescent="0.25">
      <c r="D10373" s="28"/>
      <c r="F10373" s="28"/>
      <c r="H10373" s="28"/>
    </row>
    <row r="10374" spans="4:8" x14ac:dyDescent="0.25">
      <c r="D10374" s="28"/>
      <c r="F10374" s="28"/>
      <c r="H10374" s="28"/>
    </row>
    <row r="10375" spans="4:8" x14ac:dyDescent="0.25">
      <c r="D10375" s="28"/>
      <c r="F10375" s="28"/>
      <c r="H10375" s="28"/>
    </row>
    <row r="10376" spans="4:8" x14ac:dyDescent="0.25">
      <c r="D10376" s="28"/>
      <c r="F10376" s="28"/>
      <c r="H10376" s="28"/>
    </row>
    <row r="10377" spans="4:8" x14ac:dyDescent="0.25">
      <c r="D10377" s="28"/>
      <c r="F10377" s="28"/>
      <c r="H10377" s="28"/>
    </row>
    <row r="10378" spans="4:8" x14ac:dyDescent="0.25">
      <c r="D10378" s="28"/>
      <c r="F10378" s="28"/>
      <c r="H10378" s="28"/>
    </row>
    <row r="10379" spans="4:8" x14ac:dyDescent="0.25">
      <c r="D10379" s="28"/>
      <c r="F10379" s="28"/>
      <c r="H10379" s="28"/>
    </row>
    <row r="10380" spans="4:8" x14ac:dyDescent="0.25">
      <c r="D10380" s="28"/>
      <c r="F10380" s="28"/>
      <c r="H10380" s="28"/>
    </row>
    <row r="10381" spans="4:8" x14ac:dyDescent="0.25">
      <c r="D10381" s="28"/>
      <c r="F10381" s="28"/>
      <c r="H10381" s="28"/>
    </row>
    <row r="10382" spans="4:8" x14ac:dyDescent="0.25">
      <c r="D10382" s="28"/>
      <c r="F10382" s="28"/>
      <c r="H10382" s="28"/>
    </row>
    <row r="10383" spans="4:8" x14ac:dyDescent="0.25">
      <c r="D10383" s="28"/>
      <c r="F10383" s="28"/>
      <c r="H10383" s="28"/>
    </row>
    <row r="10384" spans="4:8" x14ac:dyDescent="0.25">
      <c r="D10384" s="28"/>
      <c r="F10384" s="28"/>
      <c r="H10384" s="28"/>
    </row>
    <row r="10385" spans="4:8" x14ac:dyDescent="0.25">
      <c r="D10385" s="28"/>
      <c r="F10385" s="28"/>
      <c r="H10385" s="28"/>
    </row>
    <row r="10386" spans="4:8" x14ac:dyDescent="0.25">
      <c r="D10386" s="28"/>
      <c r="F10386" s="28"/>
      <c r="H10386" s="28"/>
    </row>
    <row r="10387" spans="4:8" x14ac:dyDescent="0.25">
      <c r="D10387" s="28"/>
      <c r="F10387" s="28"/>
      <c r="H10387" s="28"/>
    </row>
    <row r="10388" spans="4:8" x14ac:dyDescent="0.25">
      <c r="D10388" s="28"/>
      <c r="F10388" s="28"/>
      <c r="H10388" s="28"/>
    </row>
    <row r="10389" spans="4:8" x14ac:dyDescent="0.25">
      <c r="D10389" s="28"/>
      <c r="F10389" s="28"/>
      <c r="H10389" s="28"/>
    </row>
    <row r="10390" spans="4:8" x14ac:dyDescent="0.25">
      <c r="D10390" s="28"/>
      <c r="F10390" s="28"/>
      <c r="H10390" s="28"/>
    </row>
    <row r="10391" spans="4:8" x14ac:dyDescent="0.25">
      <c r="D10391" s="28"/>
      <c r="F10391" s="28"/>
      <c r="H10391" s="28"/>
    </row>
    <row r="10392" spans="4:8" x14ac:dyDescent="0.25">
      <c r="D10392" s="28"/>
      <c r="F10392" s="28"/>
      <c r="H10392" s="28"/>
    </row>
    <row r="10393" spans="4:8" x14ac:dyDescent="0.25">
      <c r="D10393" s="28"/>
      <c r="F10393" s="28"/>
      <c r="H10393" s="28"/>
    </row>
    <row r="10394" spans="4:8" x14ac:dyDescent="0.25">
      <c r="D10394" s="28"/>
      <c r="F10394" s="28"/>
      <c r="H10394" s="28"/>
    </row>
    <row r="10395" spans="4:8" x14ac:dyDescent="0.25">
      <c r="D10395" s="28"/>
      <c r="F10395" s="28"/>
      <c r="H10395" s="28"/>
    </row>
    <row r="10396" spans="4:8" x14ac:dyDescent="0.25">
      <c r="D10396" s="28"/>
      <c r="F10396" s="28"/>
      <c r="H10396" s="28"/>
    </row>
    <row r="10397" spans="4:8" x14ac:dyDescent="0.25">
      <c r="D10397" s="28"/>
      <c r="F10397" s="28"/>
      <c r="H10397" s="28"/>
    </row>
    <row r="10398" spans="4:8" x14ac:dyDescent="0.25">
      <c r="D10398" s="28"/>
      <c r="F10398" s="28"/>
      <c r="H10398" s="28"/>
    </row>
    <row r="10399" spans="4:8" x14ac:dyDescent="0.25">
      <c r="D10399" s="28"/>
      <c r="F10399" s="28"/>
      <c r="H10399" s="28"/>
    </row>
    <row r="10400" spans="4:8" x14ac:dyDescent="0.25">
      <c r="D10400" s="28"/>
      <c r="F10400" s="28"/>
      <c r="H10400" s="28"/>
    </row>
    <row r="10401" spans="4:8" x14ac:dyDescent="0.25">
      <c r="D10401" s="28"/>
      <c r="F10401" s="28"/>
      <c r="H10401" s="28"/>
    </row>
    <row r="10402" spans="4:8" x14ac:dyDescent="0.25">
      <c r="D10402" s="28"/>
      <c r="F10402" s="28"/>
      <c r="H10402" s="28"/>
    </row>
    <row r="10403" spans="4:8" x14ac:dyDescent="0.25">
      <c r="D10403" s="28"/>
      <c r="F10403" s="28"/>
      <c r="H10403" s="28"/>
    </row>
    <row r="10404" spans="4:8" x14ac:dyDescent="0.25">
      <c r="D10404" s="28"/>
      <c r="F10404" s="28"/>
      <c r="H10404" s="28"/>
    </row>
    <row r="10405" spans="4:8" x14ac:dyDescent="0.25">
      <c r="D10405" s="28"/>
      <c r="F10405" s="28"/>
      <c r="H10405" s="28"/>
    </row>
    <row r="10406" spans="4:8" x14ac:dyDescent="0.25">
      <c r="D10406" s="28"/>
      <c r="F10406" s="28"/>
      <c r="H10406" s="28"/>
    </row>
    <row r="10407" spans="4:8" x14ac:dyDescent="0.25">
      <c r="D10407" s="28"/>
      <c r="F10407" s="28"/>
      <c r="H10407" s="28"/>
    </row>
    <row r="10408" spans="4:8" x14ac:dyDescent="0.25">
      <c r="D10408" s="28"/>
      <c r="F10408" s="28"/>
      <c r="H10408" s="28"/>
    </row>
    <row r="10409" spans="4:8" x14ac:dyDescent="0.25">
      <c r="D10409" s="28"/>
      <c r="F10409" s="28"/>
      <c r="H10409" s="28"/>
    </row>
    <row r="10410" spans="4:8" x14ac:dyDescent="0.25">
      <c r="D10410" s="28"/>
      <c r="F10410" s="28"/>
      <c r="H10410" s="28"/>
    </row>
    <row r="10411" spans="4:8" x14ac:dyDescent="0.25">
      <c r="D10411" s="28"/>
      <c r="F10411" s="28"/>
      <c r="H10411" s="28"/>
    </row>
    <row r="10412" spans="4:8" x14ac:dyDescent="0.25">
      <c r="D10412" s="28"/>
      <c r="F10412" s="28"/>
      <c r="H10412" s="28"/>
    </row>
    <row r="10413" spans="4:8" x14ac:dyDescent="0.25">
      <c r="D10413" s="28"/>
      <c r="F10413" s="28"/>
      <c r="H10413" s="28"/>
    </row>
    <row r="10414" spans="4:8" x14ac:dyDescent="0.25">
      <c r="D10414" s="28"/>
      <c r="F10414" s="28"/>
      <c r="H10414" s="28"/>
    </row>
    <row r="10415" spans="4:8" x14ac:dyDescent="0.25">
      <c r="D10415" s="28"/>
      <c r="F10415" s="28"/>
      <c r="H10415" s="28"/>
    </row>
    <row r="10416" spans="4:8" x14ac:dyDescent="0.25">
      <c r="D10416" s="28"/>
      <c r="F10416" s="28"/>
      <c r="H10416" s="28"/>
    </row>
    <row r="10417" spans="4:8" x14ac:dyDescent="0.25">
      <c r="D10417" s="28"/>
      <c r="F10417" s="28"/>
      <c r="H10417" s="28"/>
    </row>
    <row r="10418" spans="4:8" x14ac:dyDescent="0.25">
      <c r="D10418" s="28"/>
      <c r="F10418" s="28"/>
      <c r="H10418" s="28"/>
    </row>
    <row r="10419" spans="4:8" x14ac:dyDescent="0.25">
      <c r="D10419" s="28"/>
      <c r="F10419" s="28"/>
      <c r="H10419" s="28"/>
    </row>
    <row r="10420" spans="4:8" x14ac:dyDescent="0.25">
      <c r="D10420" s="28"/>
      <c r="F10420" s="28"/>
      <c r="H10420" s="28"/>
    </row>
    <row r="10421" spans="4:8" x14ac:dyDescent="0.25">
      <c r="D10421" s="28"/>
      <c r="F10421" s="28"/>
      <c r="H10421" s="28"/>
    </row>
    <row r="10422" spans="4:8" x14ac:dyDescent="0.25">
      <c r="D10422" s="28"/>
      <c r="F10422" s="28"/>
      <c r="H10422" s="28"/>
    </row>
    <row r="10423" spans="4:8" x14ac:dyDescent="0.25">
      <c r="D10423" s="28"/>
      <c r="F10423" s="28"/>
      <c r="H10423" s="28"/>
    </row>
    <row r="10424" spans="4:8" x14ac:dyDescent="0.25">
      <c r="D10424" s="28"/>
      <c r="F10424" s="28"/>
      <c r="H10424" s="28"/>
    </row>
    <row r="10425" spans="4:8" x14ac:dyDescent="0.25">
      <c r="D10425" s="28"/>
      <c r="F10425" s="28"/>
      <c r="H10425" s="28"/>
    </row>
    <row r="10426" spans="4:8" x14ac:dyDescent="0.25">
      <c r="D10426" s="28"/>
      <c r="F10426" s="28"/>
      <c r="H10426" s="28"/>
    </row>
    <row r="10427" spans="4:8" x14ac:dyDescent="0.25">
      <c r="D10427" s="28"/>
      <c r="F10427" s="28"/>
      <c r="H10427" s="28"/>
    </row>
    <row r="10428" spans="4:8" x14ac:dyDescent="0.25">
      <c r="D10428" s="28"/>
      <c r="F10428" s="28"/>
      <c r="H10428" s="28"/>
    </row>
    <row r="10429" spans="4:8" x14ac:dyDescent="0.25">
      <c r="D10429" s="28"/>
      <c r="F10429" s="28"/>
      <c r="H10429" s="28"/>
    </row>
    <row r="10430" spans="4:8" x14ac:dyDescent="0.25">
      <c r="D10430" s="28"/>
      <c r="F10430" s="28"/>
      <c r="H10430" s="28"/>
    </row>
    <row r="10431" spans="4:8" x14ac:dyDescent="0.25">
      <c r="D10431" s="28"/>
      <c r="F10431" s="28"/>
      <c r="H10431" s="28"/>
    </row>
    <row r="10432" spans="4:8" x14ac:dyDescent="0.25">
      <c r="D10432" s="28"/>
      <c r="F10432" s="28"/>
      <c r="H10432" s="28"/>
    </row>
    <row r="10433" spans="4:8" x14ac:dyDescent="0.25">
      <c r="D10433" s="28"/>
      <c r="F10433" s="28"/>
      <c r="H10433" s="28"/>
    </row>
    <row r="10434" spans="4:8" x14ac:dyDescent="0.25">
      <c r="D10434" s="28"/>
      <c r="F10434" s="28"/>
      <c r="H10434" s="28"/>
    </row>
    <row r="10435" spans="4:8" x14ac:dyDescent="0.25">
      <c r="D10435" s="28"/>
      <c r="F10435" s="28"/>
      <c r="H10435" s="28"/>
    </row>
    <row r="10436" spans="4:8" x14ac:dyDescent="0.25">
      <c r="D10436" s="28"/>
      <c r="F10436" s="28"/>
      <c r="H10436" s="28"/>
    </row>
    <row r="10437" spans="4:8" x14ac:dyDescent="0.25">
      <c r="D10437" s="28"/>
      <c r="F10437" s="28"/>
      <c r="H10437" s="28"/>
    </row>
    <row r="10438" spans="4:8" x14ac:dyDescent="0.25">
      <c r="D10438" s="28"/>
      <c r="F10438" s="28"/>
      <c r="H10438" s="28"/>
    </row>
    <row r="10439" spans="4:8" x14ac:dyDescent="0.25">
      <c r="D10439" s="28"/>
      <c r="F10439" s="28"/>
      <c r="H10439" s="28"/>
    </row>
    <row r="10440" spans="4:8" x14ac:dyDescent="0.25">
      <c r="D10440" s="28"/>
      <c r="F10440" s="28"/>
      <c r="H10440" s="28"/>
    </row>
    <row r="10441" spans="4:8" x14ac:dyDescent="0.25">
      <c r="D10441" s="28"/>
      <c r="F10441" s="28"/>
      <c r="H10441" s="28"/>
    </row>
    <row r="10442" spans="4:8" x14ac:dyDescent="0.25">
      <c r="D10442" s="28"/>
      <c r="F10442" s="28"/>
      <c r="H10442" s="28"/>
    </row>
    <row r="10443" spans="4:8" x14ac:dyDescent="0.25">
      <c r="D10443" s="28"/>
      <c r="F10443" s="28"/>
      <c r="H10443" s="28"/>
    </row>
    <row r="10444" spans="4:8" x14ac:dyDescent="0.25">
      <c r="D10444" s="28"/>
      <c r="F10444" s="28"/>
      <c r="H10444" s="28"/>
    </row>
    <row r="10445" spans="4:8" x14ac:dyDescent="0.25">
      <c r="D10445" s="28"/>
      <c r="F10445" s="28"/>
      <c r="H10445" s="28"/>
    </row>
    <row r="10446" spans="4:8" x14ac:dyDescent="0.25">
      <c r="D10446" s="28"/>
      <c r="F10446" s="28"/>
      <c r="H10446" s="28"/>
    </row>
    <row r="10447" spans="4:8" x14ac:dyDescent="0.25">
      <c r="D10447" s="28"/>
      <c r="F10447" s="28"/>
      <c r="H10447" s="28"/>
    </row>
    <row r="10448" spans="4:8" x14ac:dyDescent="0.25">
      <c r="D10448" s="28"/>
      <c r="F10448" s="28"/>
      <c r="H10448" s="28"/>
    </row>
    <row r="10449" spans="4:8" x14ac:dyDescent="0.25">
      <c r="D10449" s="28"/>
      <c r="F10449" s="28"/>
      <c r="H10449" s="28"/>
    </row>
    <row r="10450" spans="4:8" x14ac:dyDescent="0.25">
      <c r="D10450" s="28"/>
      <c r="F10450" s="28"/>
      <c r="H10450" s="28"/>
    </row>
    <row r="10451" spans="4:8" x14ac:dyDescent="0.25">
      <c r="D10451" s="28"/>
      <c r="F10451" s="28"/>
      <c r="H10451" s="28"/>
    </row>
    <row r="10452" spans="4:8" x14ac:dyDescent="0.25">
      <c r="D10452" s="28"/>
      <c r="F10452" s="28"/>
      <c r="H10452" s="28"/>
    </row>
    <row r="10453" spans="4:8" x14ac:dyDescent="0.25">
      <c r="D10453" s="28"/>
      <c r="F10453" s="28"/>
      <c r="H10453" s="28"/>
    </row>
    <row r="10454" spans="4:8" x14ac:dyDescent="0.25">
      <c r="D10454" s="28"/>
      <c r="F10454" s="28"/>
      <c r="H10454" s="28"/>
    </row>
    <row r="10455" spans="4:8" x14ac:dyDescent="0.25">
      <c r="D10455" s="28"/>
      <c r="F10455" s="28"/>
      <c r="H10455" s="28"/>
    </row>
    <row r="10456" spans="4:8" x14ac:dyDescent="0.25">
      <c r="D10456" s="28"/>
      <c r="F10456" s="28"/>
      <c r="H10456" s="28"/>
    </row>
    <row r="10457" spans="4:8" x14ac:dyDescent="0.25">
      <c r="D10457" s="28"/>
      <c r="F10457" s="28"/>
      <c r="H10457" s="28"/>
    </row>
    <row r="10458" spans="4:8" x14ac:dyDescent="0.25">
      <c r="D10458" s="28"/>
      <c r="F10458" s="28"/>
      <c r="H10458" s="28"/>
    </row>
    <row r="10459" spans="4:8" x14ac:dyDescent="0.25">
      <c r="D10459" s="28"/>
      <c r="F10459" s="28"/>
      <c r="H10459" s="28"/>
    </row>
    <row r="10460" spans="4:8" x14ac:dyDescent="0.25">
      <c r="D10460" s="28"/>
      <c r="F10460" s="28"/>
      <c r="H10460" s="28"/>
    </row>
    <row r="10461" spans="4:8" x14ac:dyDescent="0.25">
      <c r="D10461" s="28"/>
      <c r="F10461" s="28"/>
      <c r="H10461" s="28"/>
    </row>
    <row r="10462" spans="4:8" x14ac:dyDescent="0.25">
      <c r="D10462" s="28"/>
      <c r="F10462" s="28"/>
      <c r="H10462" s="28"/>
    </row>
    <row r="10463" spans="4:8" x14ac:dyDescent="0.25">
      <c r="D10463" s="28"/>
      <c r="F10463" s="28"/>
      <c r="H10463" s="28"/>
    </row>
    <row r="10464" spans="4:8" x14ac:dyDescent="0.25">
      <c r="D10464" s="28"/>
      <c r="F10464" s="28"/>
      <c r="H10464" s="28"/>
    </row>
    <row r="10465" spans="4:8" x14ac:dyDescent="0.25">
      <c r="D10465" s="28"/>
      <c r="F10465" s="28"/>
      <c r="H10465" s="28"/>
    </row>
    <row r="10466" spans="4:8" x14ac:dyDescent="0.25">
      <c r="D10466" s="28"/>
      <c r="F10466" s="28"/>
      <c r="H10466" s="28"/>
    </row>
    <row r="10467" spans="4:8" x14ac:dyDescent="0.25">
      <c r="D10467" s="28"/>
      <c r="F10467" s="28"/>
      <c r="H10467" s="28"/>
    </row>
    <row r="10468" spans="4:8" x14ac:dyDescent="0.25">
      <c r="D10468" s="28"/>
      <c r="F10468" s="28"/>
      <c r="H10468" s="28"/>
    </row>
    <row r="10469" spans="4:8" x14ac:dyDescent="0.25">
      <c r="D10469" s="28"/>
      <c r="F10469" s="28"/>
      <c r="H10469" s="28"/>
    </row>
    <row r="10470" spans="4:8" x14ac:dyDescent="0.25">
      <c r="D10470" s="28"/>
      <c r="F10470" s="28"/>
      <c r="H10470" s="28"/>
    </row>
    <row r="10471" spans="4:8" x14ac:dyDescent="0.25">
      <c r="D10471" s="28"/>
      <c r="F10471" s="28"/>
      <c r="H10471" s="28"/>
    </row>
    <row r="10472" spans="4:8" x14ac:dyDescent="0.25">
      <c r="D10472" s="28"/>
      <c r="F10472" s="28"/>
      <c r="H10472" s="28"/>
    </row>
    <row r="10473" spans="4:8" x14ac:dyDescent="0.25">
      <c r="D10473" s="28"/>
      <c r="F10473" s="28"/>
      <c r="H10473" s="28"/>
    </row>
    <row r="10474" spans="4:8" x14ac:dyDescent="0.25">
      <c r="D10474" s="28"/>
      <c r="F10474" s="28"/>
      <c r="H10474" s="28"/>
    </row>
    <row r="10475" spans="4:8" x14ac:dyDescent="0.25">
      <c r="D10475" s="28"/>
      <c r="F10475" s="28"/>
      <c r="H10475" s="28"/>
    </row>
    <row r="10476" spans="4:8" x14ac:dyDescent="0.25">
      <c r="D10476" s="28"/>
      <c r="F10476" s="28"/>
      <c r="H10476" s="28"/>
    </row>
    <row r="10477" spans="4:8" x14ac:dyDescent="0.25">
      <c r="D10477" s="28"/>
      <c r="F10477" s="28"/>
      <c r="H10477" s="28"/>
    </row>
    <row r="10478" spans="4:8" x14ac:dyDescent="0.25">
      <c r="D10478" s="28"/>
      <c r="F10478" s="28"/>
      <c r="H10478" s="28"/>
    </row>
    <row r="10479" spans="4:8" x14ac:dyDescent="0.25">
      <c r="D10479" s="28"/>
      <c r="F10479" s="28"/>
      <c r="H10479" s="28"/>
    </row>
    <row r="10480" spans="4:8" x14ac:dyDescent="0.25">
      <c r="D10480" s="28"/>
      <c r="F10480" s="28"/>
      <c r="H10480" s="28"/>
    </row>
    <row r="10481" spans="4:8" x14ac:dyDescent="0.25">
      <c r="D10481" s="28"/>
      <c r="F10481" s="28"/>
      <c r="H10481" s="28"/>
    </row>
    <row r="10482" spans="4:8" x14ac:dyDescent="0.25">
      <c r="D10482" s="28"/>
      <c r="F10482" s="28"/>
      <c r="H10482" s="28"/>
    </row>
    <row r="10483" spans="4:8" x14ac:dyDescent="0.25">
      <c r="D10483" s="28"/>
      <c r="F10483" s="28"/>
      <c r="H10483" s="28"/>
    </row>
    <row r="10484" spans="4:8" x14ac:dyDescent="0.25">
      <c r="D10484" s="28"/>
      <c r="F10484" s="28"/>
      <c r="H10484" s="28"/>
    </row>
    <row r="10485" spans="4:8" x14ac:dyDescent="0.25">
      <c r="D10485" s="28"/>
      <c r="F10485" s="28"/>
      <c r="H10485" s="28"/>
    </row>
    <row r="10486" spans="4:8" x14ac:dyDescent="0.25">
      <c r="D10486" s="28"/>
      <c r="F10486" s="28"/>
      <c r="H10486" s="28"/>
    </row>
    <row r="10487" spans="4:8" x14ac:dyDescent="0.25">
      <c r="D10487" s="28"/>
      <c r="F10487" s="28"/>
      <c r="H10487" s="28"/>
    </row>
    <row r="10488" spans="4:8" x14ac:dyDescent="0.25">
      <c r="D10488" s="28"/>
      <c r="F10488" s="28"/>
      <c r="H10488" s="28"/>
    </row>
    <row r="10489" spans="4:8" x14ac:dyDescent="0.25">
      <c r="D10489" s="28"/>
      <c r="F10489" s="28"/>
      <c r="H10489" s="28"/>
    </row>
    <row r="10490" spans="4:8" x14ac:dyDescent="0.25">
      <c r="D10490" s="28"/>
      <c r="F10490" s="28"/>
      <c r="H10490" s="28"/>
    </row>
    <row r="10491" spans="4:8" x14ac:dyDescent="0.25">
      <c r="D10491" s="28"/>
      <c r="F10491" s="28"/>
      <c r="H10491" s="28"/>
    </row>
    <row r="10492" spans="4:8" x14ac:dyDescent="0.25">
      <c r="D10492" s="28"/>
      <c r="F10492" s="28"/>
      <c r="H10492" s="28"/>
    </row>
    <row r="10493" spans="4:8" x14ac:dyDescent="0.25">
      <c r="D10493" s="28"/>
      <c r="F10493" s="28"/>
      <c r="H10493" s="28"/>
    </row>
    <row r="10494" spans="4:8" x14ac:dyDescent="0.25">
      <c r="D10494" s="28"/>
      <c r="F10494" s="28"/>
      <c r="H10494" s="28"/>
    </row>
    <row r="10495" spans="4:8" x14ac:dyDescent="0.25">
      <c r="D10495" s="28"/>
      <c r="F10495" s="28"/>
      <c r="H10495" s="28"/>
    </row>
    <row r="10496" spans="4:8" x14ac:dyDescent="0.25">
      <c r="D10496" s="28"/>
      <c r="F10496" s="28"/>
      <c r="H10496" s="28"/>
    </row>
    <row r="10497" spans="4:8" x14ac:dyDescent="0.25">
      <c r="D10497" s="28"/>
      <c r="F10497" s="28"/>
      <c r="H10497" s="28"/>
    </row>
    <row r="10498" spans="4:8" x14ac:dyDescent="0.25">
      <c r="D10498" s="28"/>
      <c r="F10498" s="28"/>
      <c r="H10498" s="28"/>
    </row>
    <row r="10499" spans="4:8" x14ac:dyDescent="0.25">
      <c r="D10499" s="28"/>
      <c r="F10499" s="28"/>
      <c r="H10499" s="28"/>
    </row>
    <row r="10500" spans="4:8" x14ac:dyDescent="0.25">
      <c r="D10500" s="28"/>
      <c r="F10500" s="28"/>
      <c r="H10500" s="28"/>
    </row>
    <row r="10501" spans="4:8" x14ac:dyDescent="0.25">
      <c r="D10501" s="28"/>
      <c r="F10501" s="28"/>
      <c r="H10501" s="28"/>
    </row>
    <row r="10502" spans="4:8" x14ac:dyDescent="0.25">
      <c r="D10502" s="28"/>
      <c r="F10502" s="28"/>
      <c r="H10502" s="28"/>
    </row>
    <row r="10503" spans="4:8" x14ac:dyDescent="0.25">
      <c r="D10503" s="28"/>
      <c r="F10503" s="28"/>
      <c r="H10503" s="28"/>
    </row>
    <row r="10504" spans="4:8" x14ac:dyDescent="0.25">
      <c r="D10504" s="28"/>
      <c r="F10504" s="28"/>
      <c r="H10504" s="28"/>
    </row>
    <row r="10505" spans="4:8" x14ac:dyDescent="0.25">
      <c r="D10505" s="28"/>
      <c r="F10505" s="28"/>
      <c r="H10505" s="28"/>
    </row>
    <row r="10506" spans="4:8" x14ac:dyDescent="0.25">
      <c r="D10506" s="28"/>
      <c r="F10506" s="28"/>
      <c r="H10506" s="28"/>
    </row>
    <row r="10507" spans="4:8" x14ac:dyDescent="0.25">
      <c r="D10507" s="28"/>
      <c r="F10507" s="28"/>
      <c r="H10507" s="28"/>
    </row>
    <row r="10508" spans="4:8" x14ac:dyDescent="0.25">
      <c r="D10508" s="28"/>
      <c r="F10508" s="28"/>
      <c r="H10508" s="28"/>
    </row>
    <row r="10509" spans="4:8" x14ac:dyDescent="0.25">
      <c r="D10509" s="28"/>
      <c r="F10509" s="28"/>
      <c r="H10509" s="28"/>
    </row>
    <row r="10510" spans="4:8" x14ac:dyDescent="0.25">
      <c r="D10510" s="28"/>
      <c r="F10510" s="28"/>
      <c r="H10510" s="28"/>
    </row>
    <row r="10511" spans="4:8" x14ac:dyDescent="0.25">
      <c r="D10511" s="28"/>
      <c r="F10511" s="28"/>
      <c r="H10511" s="28"/>
    </row>
    <row r="10512" spans="4:8" x14ac:dyDescent="0.25">
      <c r="D10512" s="28"/>
      <c r="F10512" s="28"/>
      <c r="H10512" s="28"/>
    </row>
    <row r="10513" spans="4:8" x14ac:dyDescent="0.25">
      <c r="D10513" s="28"/>
      <c r="F10513" s="28"/>
      <c r="H10513" s="28"/>
    </row>
    <row r="10514" spans="4:8" x14ac:dyDescent="0.25">
      <c r="D10514" s="28"/>
      <c r="F10514" s="28"/>
      <c r="H10514" s="28"/>
    </row>
    <row r="10515" spans="4:8" x14ac:dyDescent="0.25">
      <c r="D10515" s="28"/>
      <c r="F10515" s="28"/>
      <c r="H10515" s="28"/>
    </row>
    <row r="10516" spans="4:8" x14ac:dyDescent="0.25">
      <c r="D10516" s="28"/>
      <c r="F10516" s="28"/>
      <c r="H10516" s="28"/>
    </row>
    <row r="10517" spans="4:8" x14ac:dyDescent="0.25">
      <c r="D10517" s="28"/>
      <c r="F10517" s="28"/>
      <c r="H10517" s="28"/>
    </row>
    <row r="10518" spans="4:8" x14ac:dyDescent="0.25">
      <c r="D10518" s="28"/>
      <c r="F10518" s="28"/>
      <c r="H10518" s="28"/>
    </row>
    <row r="10519" spans="4:8" x14ac:dyDescent="0.25">
      <c r="D10519" s="28"/>
      <c r="F10519" s="28"/>
      <c r="H10519" s="28"/>
    </row>
    <row r="10520" spans="4:8" x14ac:dyDescent="0.25">
      <c r="D10520" s="28"/>
      <c r="F10520" s="28"/>
      <c r="H10520" s="28"/>
    </row>
    <row r="10521" spans="4:8" x14ac:dyDescent="0.25">
      <c r="D10521" s="28"/>
      <c r="F10521" s="28"/>
      <c r="H10521" s="28"/>
    </row>
    <row r="10522" spans="4:8" x14ac:dyDescent="0.25">
      <c r="D10522" s="28"/>
      <c r="F10522" s="28"/>
      <c r="H10522" s="28"/>
    </row>
    <row r="10523" spans="4:8" x14ac:dyDescent="0.25">
      <c r="D10523" s="28"/>
      <c r="F10523" s="28"/>
      <c r="H10523" s="28"/>
    </row>
    <row r="10524" spans="4:8" x14ac:dyDescent="0.25">
      <c r="D10524" s="28"/>
      <c r="F10524" s="28"/>
      <c r="H10524" s="28"/>
    </row>
    <row r="10525" spans="4:8" x14ac:dyDescent="0.25">
      <c r="D10525" s="28"/>
      <c r="F10525" s="28"/>
      <c r="H10525" s="28"/>
    </row>
    <row r="10526" spans="4:8" x14ac:dyDescent="0.25">
      <c r="D10526" s="28"/>
      <c r="F10526" s="28"/>
      <c r="H10526" s="28"/>
    </row>
    <row r="10527" spans="4:8" x14ac:dyDescent="0.25">
      <c r="D10527" s="28"/>
      <c r="F10527" s="28"/>
      <c r="H10527" s="28"/>
    </row>
    <row r="10528" spans="4:8" x14ac:dyDescent="0.25">
      <c r="D10528" s="28"/>
      <c r="F10528" s="28"/>
      <c r="H10528" s="28"/>
    </row>
    <row r="10529" spans="4:8" x14ac:dyDescent="0.25">
      <c r="D10529" s="28"/>
      <c r="F10529" s="28"/>
      <c r="H10529" s="28"/>
    </row>
    <row r="10530" spans="4:8" x14ac:dyDescent="0.25">
      <c r="D10530" s="28"/>
      <c r="F10530" s="28"/>
      <c r="H10530" s="28"/>
    </row>
    <row r="10531" spans="4:8" x14ac:dyDescent="0.25">
      <c r="D10531" s="28"/>
      <c r="F10531" s="28"/>
      <c r="H10531" s="28"/>
    </row>
    <row r="10532" spans="4:8" x14ac:dyDescent="0.25">
      <c r="D10532" s="28"/>
      <c r="F10532" s="28"/>
      <c r="H10532" s="28"/>
    </row>
    <row r="10533" spans="4:8" x14ac:dyDescent="0.25">
      <c r="D10533" s="28"/>
      <c r="F10533" s="28"/>
      <c r="H10533" s="28"/>
    </row>
    <row r="10534" spans="4:8" x14ac:dyDescent="0.25">
      <c r="D10534" s="28"/>
      <c r="F10534" s="28"/>
      <c r="H10534" s="28"/>
    </row>
    <row r="10535" spans="4:8" x14ac:dyDescent="0.25">
      <c r="D10535" s="28"/>
      <c r="F10535" s="28"/>
      <c r="H10535" s="28"/>
    </row>
    <row r="10536" spans="4:8" x14ac:dyDescent="0.25">
      <c r="D10536" s="28"/>
      <c r="F10536" s="28"/>
      <c r="H10536" s="28"/>
    </row>
    <row r="10537" spans="4:8" x14ac:dyDescent="0.25">
      <c r="D10537" s="28"/>
      <c r="F10537" s="28"/>
      <c r="H10537" s="28"/>
    </row>
    <row r="10538" spans="4:8" x14ac:dyDescent="0.25">
      <c r="D10538" s="28"/>
      <c r="F10538" s="28"/>
      <c r="H10538" s="28"/>
    </row>
    <row r="10539" spans="4:8" x14ac:dyDescent="0.25">
      <c r="D10539" s="28"/>
      <c r="F10539" s="28"/>
      <c r="H10539" s="28"/>
    </row>
    <row r="10540" spans="4:8" x14ac:dyDescent="0.25">
      <c r="D10540" s="28"/>
      <c r="F10540" s="28"/>
      <c r="H10540" s="28"/>
    </row>
    <row r="10541" spans="4:8" x14ac:dyDescent="0.25">
      <c r="D10541" s="28"/>
      <c r="F10541" s="28"/>
      <c r="H10541" s="28"/>
    </row>
    <row r="10542" spans="4:8" x14ac:dyDescent="0.25">
      <c r="D10542" s="28"/>
      <c r="F10542" s="28"/>
      <c r="H10542" s="28"/>
    </row>
    <row r="10543" spans="4:8" x14ac:dyDescent="0.25">
      <c r="D10543" s="28"/>
      <c r="F10543" s="28"/>
      <c r="H10543" s="28"/>
    </row>
    <row r="10544" spans="4:8" x14ac:dyDescent="0.25">
      <c r="D10544" s="28"/>
      <c r="F10544" s="28"/>
      <c r="H10544" s="28"/>
    </row>
    <row r="10545" spans="4:8" x14ac:dyDescent="0.25">
      <c r="D10545" s="28"/>
      <c r="F10545" s="28"/>
      <c r="H10545" s="28"/>
    </row>
    <row r="10546" spans="4:8" x14ac:dyDescent="0.25">
      <c r="D10546" s="28"/>
      <c r="F10546" s="28"/>
      <c r="H10546" s="28"/>
    </row>
    <row r="10547" spans="4:8" x14ac:dyDescent="0.25">
      <c r="D10547" s="28"/>
      <c r="F10547" s="28"/>
      <c r="H10547" s="28"/>
    </row>
    <row r="10548" spans="4:8" x14ac:dyDescent="0.25">
      <c r="D10548" s="28"/>
      <c r="F10548" s="28"/>
      <c r="H10548" s="28"/>
    </row>
    <row r="10549" spans="4:8" x14ac:dyDescent="0.25">
      <c r="D10549" s="28"/>
      <c r="F10549" s="28"/>
      <c r="H10549" s="28"/>
    </row>
    <row r="10550" spans="4:8" x14ac:dyDescent="0.25">
      <c r="D10550" s="28"/>
      <c r="F10550" s="28"/>
      <c r="H10550" s="28"/>
    </row>
    <row r="10551" spans="4:8" x14ac:dyDescent="0.25">
      <c r="D10551" s="28"/>
      <c r="F10551" s="28"/>
      <c r="H10551" s="28"/>
    </row>
    <row r="10552" spans="4:8" x14ac:dyDescent="0.25">
      <c r="D10552" s="28"/>
      <c r="F10552" s="28"/>
      <c r="H10552" s="28"/>
    </row>
    <row r="10553" spans="4:8" x14ac:dyDescent="0.25">
      <c r="D10553" s="28"/>
      <c r="F10553" s="28"/>
      <c r="H10553" s="28"/>
    </row>
    <row r="10554" spans="4:8" x14ac:dyDescent="0.25">
      <c r="D10554" s="28"/>
      <c r="F10554" s="28"/>
      <c r="H10554" s="28"/>
    </row>
    <row r="10555" spans="4:8" x14ac:dyDescent="0.25">
      <c r="D10555" s="28"/>
      <c r="F10555" s="28"/>
      <c r="H10555" s="28"/>
    </row>
    <row r="10556" spans="4:8" x14ac:dyDescent="0.25">
      <c r="D10556" s="28"/>
      <c r="F10556" s="28"/>
      <c r="H10556" s="28"/>
    </row>
    <row r="10557" spans="4:8" x14ac:dyDescent="0.25">
      <c r="D10557" s="28"/>
      <c r="F10557" s="28"/>
      <c r="H10557" s="28"/>
    </row>
    <row r="10558" spans="4:8" x14ac:dyDescent="0.25">
      <c r="D10558" s="28"/>
      <c r="F10558" s="28"/>
      <c r="H10558" s="28"/>
    </row>
    <row r="10559" spans="4:8" x14ac:dyDescent="0.25">
      <c r="D10559" s="28"/>
      <c r="F10559" s="28"/>
      <c r="H10559" s="28"/>
    </row>
    <row r="10560" spans="4:8" x14ac:dyDescent="0.25">
      <c r="D10560" s="28"/>
      <c r="F10560" s="28"/>
      <c r="H10560" s="28"/>
    </row>
    <row r="10561" spans="4:8" x14ac:dyDescent="0.25">
      <c r="D10561" s="28"/>
      <c r="F10561" s="28"/>
      <c r="H10561" s="28"/>
    </row>
    <row r="10562" spans="4:8" x14ac:dyDescent="0.25">
      <c r="D10562" s="28"/>
      <c r="F10562" s="28"/>
      <c r="H10562" s="28"/>
    </row>
    <row r="10563" spans="4:8" x14ac:dyDescent="0.25">
      <c r="D10563" s="28"/>
      <c r="F10563" s="28"/>
      <c r="H10563" s="28"/>
    </row>
    <row r="10564" spans="4:8" x14ac:dyDescent="0.25">
      <c r="D10564" s="28"/>
      <c r="F10564" s="28"/>
      <c r="H10564" s="28"/>
    </row>
    <row r="10565" spans="4:8" x14ac:dyDescent="0.25">
      <c r="D10565" s="28"/>
      <c r="F10565" s="28"/>
      <c r="H10565" s="28"/>
    </row>
    <row r="10566" spans="4:8" x14ac:dyDescent="0.25">
      <c r="D10566" s="28"/>
      <c r="F10566" s="28"/>
      <c r="H10566" s="28"/>
    </row>
    <row r="10567" spans="4:8" x14ac:dyDescent="0.25">
      <c r="D10567" s="28"/>
      <c r="F10567" s="28"/>
      <c r="H10567" s="28"/>
    </row>
    <row r="10568" spans="4:8" x14ac:dyDescent="0.25">
      <c r="D10568" s="28"/>
      <c r="F10568" s="28"/>
      <c r="H10568" s="28"/>
    </row>
    <row r="10569" spans="4:8" x14ac:dyDescent="0.25">
      <c r="D10569" s="28"/>
      <c r="F10569" s="28"/>
      <c r="H10569" s="28"/>
    </row>
    <row r="10570" spans="4:8" x14ac:dyDescent="0.25">
      <c r="D10570" s="28"/>
      <c r="F10570" s="28"/>
      <c r="H10570" s="28"/>
    </row>
    <row r="10571" spans="4:8" x14ac:dyDescent="0.25">
      <c r="D10571" s="28"/>
      <c r="F10571" s="28"/>
      <c r="H10571" s="28"/>
    </row>
    <row r="10572" spans="4:8" x14ac:dyDescent="0.25">
      <c r="D10572" s="28"/>
      <c r="F10572" s="28"/>
      <c r="H10572" s="28"/>
    </row>
    <row r="10573" spans="4:8" x14ac:dyDescent="0.25">
      <c r="D10573" s="28"/>
      <c r="F10573" s="28"/>
      <c r="H10573" s="28"/>
    </row>
    <row r="10574" spans="4:8" x14ac:dyDescent="0.25">
      <c r="D10574" s="28"/>
      <c r="F10574" s="28"/>
      <c r="H10574" s="28"/>
    </row>
    <row r="10575" spans="4:8" x14ac:dyDescent="0.25">
      <c r="D10575" s="28"/>
      <c r="F10575" s="28"/>
      <c r="H10575" s="28"/>
    </row>
    <row r="10576" spans="4:8" x14ac:dyDescent="0.25">
      <c r="D10576" s="28"/>
      <c r="F10576" s="28"/>
      <c r="H10576" s="28"/>
    </row>
    <row r="10577" spans="4:8" x14ac:dyDescent="0.25">
      <c r="D10577" s="28"/>
      <c r="F10577" s="28"/>
      <c r="H10577" s="28"/>
    </row>
    <row r="10578" spans="4:8" x14ac:dyDescent="0.25">
      <c r="D10578" s="28"/>
      <c r="F10578" s="28"/>
      <c r="H10578" s="28"/>
    </row>
    <row r="10579" spans="4:8" x14ac:dyDescent="0.25">
      <c r="D10579" s="28"/>
      <c r="F10579" s="28"/>
      <c r="H10579" s="28"/>
    </row>
    <row r="10580" spans="4:8" x14ac:dyDescent="0.25">
      <c r="D10580" s="28"/>
      <c r="F10580" s="28"/>
      <c r="H10580" s="28"/>
    </row>
    <row r="10581" spans="4:8" x14ac:dyDescent="0.25">
      <c r="D10581" s="28"/>
      <c r="F10581" s="28"/>
      <c r="H10581" s="28"/>
    </row>
    <row r="10582" spans="4:8" x14ac:dyDescent="0.25">
      <c r="D10582" s="28"/>
      <c r="F10582" s="28"/>
      <c r="H10582" s="28"/>
    </row>
    <row r="10583" spans="4:8" x14ac:dyDescent="0.25">
      <c r="D10583" s="28"/>
      <c r="F10583" s="28"/>
      <c r="H10583" s="28"/>
    </row>
    <row r="10584" spans="4:8" x14ac:dyDescent="0.25">
      <c r="D10584" s="28"/>
      <c r="F10584" s="28"/>
      <c r="H10584" s="28"/>
    </row>
    <row r="10585" spans="4:8" x14ac:dyDescent="0.25">
      <c r="D10585" s="28"/>
      <c r="F10585" s="28"/>
      <c r="H10585" s="28"/>
    </row>
    <row r="10586" spans="4:8" x14ac:dyDescent="0.25">
      <c r="D10586" s="28"/>
      <c r="F10586" s="28"/>
      <c r="H10586" s="28"/>
    </row>
    <row r="10587" spans="4:8" x14ac:dyDescent="0.25">
      <c r="D10587" s="28"/>
      <c r="F10587" s="28"/>
      <c r="H10587" s="28"/>
    </row>
    <row r="10588" spans="4:8" x14ac:dyDescent="0.25">
      <c r="D10588" s="28"/>
      <c r="F10588" s="28"/>
      <c r="H10588" s="28"/>
    </row>
    <row r="10589" spans="4:8" x14ac:dyDescent="0.25">
      <c r="D10589" s="28"/>
      <c r="F10589" s="28"/>
      <c r="H10589" s="28"/>
    </row>
    <row r="10590" spans="4:8" x14ac:dyDescent="0.25">
      <c r="D10590" s="28"/>
      <c r="F10590" s="28"/>
      <c r="H10590" s="28"/>
    </row>
    <row r="10591" spans="4:8" x14ac:dyDescent="0.25">
      <c r="D10591" s="28"/>
      <c r="F10591" s="28"/>
      <c r="H10591" s="28"/>
    </row>
    <row r="10592" spans="4:8" x14ac:dyDescent="0.25">
      <c r="D10592" s="28"/>
      <c r="F10592" s="28"/>
      <c r="H10592" s="28"/>
    </row>
    <row r="10593" spans="4:8" x14ac:dyDescent="0.25">
      <c r="D10593" s="28"/>
      <c r="F10593" s="28"/>
      <c r="H10593" s="28"/>
    </row>
    <row r="10594" spans="4:8" x14ac:dyDescent="0.25">
      <c r="D10594" s="28"/>
      <c r="F10594" s="28"/>
      <c r="H10594" s="28"/>
    </row>
    <row r="10595" spans="4:8" x14ac:dyDescent="0.25">
      <c r="D10595" s="28"/>
      <c r="F10595" s="28"/>
      <c r="H10595" s="28"/>
    </row>
    <row r="10596" spans="4:8" x14ac:dyDescent="0.25">
      <c r="D10596" s="28"/>
      <c r="F10596" s="28"/>
      <c r="H10596" s="28"/>
    </row>
    <row r="10597" spans="4:8" x14ac:dyDescent="0.25">
      <c r="D10597" s="28"/>
      <c r="F10597" s="28"/>
      <c r="H10597" s="28"/>
    </row>
    <row r="10598" spans="4:8" x14ac:dyDescent="0.25">
      <c r="D10598" s="28"/>
      <c r="F10598" s="28"/>
      <c r="H10598" s="28"/>
    </row>
    <row r="10599" spans="4:8" x14ac:dyDescent="0.25">
      <c r="D10599" s="28"/>
      <c r="F10599" s="28"/>
      <c r="H10599" s="28"/>
    </row>
    <row r="10600" spans="4:8" x14ac:dyDescent="0.25">
      <c r="D10600" s="28"/>
      <c r="F10600" s="28"/>
      <c r="H10600" s="28"/>
    </row>
    <row r="10601" spans="4:8" x14ac:dyDescent="0.25">
      <c r="D10601" s="28"/>
      <c r="F10601" s="28"/>
      <c r="H10601" s="28"/>
    </row>
    <row r="10602" spans="4:8" x14ac:dyDescent="0.25">
      <c r="D10602" s="28"/>
      <c r="F10602" s="28"/>
      <c r="H10602" s="28"/>
    </row>
    <row r="10603" spans="4:8" x14ac:dyDescent="0.25">
      <c r="D10603" s="28"/>
      <c r="F10603" s="28"/>
      <c r="H10603" s="28"/>
    </row>
    <row r="10604" spans="4:8" x14ac:dyDescent="0.25">
      <c r="D10604" s="28"/>
      <c r="F10604" s="28"/>
      <c r="H10604" s="28"/>
    </row>
    <row r="10605" spans="4:8" x14ac:dyDescent="0.25">
      <c r="D10605" s="28"/>
      <c r="F10605" s="28"/>
      <c r="H10605" s="28"/>
    </row>
    <row r="10606" spans="4:8" x14ac:dyDescent="0.25">
      <c r="D10606" s="28"/>
      <c r="F10606" s="28"/>
      <c r="H10606" s="28"/>
    </row>
    <row r="10607" spans="4:8" x14ac:dyDescent="0.25">
      <c r="D10607" s="28"/>
      <c r="F10607" s="28"/>
      <c r="H10607" s="28"/>
    </row>
    <row r="10608" spans="4:8" x14ac:dyDescent="0.25">
      <c r="D10608" s="28"/>
      <c r="F10608" s="28"/>
      <c r="H10608" s="28"/>
    </row>
    <row r="10609" spans="4:8" x14ac:dyDescent="0.25">
      <c r="D10609" s="28"/>
      <c r="F10609" s="28"/>
      <c r="H10609" s="28"/>
    </row>
    <row r="10610" spans="4:8" x14ac:dyDescent="0.25">
      <c r="D10610" s="28"/>
      <c r="F10610" s="28"/>
      <c r="H10610" s="28"/>
    </row>
    <row r="10611" spans="4:8" x14ac:dyDescent="0.25">
      <c r="D10611" s="28"/>
      <c r="F10611" s="28"/>
      <c r="H10611" s="28"/>
    </row>
    <row r="10612" spans="4:8" x14ac:dyDescent="0.25">
      <c r="D10612" s="28"/>
      <c r="F10612" s="28"/>
      <c r="H10612" s="28"/>
    </row>
    <row r="10613" spans="4:8" x14ac:dyDescent="0.25">
      <c r="D10613" s="28"/>
      <c r="F10613" s="28"/>
      <c r="H10613" s="28"/>
    </row>
    <row r="10614" spans="4:8" x14ac:dyDescent="0.25">
      <c r="D10614" s="28"/>
      <c r="F10614" s="28"/>
      <c r="H10614" s="28"/>
    </row>
    <row r="10615" spans="4:8" x14ac:dyDescent="0.25">
      <c r="D10615" s="28"/>
      <c r="F10615" s="28"/>
      <c r="H10615" s="28"/>
    </row>
    <row r="10616" spans="4:8" x14ac:dyDescent="0.25">
      <c r="D10616" s="28"/>
      <c r="F10616" s="28"/>
      <c r="H10616" s="28"/>
    </row>
    <row r="10617" spans="4:8" x14ac:dyDescent="0.25">
      <c r="D10617" s="28"/>
      <c r="F10617" s="28"/>
      <c r="H10617" s="28"/>
    </row>
    <row r="10618" spans="4:8" x14ac:dyDescent="0.25">
      <c r="D10618" s="28"/>
      <c r="F10618" s="28"/>
      <c r="H10618" s="28"/>
    </row>
    <row r="10619" spans="4:8" x14ac:dyDescent="0.25">
      <c r="D10619" s="28"/>
      <c r="F10619" s="28"/>
      <c r="H10619" s="28"/>
    </row>
    <row r="10620" spans="4:8" x14ac:dyDescent="0.25">
      <c r="D10620" s="28"/>
      <c r="F10620" s="28"/>
      <c r="H10620" s="28"/>
    </row>
    <row r="10621" spans="4:8" x14ac:dyDescent="0.25">
      <c r="D10621" s="28"/>
      <c r="F10621" s="28"/>
      <c r="H10621" s="28"/>
    </row>
    <row r="10622" spans="4:8" x14ac:dyDescent="0.25">
      <c r="D10622" s="28"/>
      <c r="F10622" s="28"/>
      <c r="H10622" s="28"/>
    </row>
    <row r="10623" spans="4:8" x14ac:dyDescent="0.25">
      <c r="D10623" s="28"/>
      <c r="F10623" s="28"/>
      <c r="H10623" s="28"/>
    </row>
    <row r="10624" spans="4:8" x14ac:dyDescent="0.25">
      <c r="D10624" s="28"/>
      <c r="F10624" s="28"/>
      <c r="H10624" s="28"/>
    </row>
    <row r="10625" spans="4:8" x14ac:dyDescent="0.25">
      <c r="D10625" s="28"/>
      <c r="F10625" s="28"/>
      <c r="H10625" s="28"/>
    </row>
    <row r="10626" spans="4:8" x14ac:dyDescent="0.25">
      <c r="D10626" s="28"/>
      <c r="F10626" s="28"/>
      <c r="H10626" s="28"/>
    </row>
    <row r="10627" spans="4:8" x14ac:dyDescent="0.25">
      <c r="D10627" s="28"/>
      <c r="F10627" s="28"/>
      <c r="H10627" s="28"/>
    </row>
    <row r="10628" spans="4:8" x14ac:dyDescent="0.25">
      <c r="D10628" s="28"/>
      <c r="F10628" s="28"/>
      <c r="H10628" s="28"/>
    </row>
    <row r="10629" spans="4:8" x14ac:dyDescent="0.25">
      <c r="D10629" s="28"/>
      <c r="F10629" s="28"/>
      <c r="H10629" s="28"/>
    </row>
    <row r="10630" spans="4:8" x14ac:dyDescent="0.25">
      <c r="D10630" s="28"/>
      <c r="F10630" s="28"/>
      <c r="H10630" s="28"/>
    </row>
    <row r="10631" spans="4:8" x14ac:dyDescent="0.25">
      <c r="D10631" s="28"/>
      <c r="F10631" s="28"/>
      <c r="H10631" s="28"/>
    </row>
    <row r="10632" spans="4:8" x14ac:dyDescent="0.25">
      <c r="D10632" s="28"/>
      <c r="F10632" s="28"/>
      <c r="H10632" s="28"/>
    </row>
    <row r="10633" spans="4:8" x14ac:dyDescent="0.25">
      <c r="D10633" s="28"/>
      <c r="F10633" s="28"/>
      <c r="H10633" s="28"/>
    </row>
    <row r="10634" spans="4:8" x14ac:dyDescent="0.25">
      <c r="D10634" s="28"/>
      <c r="F10634" s="28"/>
      <c r="H10634" s="28"/>
    </row>
    <row r="10635" spans="4:8" x14ac:dyDescent="0.25">
      <c r="D10635" s="28"/>
      <c r="F10635" s="28"/>
      <c r="H10635" s="28"/>
    </row>
    <row r="10636" spans="4:8" x14ac:dyDescent="0.25">
      <c r="D10636" s="28"/>
      <c r="F10636" s="28"/>
      <c r="H10636" s="28"/>
    </row>
    <row r="10637" spans="4:8" x14ac:dyDescent="0.25">
      <c r="D10637" s="28"/>
      <c r="F10637" s="28"/>
      <c r="H10637" s="28"/>
    </row>
    <row r="10638" spans="4:8" x14ac:dyDescent="0.25">
      <c r="D10638" s="28"/>
      <c r="F10638" s="28"/>
      <c r="H10638" s="28"/>
    </row>
    <row r="10639" spans="4:8" x14ac:dyDescent="0.25">
      <c r="D10639" s="28"/>
      <c r="F10639" s="28"/>
      <c r="H10639" s="28"/>
    </row>
    <row r="10640" spans="4:8" x14ac:dyDescent="0.25">
      <c r="D10640" s="28"/>
      <c r="F10640" s="28"/>
      <c r="H10640" s="28"/>
    </row>
    <row r="10641" spans="4:8" x14ac:dyDescent="0.25">
      <c r="D10641" s="28"/>
      <c r="F10641" s="28"/>
      <c r="H10641" s="28"/>
    </row>
    <row r="10642" spans="4:8" x14ac:dyDescent="0.25">
      <c r="D10642" s="28"/>
      <c r="F10642" s="28"/>
      <c r="H10642" s="28"/>
    </row>
    <row r="10643" spans="4:8" x14ac:dyDescent="0.25">
      <c r="D10643" s="28"/>
      <c r="F10643" s="28"/>
      <c r="H10643" s="28"/>
    </row>
    <row r="10644" spans="4:8" x14ac:dyDescent="0.25">
      <c r="D10644" s="28"/>
      <c r="F10644" s="28"/>
      <c r="H10644" s="28"/>
    </row>
    <row r="10645" spans="4:8" x14ac:dyDescent="0.25">
      <c r="D10645" s="28"/>
      <c r="F10645" s="28"/>
      <c r="H10645" s="28"/>
    </row>
    <row r="10646" spans="4:8" x14ac:dyDescent="0.25">
      <c r="D10646" s="28"/>
      <c r="F10646" s="28"/>
      <c r="H10646" s="28"/>
    </row>
    <row r="10647" spans="4:8" x14ac:dyDescent="0.25">
      <c r="D10647" s="28"/>
      <c r="F10647" s="28"/>
      <c r="H10647" s="28"/>
    </row>
    <row r="10648" spans="4:8" x14ac:dyDescent="0.25">
      <c r="D10648" s="28"/>
      <c r="F10648" s="28"/>
      <c r="H10648" s="28"/>
    </row>
    <row r="10649" spans="4:8" x14ac:dyDescent="0.25">
      <c r="D10649" s="28"/>
      <c r="F10649" s="28"/>
      <c r="H10649" s="28"/>
    </row>
    <row r="10650" spans="4:8" x14ac:dyDescent="0.25">
      <c r="D10650" s="28"/>
      <c r="F10650" s="28"/>
      <c r="H10650" s="28"/>
    </row>
    <row r="10651" spans="4:8" x14ac:dyDescent="0.25">
      <c r="D10651" s="28"/>
      <c r="F10651" s="28"/>
      <c r="H10651" s="28"/>
    </row>
    <row r="10652" spans="4:8" x14ac:dyDescent="0.25">
      <c r="D10652" s="28"/>
      <c r="F10652" s="28"/>
      <c r="H10652" s="28"/>
    </row>
    <row r="10653" spans="4:8" x14ac:dyDescent="0.25">
      <c r="D10653" s="28"/>
      <c r="F10653" s="28"/>
      <c r="H10653" s="28"/>
    </row>
    <row r="10654" spans="4:8" x14ac:dyDescent="0.25">
      <c r="D10654" s="28"/>
      <c r="F10654" s="28"/>
      <c r="H10654" s="28"/>
    </row>
    <row r="10655" spans="4:8" x14ac:dyDescent="0.25">
      <c r="D10655" s="28"/>
      <c r="F10655" s="28"/>
      <c r="H10655" s="28"/>
    </row>
    <row r="10656" spans="4:8" x14ac:dyDescent="0.25">
      <c r="D10656" s="28"/>
      <c r="F10656" s="28"/>
      <c r="H10656" s="28"/>
    </row>
    <row r="10657" spans="4:8" x14ac:dyDescent="0.25">
      <c r="D10657" s="28"/>
      <c r="F10657" s="28"/>
      <c r="H10657" s="28"/>
    </row>
    <row r="10658" spans="4:8" x14ac:dyDescent="0.25">
      <c r="D10658" s="28"/>
      <c r="F10658" s="28"/>
      <c r="H10658" s="28"/>
    </row>
    <row r="10659" spans="4:8" x14ac:dyDescent="0.25">
      <c r="D10659" s="28"/>
      <c r="F10659" s="28"/>
      <c r="H10659" s="28"/>
    </row>
    <row r="10660" spans="4:8" x14ac:dyDescent="0.25">
      <c r="D10660" s="28"/>
      <c r="F10660" s="28"/>
      <c r="H10660" s="28"/>
    </row>
    <row r="10661" spans="4:8" x14ac:dyDescent="0.25">
      <c r="D10661" s="28"/>
      <c r="F10661" s="28"/>
      <c r="H10661" s="28"/>
    </row>
    <row r="10662" spans="4:8" x14ac:dyDescent="0.25">
      <c r="D10662" s="28"/>
      <c r="F10662" s="28"/>
      <c r="H10662" s="28"/>
    </row>
    <row r="10663" spans="4:8" x14ac:dyDescent="0.25">
      <c r="D10663" s="28"/>
      <c r="F10663" s="28"/>
      <c r="H10663" s="28"/>
    </row>
    <row r="10664" spans="4:8" x14ac:dyDescent="0.25">
      <c r="D10664" s="28"/>
      <c r="F10664" s="28"/>
      <c r="H10664" s="28"/>
    </row>
    <row r="10665" spans="4:8" x14ac:dyDescent="0.25">
      <c r="D10665" s="28"/>
      <c r="F10665" s="28"/>
      <c r="H10665" s="28"/>
    </row>
    <row r="10666" spans="4:8" x14ac:dyDescent="0.25">
      <c r="D10666" s="28"/>
      <c r="F10666" s="28"/>
      <c r="H10666" s="28"/>
    </row>
    <row r="10667" spans="4:8" x14ac:dyDescent="0.25">
      <c r="D10667" s="28"/>
      <c r="F10667" s="28"/>
      <c r="H10667" s="28"/>
    </row>
    <row r="10668" spans="4:8" x14ac:dyDescent="0.25">
      <c r="D10668" s="28"/>
      <c r="F10668" s="28"/>
      <c r="H10668" s="28"/>
    </row>
    <row r="10669" spans="4:8" x14ac:dyDescent="0.25">
      <c r="D10669" s="28"/>
      <c r="F10669" s="28"/>
      <c r="H10669" s="28"/>
    </row>
    <row r="10670" spans="4:8" x14ac:dyDescent="0.25">
      <c r="D10670" s="28"/>
      <c r="F10670" s="28"/>
      <c r="H10670" s="28"/>
    </row>
    <row r="10671" spans="4:8" x14ac:dyDescent="0.25">
      <c r="D10671" s="28"/>
      <c r="F10671" s="28"/>
      <c r="H10671" s="28"/>
    </row>
    <row r="10672" spans="4:8" x14ac:dyDescent="0.25">
      <c r="D10672" s="28"/>
      <c r="F10672" s="28"/>
      <c r="H10672" s="28"/>
    </row>
    <row r="10673" spans="4:8" x14ac:dyDescent="0.25">
      <c r="D10673" s="28"/>
      <c r="F10673" s="28"/>
      <c r="H10673" s="28"/>
    </row>
    <row r="10674" spans="4:8" x14ac:dyDescent="0.25">
      <c r="D10674" s="28"/>
      <c r="F10674" s="28"/>
      <c r="H10674" s="28"/>
    </row>
    <row r="10675" spans="4:8" x14ac:dyDescent="0.25">
      <c r="D10675" s="28"/>
      <c r="F10675" s="28"/>
      <c r="H10675" s="28"/>
    </row>
    <row r="10676" spans="4:8" x14ac:dyDescent="0.25">
      <c r="D10676" s="28"/>
      <c r="F10676" s="28"/>
      <c r="H10676" s="28"/>
    </row>
    <row r="10677" spans="4:8" x14ac:dyDescent="0.25">
      <c r="D10677" s="28"/>
      <c r="F10677" s="28"/>
      <c r="H10677" s="28"/>
    </row>
    <row r="10678" spans="4:8" x14ac:dyDescent="0.25">
      <c r="D10678" s="28"/>
      <c r="F10678" s="28"/>
      <c r="H10678" s="28"/>
    </row>
    <row r="10679" spans="4:8" x14ac:dyDescent="0.25">
      <c r="D10679" s="28"/>
      <c r="F10679" s="28"/>
      <c r="H10679" s="28"/>
    </row>
    <row r="10680" spans="4:8" x14ac:dyDescent="0.25">
      <c r="D10680" s="28"/>
      <c r="F10680" s="28"/>
      <c r="H10680" s="28"/>
    </row>
    <row r="10681" spans="4:8" x14ac:dyDescent="0.25">
      <c r="D10681" s="28"/>
      <c r="F10681" s="28"/>
      <c r="H10681" s="28"/>
    </row>
    <row r="10682" spans="4:8" x14ac:dyDescent="0.25">
      <c r="D10682" s="28"/>
      <c r="F10682" s="28"/>
      <c r="H10682" s="28"/>
    </row>
    <row r="10683" spans="4:8" x14ac:dyDescent="0.25">
      <c r="D10683" s="28"/>
      <c r="F10683" s="28"/>
      <c r="H10683" s="28"/>
    </row>
    <row r="10684" spans="4:8" x14ac:dyDescent="0.25">
      <c r="D10684" s="28"/>
      <c r="F10684" s="28"/>
      <c r="H10684" s="28"/>
    </row>
    <row r="10685" spans="4:8" x14ac:dyDescent="0.25">
      <c r="D10685" s="28"/>
      <c r="F10685" s="28"/>
      <c r="H10685" s="28"/>
    </row>
    <row r="10686" spans="4:8" x14ac:dyDescent="0.25">
      <c r="D10686" s="28"/>
      <c r="F10686" s="28"/>
      <c r="H10686" s="28"/>
    </row>
    <row r="10687" spans="4:8" x14ac:dyDescent="0.25">
      <c r="D10687" s="28"/>
      <c r="F10687" s="28"/>
      <c r="H10687" s="28"/>
    </row>
    <row r="10688" spans="4:8" x14ac:dyDescent="0.25">
      <c r="D10688" s="28"/>
      <c r="F10688" s="28"/>
      <c r="H10688" s="28"/>
    </row>
    <row r="10689" spans="4:8" x14ac:dyDescent="0.25">
      <c r="D10689" s="28"/>
      <c r="F10689" s="28"/>
      <c r="H10689" s="28"/>
    </row>
    <row r="10690" spans="4:8" x14ac:dyDescent="0.25">
      <c r="D10690" s="28"/>
      <c r="F10690" s="28"/>
      <c r="H10690" s="28"/>
    </row>
    <row r="10691" spans="4:8" x14ac:dyDescent="0.25">
      <c r="D10691" s="28"/>
      <c r="F10691" s="28"/>
      <c r="H10691" s="28"/>
    </row>
    <row r="10692" spans="4:8" x14ac:dyDescent="0.25">
      <c r="D10692" s="28"/>
      <c r="F10692" s="28"/>
      <c r="H10692" s="28"/>
    </row>
    <row r="10693" spans="4:8" x14ac:dyDescent="0.25">
      <c r="D10693" s="28"/>
      <c r="F10693" s="28"/>
      <c r="H10693" s="28"/>
    </row>
    <row r="10694" spans="4:8" x14ac:dyDescent="0.25">
      <c r="D10694" s="28"/>
      <c r="F10694" s="28"/>
      <c r="H10694" s="28"/>
    </row>
    <row r="10695" spans="4:8" x14ac:dyDescent="0.25">
      <c r="D10695" s="28"/>
      <c r="F10695" s="28"/>
      <c r="H10695" s="28"/>
    </row>
    <row r="10696" spans="4:8" x14ac:dyDescent="0.25">
      <c r="D10696" s="28"/>
      <c r="F10696" s="28"/>
      <c r="H10696" s="28"/>
    </row>
    <row r="10697" spans="4:8" x14ac:dyDescent="0.25">
      <c r="D10697" s="28"/>
      <c r="F10697" s="28"/>
      <c r="H10697" s="28"/>
    </row>
    <row r="10698" spans="4:8" x14ac:dyDescent="0.25">
      <c r="D10698" s="28"/>
      <c r="F10698" s="28"/>
      <c r="H10698" s="28"/>
    </row>
    <row r="10699" spans="4:8" x14ac:dyDescent="0.25">
      <c r="D10699" s="28"/>
      <c r="F10699" s="28"/>
      <c r="H10699" s="28"/>
    </row>
    <row r="10700" spans="4:8" x14ac:dyDescent="0.25">
      <c r="D10700" s="28"/>
      <c r="F10700" s="28"/>
      <c r="H10700" s="28"/>
    </row>
    <row r="10701" spans="4:8" x14ac:dyDescent="0.25">
      <c r="D10701" s="28"/>
      <c r="F10701" s="28"/>
      <c r="H10701" s="28"/>
    </row>
    <row r="10702" spans="4:8" x14ac:dyDescent="0.25">
      <c r="D10702" s="28"/>
      <c r="F10702" s="28"/>
      <c r="H10702" s="28"/>
    </row>
    <row r="10703" spans="4:8" x14ac:dyDescent="0.25">
      <c r="D10703" s="28"/>
      <c r="F10703" s="28"/>
      <c r="H10703" s="28"/>
    </row>
    <row r="10704" spans="4:8" x14ac:dyDescent="0.25">
      <c r="D10704" s="28"/>
      <c r="F10704" s="28"/>
      <c r="H10704" s="28"/>
    </row>
    <row r="10705" spans="4:8" x14ac:dyDescent="0.25">
      <c r="D10705" s="28"/>
      <c r="F10705" s="28"/>
      <c r="H10705" s="28"/>
    </row>
    <row r="10706" spans="4:8" x14ac:dyDescent="0.25">
      <c r="D10706" s="28"/>
      <c r="F10706" s="28"/>
      <c r="H10706" s="28"/>
    </row>
    <row r="10707" spans="4:8" x14ac:dyDescent="0.25">
      <c r="D10707" s="28"/>
      <c r="F10707" s="28"/>
      <c r="H10707" s="28"/>
    </row>
    <row r="10708" spans="4:8" x14ac:dyDescent="0.25">
      <c r="D10708" s="28"/>
      <c r="F10708" s="28"/>
      <c r="H10708" s="28"/>
    </row>
    <row r="10709" spans="4:8" x14ac:dyDescent="0.25">
      <c r="D10709" s="28"/>
      <c r="F10709" s="28"/>
      <c r="H10709" s="28"/>
    </row>
    <row r="10710" spans="4:8" x14ac:dyDescent="0.25">
      <c r="D10710" s="28"/>
      <c r="F10710" s="28"/>
      <c r="H10710" s="28"/>
    </row>
    <row r="10711" spans="4:8" x14ac:dyDescent="0.25">
      <c r="D10711" s="28"/>
      <c r="F10711" s="28"/>
      <c r="H10711" s="28"/>
    </row>
    <row r="10712" spans="4:8" x14ac:dyDescent="0.25">
      <c r="D10712" s="28"/>
      <c r="F10712" s="28"/>
      <c r="H10712" s="28"/>
    </row>
    <row r="10713" spans="4:8" x14ac:dyDescent="0.25">
      <c r="D10713" s="28"/>
      <c r="F10713" s="28"/>
      <c r="H10713" s="28"/>
    </row>
    <row r="10714" spans="4:8" x14ac:dyDescent="0.25">
      <c r="D10714" s="28"/>
      <c r="F10714" s="28"/>
      <c r="H10714" s="28"/>
    </row>
    <row r="10715" spans="4:8" x14ac:dyDescent="0.25">
      <c r="D10715" s="28"/>
      <c r="F10715" s="28"/>
      <c r="H10715" s="28"/>
    </row>
    <row r="10716" spans="4:8" x14ac:dyDescent="0.25">
      <c r="D10716" s="28"/>
      <c r="F10716" s="28"/>
      <c r="H10716" s="28"/>
    </row>
    <row r="10717" spans="4:8" x14ac:dyDescent="0.25">
      <c r="D10717" s="28"/>
      <c r="F10717" s="28"/>
      <c r="H10717" s="28"/>
    </row>
    <row r="10718" spans="4:8" x14ac:dyDescent="0.25">
      <c r="D10718" s="28"/>
      <c r="F10718" s="28"/>
      <c r="H10718" s="28"/>
    </row>
    <row r="10719" spans="4:8" x14ac:dyDescent="0.25">
      <c r="D10719" s="28"/>
      <c r="F10719" s="28"/>
      <c r="H10719" s="28"/>
    </row>
    <row r="10720" spans="4:8" x14ac:dyDescent="0.25">
      <c r="D10720" s="28"/>
      <c r="F10720" s="28"/>
      <c r="H10720" s="28"/>
    </row>
    <row r="10721" spans="4:8" x14ac:dyDescent="0.25">
      <c r="D10721" s="28"/>
      <c r="F10721" s="28"/>
      <c r="H10721" s="28"/>
    </row>
    <row r="10722" spans="4:8" x14ac:dyDescent="0.25">
      <c r="D10722" s="28"/>
      <c r="F10722" s="28"/>
      <c r="H10722" s="28"/>
    </row>
    <row r="10723" spans="4:8" x14ac:dyDescent="0.25">
      <c r="D10723" s="28"/>
      <c r="F10723" s="28"/>
      <c r="H10723" s="28"/>
    </row>
    <row r="10724" spans="4:8" x14ac:dyDescent="0.25">
      <c r="D10724" s="28"/>
      <c r="F10724" s="28"/>
      <c r="H10724" s="28"/>
    </row>
    <row r="10725" spans="4:8" x14ac:dyDescent="0.25">
      <c r="D10725" s="28"/>
      <c r="F10725" s="28"/>
      <c r="H10725" s="28"/>
    </row>
    <row r="10726" spans="4:8" x14ac:dyDescent="0.25">
      <c r="D10726" s="28"/>
      <c r="F10726" s="28"/>
      <c r="H10726" s="28"/>
    </row>
    <row r="10727" spans="4:8" x14ac:dyDescent="0.25">
      <c r="D10727" s="28"/>
      <c r="F10727" s="28"/>
      <c r="H10727" s="28"/>
    </row>
    <row r="10728" spans="4:8" x14ac:dyDescent="0.25">
      <c r="D10728" s="28"/>
      <c r="F10728" s="28"/>
      <c r="H10728" s="28"/>
    </row>
    <row r="10729" spans="4:8" x14ac:dyDescent="0.25">
      <c r="D10729" s="28"/>
      <c r="F10729" s="28"/>
      <c r="H10729" s="28"/>
    </row>
    <row r="10730" spans="4:8" x14ac:dyDescent="0.25">
      <c r="D10730" s="28"/>
      <c r="F10730" s="28"/>
      <c r="H10730" s="28"/>
    </row>
    <row r="10731" spans="4:8" x14ac:dyDescent="0.25">
      <c r="D10731" s="28"/>
      <c r="F10731" s="28"/>
      <c r="H10731" s="28"/>
    </row>
    <row r="10732" spans="4:8" x14ac:dyDescent="0.25">
      <c r="D10732" s="28"/>
      <c r="F10732" s="28"/>
      <c r="H10732" s="28"/>
    </row>
    <row r="10733" spans="4:8" x14ac:dyDescent="0.25">
      <c r="D10733" s="28"/>
      <c r="F10733" s="28"/>
      <c r="H10733" s="28"/>
    </row>
    <row r="10734" spans="4:8" x14ac:dyDescent="0.25">
      <c r="D10734" s="28"/>
      <c r="F10734" s="28"/>
      <c r="H10734" s="28"/>
    </row>
    <row r="10735" spans="4:8" x14ac:dyDescent="0.25">
      <c r="D10735" s="28"/>
      <c r="F10735" s="28"/>
      <c r="H10735" s="28"/>
    </row>
    <row r="10736" spans="4:8" x14ac:dyDescent="0.25">
      <c r="D10736" s="28"/>
      <c r="F10736" s="28"/>
      <c r="H10736" s="28"/>
    </row>
    <row r="10737" spans="4:8" x14ac:dyDescent="0.25">
      <c r="D10737" s="28"/>
      <c r="F10737" s="28"/>
      <c r="H10737" s="28"/>
    </row>
    <row r="10738" spans="4:8" x14ac:dyDescent="0.25">
      <c r="D10738" s="28"/>
      <c r="F10738" s="28"/>
      <c r="H10738" s="28"/>
    </row>
    <row r="10739" spans="4:8" x14ac:dyDescent="0.25">
      <c r="D10739" s="28"/>
      <c r="F10739" s="28"/>
      <c r="H10739" s="28"/>
    </row>
    <row r="10740" spans="4:8" x14ac:dyDescent="0.25">
      <c r="D10740" s="28"/>
      <c r="F10740" s="28"/>
      <c r="H10740" s="28"/>
    </row>
    <row r="10741" spans="4:8" x14ac:dyDescent="0.25">
      <c r="D10741" s="28"/>
      <c r="F10741" s="28"/>
      <c r="H10741" s="28"/>
    </row>
    <row r="10742" spans="4:8" x14ac:dyDescent="0.25">
      <c r="D10742" s="28"/>
      <c r="F10742" s="28"/>
      <c r="H10742" s="28"/>
    </row>
    <row r="10743" spans="4:8" x14ac:dyDescent="0.25">
      <c r="D10743" s="28"/>
      <c r="F10743" s="28"/>
      <c r="H10743" s="28"/>
    </row>
    <row r="10744" spans="4:8" x14ac:dyDescent="0.25">
      <c r="D10744" s="28"/>
      <c r="F10744" s="28"/>
      <c r="H10744" s="28"/>
    </row>
    <row r="10745" spans="4:8" x14ac:dyDescent="0.25">
      <c r="D10745" s="28"/>
      <c r="F10745" s="28"/>
      <c r="H10745" s="28"/>
    </row>
    <row r="10746" spans="4:8" x14ac:dyDescent="0.25">
      <c r="D10746" s="28"/>
      <c r="F10746" s="28"/>
      <c r="H10746" s="28"/>
    </row>
    <row r="10747" spans="4:8" x14ac:dyDescent="0.25">
      <c r="D10747" s="28"/>
      <c r="F10747" s="28"/>
      <c r="H10747" s="28"/>
    </row>
    <row r="10748" spans="4:8" x14ac:dyDescent="0.25">
      <c r="D10748" s="28"/>
      <c r="F10748" s="28"/>
      <c r="H10748" s="28"/>
    </row>
    <row r="10749" spans="4:8" x14ac:dyDescent="0.25">
      <c r="D10749" s="28"/>
      <c r="F10749" s="28"/>
      <c r="H10749" s="28"/>
    </row>
    <row r="10750" spans="4:8" x14ac:dyDescent="0.25">
      <c r="D10750" s="28"/>
      <c r="F10750" s="28"/>
      <c r="H10750" s="28"/>
    </row>
    <row r="10751" spans="4:8" x14ac:dyDescent="0.25">
      <c r="D10751" s="28"/>
      <c r="F10751" s="28"/>
      <c r="H10751" s="28"/>
    </row>
    <row r="10752" spans="4:8" x14ac:dyDescent="0.25">
      <c r="D10752" s="28"/>
      <c r="F10752" s="28"/>
      <c r="H10752" s="28"/>
    </row>
    <row r="10753" spans="4:8" x14ac:dyDescent="0.25">
      <c r="D10753" s="28"/>
      <c r="F10753" s="28"/>
      <c r="H10753" s="28"/>
    </row>
    <row r="10754" spans="4:8" x14ac:dyDescent="0.25">
      <c r="D10754" s="28"/>
      <c r="F10754" s="28"/>
      <c r="H10754" s="28"/>
    </row>
    <row r="10755" spans="4:8" x14ac:dyDescent="0.25">
      <c r="D10755" s="28"/>
      <c r="F10755" s="28"/>
      <c r="H10755" s="28"/>
    </row>
    <row r="10756" spans="4:8" x14ac:dyDescent="0.25">
      <c r="D10756" s="28"/>
      <c r="F10756" s="28"/>
      <c r="H10756" s="28"/>
    </row>
    <row r="10757" spans="4:8" x14ac:dyDescent="0.25">
      <c r="D10757" s="28"/>
      <c r="F10757" s="28"/>
      <c r="H10757" s="28"/>
    </row>
    <row r="10758" spans="4:8" x14ac:dyDescent="0.25">
      <c r="D10758" s="28"/>
      <c r="F10758" s="28"/>
      <c r="H10758" s="28"/>
    </row>
    <row r="10759" spans="4:8" x14ac:dyDescent="0.25">
      <c r="D10759" s="28"/>
      <c r="F10759" s="28"/>
      <c r="H10759" s="28"/>
    </row>
    <row r="10760" spans="4:8" x14ac:dyDescent="0.25">
      <c r="D10760" s="28"/>
      <c r="F10760" s="28"/>
      <c r="H10760" s="28"/>
    </row>
    <row r="10761" spans="4:8" x14ac:dyDescent="0.25">
      <c r="D10761" s="28"/>
      <c r="F10761" s="28"/>
      <c r="H10761" s="28"/>
    </row>
    <row r="10762" spans="4:8" x14ac:dyDescent="0.25">
      <c r="D10762" s="28"/>
      <c r="F10762" s="28"/>
      <c r="H10762" s="28"/>
    </row>
    <row r="10763" spans="4:8" x14ac:dyDescent="0.25">
      <c r="D10763" s="28"/>
      <c r="F10763" s="28"/>
      <c r="H10763" s="28"/>
    </row>
    <row r="10764" spans="4:8" x14ac:dyDescent="0.25">
      <c r="D10764" s="28"/>
      <c r="F10764" s="28"/>
      <c r="H10764" s="28"/>
    </row>
    <row r="10765" spans="4:8" x14ac:dyDescent="0.25">
      <c r="D10765" s="28"/>
      <c r="F10765" s="28"/>
      <c r="H10765" s="28"/>
    </row>
    <row r="10766" spans="4:8" x14ac:dyDescent="0.25">
      <c r="D10766" s="28"/>
      <c r="F10766" s="28"/>
      <c r="H10766" s="28"/>
    </row>
    <row r="10767" spans="4:8" x14ac:dyDescent="0.25">
      <c r="D10767" s="28"/>
      <c r="F10767" s="28"/>
      <c r="H10767" s="28"/>
    </row>
    <row r="10768" spans="4:8" x14ac:dyDescent="0.25">
      <c r="D10768" s="28"/>
      <c r="F10768" s="28"/>
      <c r="H10768" s="28"/>
    </row>
    <row r="10769" spans="4:8" x14ac:dyDescent="0.25">
      <c r="D10769" s="28"/>
      <c r="F10769" s="28"/>
      <c r="H10769" s="28"/>
    </row>
    <row r="10770" spans="4:8" x14ac:dyDescent="0.25">
      <c r="D10770" s="28"/>
      <c r="F10770" s="28"/>
      <c r="H10770" s="28"/>
    </row>
    <row r="10771" spans="4:8" x14ac:dyDescent="0.25">
      <c r="D10771" s="28"/>
      <c r="F10771" s="28"/>
      <c r="H10771" s="28"/>
    </row>
    <row r="10772" spans="4:8" x14ac:dyDescent="0.25">
      <c r="D10772" s="28"/>
      <c r="F10772" s="28"/>
      <c r="H10772" s="28"/>
    </row>
    <row r="10773" spans="4:8" x14ac:dyDescent="0.25">
      <c r="D10773" s="28"/>
      <c r="F10773" s="28"/>
      <c r="H10773" s="28"/>
    </row>
    <row r="10774" spans="4:8" x14ac:dyDescent="0.25">
      <c r="D10774" s="28"/>
      <c r="F10774" s="28"/>
      <c r="H10774" s="28"/>
    </row>
    <row r="10775" spans="4:8" x14ac:dyDescent="0.25">
      <c r="D10775" s="28"/>
      <c r="F10775" s="28"/>
      <c r="H10775" s="28"/>
    </row>
    <row r="10776" spans="4:8" x14ac:dyDescent="0.25">
      <c r="D10776" s="28"/>
      <c r="F10776" s="28"/>
      <c r="H10776" s="28"/>
    </row>
    <row r="10777" spans="4:8" x14ac:dyDescent="0.25">
      <c r="D10777" s="28"/>
      <c r="F10777" s="28"/>
      <c r="H10777" s="28"/>
    </row>
    <row r="10778" spans="4:8" x14ac:dyDescent="0.25">
      <c r="D10778" s="28"/>
      <c r="F10778" s="28"/>
      <c r="H10778" s="28"/>
    </row>
    <row r="10779" spans="4:8" x14ac:dyDescent="0.25">
      <c r="D10779" s="28"/>
      <c r="F10779" s="28"/>
      <c r="H10779" s="28"/>
    </row>
    <row r="10780" spans="4:8" x14ac:dyDescent="0.25">
      <c r="D10780" s="28"/>
      <c r="F10780" s="28"/>
      <c r="H10780" s="28"/>
    </row>
    <row r="10781" spans="4:8" x14ac:dyDescent="0.25">
      <c r="D10781" s="28"/>
      <c r="F10781" s="28"/>
      <c r="H10781" s="28"/>
    </row>
    <row r="10782" spans="4:8" x14ac:dyDescent="0.25">
      <c r="D10782" s="28"/>
      <c r="F10782" s="28"/>
      <c r="H10782" s="28"/>
    </row>
    <row r="10783" spans="4:8" x14ac:dyDescent="0.25">
      <c r="D10783" s="28"/>
      <c r="F10783" s="28"/>
      <c r="H10783" s="28"/>
    </row>
    <row r="10784" spans="4:8" x14ac:dyDescent="0.25">
      <c r="D10784" s="28"/>
      <c r="F10784" s="28"/>
      <c r="H10784" s="28"/>
    </row>
    <row r="10785" spans="4:8" x14ac:dyDescent="0.25">
      <c r="D10785" s="28"/>
      <c r="F10785" s="28"/>
      <c r="H10785" s="28"/>
    </row>
    <row r="10786" spans="4:8" x14ac:dyDescent="0.25">
      <c r="D10786" s="28"/>
      <c r="F10786" s="28"/>
      <c r="H10786" s="28"/>
    </row>
    <row r="10787" spans="4:8" x14ac:dyDescent="0.25">
      <c r="D10787" s="28"/>
      <c r="F10787" s="28"/>
      <c r="H10787" s="28"/>
    </row>
    <row r="10788" spans="4:8" x14ac:dyDescent="0.25">
      <c r="D10788" s="28"/>
      <c r="F10788" s="28"/>
      <c r="H10788" s="28"/>
    </row>
    <row r="10789" spans="4:8" x14ac:dyDescent="0.25">
      <c r="D10789" s="28"/>
      <c r="F10789" s="28"/>
      <c r="H10789" s="28"/>
    </row>
    <row r="10790" spans="4:8" x14ac:dyDescent="0.25">
      <c r="D10790" s="28"/>
      <c r="F10790" s="28"/>
      <c r="H10790" s="28"/>
    </row>
    <row r="10791" spans="4:8" x14ac:dyDescent="0.25">
      <c r="D10791" s="28"/>
      <c r="F10791" s="28"/>
      <c r="H10791" s="28"/>
    </row>
    <row r="10792" spans="4:8" x14ac:dyDescent="0.25">
      <c r="D10792" s="28"/>
      <c r="F10792" s="28"/>
      <c r="H10792" s="28"/>
    </row>
    <row r="10793" spans="4:8" x14ac:dyDescent="0.25">
      <c r="D10793" s="28"/>
      <c r="F10793" s="28"/>
      <c r="H10793" s="28"/>
    </row>
    <row r="10794" spans="4:8" x14ac:dyDescent="0.25">
      <c r="D10794" s="28"/>
      <c r="F10794" s="28"/>
      <c r="H10794" s="28"/>
    </row>
    <row r="10795" spans="4:8" x14ac:dyDescent="0.25">
      <c r="D10795" s="28"/>
      <c r="F10795" s="28"/>
      <c r="H10795" s="28"/>
    </row>
    <row r="10796" spans="4:8" x14ac:dyDescent="0.25">
      <c r="D10796" s="28"/>
      <c r="F10796" s="28"/>
      <c r="H10796" s="28"/>
    </row>
    <row r="10797" spans="4:8" x14ac:dyDescent="0.25">
      <c r="D10797" s="28"/>
      <c r="F10797" s="28"/>
      <c r="H10797" s="28"/>
    </row>
    <row r="10798" spans="4:8" x14ac:dyDescent="0.25">
      <c r="D10798" s="28"/>
      <c r="F10798" s="28"/>
      <c r="H10798" s="28"/>
    </row>
    <row r="10799" spans="4:8" x14ac:dyDescent="0.25">
      <c r="D10799" s="28"/>
      <c r="F10799" s="28"/>
      <c r="H10799" s="28"/>
    </row>
    <row r="10800" spans="4:8" x14ac:dyDescent="0.25">
      <c r="D10800" s="28"/>
      <c r="F10800" s="28"/>
      <c r="H10800" s="28"/>
    </row>
    <row r="10801" spans="4:8" x14ac:dyDescent="0.25">
      <c r="D10801" s="28"/>
      <c r="F10801" s="28"/>
      <c r="H10801" s="28"/>
    </row>
    <row r="10802" spans="4:8" x14ac:dyDescent="0.25">
      <c r="D10802" s="28"/>
      <c r="F10802" s="28"/>
      <c r="H10802" s="28"/>
    </row>
    <row r="10803" spans="4:8" x14ac:dyDescent="0.25">
      <c r="D10803" s="28"/>
      <c r="F10803" s="28"/>
      <c r="H10803" s="28"/>
    </row>
    <row r="10804" spans="4:8" x14ac:dyDescent="0.25">
      <c r="D10804" s="28"/>
      <c r="F10804" s="28"/>
      <c r="H10804" s="28"/>
    </row>
    <row r="10805" spans="4:8" x14ac:dyDescent="0.25">
      <c r="D10805" s="28"/>
      <c r="F10805" s="28"/>
      <c r="H10805" s="28"/>
    </row>
    <row r="10806" spans="4:8" x14ac:dyDescent="0.25">
      <c r="D10806" s="28"/>
      <c r="F10806" s="28"/>
      <c r="H10806" s="28"/>
    </row>
    <row r="10807" spans="4:8" x14ac:dyDescent="0.25">
      <c r="D10807" s="28"/>
      <c r="F10807" s="28"/>
      <c r="H10807" s="28"/>
    </row>
    <row r="10808" spans="4:8" x14ac:dyDescent="0.25">
      <c r="D10808" s="28"/>
      <c r="F10808" s="28"/>
      <c r="H10808" s="28"/>
    </row>
    <row r="10809" spans="4:8" x14ac:dyDescent="0.25">
      <c r="D10809" s="28"/>
      <c r="F10809" s="28"/>
      <c r="H10809" s="28"/>
    </row>
    <row r="10810" spans="4:8" x14ac:dyDescent="0.25">
      <c r="D10810" s="28"/>
      <c r="F10810" s="28"/>
      <c r="H10810" s="28"/>
    </row>
    <row r="10811" spans="4:8" x14ac:dyDescent="0.25">
      <c r="D10811" s="28"/>
      <c r="F10811" s="28"/>
      <c r="H10811" s="28"/>
    </row>
    <row r="10812" spans="4:8" x14ac:dyDescent="0.25">
      <c r="D10812" s="28"/>
      <c r="F10812" s="28"/>
      <c r="H10812" s="28"/>
    </row>
    <row r="10813" spans="4:8" x14ac:dyDescent="0.25">
      <c r="D10813" s="28"/>
      <c r="F10813" s="28"/>
      <c r="H10813" s="28"/>
    </row>
    <row r="10814" spans="4:8" x14ac:dyDescent="0.25">
      <c r="D10814" s="28"/>
      <c r="F10814" s="28"/>
      <c r="H10814" s="28"/>
    </row>
    <row r="10815" spans="4:8" x14ac:dyDescent="0.25">
      <c r="D10815" s="28"/>
      <c r="F10815" s="28"/>
      <c r="H10815" s="28"/>
    </row>
    <row r="10816" spans="4:8" x14ac:dyDescent="0.25">
      <c r="D10816" s="28"/>
      <c r="F10816" s="28"/>
      <c r="H10816" s="28"/>
    </row>
    <row r="10817" spans="4:8" x14ac:dyDescent="0.25">
      <c r="D10817" s="28"/>
      <c r="F10817" s="28"/>
      <c r="H10817" s="28"/>
    </row>
    <row r="10818" spans="4:8" x14ac:dyDescent="0.25">
      <c r="D10818" s="28"/>
      <c r="F10818" s="28"/>
      <c r="H10818" s="28"/>
    </row>
    <row r="10819" spans="4:8" x14ac:dyDescent="0.25">
      <c r="D10819" s="28"/>
      <c r="F10819" s="28"/>
      <c r="H10819" s="28"/>
    </row>
    <row r="10820" spans="4:8" x14ac:dyDescent="0.25">
      <c r="D10820" s="28"/>
      <c r="F10820" s="28"/>
      <c r="H10820" s="28"/>
    </row>
    <row r="10821" spans="4:8" x14ac:dyDescent="0.25">
      <c r="D10821" s="28"/>
      <c r="F10821" s="28"/>
      <c r="H10821" s="28"/>
    </row>
    <row r="10822" spans="4:8" x14ac:dyDescent="0.25">
      <c r="D10822" s="28"/>
      <c r="F10822" s="28"/>
      <c r="H10822" s="28"/>
    </row>
    <row r="10823" spans="4:8" x14ac:dyDescent="0.25">
      <c r="D10823" s="28"/>
      <c r="F10823" s="28"/>
      <c r="H10823" s="28"/>
    </row>
    <row r="10824" spans="4:8" x14ac:dyDescent="0.25">
      <c r="D10824" s="28"/>
      <c r="F10824" s="28"/>
      <c r="H10824" s="28"/>
    </row>
    <row r="10825" spans="4:8" x14ac:dyDescent="0.25">
      <c r="D10825" s="28"/>
      <c r="F10825" s="28"/>
      <c r="H10825" s="28"/>
    </row>
    <row r="10826" spans="4:8" x14ac:dyDescent="0.25">
      <c r="D10826" s="28"/>
      <c r="F10826" s="28"/>
      <c r="H10826" s="28"/>
    </row>
    <row r="10827" spans="4:8" x14ac:dyDescent="0.25">
      <c r="D10827" s="28"/>
      <c r="F10827" s="28"/>
      <c r="H10827" s="28"/>
    </row>
    <row r="10828" spans="4:8" x14ac:dyDescent="0.25">
      <c r="D10828" s="28"/>
      <c r="F10828" s="28"/>
      <c r="H10828" s="28"/>
    </row>
    <row r="10829" spans="4:8" x14ac:dyDescent="0.25">
      <c r="D10829" s="28"/>
      <c r="F10829" s="28"/>
      <c r="H10829" s="28"/>
    </row>
    <row r="10830" spans="4:8" x14ac:dyDescent="0.25">
      <c r="D10830" s="28"/>
      <c r="F10830" s="28"/>
      <c r="H10830" s="28"/>
    </row>
    <row r="10831" spans="4:8" x14ac:dyDescent="0.25">
      <c r="D10831" s="28"/>
      <c r="F10831" s="28"/>
      <c r="H10831" s="28"/>
    </row>
    <row r="10832" spans="4:8" x14ac:dyDescent="0.25">
      <c r="D10832" s="28"/>
      <c r="F10832" s="28"/>
      <c r="H10832" s="28"/>
    </row>
    <row r="10833" spans="4:8" x14ac:dyDescent="0.25">
      <c r="D10833" s="28"/>
      <c r="F10833" s="28"/>
      <c r="H10833" s="28"/>
    </row>
    <row r="10834" spans="4:8" x14ac:dyDescent="0.25">
      <c r="D10834" s="28"/>
      <c r="F10834" s="28"/>
      <c r="H10834" s="28"/>
    </row>
    <row r="10835" spans="4:8" x14ac:dyDescent="0.25">
      <c r="D10835" s="28"/>
      <c r="F10835" s="28"/>
      <c r="H10835" s="28"/>
    </row>
    <row r="10836" spans="4:8" x14ac:dyDescent="0.25">
      <c r="D10836" s="28"/>
      <c r="F10836" s="28"/>
      <c r="H10836" s="28"/>
    </row>
    <row r="10837" spans="4:8" x14ac:dyDescent="0.25">
      <c r="D10837" s="28"/>
      <c r="F10837" s="28"/>
      <c r="H10837" s="28"/>
    </row>
    <row r="10838" spans="4:8" x14ac:dyDescent="0.25">
      <c r="D10838" s="28"/>
      <c r="F10838" s="28"/>
      <c r="H10838" s="28"/>
    </row>
    <row r="10839" spans="4:8" x14ac:dyDescent="0.25">
      <c r="D10839" s="28"/>
      <c r="F10839" s="28"/>
      <c r="H10839" s="28"/>
    </row>
    <row r="10840" spans="4:8" x14ac:dyDescent="0.25">
      <c r="D10840" s="28"/>
      <c r="F10840" s="28"/>
      <c r="H10840" s="28"/>
    </row>
    <row r="10841" spans="4:8" x14ac:dyDescent="0.25">
      <c r="D10841" s="28"/>
      <c r="F10841" s="28"/>
      <c r="H10841" s="28"/>
    </row>
    <row r="10842" spans="4:8" x14ac:dyDescent="0.25">
      <c r="D10842" s="28"/>
      <c r="F10842" s="28"/>
      <c r="H10842" s="28"/>
    </row>
    <row r="10843" spans="4:8" x14ac:dyDescent="0.25">
      <c r="D10843" s="28"/>
      <c r="F10843" s="28"/>
      <c r="H10843" s="28"/>
    </row>
    <row r="10844" spans="4:8" x14ac:dyDescent="0.25">
      <c r="D10844" s="28"/>
      <c r="F10844" s="28"/>
      <c r="H10844" s="28"/>
    </row>
    <row r="10845" spans="4:8" x14ac:dyDescent="0.25">
      <c r="D10845" s="28"/>
      <c r="F10845" s="28"/>
      <c r="H10845" s="28"/>
    </row>
    <row r="10846" spans="4:8" x14ac:dyDescent="0.25">
      <c r="D10846" s="28"/>
      <c r="F10846" s="28"/>
      <c r="H10846" s="28"/>
    </row>
    <row r="10847" spans="4:8" x14ac:dyDescent="0.25">
      <c r="D10847" s="28"/>
      <c r="F10847" s="28"/>
      <c r="H10847" s="28"/>
    </row>
    <row r="10848" spans="4:8" x14ac:dyDescent="0.25">
      <c r="D10848" s="28"/>
      <c r="F10848" s="28"/>
      <c r="H10848" s="28"/>
    </row>
    <row r="10849" spans="4:8" x14ac:dyDescent="0.25">
      <c r="D10849" s="28"/>
      <c r="F10849" s="28"/>
      <c r="H10849" s="28"/>
    </row>
    <row r="10850" spans="4:8" x14ac:dyDescent="0.25">
      <c r="D10850" s="28"/>
      <c r="F10850" s="28"/>
      <c r="H10850" s="28"/>
    </row>
    <row r="10851" spans="4:8" x14ac:dyDescent="0.25">
      <c r="D10851" s="28"/>
      <c r="F10851" s="28"/>
      <c r="H10851" s="28"/>
    </row>
    <row r="10852" spans="4:8" x14ac:dyDescent="0.25">
      <c r="D10852" s="28"/>
      <c r="F10852" s="28"/>
      <c r="H10852" s="28"/>
    </row>
    <row r="10853" spans="4:8" x14ac:dyDescent="0.25">
      <c r="D10853" s="28"/>
      <c r="F10853" s="28"/>
      <c r="H10853" s="28"/>
    </row>
    <row r="10854" spans="4:8" x14ac:dyDescent="0.25">
      <c r="D10854" s="28"/>
      <c r="F10854" s="28"/>
      <c r="H10854" s="28"/>
    </row>
    <row r="10855" spans="4:8" x14ac:dyDescent="0.25">
      <c r="D10855" s="28"/>
      <c r="F10855" s="28"/>
      <c r="H10855" s="28"/>
    </row>
    <row r="10856" spans="4:8" x14ac:dyDescent="0.25">
      <c r="D10856" s="28"/>
      <c r="F10856" s="28"/>
      <c r="H10856" s="28"/>
    </row>
    <row r="10857" spans="4:8" x14ac:dyDescent="0.25">
      <c r="D10857" s="28"/>
      <c r="F10857" s="28"/>
      <c r="H10857" s="28"/>
    </row>
    <row r="10858" spans="4:8" x14ac:dyDescent="0.25">
      <c r="D10858" s="28"/>
      <c r="F10858" s="28"/>
      <c r="H10858" s="28"/>
    </row>
    <row r="10859" spans="4:8" x14ac:dyDescent="0.25">
      <c r="D10859" s="28"/>
      <c r="F10859" s="28"/>
      <c r="H10859" s="28"/>
    </row>
    <row r="10860" spans="4:8" x14ac:dyDescent="0.25">
      <c r="D10860" s="28"/>
      <c r="F10860" s="28"/>
      <c r="H10860" s="28"/>
    </row>
    <row r="10861" spans="4:8" x14ac:dyDescent="0.25">
      <c r="D10861" s="28"/>
      <c r="F10861" s="28"/>
      <c r="H10861" s="28"/>
    </row>
    <row r="10862" spans="4:8" x14ac:dyDescent="0.25">
      <c r="D10862" s="28"/>
      <c r="F10862" s="28"/>
      <c r="H10862" s="28"/>
    </row>
    <row r="10863" spans="4:8" x14ac:dyDescent="0.25">
      <c r="D10863" s="28"/>
      <c r="F10863" s="28"/>
      <c r="H10863" s="28"/>
    </row>
    <row r="10864" spans="4:8" x14ac:dyDescent="0.25">
      <c r="D10864" s="28"/>
      <c r="F10864" s="28"/>
      <c r="H10864" s="28"/>
    </row>
    <row r="10865" spans="4:8" x14ac:dyDescent="0.25">
      <c r="D10865" s="28"/>
      <c r="F10865" s="28"/>
      <c r="H10865" s="28"/>
    </row>
    <row r="10866" spans="4:8" x14ac:dyDescent="0.25">
      <c r="D10866" s="28"/>
      <c r="F10866" s="28"/>
      <c r="H10866" s="28"/>
    </row>
    <row r="10867" spans="4:8" x14ac:dyDescent="0.25">
      <c r="D10867" s="28"/>
      <c r="F10867" s="28"/>
      <c r="H10867" s="28"/>
    </row>
    <row r="10868" spans="4:8" x14ac:dyDescent="0.25">
      <c r="D10868" s="28"/>
      <c r="F10868" s="28"/>
      <c r="H10868" s="28"/>
    </row>
    <row r="10869" spans="4:8" x14ac:dyDescent="0.25">
      <c r="D10869" s="28"/>
      <c r="F10869" s="28"/>
      <c r="H10869" s="28"/>
    </row>
    <row r="10870" spans="4:8" x14ac:dyDescent="0.25">
      <c r="D10870" s="28"/>
      <c r="F10870" s="28"/>
      <c r="H10870" s="28"/>
    </row>
    <row r="10871" spans="4:8" x14ac:dyDescent="0.25">
      <c r="D10871" s="28"/>
      <c r="F10871" s="28"/>
      <c r="H10871" s="28"/>
    </row>
    <row r="10872" spans="4:8" x14ac:dyDescent="0.25">
      <c r="D10872" s="28"/>
      <c r="F10872" s="28"/>
      <c r="H10872" s="28"/>
    </row>
    <row r="10873" spans="4:8" x14ac:dyDescent="0.25">
      <c r="D10873" s="28"/>
      <c r="F10873" s="28"/>
      <c r="H10873" s="28"/>
    </row>
    <row r="10874" spans="4:8" x14ac:dyDescent="0.25">
      <c r="D10874" s="28"/>
      <c r="F10874" s="28"/>
      <c r="H10874" s="28"/>
    </row>
    <row r="10875" spans="4:8" x14ac:dyDescent="0.25">
      <c r="D10875" s="28"/>
      <c r="F10875" s="28"/>
      <c r="H10875" s="28"/>
    </row>
    <row r="10876" spans="4:8" x14ac:dyDescent="0.25">
      <c r="D10876" s="28"/>
      <c r="F10876" s="28"/>
      <c r="H10876" s="28"/>
    </row>
    <row r="10877" spans="4:8" x14ac:dyDescent="0.25">
      <c r="D10877" s="28"/>
      <c r="F10877" s="28"/>
      <c r="H10877" s="28"/>
    </row>
    <row r="10878" spans="4:8" x14ac:dyDescent="0.25">
      <c r="D10878" s="28"/>
      <c r="F10878" s="28"/>
      <c r="H10878" s="28"/>
    </row>
    <row r="10879" spans="4:8" x14ac:dyDescent="0.25">
      <c r="D10879" s="28"/>
      <c r="F10879" s="28"/>
      <c r="H10879" s="28"/>
    </row>
    <row r="10880" spans="4:8" x14ac:dyDescent="0.25">
      <c r="D10880" s="28"/>
      <c r="F10880" s="28"/>
      <c r="H10880" s="28"/>
    </row>
    <row r="10881" spans="4:8" x14ac:dyDescent="0.25">
      <c r="D10881" s="28"/>
      <c r="F10881" s="28"/>
      <c r="H10881" s="28"/>
    </row>
    <row r="10882" spans="4:8" x14ac:dyDescent="0.25">
      <c r="D10882" s="28"/>
      <c r="F10882" s="28"/>
      <c r="H10882" s="28"/>
    </row>
    <row r="10883" spans="4:8" x14ac:dyDescent="0.25">
      <c r="D10883" s="28"/>
      <c r="F10883" s="28"/>
      <c r="H10883" s="28"/>
    </row>
    <row r="10884" spans="4:8" x14ac:dyDescent="0.25">
      <c r="D10884" s="28"/>
      <c r="F10884" s="28"/>
      <c r="H10884" s="28"/>
    </row>
    <row r="10885" spans="4:8" x14ac:dyDescent="0.25">
      <c r="D10885" s="28"/>
      <c r="F10885" s="28"/>
      <c r="H10885" s="28"/>
    </row>
    <row r="10886" spans="4:8" x14ac:dyDescent="0.25">
      <c r="D10886" s="28"/>
      <c r="F10886" s="28"/>
      <c r="H10886" s="28"/>
    </row>
    <row r="10887" spans="4:8" x14ac:dyDescent="0.25">
      <c r="D10887" s="28"/>
      <c r="F10887" s="28"/>
      <c r="H10887" s="28"/>
    </row>
    <row r="10888" spans="4:8" x14ac:dyDescent="0.25">
      <c r="D10888" s="28"/>
      <c r="F10888" s="28"/>
      <c r="H10888" s="28"/>
    </row>
    <row r="10889" spans="4:8" x14ac:dyDescent="0.25">
      <c r="D10889" s="28"/>
      <c r="F10889" s="28"/>
      <c r="H10889" s="28"/>
    </row>
    <row r="10890" spans="4:8" x14ac:dyDescent="0.25">
      <c r="D10890" s="28"/>
      <c r="F10890" s="28"/>
      <c r="H10890" s="28"/>
    </row>
    <row r="10891" spans="4:8" x14ac:dyDescent="0.25">
      <c r="D10891" s="28"/>
      <c r="F10891" s="28"/>
      <c r="H10891" s="28"/>
    </row>
    <row r="10892" spans="4:8" x14ac:dyDescent="0.25">
      <c r="D10892" s="28"/>
      <c r="F10892" s="28"/>
      <c r="H10892" s="28"/>
    </row>
    <row r="10893" spans="4:8" x14ac:dyDescent="0.25">
      <c r="D10893" s="28"/>
      <c r="F10893" s="28"/>
      <c r="H10893" s="28"/>
    </row>
    <row r="10894" spans="4:8" x14ac:dyDescent="0.25">
      <c r="D10894" s="28"/>
      <c r="F10894" s="28"/>
      <c r="H10894" s="28"/>
    </row>
    <row r="10895" spans="4:8" x14ac:dyDescent="0.25">
      <c r="D10895" s="28"/>
      <c r="F10895" s="28"/>
      <c r="H10895" s="28"/>
    </row>
    <row r="10896" spans="4:8" x14ac:dyDescent="0.25">
      <c r="D10896" s="28"/>
      <c r="F10896" s="28"/>
      <c r="H10896" s="28"/>
    </row>
    <row r="10897" spans="4:8" x14ac:dyDescent="0.25">
      <c r="D10897" s="28"/>
      <c r="F10897" s="28"/>
      <c r="H10897" s="28"/>
    </row>
    <row r="10898" spans="4:8" x14ac:dyDescent="0.25">
      <c r="D10898" s="28"/>
      <c r="F10898" s="28"/>
      <c r="H10898" s="28"/>
    </row>
    <row r="10899" spans="4:8" x14ac:dyDescent="0.25">
      <c r="D10899" s="28"/>
      <c r="F10899" s="28"/>
      <c r="H10899" s="28"/>
    </row>
    <row r="10900" spans="4:8" x14ac:dyDescent="0.25">
      <c r="D10900" s="28"/>
      <c r="F10900" s="28"/>
      <c r="H10900" s="28"/>
    </row>
    <row r="10901" spans="4:8" x14ac:dyDescent="0.25">
      <c r="D10901" s="28"/>
      <c r="F10901" s="28"/>
      <c r="H10901" s="28"/>
    </row>
    <row r="10902" spans="4:8" x14ac:dyDescent="0.25">
      <c r="D10902" s="28"/>
      <c r="F10902" s="28"/>
      <c r="H10902" s="28"/>
    </row>
    <row r="10903" spans="4:8" x14ac:dyDescent="0.25">
      <c r="D10903" s="28"/>
      <c r="F10903" s="28"/>
      <c r="H10903" s="28"/>
    </row>
    <row r="10904" spans="4:8" x14ac:dyDescent="0.25">
      <c r="D10904" s="28"/>
      <c r="F10904" s="28"/>
      <c r="H10904" s="28"/>
    </row>
    <row r="10905" spans="4:8" x14ac:dyDescent="0.25">
      <c r="D10905" s="28"/>
      <c r="F10905" s="28"/>
      <c r="H10905" s="28"/>
    </row>
    <row r="10906" spans="4:8" x14ac:dyDescent="0.25">
      <c r="D10906" s="28"/>
      <c r="F10906" s="28"/>
      <c r="H10906" s="28"/>
    </row>
    <row r="10907" spans="4:8" x14ac:dyDescent="0.25">
      <c r="D10907" s="28"/>
      <c r="F10907" s="28"/>
      <c r="H10907" s="28"/>
    </row>
    <row r="10908" spans="4:8" x14ac:dyDescent="0.25">
      <c r="D10908" s="28"/>
      <c r="F10908" s="28"/>
      <c r="H10908" s="28"/>
    </row>
    <row r="10909" spans="4:8" x14ac:dyDescent="0.25">
      <c r="D10909" s="28"/>
      <c r="F10909" s="28"/>
      <c r="H10909" s="28"/>
    </row>
    <row r="10910" spans="4:8" x14ac:dyDescent="0.25">
      <c r="D10910" s="28"/>
      <c r="F10910" s="28"/>
      <c r="H10910" s="28"/>
    </row>
    <row r="10911" spans="4:8" x14ac:dyDescent="0.25">
      <c r="D10911" s="28"/>
      <c r="F10911" s="28"/>
      <c r="H10911" s="28"/>
    </row>
    <row r="10912" spans="4:8" x14ac:dyDescent="0.25">
      <c r="D10912" s="28"/>
      <c r="F10912" s="28"/>
      <c r="H10912" s="28"/>
    </row>
    <row r="10913" spans="4:8" x14ac:dyDescent="0.25">
      <c r="D10913" s="28"/>
      <c r="F10913" s="28"/>
      <c r="H10913" s="28"/>
    </row>
    <row r="10914" spans="4:8" x14ac:dyDescent="0.25">
      <c r="D10914" s="28"/>
      <c r="F10914" s="28"/>
      <c r="H10914" s="28"/>
    </row>
    <row r="10915" spans="4:8" x14ac:dyDescent="0.25">
      <c r="D10915" s="28"/>
      <c r="F10915" s="28"/>
      <c r="H10915" s="28"/>
    </row>
    <row r="10916" spans="4:8" x14ac:dyDescent="0.25">
      <c r="D10916" s="28"/>
      <c r="F10916" s="28"/>
      <c r="H10916" s="28"/>
    </row>
    <row r="10917" spans="4:8" x14ac:dyDescent="0.25">
      <c r="D10917" s="28"/>
      <c r="F10917" s="28"/>
      <c r="H10917" s="28"/>
    </row>
    <row r="10918" spans="4:8" x14ac:dyDescent="0.25">
      <c r="D10918" s="28"/>
      <c r="F10918" s="28"/>
      <c r="H10918" s="28"/>
    </row>
    <row r="10919" spans="4:8" x14ac:dyDescent="0.25">
      <c r="D10919" s="28"/>
      <c r="F10919" s="28"/>
      <c r="H10919" s="28"/>
    </row>
    <row r="10920" spans="4:8" x14ac:dyDescent="0.25">
      <c r="D10920" s="28"/>
      <c r="F10920" s="28"/>
      <c r="H10920" s="28"/>
    </row>
    <row r="10921" spans="4:8" x14ac:dyDescent="0.25">
      <c r="D10921" s="28"/>
      <c r="F10921" s="28"/>
      <c r="H10921" s="28"/>
    </row>
    <row r="10922" spans="4:8" x14ac:dyDescent="0.25">
      <c r="D10922" s="28"/>
      <c r="F10922" s="28"/>
      <c r="H10922" s="28"/>
    </row>
    <row r="10923" spans="4:8" x14ac:dyDescent="0.25">
      <c r="D10923" s="28"/>
      <c r="F10923" s="28"/>
      <c r="H10923" s="28"/>
    </row>
    <row r="10924" spans="4:8" x14ac:dyDescent="0.25">
      <c r="D10924" s="28"/>
      <c r="F10924" s="28"/>
      <c r="H10924" s="28"/>
    </row>
    <row r="10925" spans="4:8" x14ac:dyDescent="0.25">
      <c r="D10925" s="28"/>
      <c r="F10925" s="28"/>
      <c r="H10925" s="28"/>
    </row>
    <row r="10926" spans="4:8" x14ac:dyDescent="0.25">
      <c r="D10926" s="28"/>
      <c r="F10926" s="28"/>
      <c r="H10926" s="28"/>
    </row>
    <row r="10927" spans="4:8" x14ac:dyDescent="0.25">
      <c r="D10927" s="28"/>
      <c r="F10927" s="28"/>
      <c r="H10927" s="28"/>
    </row>
    <row r="10928" spans="4:8" x14ac:dyDescent="0.25">
      <c r="D10928" s="28"/>
      <c r="F10928" s="28"/>
      <c r="H10928" s="28"/>
    </row>
    <row r="10929" spans="4:8" x14ac:dyDescent="0.25">
      <c r="D10929" s="28"/>
      <c r="F10929" s="28"/>
      <c r="H10929" s="28"/>
    </row>
    <row r="10930" spans="4:8" x14ac:dyDescent="0.25">
      <c r="D10930" s="28"/>
      <c r="F10930" s="28"/>
      <c r="H10930" s="28"/>
    </row>
    <row r="10931" spans="4:8" x14ac:dyDescent="0.25">
      <c r="D10931" s="28"/>
      <c r="F10931" s="28"/>
      <c r="H10931" s="28"/>
    </row>
    <row r="10932" spans="4:8" x14ac:dyDescent="0.25">
      <c r="D10932" s="28"/>
      <c r="F10932" s="28"/>
      <c r="H10932" s="28"/>
    </row>
    <row r="10933" spans="4:8" x14ac:dyDescent="0.25">
      <c r="D10933" s="28"/>
      <c r="F10933" s="28"/>
      <c r="H10933" s="28"/>
    </row>
    <row r="10934" spans="4:8" x14ac:dyDescent="0.25">
      <c r="D10934" s="28"/>
      <c r="F10934" s="28"/>
      <c r="H10934" s="28"/>
    </row>
    <row r="10935" spans="4:8" x14ac:dyDescent="0.25">
      <c r="D10935" s="28"/>
      <c r="F10935" s="28"/>
      <c r="H10935" s="28"/>
    </row>
    <row r="10936" spans="4:8" x14ac:dyDescent="0.25">
      <c r="D10936" s="28"/>
      <c r="F10936" s="28"/>
      <c r="H10936" s="28"/>
    </row>
    <row r="10937" spans="4:8" x14ac:dyDescent="0.25">
      <c r="D10937" s="28"/>
      <c r="F10937" s="28"/>
      <c r="H10937" s="28"/>
    </row>
    <row r="10938" spans="4:8" x14ac:dyDescent="0.25">
      <c r="D10938" s="28"/>
      <c r="F10938" s="28"/>
      <c r="H10938" s="28"/>
    </row>
    <row r="10939" spans="4:8" x14ac:dyDescent="0.25">
      <c r="D10939" s="28"/>
      <c r="F10939" s="28"/>
      <c r="H10939" s="28"/>
    </row>
    <row r="10940" spans="4:8" x14ac:dyDescent="0.25">
      <c r="D10940" s="28"/>
      <c r="F10940" s="28"/>
      <c r="H10940" s="28"/>
    </row>
    <row r="10941" spans="4:8" x14ac:dyDescent="0.25">
      <c r="D10941" s="28"/>
      <c r="F10941" s="28"/>
      <c r="H10941" s="28"/>
    </row>
    <row r="10942" spans="4:8" x14ac:dyDescent="0.25">
      <c r="D10942" s="28"/>
      <c r="F10942" s="28"/>
      <c r="H10942" s="28"/>
    </row>
    <row r="10943" spans="4:8" x14ac:dyDescent="0.25">
      <c r="D10943" s="28"/>
      <c r="F10943" s="28"/>
      <c r="H10943" s="28"/>
    </row>
    <row r="10944" spans="4:8" x14ac:dyDescent="0.25">
      <c r="D10944" s="28"/>
      <c r="F10944" s="28"/>
      <c r="H10944" s="28"/>
    </row>
    <row r="10945" spans="4:8" x14ac:dyDescent="0.25">
      <c r="D10945" s="28"/>
      <c r="F10945" s="28"/>
      <c r="H10945" s="28"/>
    </row>
    <row r="10946" spans="4:8" x14ac:dyDescent="0.25">
      <c r="D10946" s="28"/>
      <c r="F10946" s="28"/>
      <c r="H10946" s="28"/>
    </row>
    <row r="10947" spans="4:8" x14ac:dyDescent="0.25">
      <c r="D10947" s="28"/>
      <c r="F10947" s="28"/>
      <c r="H10947" s="28"/>
    </row>
    <row r="10948" spans="4:8" x14ac:dyDescent="0.25">
      <c r="D10948" s="28"/>
      <c r="F10948" s="28"/>
      <c r="H10948" s="28"/>
    </row>
    <row r="10949" spans="4:8" x14ac:dyDescent="0.25">
      <c r="D10949" s="28"/>
      <c r="F10949" s="28"/>
      <c r="H10949" s="28"/>
    </row>
    <row r="10950" spans="4:8" x14ac:dyDescent="0.25">
      <c r="D10950" s="28"/>
      <c r="F10950" s="28"/>
      <c r="H10950" s="28"/>
    </row>
    <row r="10951" spans="4:8" x14ac:dyDescent="0.25">
      <c r="D10951" s="28"/>
      <c r="F10951" s="28"/>
      <c r="H10951" s="28"/>
    </row>
    <row r="10952" spans="4:8" x14ac:dyDescent="0.25">
      <c r="D10952" s="28"/>
      <c r="F10952" s="28"/>
      <c r="H10952" s="28"/>
    </row>
    <row r="10953" spans="4:8" x14ac:dyDescent="0.25">
      <c r="D10953" s="28"/>
      <c r="F10953" s="28"/>
      <c r="H10953" s="28"/>
    </row>
    <row r="10954" spans="4:8" x14ac:dyDescent="0.25">
      <c r="D10954" s="28"/>
      <c r="F10954" s="28"/>
      <c r="H10954" s="28"/>
    </row>
    <row r="10955" spans="4:8" x14ac:dyDescent="0.25">
      <c r="D10955" s="28"/>
      <c r="F10955" s="28"/>
      <c r="H10955" s="28"/>
    </row>
    <row r="10956" spans="4:8" x14ac:dyDescent="0.25">
      <c r="D10956" s="28"/>
      <c r="F10956" s="28"/>
      <c r="H10956" s="28"/>
    </row>
    <row r="10957" spans="4:8" x14ac:dyDescent="0.25">
      <c r="D10957" s="28"/>
      <c r="F10957" s="28"/>
      <c r="H10957" s="28"/>
    </row>
    <row r="10958" spans="4:8" x14ac:dyDescent="0.25">
      <c r="D10958" s="28"/>
      <c r="F10958" s="28"/>
      <c r="H10958" s="28"/>
    </row>
    <row r="10959" spans="4:8" x14ac:dyDescent="0.25">
      <c r="D10959" s="28"/>
      <c r="F10959" s="28"/>
      <c r="H10959" s="28"/>
    </row>
    <row r="10960" spans="4:8" x14ac:dyDescent="0.25">
      <c r="D10960" s="28"/>
      <c r="F10960" s="28"/>
      <c r="H10960" s="28"/>
    </row>
    <row r="10961" spans="4:8" x14ac:dyDescent="0.25">
      <c r="D10961" s="28"/>
      <c r="F10961" s="28"/>
      <c r="H10961" s="28"/>
    </row>
    <row r="10962" spans="4:8" x14ac:dyDescent="0.25">
      <c r="D10962" s="28"/>
      <c r="F10962" s="28"/>
      <c r="H10962" s="28"/>
    </row>
    <row r="10963" spans="4:8" x14ac:dyDescent="0.25">
      <c r="D10963" s="28"/>
      <c r="F10963" s="28"/>
      <c r="H10963" s="28"/>
    </row>
    <row r="10964" spans="4:8" x14ac:dyDescent="0.25">
      <c r="D10964" s="28"/>
      <c r="F10964" s="28"/>
      <c r="H10964" s="28"/>
    </row>
    <row r="10965" spans="4:8" x14ac:dyDescent="0.25">
      <c r="D10965" s="28"/>
      <c r="F10965" s="28"/>
      <c r="H10965" s="28"/>
    </row>
    <row r="10966" spans="4:8" x14ac:dyDescent="0.25">
      <c r="D10966" s="28"/>
      <c r="F10966" s="28"/>
      <c r="H10966" s="28"/>
    </row>
    <row r="10967" spans="4:8" x14ac:dyDescent="0.25">
      <c r="D10967" s="28"/>
      <c r="F10967" s="28"/>
      <c r="H10967" s="28"/>
    </row>
    <row r="10968" spans="4:8" x14ac:dyDescent="0.25">
      <c r="D10968" s="28"/>
      <c r="F10968" s="28"/>
      <c r="H10968" s="28"/>
    </row>
    <row r="10969" spans="4:8" x14ac:dyDescent="0.25">
      <c r="D10969" s="28"/>
      <c r="F10969" s="28"/>
      <c r="H10969" s="28"/>
    </row>
    <row r="10970" spans="4:8" x14ac:dyDescent="0.25">
      <c r="D10970" s="28"/>
      <c r="F10970" s="28"/>
      <c r="H10970" s="28"/>
    </row>
    <row r="10971" spans="4:8" x14ac:dyDescent="0.25">
      <c r="D10971" s="28"/>
      <c r="F10971" s="28"/>
      <c r="H10971" s="28"/>
    </row>
    <row r="10972" spans="4:8" x14ac:dyDescent="0.25">
      <c r="D10972" s="28"/>
      <c r="F10972" s="28"/>
      <c r="H10972" s="28"/>
    </row>
    <row r="10973" spans="4:8" x14ac:dyDescent="0.25">
      <c r="D10973" s="28"/>
      <c r="F10973" s="28"/>
      <c r="H10973" s="28"/>
    </row>
    <row r="10974" spans="4:8" x14ac:dyDescent="0.25">
      <c r="D10974" s="28"/>
      <c r="F10974" s="28"/>
      <c r="H10974" s="28"/>
    </row>
    <row r="10975" spans="4:8" x14ac:dyDescent="0.25">
      <c r="D10975" s="28"/>
      <c r="F10975" s="28"/>
      <c r="H10975" s="28"/>
    </row>
    <row r="10976" spans="4:8" x14ac:dyDescent="0.25">
      <c r="D10976" s="28"/>
      <c r="F10976" s="28"/>
      <c r="H10976" s="28"/>
    </row>
    <row r="10977" spans="4:8" x14ac:dyDescent="0.25">
      <c r="D10977" s="28"/>
      <c r="F10977" s="28"/>
      <c r="H10977" s="28"/>
    </row>
    <row r="10978" spans="4:8" x14ac:dyDescent="0.25">
      <c r="D10978" s="28"/>
      <c r="F10978" s="28"/>
      <c r="H10978" s="28"/>
    </row>
    <row r="10979" spans="4:8" x14ac:dyDescent="0.25">
      <c r="D10979" s="28"/>
      <c r="F10979" s="28"/>
      <c r="H10979" s="28"/>
    </row>
    <row r="10980" spans="4:8" x14ac:dyDescent="0.25">
      <c r="D10980" s="28"/>
      <c r="F10980" s="28"/>
      <c r="H10980" s="28"/>
    </row>
    <row r="10981" spans="4:8" x14ac:dyDescent="0.25">
      <c r="D10981" s="28"/>
      <c r="F10981" s="28"/>
      <c r="H10981" s="28"/>
    </row>
    <row r="10982" spans="4:8" x14ac:dyDescent="0.25">
      <c r="D10982" s="28"/>
      <c r="F10982" s="28"/>
      <c r="H10982" s="28"/>
    </row>
    <row r="10983" spans="4:8" x14ac:dyDescent="0.25">
      <c r="D10983" s="28"/>
      <c r="F10983" s="28"/>
      <c r="H10983" s="28"/>
    </row>
    <row r="10984" spans="4:8" x14ac:dyDescent="0.25">
      <c r="D10984" s="28"/>
      <c r="F10984" s="28"/>
      <c r="H10984" s="28"/>
    </row>
    <row r="10985" spans="4:8" x14ac:dyDescent="0.25">
      <c r="D10985" s="28"/>
      <c r="F10985" s="28"/>
      <c r="H10985" s="28"/>
    </row>
    <row r="10986" spans="4:8" x14ac:dyDescent="0.25">
      <c r="D10986" s="28"/>
      <c r="F10986" s="28"/>
      <c r="H10986" s="28"/>
    </row>
    <row r="10987" spans="4:8" x14ac:dyDescent="0.25">
      <c r="D10987" s="28"/>
      <c r="F10987" s="28"/>
      <c r="H10987" s="28"/>
    </row>
    <row r="10988" spans="4:8" x14ac:dyDescent="0.25">
      <c r="D10988" s="28"/>
      <c r="F10988" s="28"/>
      <c r="H10988" s="28"/>
    </row>
    <row r="10989" spans="4:8" x14ac:dyDescent="0.25">
      <c r="D10989" s="28"/>
      <c r="F10989" s="28"/>
      <c r="H10989" s="28"/>
    </row>
    <row r="10990" spans="4:8" x14ac:dyDescent="0.25">
      <c r="D10990" s="28"/>
      <c r="F10990" s="28"/>
      <c r="H10990" s="28"/>
    </row>
    <row r="10991" spans="4:8" x14ac:dyDescent="0.25">
      <c r="D10991" s="28"/>
      <c r="F10991" s="28"/>
      <c r="H10991" s="28"/>
    </row>
    <row r="10992" spans="4:8" x14ac:dyDescent="0.25">
      <c r="D10992" s="28"/>
      <c r="F10992" s="28"/>
      <c r="H10992" s="28"/>
    </row>
    <row r="10993" spans="4:8" x14ac:dyDescent="0.25">
      <c r="D10993" s="28"/>
      <c r="F10993" s="28"/>
      <c r="H10993" s="28"/>
    </row>
    <row r="10994" spans="4:8" x14ac:dyDescent="0.25">
      <c r="D10994" s="28"/>
      <c r="F10994" s="28"/>
      <c r="H10994" s="28"/>
    </row>
    <row r="10995" spans="4:8" x14ac:dyDescent="0.25">
      <c r="D10995" s="28"/>
      <c r="F10995" s="28"/>
      <c r="H10995" s="28"/>
    </row>
    <row r="10996" spans="4:8" x14ac:dyDescent="0.25">
      <c r="D10996" s="28"/>
      <c r="F10996" s="28"/>
      <c r="H10996" s="28"/>
    </row>
    <row r="10997" spans="4:8" x14ac:dyDescent="0.25">
      <c r="D10997" s="28"/>
      <c r="F10997" s="28"/>
      <c r="H10997" s="28"/>
    </row>
    <row r="10998" spans="4:8" x14ac:dyDescent="0.25">
      <c r="D10998" s="28"/>
      <c r="F10998" s="28"/>
      <c r="H10998" s="28"/>
    </row>
    <row r="10999" spans="4:8" x14ac:dyDescent="0.25">
      <c r="D10999" s="28"/>
      <c r="F10999" s="28"/>
      <c r="H10999" s="28"/>
    </row>
    <row r="11000" spans="4:8" x14ac:dyDescent="0.25">
      <c r="D11000" s="28"/>
      <c r="F11000" s="28"/>
      <c r="H11000" s="28"/>
    </row>
    <row r="11001" spans="4:8" x14ac:dyDescent="0.25">
      <c r="D11001" s="28"/>
      <c r="F11001" s="28"/>
      <c r="H11001" s="28"/>
    </row>
    <row r="11002" spans="4:8" x14ac:dyDescent="0.25">
      <c r="D11002" s="28"/>
      <c r="F11002" s="28"/>
      <c r="H11002" s="28"/>
    </row>
    <row r="11003" spans="4:8" x14ac:dyDescent="0.25">
      <c r="D11003" s="28"/>
      <c r="F11003" s="28"/>
      <c r="H11003" s="28"/>
    </row>
    <row r="11004" spans="4:8" x14ac:dyDescent="0.25">
      <c r="D11004" s="28"/>
      <c r="F11004" s="28"/>
      <c r="H11004" s="28"/>
    </row>
    <row r="11005" spans="4:8" x14ac:dyDescent="0.25">
      <c r="D11005" s="28"/>
      <c r="F11005" s="28"/>
      <c r="H11005" s="28"/>
    </row>
    <row r="11006" spans="4:8" x14ac:dyDescent="0.25">
      <c r="D11006" s="28"/>
      <c r="F11006" s="28"/>
      <c r="H11006" s="28"/>
    </row>
    <row r="11007" spans="4:8" x14ac:dyDescent="0.25">
      <c r="D11007" s="28"/>
      <c r="F11007" s="28"/>
      <c r="H11007" s="28"/>
    </row>
    <row r="11008" spans="4:8" x14ac:dyDescent="0.25">
      <c r="D11008" s="28"/>
      <c r="F11008" s="28"/>
      <c r="H11008" s="28"/>
    </row>
    <row r="11009" spans="4:8" x14ac:dyDescent="0.25">
      <c r="D11009" s="28"/>
      <c r="F11009" s="28"/>
      <c r="H11009" s="28"/>
    </row>
    <row r="11010" spans="4:8" x14ac:dyDescent="0.25">
      <c r="D11010" s="28"/>
      <c r="F11010" s="28"/>
      <c r="H11010" s="28"/>
    </row>
    <row r="11011" spans="4:8" x14ac:dyDescent="0.25">
      <c r="D11011" s="28"/>
      <c r="F11011" s="28"/>
      <c r="H11011" s="28"/>
    </row>
    <row r="11012" spans="4:8" x14ac:dyDescent="0.25">
      <c r="D11012" s="28"/>
      <c r="F11012" s="28"/>
      <c r="H11012" s="28"/>
    </row>
    <row r="11013" spans="4:8" x14ac:dyDescent="0.25">
      <c r="D11013" s="28"/>
      <c r="F11013" s="28"/>
      <c r="H11013" s="28"/>
    </row>
    <row r="11014" spans="4:8" x14ac:dyDescent="0.25">
      <c r="D11014" s="28"/>
      <c r="F11014" s="28"/>
      <c r="H11014" s="28"/>
    </row>
    <row r="11015" spans="4:8" x14ac:dyDescent="0.25">
      <c r="D11015" s="28"/>
      <c r="F11015" s="28"/>
      <c r="H11015" s="28"/>
    </row>
    <row r="11016" spans="4:8" x14ac:dyDescent="0.25">
      <c r="D11016" s="28"/>
      <c r="F11016" s="28"/>
      <c r="H11016" s="28"/>
    </row>
    <row r="11017" spans="4:8" x14ac:dyDescent="0.25">
      <c r="D11017" s="28"/>
      <c r="F11017" s="28"/>
      <c r="H11017" s="28"/>
    </row>
    <row r="11018" spans="4:8" x14ac:dyDescent="0.25">
      <c r="D11018" s="28"/>
      <c r="F11018" s="28"/>
      <c r="H11018" s="28"/>
    </row>
    <row r="11019" spans="4:8" x14ac:dyDescent="0.25">
      <c r="D11019" s="28"/>
      <c r="F11019" s="28"/>
      <c r="H11019" s="28"/>
    </row>
    <row r="11020" spans="4:8" x14ac:dyDescent="0.25">
      <c r="D11020" s="28"/>
      <c r="F11020" s="28"/>
      <c r="H11020" s="28"/>
    </row>
    <row r="11021" spans="4:8" x14ac:dyDescent="0.25">
      <c r="D11021" s="28"/>
      <c r="F11021" s="28"/>
      <c r="H11021" s="28"/>
    </row>
    <row r="11022" spans="4:8" x14ac:dyDescent="0.25">
      <c r="D11022" s="28"/>
      <c r="F11022" s="28"/>
      <c r="H11022" s="28"/>
    </row>
    <row r="11023" spans="4:8" x14ac:dyDescent="0.25">
      <c r="D11023" s="28"/>
      <c r="F11023" s="28"/>
      <c r="H11023" s="28"/>
    </row>
    <row r="11024" spans="4:8" x14ac:dyDescent="0.25">
      <c r="D11024" s="28"/>
      <c r="F11024" s="28"/>
      <c r="H11024" s="28"/>
    </row>
    <row r="11025" spans="4:8" x14ac:dyDescent="0.25">
      <c r="D11025" s="28"/>
      <c r="F11025" s="28"/>
      <c r="H11025" s="28"/>
    </row>
    <row r="11026" spans="4:8" x14ac:dyDescent="0.25">
      <c r="D11026" s="28"/>
      <c r="F11026" s="28"/>
      <c r="H11026" s="28"/>
    </row>
    <row r="11027" spans="4:8" x14ac:dyDescent="0.25">
      <c r="D11027" s="28"/>
      <c r="F11027" s="28"/>
      <c r="H11027" s="28"/>
    </row>
    <row r="11028" spans="4:8" x14ac:dyDescent="0.25">
      <c r="D11028" s="28"/>
      <c r="F11028" s="28"/>
      <c r="H11028" s="28"/>
    </row>
    <row r="11029" spans="4:8" x14ac:dyDescent="0.25">
      <c r="D11029" s="28"/>
      <c r="F11029" s="28"/>
      <c r="H11029" s="28"/>
    </row>
    <row r="11030" spans="4:8" x14ac:dyDescent="0.25">
      <c r="D11030" s="28"/>
      <c r="F11030" s="28"/>
      <c r="H11030" s="28"/>
    </row>
    <row r="11031" spans="4:8" x14ac:dyDescent="0.25">
      <c r="D11031" s="28"/>
      <c r="F11031" s="28"/>
      <c r="H11031" s="28"/>
    </row>
    <row r="11032" spans="4:8" x14ac:dyDescent="0.25">
      <c r="D11032" s="28"/>
      <c r="F11032" s="28"/>
      <c r="H11032" s="28"/>
    </row>
    <row r="11033" spans="4:8" x14ac:dyDescent="0.25">
      <c r="D11033" s="28"/>
      <c r="F11033" s="28"/>
      <c r="H11033" s="28"/>
    </row>
    <row r="11034" spans="4:8" x14ac:dyDescent="0.25">
      <c r="D11034" s="28"/>
      <c r="F11034" s="28"/>
      <c r="H11034" s="28"/>
    </row>
    <row r="11035" spans="4:8" x14ac:dyDescent="0.25">
      <c r="D11035" s="28"/>
      <c r="F11035" s="28"/>
      <c r="H11035" s="28"/>
    </row>
    <row r="11036" spans="4:8" x14ac:dyDescent="0.25">
      <c r="D11036" s="28"/>
      <c r="F11036" s="28"/>
      <c r="H11036" s="28"/>
    </row>
    <row r="11037" spans="4:8" x14ac:dyDescent="0.25">
      <c r="D11037" s="28"/>
      <c r="F11037" s="28"/>
      <c r="H11037" s="28"/>
    </row>
    <row r="11038" spans="4:8" x14ac:dyDescent="0.25">
      <c r="D11038" s="28"/>
      <c r="F11038" s="28"/>
      <c r="H11038" s="28"/>
    </row>
    <row r="11039" spans="4:8" x14ac:dyDescent="0.25">
      <c r="D11039" s="28"/>
      <c r="F11039" s="28"/>
      <c r="H11039" s="28"/>
    </row>
    <row r="11040" spans="4:8" x14ac:dyDescent="0.25">
      <c r="D11040" s="28"/>
      <c r="F11040" s="28"/>
      <c r="H11040" s="28"/>
    </row>
    <row r="11041" spans="4:8" x14ac:dyDescent="0.25">
      <c r="D11041" s="28"/>
      <c r="F11041" s="28"/>
      <c r="H11041" s="28"/>
    </row>
    <row r="11042" spans="4:8" x14ac:dyDescent="0.25">
      <c r="D11042" s="28"/>
      <c r="F11042" s="28"/>
      <c r="H11042" s="28"/>
    </row>
    <row r="11043" spans="4:8" x14ac:dyDescent="0.25">
      <c r="D11043" s="28"/>
      <c r="F11043" s="28"/>
      <c r="H11043" s="28"/>
    </row>
    <row r="11044" spans="4:8" x14ac:dyDescent="0.25">
      <c r="D11044" s="28"/>
      <c r="F11044" s="28"/>
      <c r="H11044" s="28"/>
    </row>
    <row r="11045" spans="4:8" x14ac:dyDescent="0.25">
      <c r="D11045" s="28"/>
      <c r="F11045" s="28"/>
      <c r="H11045" s="28"/>
    </row>
    <row r="11046" spans="4:8" x14ac:dyDescent="0.25">
      <c r="D11046" s="28"/>
      <c r="F11046" s="28"/>
      <c r="H11046" s="28"/>
    </row>
    <row r="11047" spans="4:8" x14ac:dyDescent="0.25">
      <c r="D11047" s="28"/>
      <c r="F11047" s="28"/>
      <c r="H11047" s="28"/>
    </row>
    <row r="11048" spans="4:8" x14ac:dyDescent="0.25">
      <c r="D11048" s="28"/>
      <c r="F11048" s="28"/>
      <c r="H11048" s="28"/>
    </row>
    <row r="11049" spans="4:8" x14ac:dyDescent="0.25">
      <c r="D11049" s="28"/>
      <c r="F11049" s="28"/>
      <c r="H11049" s="28"/>
    </row>
    <row r="11050" spans="4:8" x14ac:dyDescent="0.25">
      <c r="D11050" s="28"/>
      <c r="F11050" s="28"/>
      <c r="H11050" s="28"/>
    </row>
    <row r="11051" spans="4:8" x14ac:dyDescent="0.25">
      <c r="D11051" s="28"/>
      <c r="F11051" s="28"/>
      <c r="H11051" s="28"/>
    </row>
    <row r="11052" spans="4:8" x14ac:dyDescent="0.25">
      <c r="D11052" s="28"/>
      <c r="F11052" s="28"/>
      <c r="H11052" s="28"/>
    </row>
    <row r="11053" spans="4:8" x14ac:dyDescent="0.25">
      <c r="D11053" s="28"/>
      <c r="F11053" s="28"/>
      <c r="H11053" s="28"/>
    </row>
    <row r="11054" spans="4:8" x14ac:dyDescent="0.25">
      <c r="D11054" s="28"/>
      <c r="F11054" s="28"/>
      <c r="H11054" s="28"/>
    </row>
    <row r="11055" spans="4:8" x14ac:dyDescent="0.25">
      <c r="D11055" s="28"/>
      <c r="F11055" s="28"/>
      <c r="H11055" s="28"/>
    </row>
    <row r="11056" spans="4:8" x14ac:dyDescent="0.25">
      <c r="D11056" s="28"/>
      <c r="F11056" s="28"/>
      <c r="H11056" s="28"/>
    </row>
    <row r="11057" spans="4:8" x14ac:dyDescent="0.25">
      <c r="D11057" s="28"/>
      <c r="F11057" s="28"/>
      <c r="H11057" s="28"/>
    </row>
    <row r="11058" spans="4:8" x14ac:dyDescent="0.25">
      <c r="D11058" s="28"/>
      <c r="F11058" s="28"/>
      <c r="H11058" s="28"/>
    </row>
    <row r="11059" spans="4:8" x14ac:dyDescent="0.25">
      <c r="D11059" s="28"/>
      <c r="F11059" s="28"/>
      <c r="H11059" s="28"/>
    </row>
    <row r="11060" spans="4:8" x14ac:dyDescent="0.25">
      <c r="D11060" s="28"/>
      <c r="F11060" s="28"/>
      <c r="H11060" s="28"/>
    </row>
    <row r="11061" spans="4:8" x14ac:dyDescent="0.25">
      <c r="D11061" s="28"/>
      <c r="F11061" s="28"/>
      <c r="H11061" s="28"/>
    </row>
    <row r="11062" spans="4:8" x14ac:dyDescent="0.25">
      <c r="D11062" s="28"/>
      <c r="F11062" s="28"/>
      <c r="H11062" s="28"/>
    </row>
    <row r="11063" spans="4:8" x14ac:dyDescent="0.25">
      <c r="D11063" s="28"/>
      <c r="F11063" s="28"/>
      <c r="H11063" s="28"/>
    </row>
    <row r="11064" spans="4:8" x14ac:dyDescent="0.25">
      <c r="D11064" s="28"/>
      <c r="F11064" s="28"/>
      <c r="H11064" s="28"/>
    </row>
    <row r="11065" spans="4:8" x14ac:dyDescent="0.25">
      <c r="D11065" s="28"/>
      <c r="F11065" s="28"/>
      <c r="H11065" s="28"/>
    </row>
    <row r="11066" spans="4:8" x14ac:dyDescent="0.25">
      <c r="D11066" s="28"/>
      <c r="F11066" s="28"/>
      <c r="H11066" s="28"/>
    </row>
    <row r="11067" spans="4:8" x14ac:dyDescent="0.25">
      <c r="D11067" s="28"/>
      <c r="F11067" s="28"/>
      <c r="H11067" s="28"/>
    </row>
    <row r="11068" spans="4:8" x14ac:dyDescent="0.25">
      <c r="D11068" s="28"/>
      <c r="F11068" s="28"/>
      <c r="H11068" s="28"/>
    </row>
    <row r="11069" spans="4:8" x14ac:dyDescent="0.25">
      <c r="D11069" s="28"/>
      <c r="F11069" s="28"/>
      <c r="H11069" s="28"/>
    </row>
    <row r="11070" spans="4:8" x14ac:dyDescent="0.25">
      <c r="D11070" s="28"/>
      <c r="F11070" s="28"/>
      <c r="H11070" s="28"/>
    </row>
    <row r="11071" spans="4:8" x14ac:dyDescent="0.25">
      <c r="D11071" s="28"/>
      <c r="F11071" s="28"/>
      <c r="H11071" s="28"/>
    </row>
    <row r="11072" spans="4:8" x14ac:dyDescent="0.25">
      <c r="D11072" s="28"/>
      <c r="F11072" s="28"/>
      <c r="H11072" s="28"/>
    </row>
    <row r="11073" spans="4:8" x14ac:dyDescent="0.25">
      <c r="D11073" s="28"/>
      <c r="F11073" s="28"/>
      <c r="H11073" s="28"/>
    </row>
    <row r="11074" spans="4:8" x14ac:dyDescent="0.25">
      <c r="D11074" s="28"/>
      <c r="F11074" s="28"/>
      <c r="H11074" s="28"/>
    </row>
    <row r="11075" spans="4:8" x14ac:dyDescent="0.25">
      <c r="D11075" s="28"/>
      <c r="F11075" s="28"/>
      <c r="H11075" s="28"/>
    </row>
    <row r="11076" spans="4:8" x14ac:dyDescent="0.25">
      <c r="D11076" s="28"/>
      <c r="F11076" s="28"/>
      <c r="H11076" s="28"/>
    </row>
    <row r="11077" spans="4:8" x14ac:dyDescent="0.25">
      <c r="D11077" s="28"/>
      <c r="F11077" s="28"/>
      <c r="H11077" s="28"/>
    </row>
    <row r="11078" spans="4:8" x14ac:dyDescent="0.25">
      <c r="D11078" s="28"/>
      <c r="F11078" s="28"/>
      <c r="H11078" s="28"/>
    </row>
    <row r="11079" spans="4:8" x14ac:dyDescent="0.25">
      <c r="D11079" s="28"/>
      <c r="F11079" s="28"/>
      <c r="H11079" s="28"/>
    </row>
    <row r="11080" spans="4:8" x14ac:dyDescent="0.25">
      <c r="D11080" s="28"/>
      <c r="F11080" s="28"/>
      <c r="H11080" s="28"/>
    </row>
    <row r="11081" spans="4:8" x14ac:dyDescent="0.25">
      <c r="D11081" s="28"/>
      <c r="F11081" s="28"/>
      <c r="H11081" s="28"/>
    </row>
    <row r="11082" spans="4:8" x14ac:dyDescent="0.25">
      <c r="D11082" s="28"/>
      <c r="F11082" s="28"/>
      <c r="H11082" s="28"/>
    </row>
    <row r="11083" spans="4:8" x14ac:dyDescent="0.25">
      <c r="D11083" s="28"/>
      <c r="F11083" s="28"/>
      <c r="H11083" s="28"/>
    </row>
    <row r="11084" spans="4:8" x14ac:dyDescent="0.25">
      <c r="D11084" s="28"/>
      <c r="F11084" s="28"/>
      <c r="H11084" s="28"/>
    </row>
    <row r="11085" spans="4:8" x14ac:dyDescent="0.25">
      <c r="D11085" s="28"/>
      <c r="F11085" s="28"/>
      <c r="H11085" s="28"/>
    </row>
    <row r="11086" spans="4:8" x14ac:dyDescent="0.25">
      <c r="D11086" s="28"/>
      <c r="F11086" s="28"/>
      <c r="H11086" s="28"/>
    </row>
    <row r="11087" spans="4:8" x14ac:dyDescent="0.25">
      <c r="D11087" s="28"/>
      <c r="F11087" s="28"/>
      <c r="H11087" s="28"/>
    </row>
    <row r="11088" spans="4:8" x14ac:dyDescent="0.25">
      <c r="D11088" s="28"/>
      <c r="F11088" s="28"/>
      <c r="H11088" s="28"/>
    </row>
    <row r="11089" spans="4:8" x14ac:dyDescent="0.25">
      <c r="D11089" s="28"/>
      <c r="F11089" s="28"/>
      <c r="H11089" s="28"/>
    </row>
    <row r="11090" spans="4:8" x14ac:dyDescent="0.25">
      <c r="D11090" s="28"/>
      <c r="F11090" s="28"/>
      <c r="H11090" s="28"/>
    </row>
    <row r="11091" spans="4:8" x14ac:dyDescent="0.25">
      <c r="D11091" s="28"/>
      <c r="F11091" s="28"/>
      <c r="H11091" s="28"/>
    </row>
    <row r="11092" spans="4:8" x14ac:dyDescent="0.25">
      <c r="D11092" s="28"/>
      <c r="F11092" s="28"/>
      <c r="H11092" s="28"/>
    </row>
    <row r="11093" spans="4:8" x14ac:dyDescent="0.25">
      <c r="D11093" s="28"/>
      <c r="F11093" s="28"/>
      <c r="H11093" s="28"/>
    </row>
    <row r="11094" spans="4:8" x14ac:dyDescent="0.25">
      <c r="D11094" s="28"/>
      <c r="F11094" s="28"/>
      <c r="H11094" s="28"/>
    </row>
    <row r="11095" spans="4:8" x14ac:dyDescent="0.25">
      <c r="D11095" s="28"/>
      <c r="F11095" s="28"/>
      <c r="H11095" s="28"/>
    </row>
    <row r="11096" spans="4:8" x14ac:dyDescent="0.25">
      <c r="D11096" s="28"/>
      <c r="F11096" s="28"/>
      <c r="H11096" s="28"/>
    </row>
    <row r="11097" spans="4:8" x14ac:dyDescent="0.25">
      <c r="D11097" s="28"/>
      <c r="F11097" s="28"/>
      <c r="H11097" s="28"/>
    </row>
    <row r="11098" spans="4:8" x14ac:dyDescent="0.25">
      <c r="D11098" s="28"/>
      <c r="F11098" s="28"/>
      <c r="H11098" s="28"/>
    </row>
    <row r="11099" spans="4:8" x14ac:dyDescent="0.25">
      <c r="D11099" s="28"/>
      <c r="F11099" s="28"/>
      <c r="H11099" s="28"/>
    </row>
    <row r="11100" spans="4:8" x14ac:dyDescent="0.25">
      <c r="D11100" s="28"/>
      <c r="F11100" s="28"/>
      <c r="H11100" s="28"/>
    </row>
    <row r="11101" spans="4:8" x14ac:dyDescent="0.25">
      <c r="D11101" s="28"/>
      <c r="F11101" s="28"/>
      <c r="H11101" s="28"/>
    </row>
    <row r="11102" spans="4:8" x14ac:dyDescent="0.25">
      <c r="D11102" s="28"/>
      <c r="F11102" s="28"/>
      <c r="H11102" s="28"/>
    </row>
    <row r="11103" spans="4:8" x14ac:dyDescent="0.25">
      <c r="D11103" s="28"/>
      <c r="F11103" s="28"/>
      <c r="H11103" s="28"/>
    </row>
    <row r="11104" spans="4:8" x14ac:dyDescent="0.25">
      <c r="D11104" s="28"/>
      <c r="F11104" s="28"/>
      <c r="H11104" s="28"/>
    </row>
    <row r="11105" spans="4:8" x14ac:dyDescent="0.25">
      <c r="D11105" s="28"/>
      <c r="F11105" s="28"/>
      <c r="H11105" s="28"/>
    </row>
    <row r="11106" spans="4:8" x14ac:dyDescent="0.25">
      <c r="D11106" s="28"/>
      <c r="F11106" s="28"/>
      <c r="H11106" s="28"/>
    </row>
    <row r="11107" spans="4:8" x14ac:dyDescent="0.25">
      <c r="D11107" s="28"/>
      <c r="F11107" s="28"/>
      <c r="H11107" s="28"/>
    </row>
    <row r="11108" spans="4:8" x14ac:dyDescent="0.25">
      <c r="D11108" s="28"/>
      <c r="F11108" s="28"/>
      <c r="H11108" s="28"/>
    </row>
    <row r="11109" spans="4:8" x14ac:dyDescent="0.25">
      <c r="D11109" s="28"/>
      <c r="F11109" s="28"/>
      <c r="H11109" s="28"/>
    </row>
    <row r="11110" spans="4:8" x14ac:dyDescent="0.25">
      <c r="D11110" s="28"/>
      <c r="F11110" s="28"/>
      <c r="H11110" s="28"/>
    </row>
    <row r="11111" spans="4:8" x14ac:dyDescent="0.25">
      <c r="D11111" s="28"/>
      <c r="F11111" s="28"/>
      <c r="H11111" s="28"/>
    </row>
    <row r="11112" spans="4:8" x14ac:dyDescent="0.25">
      <c r="D11112" s="28"/>
      <c r="F11112" s="28"/>
      <c r="H11112" s="28"/>
    </row>
    <row r="11113" spans="4:8" x14ac:dyDescent="0.25">
      <c r="D11113" s="28"/>
      <c r="F11113" s="28"/>
      <c r="H11113" s="28"/>
    </row>
    <row r="11114" spans="4:8" x14ac:dyDescent="0.25">
      <c r="D11114" s="28"/>
      <c r="F11114" s="28"/>
      <c r="H11114" s="28"/>
    </row>
    <row r="11115" spans="4:8" x14ac:dyDescent="0.25">
      <c r="D11115" s="28"/>
      <c r="F11115" s="28"/>
      <c r="H11115" s="28"/>
    </row>
    <row r="11116" spans="4:8" x14ac:dyDescent="0.25">
      <c r="D11116" s="28"/>
      <c r="F11116" s="28"/>
      <c r="H11116" s="28"/>
    </row>
    <row r="11117" spans="4:8" x14ac:dyDescent="0.25">
      <c r="D11117" s="28"/>
      <c r="F11117" s="28"/>
      <c r="H11117" s="28"/>
    </row>
    <row r="11118" spans="4:8" x14ac:dyDescent="0.25">
      <c r="D11118" s="28"/>
      <c r="F11118" s="28"/>
      <c r="H11118" s="28"/>
    </row>
    <row r="11119" spans="4:8" x14ac:dyDescent="0.25">
      <c r="D11119" s="28"/>
      <c r="F11119" s="28"/>
      <c r="H11119" s="28"/>
    </row>
    <row r="11120" spans="4:8" x14ac:dyDescent="0.25">
      <c r="D11120" s="28"/>
      <c r="F11120" s="28"/>
      <c r="H11120" s="28"/>
    </row>
    <row r="11121" spans="4:8" x14ac:dyDescent="0.25">
      <c r="D11121" s="28"/>
      <c r="F11121" s="28"/>
      <c r="H11121" s="28"/>
    </row>
    <row r="11122" spans="4:8" x14ac:dyDescent="0.25">
      <c r="D11122" s="28"/>
      <c r="F11122" s="28"/>
      <c r="H11122" s="28"/>
    </row>
    <row r="11123" spans="4:8" x14ac:dyDescent="0.25">
      <c r="D11123" s="28"/>
      <c r="F11123" s="28"/>
      <c r="H11123" s="28"/>
    </row>
    <row r="11124" spans="4:8" x14ac:dyDescent="0.25">
      <c r="D11124" s="28"/>
      <c r="F11124" s="28"/>
      <c r="H11124" s="28"/>
    </row>
    <row r="11125" spans="4:8" x14ac:dyDescent="0.25">
      <c r="D11125" s="28"/>
      <c r="F11125" s="28"/>
      <c r="H11125" s="28"/>
    </row>
    <row r="11126" spans="4:8" x14ac:dyDescent="0.25">
      <c r="D11126" s="28"/>
      <c r="F11126" s="28"/>
      <c r="H11126" s="28"/>
    </row>
    <row r="11127" spans="4:8" x14ac:dyDescent="0.25">
      <c r="D11127" s="28"/>
      <c r="F11127" s="28"/>
      <c r="H11127" s="28"/>
    </row>
    <row r="11128" spans="4:8" x14ac:dyDescent="0.25">
      <c r="D11128" s="28"/>
      <c r="F11128" s="28"/>
      <c r="H11128" s="28"/>
    </row>
    <row r="11129" spans="4:8" x14ac:dyDescent="0.25">
      <c r="D11129" s="28"/>
      <c r="F11129" s="28"/>
      <c r="H11129" s="28"/>
    </row>
    <row r="11130" spans="4:8" x14ac:dyDescent="0.25">
      <c r="D11130" s="28"/>
      <c r="F11130" s="28"/>
      <c r="H11130" s="28"/>
    </row>
    <row r="11131" spans="4:8" x14ac:dyDescent="0.25">
      <c r="D11131" s="28"/>
      <c r="F11131" s="28"/>
      <c r="H11131" s="28"/>
    </row>
    <row r="11132" spans="4:8" x14ac:dyDescent="0.25">
      <c r="D11132" s="28"/>
      <c r="F11132" s="28"/>
      <c r="H11132" s="28"/>
    </row>
    <row r="11133" spans="4:8" x14ac:dyDescent="0.25">
      <c r="D11133" s="28"/>
      <c r="F11133" s="28"/>
      <c r="H11133" s="28"/>
    </row>
    <row r="11134" spans="4:8" x14ac:dyDescent="0.25">
      <c r="D11134" s="28"/>
      <c r="F11134" s="28"/>
      <c r="H11134" s="28"/>
    </row>
    <row r="11135" spans="4:8" x14ac:dyDescent="0.25">
      <c r="D11135" s="28"/>
      <c r="F11135" s="28"/>
      <c r="H11135" s="28"/>
    </row>
    <row r="11136" spans="4:8" x14ac:dyDescent="0.25">
      <c r="D11136" s="28"/>
      <c r="F11136" s="28"/>
      <c r="H11136" s="28"/>
    </row>
    <row r="11137" spans="4:8" x14ac:dyDescent="0.25">
      <c r="D11137" s="28"/>
      <c r="F11137" s="28"/>
      <c r="H11137" s="28"/>
    </row>
    <row r="11138" spans="4:8" x14ac:dyDescent="0.25">
      <c r="D11138" s="28"/>
      <c r="F11138" s="28"/>
      <c r="H11138" s="28"/>
    </row>
    <row r="11139" spans="4:8" x14ac:dyDescent="0.25">
      <c r="D11139" s="28"/>
      <c r="F11139" s="28"/>
      <c r="H11139" s="28"/>
    </row>
    <row r="11140" spans="4:8" x14ac:dyDescent="0.25">
      <c r="D11140" s="28"/>
      <c r="F11140" s="28"/>
      <c r="H11140" s="28"/>
    </row>
    <row r="11141" spans="4:8" x14ac:dyDescent="0.25">
      <c r="D11141" s="28"/>
      <c r="F11141" s="28"/>
      <c r="H11141" s="28"/>
    </row>
    <row r="11142" spans="4:8" x14ac:dyDescent="0.25">
      <c r="D11142" s="28"/>
      <c r="F11142" s="28"/>
      <c r="H11142" s="28"/>
    </row>
    <row r="11143" spans="4:8" x14ac:dyDescent="0.25">
      <c r="D11143" s="28"/>
      <c r="F11143" s="28"/>
      <c r="H11143" s="28"/>
    </row>
    <row r="11144" spans="4:8" x14ac:dyDescent="0.25">
      <c r="D11144" s="28"/>
      <c r="F11144" s="28"/>
      <c r="H11144" s="28"/>
    </row>
    <row r="11145" spans="4:8" x14ac:dyDescent="0.25">
      <c r="D11145" s="28"/>
      <c r="F11145" s="28"/>
      <c r="H11145" s="28"/>
    </row>
    <row r="11146" spans="4:8" x14ac:dyDescent="0.25">
      <c r="D11146" s="28"/>
      <c r="F11146" s="28"/>
      <c r="H11146" s="28"/>
    </row>
    <row r="11147" spans="4:8" x14ac:dyDescent="0.25">
      <c r="D11147" s="28"/>
      <c r="F11147" s="28"/>
      <c r="H11147" s="28"/>
    </row>
    <row r="11148" spans="4:8" x14ac:dyDescent="0.25">
      <c r="D11148" s="28"/>
      <c r="F11148" s="28"/>
      <c r="H11148" s="28"/>
    </row>
    <row r="11149" spans="4:8" x14ac:dyDescent="0.25">
      <c r="D11149" s="28"/>
      <c r="F11149" s="28"/>
      <c r="H11149" s="28"/>
    </row>
    <row r="11150" spans="4:8" x14ac:dyDescent="0.25">
      <c r="D11150" s="28"/>
      <c r="F11150" s="28"/>
      <c r="H11150" s="28"/>
    </row>
    <row r="11151" spans="4:8" x14ac:dyDescent="0.25">
      <c r="D11151" s="28"/>
      <c r="F11151" s="28"/>
      <c r="H11151" s="28"/>
    </row>
    <row r="11152" spans="4:8" x14ac:dyDescent="0.25">
      <c r="D11152" s="28"/>
      <c r="F11152" s="28"/>
      <c r="H11152" s="28"/>
    </row>
    <row r="11153" spans="4:8" x14ac:dyDescent="0.25">
      <c r="D11153" s="28"/>
      <c r="F11153" s="28"/>
      <c r="H11153" s="28"/>
    </row>
    <row r="11154" spans="4:8" x14ac:dyDescent="0.25">
      <c r="D11154" s="28"/>
      <c r="F11154" s="28"/>
      <c r="H11154" s="28"/>
    </row>
    <row r="11155" spans="4:8" x14ac:dyDescent="0.25">
      <c r="D11155" s="28"/>
      <c r="F11155" s="28"/>
      <c r="H11155" s="28"/>
    </row>
    <row r="11156" spans="4:8" x14ac:dyDescent="0.25">
      <c r="D11156" s="28"/>
      <c r="F11156" s="28"/>
      <c r="H11156" s="28"/>
    </row>
    <row r="11157" spans="4:8" x14ac:dyDescent="0.25">
      <c r="D11157" s="28"/>
      <c r="F11157" s="28"/>
      <c r="H11157" s="28"/>
    </row>
    <row r="11158" spans="4:8" x14ac:dyDescent="0.25">
      <c r="D11158" s="28"/>
      <c r="F11158" s="28"/>
      <c r="H11158" s="28"/>
    </row>
    <row r="11159" spans="4:8" x14ac:dyDescent="0.25">
      <c r="D11159" s="28"/>
      <c r="F11159" s="28"/>
      <c r="H11159" s="28"/>
    </row>
    <row r="11160" spans="4:8" x14ac:dyDescent="0.25">
      <c r="D11160" s="28"/>
      <c r="F11160" s="28"/>
      <c r="H11160" s="28"/>
    </row>
    <row r="11161" spans="4:8" x14ac:dyDescent="0.25">
      <c r="D11161" s="28"/>
      <c r="F11161" s="28"/>
      <c r="H11161" s="28"/>
    </row>
    <row r="11162" spans="4:8" x14ac:dyDescent="0.25">
      <c r="D11162" s="28"/>
      <c r="F11162" s="28"/>
      <c r="H11162" s="28"/>
    </row>
    <row r="11163" spans="4:8" x14ac:dyDescent="0.25">
      <c r="D11163" s="28"/>
      <c r="F11163" s="28"/>
      <c r="H11163" s="28"/>
    </row>
    <row r="11164" spans="4:8" x14ac:dyDescent="0.25">
      <c r="D11164" s="28"/>
      <c r="F11164" s="28"/>
      <c r="H11164" s="28"/>
    </row>
    <row r="11165" spans="4:8" x14ac:dyDescent="0.25">
      <c r="D11165" s="28"/>
      <c r="F11165" s="28"/>
      <c r="H11165" s="28"/>
    </row>
    <row r="11166" spans="4:8" x14ac:dyDescent="0.25">
      <c r="D11166" s="28"/>
      <c r="F11166" s="28"/>
      <c r="H11166" s="28"/>
    </row>
    <row r="11167" spans="4:8" x14ac:dyDescent="0.25">
      <c r="D11167" s="28"/>
      <c r="F11167" s="28"/>
      <c r="H11167" s="28"/>
    </row>
    <row r="11168" spans="4:8" x14ac:dyDescent="0.25">
      <c r="D11168" s="28"/>
      <c r="F11168" s="28"/>
      <c r="H11168" s="28"/>
    </row>
    <row r="11169" spans="4:8" x14ac:dyDescent="0.25">
      <c r="D11169" s="28"/>
      <c r="F11169" s="28"/>
      <c r="H11169" s="28"/>
    </row>
    <row r="11170" spans="4:8" x14ac:dyDescent="0.25">
      <c r="D11170" s="28"/>
      <c r="F11170" s="28"/>
      <c r="H11170" s="28"/>
    </row>
    <row r="11171" spans="4:8" x14ac:dyDescent="0.25">
      <c r="D11171" s="28"/>
      <c r="F11171" s="28"/>
      <c r="H11171" s="28"/>
    </row>
    <row r="11172" spans="4:8" x14ac:dyDescent="0.25">
      <c r="D11172" s="28"/>
      <c r="F11172" s="28"/>
      <c r="H11172" s="28"/>
    </row>
    <row r="11173" spans="4:8" x14ac:dyDescent="0.25">
      <c r="D11173" s="28"/>
      <c r="F11173" s="28"/>
      <c r="H11173" s="28"/>
    </row>
    <row r="11174" spans="4:8" x14ac:dyDescent="0.25">
      <c r="D11174" s="28"/>
      <c r="F11174" s="28"/>
      <c r="H11174" s="28"/>
    </row>
    <row r="11175" spans="4:8" x14ac:dyDescent="0.25">
      <c r="D11175" s="28"/>
      <c r="F11175" s="28"/>
      <c r="H11175" s="28"/>
    </row>
    <row r="11176" spans="4:8" x14ac:dyDescent="0.25">
      <c r="D11176" s="28"/>
      <c r="F11176" s="28"/>
      <c r="H11176" s="28"/>
    </row>
    <row r="11177" spans="4:8" x14ac:dyDescent="0.25">
      <c r="D11177" s="28"/>
      <c r="F11177" s="28"/>
      <c r="H11177" s="28"/>
    </row>
    <row r="11178" spans="4:8" x14ac:dyDescent="0.25">
      <c r="D11178" s="28"/>
      <c r="F11178" s="28"/>
      <c r="H11178" s="28"/>
    </row>
    <row r="11179" spans="4:8" x14ac:dyDescent="0.25">
      <c r="D11179" s="28"/>
      <c r="F11179" s="28"/>
      <c r="H11179" s="28"/>
    </row>
    <row r="11180" spans="4:8" x14ac:dyDescent="0.25">
      <c r="D11180" s="28"/>
      <c r="F11180" s="28"/>
      <c r="H11180" s="28"/>
    </row>
    <row r="11181" spans="4:8" x14ac:dyDescent="0.25">
      <c r="D11181" s="28"/>
      <c r="F11181" s="28"/>
      <c r="H11181" s="28"/>
    </row>
    <row r="11182" spans="4:8" x14ac:dyDescent="0.25">
      <c r="D11182" s="28"/>
      <c r="F11182" s="28"/>
      <c r="H11182" s="28"/>
    </row>
    <row r="11183" spans="4:8" x14ac:dyDescent="0.25">
      <c r="D11183" s="28"/>
      <c r="F11183" s="28"/>
      <c r="H11183" s="28"/>
    </row>
    <row r="11184" spans="4:8" x14ac:dyDescent="0.25">
      <c r="D11184" s="28"/>
      <c r="F11184" s="28"/>
      <c r="H11184" s="28"/>
    </row>
    <row r="11185" spans="4:8" x14ac:dyDescent="0.25">
      <c r="D11185" s="28"/>
      <c r="F11185" s="28"/>
      <c r="H11185" s="28"/>
    </row>
    <row r="11186" spans="4:8" x14ac:dyDescent="0.25">
      <c r="D11186" s="28"/>
      <c r="F11186" s="28"/>
      <c r="H11186" s="28"/>
    </row>
    <row r="11187" spans="4:8" x14ac:dyDescent="0.25">
      <c r="D11187" s="28"/>
      <c r="F11187" s="28"/>
      <c r="H11187" s="28"/>
    </row>
    <row r="11188" spans="4:8" x14ac:dyDescent="0.25">
      <c r="D11188" s="28"/>
      <c r="F11188" s="28"/>
      <c r="H11188" s="28"/>
    </row>
    <row r="11189" spans="4:8" x14ac:dyDescent="0.25">
      <c r="D11189" s="28"/>
      <c r="F11189" s="28"/>
      <c r="H11189" s="28"/>
    </row>
    <row r="11190" spans="4:8" x14ac:dyDescent="0.25">
      <c r="D11190" s="28"/>
      <c r="F11190" s="28"/>
      <c r="H11190" s="28"/>
    </row>
    <row r="11191" spans="4:8" x14ac:dyDescent="0.25">
      <c r="D11191" s="28"/>
      <c r="F11191" s="28"/>
      <c r="H11191" s="28"/>
    </row>
    <row r="11192" spans="4:8" x14ac:dyDescent="0.25">
      <c r="D11192" s="28"/>
      <c r="F11192" s="28"/>
      <c r="H11192" s="28"/>
    </row>
    <row r="11193" spans="4:8" x14ac:dyDescent="0.25">
      <c r="D11193" s="28"/>
      <c r="F11193" s="28"/>
      <c r="H11193" s="28"/>
    </row>
    <row r="11194" spans="4:8" x14ac:dyDescent="0.25">
      <c r="D11194" s="28"/>
      <c r="F11194" s="28"/>
      <c r="H11194" s="28"/>
    </row>
    <row r="11195" spans="4:8" x14ac:dyDescent="0.25">
      <c r="D11195" s="28"/>
      <c r="F11195" s="28"/>
      <c r="H11195" s="28"/>
    </row>
    <row r="11196" spans="4:8" x14ac:dyDescent="0.25">
      <c r="D11196" s="28"/>
      <c r="F11196" s="28"/>
      <c r="H11196" s="28"/>
    </row>
    <row r="11197" spans="4:8" x14ac:dyDescent="0.25">
      <c r="D11197" s="28"/>
      <c r="F11197" s="28"/>
      <c r="H11197" s="28"/>
    </row>
    <row r="11198" spans="4:8" x14ac:dyDescent="0.25">
      <c r="D11198" s="28"/>
      <c r="F11198" s="28"/>
      <c r="H11198" s="28"/>
    </row>
    <row r="11199" spans="4:8" x14ac:dyDescent="0.25">
      <c r="D11199" s="28"/>
      <c r="F11199" s="28"/>
      <c r="H11199" s="28"/>
    </row>
    <row r="11200" spans="4:8" x14ac:dyDescent="0.25">
      <c r="D11200" s="28"/>
      <c r="F11200" s="28"/>
      <c r="H11200" s="28"/>
    </row>
    <row r="11201" spans="4:8" x14ac:dyDescent="0.25">
      <c r="D11201" s="28"/>
      <c r="F11201" s="28"/>
      <c r="H11201" s="28"/>
    </row>
    <row r="11202" spans="4:8" x14ac:dyDescent="0.25">
      <c r="D11202" s="28"/>
      <c r="F11202" s="28"/>
      <c r="H11202" s="28"/>
    </row>
    <row r="11203" spans="4:8" x14ac:dyDescent="0.25">
      <c r="D11203" s="28"/>
      <c r="F11203" s="28"/>
      <c r="H11203" s="28"/>
    </row>
    <row r="11204" spans="4:8" x14ac:dyDescent="0.25">
      <c r="D11204" s="28"/>
      <c r="F11204" s="28"/>
      <c r="H11204" s="28"/>
    </row>
    <row r="11205" spans="4:8" x14ac:dyDescent="0.25">
      <c r="D11205" s="28"/>
      <c r="F11205" s="28"/>
      <c r="H11205" s="28"/>
    </row>
    <row r="11206" spans="4:8" x14ac:dyDescent="0.25">
      <c r="D11206" s="28"/>
      <c r="F11206" s="28"/>
      <c r="H11206" s="28"/>
    </row>
    <row r="11207" spans="4:8" x14ac:dyDescent="0.25">
      <c r="D11207" s="28"/>
      <c r="F11207" s="28"/>
      <c r="H11207" s="28"/>
    </row>
    <row r="11208" spans="4:8" x14ac:dyDescent="0.25">
      <c r="D11208" s="28"/>
      <c r="F11208" s="28"/>
      <c r="H11208" s="28"/>
    </row>
    <row r="11209" spans="4:8" x14ac:dyDescent="0.25">
      <c r="D11209" s="28"/>
      <c r="F11209" s="28"/>
      <c r="H11209" s="28"/>
    </row>
    <row r="11210" spans="4:8" x14ac:dyDescent="0.25">
      <c r="D11210" s="28"/>
      <c r="F11210" s="28"/>
      <c r="H11210" s="28"/>
    </row>
    <row r="11211" spans="4:8" x14ac:dyDescent="0.25">
      <c r="D11211" s="28"/>
      <c r="F11211" s="28"/>
      <c r="H11211" s="28"/>
    </row>
    <row r="11212" spans="4:8" x14ac:dyDescent="0.25">
      <c r="D11212" s="28"/>
      <c r="F11212" s="28"/>
      <c r="H11212" s="28"/>
    </row>
    <row r="11213" spans="4:8" x14ac:dyDescent="0.25">
      <c r="D11213" s="28"/>
      <c r="F11213" s="28"/>
      <c r="H11213" s="28"/>
    </row>
    <row r="11214" spans="4:8" x14ac:dyDescent="0.25">
      <c r="D11214" s="28"/>
      <c r="F11214" s="28"/>
      <c r="H11214" s="28"/>
    </row>
    <row r="11215" spans="4:8" x14ac:dyDescent="0.25">
      <c r="D11215" s="28"/>
      <c r="F11215" s="28"/>
      <c r="H11215" s="28"/>
    </row>
    <row r="11216" spans="4:8" x14ac:dyDescent="0.25">
      <c r="D11216" s="28"/>
      <c r="F11216" s="28"/>
      <c r="H11216" s="28"/>
    </row>
    <row r="11217" spans="4:8" x14ac:dyDescent="0.25">
      <c r="D11217" s="28"/>
      <c r="F11217" s="28"/>
      <c r="H11217" s="28"/>
    </row>
    <row r="11218" spans="4:8" x14ac:dyDescent="0.25">
      <c r="D11218" s="28"/>
      <c r="F11218" s="28"/>
      <c r="H11218" s="28"/>
    </row>
    <row r="11219" spans="4:8" x14ac:dyDescent="0.25">
      <c r="D11219" s="28"/>
      <c r="F11219" s="28"/>
      <c r="H11219" s="28"/>
    </row>
    <row r="11220" spans="4:8" x14ac:dyDescent="0.25">
      <c r="D11220" s="28"/>
      <c r="F11220" s="28"/>
      <c r="H11220" s="28"/>
    </row>
    <row r="11221" spans="4:8" x14ac:dyDescent="0.25">
      <c r="D11221" s="28"/>
      <c r="F11221" s="28"/>
      <c r="H11221" s="28"/>
    </row>
    <row r="11222" spans="4:8" x14ac:dyDescent="0.25">
      <c r="D11222" s="28"/>
      <c r="F11222" s="28"/>
      <c r="H11222" s="28"/>
    </row>
    <row r="11223" spans="4:8" x14ac:dyDescent="0.25">
      <c r="D11223" s="28"/>
      <c r="F11223" s="28"/>
      <c r="H11223" s="28"/>
    </row>
    <row r="11224" spans="4:8" x14ac:dyDescent="0.25">
      <c r="D11224" s="28"/>
      <c r="F11224" s="28"/>
      <c r="H11224" s="28"/>
    </row>
    <row r="11225" spans="4:8" x14ac:dyDescent="0.25">
      <c r="D11225" s="28"/>
      <c r="F11225" s="28"/>
      <c r="H11225" s="28"/>
    </row>
    <row r="11226" spans="4:8" x14ac:dyDescent="0.25">
      <c r="D11226" s="28"/>
      <c r="F11226" s="28"/>
      <c r="H11226" s="28"/>
    </row>
    <row r="11227" spans="4:8" x14ac:dyDescent="0.25">
      <c r="D11227" s="28"/>
      <c r="F11227" s="28"/>
      <c r="H11227" s="28"/>
    </row>
    <row r="11228" spans="4:8" x14ac:dyDescent="0.25">
      <c r="D11228" s="28"/>
      <c r="F11228" s="28"/>
      <c r="H11228" s="28"/>
    </row>
    <row r="11229" spans="4:8" x14ac:dyDescent="0.25">
      <c r="D11229" s="28"/>
      <c r="F11229" s="28"/>
      <c r="H11229" s="28"/>
    </row>
    <row r="11230" spans="4:8" x14ac:dyDescent="0.25">
      <c r="D11230" s="28"/>
      <c r="F11230" s="28"/>
      <c r="H11230" s="28"/>
    </row>
    <row r="11231" spans="4:8" x14ac:dyDescent="0.25">
      <c r="D11231" s="28"/>
      <c r="F11231" s="28"/>
      <c r="H11231" s="28"/>
    </row>
    <row r="11232" spans="4:8" x14ac:dyDescent="0.25">
      <c r="D11232" s="28"/>
      <c r="F11232" s="28"/>
      <c r="H11232" s="28"/>
    </row>
    <row r="11233" spans="4:8" x14ac:dyDescent="0.25">
      <c r="D11233" s="28"/>
      <c r="F11233" s="28"/>
      <c r="H11233" s="28"/>
    </row>
    <row r="11234" spans="4:8" x14ac:dyDescent="0.25">
      <c r="D11234" s="28"/>
      <c r="F11234" s="28"/>
      <c r="H11234" s="28"/>
    </row>
    <row r="11235" spans="4:8" x14ac:dyDescent="0.25">
      <c r="D11235" s="28"/>
      <c r="F11235" s="28"/>
      <c r="H11235" s="28"/>
    </row>
    <row r="11236" spans="4:8" x14ac:dyDescent="0.25">
      <c r="D11236" s="28"/>
      <c r="F11236" s="28"/>
      <c r="H11236" s="28"/>
    </row>
    <row r="11237" spans="4:8" x14ac:dyDescent="0.25">
      <c r="D11237" s="28"/>
      <c r="F11237" s="28"/>
      <c r="H11237" s="28"/>
    </row>
    <row r="11238" spans="4:8" x14ac:dyDescent="0.25">
      <c r="D11238" s="28"/>
      <c r="F11238" s="28"/>
      <c r="H11238" s="28"/>
    </row>
    <row r="11239" spans="4:8" x14ac:dyDescent="0.25">
      <c r="D11239" s="28"/>
      <c r="F11239" s="28"/>
      <c r="H11239" s="28"/>
    </row>
    <row r="11240" spans="4:8" x14ac:dyDescent="0.25">
      <c r="D11240" s="28"/>
      <c r="F11240" s="28"/>
      <c r="H11240" s="28"/>
    </row>
    <row r="11241" spans="4:8" x14ac:dyDescent="0.25">
      <c r="D11241" s="28"/>
      <c r="F11241" s="28"/>
      <c r="H11241" s="28"/>
    </row>
    <row r="11242" spans="4:8" x14ac:dyDescent="0.25">
      <c r="D11242" s="28"/>
      <c r="F11242" s="28"/>
      <c r="H11242" s="28"/>
    </row>
    <row r="11243" spans="4:8" x14ac:dyDescent="0.25">
      <c r="D11243" s="28"/>
      <c r="F11243" s="28"/>
      <c r="H11243" s="28"/>
    </row>
    <row r="11244" spans="4:8" x14ac:dyDescent="0.25">
      <c r="D11244" s="28"/>
      <c r="F11244" s="28"/>
      <c r="H11244" s="28"/>
    </row>
    <row r="11245" spans="4:8" x14ac:dyDescent="0.25">
      <c r="D11245" s="28"/>
      <c r="F11245" s="28"/>
      <c r="H11245" s="28"/>
    </row>
    <row r="11246" spans="4:8" x14ac:dyDescent="0.25">
      <c r="D11246" s="28"/>
      <c r="F11246" s="28"/>
      <c r="H11246" s="28"/>
    </row>
    <row r="11247" spans="4:8" x14ac:dyDescent="0.25">
      <c r="D11247" s="28"/>
      <c r="F11247" s="28"/>
      <c r="H11247" s="28"/>
    </row>
    <row r="11248" spans="4:8" x14ac:dyDescent="0.25">
      <c r="D11248" s="28"/>
      <c r="F11248" s="28"/>
      <c r="H11248" s="28"/>
    </row>
    <row r="11249" spans="4:8" x14ac:dyDescent="0.25">
      <c r="D11249" s="28"/>
      <c r="F11249" s="28"/>
      <c r="H11249" s="28"/>
    </row>
    <row r="11250" spans="4:8" x14ac:dyDescent="0.25">
      <c r="D11250" s="28"/>
      <c r="F11250" s="28"/>
      <c r="H11250" s="28"/>
    </row>
    <row r="11251" spans="4:8" x14ac:dyDescent="0.25">
      <c r="D11251" s="28"/>
      <c r="F11251" s="28"/>
      <c r="H11251" s="28"/>
    </row>
    <row r="11252" spans="4:8" x14ac:dyDescent="0.25">
      <c r="D11252" s="28"/>
      <c r="F11252" s="28"/>
      <c r="H11252" s="28"/>
    </row>
    <row r="11253" spans="4:8" x14ac:dyDescent="0.25">
      <c r="D11253" s="28"/>
      <c r="F11253" s="28"/>
      <c r="H11253" s="28"/>
    </row>
    <row r="11254" spans="4:8" x14ac:dyDescent="0.25">
      <c r="D11254" s="28"/>
      <c r="F11254" s="28"/>
      <c r="H11254" s="28"/>
    </row>
    <row r="11255" spans="4:8" x14ac:dyDescent="0.25">
      <c r="D11255" s="28"/>
      <c r="F11255" s="28"/>
      <c r="H11255" s="28"/>
    </row>
    <row r="11256" spans="4:8" x14ac:dyDescent="0.25">
      <c r="D11256" s="28"/>
      <c r="F11256" s="28"/>
      <c r="H11256" s="28"/>
    </row>
    <row r="11257" spans="4:8" x14ac:dyDescent="0.25">
      <c r="D11257" s="28"/>
      <c r="F11257" s="28"/>
      <c r="H11257" s="28"/>
    </row>
    <row r="11258" spans="4:8" x14ac:dyDescent="0.25">
      <c r="D11258" s="28"/>
      <c r="F11258" s="28"/>
      <c r="H11258" s="28"/>
    </row>
    <row r="11259" spans="4:8" x14ac:dyDescent="0.25">
      <c r="D11259" s="28"/>
      <c r="F11259" s="28"/>
      <c r="H11259" s="28"/>
    </row>
    <row r="11260" spans="4:8" x14ac:dyDescent="0.25">
      <c r="D11260" s="28"/>
      <c r="F11260" s="28"/>
      <c r="H11260" s="28"/>
    </row>
    <row r="11261" spans="4:8" x14ac:dyDescent="0.25">
      <c r="D11261" s="28"/>
      <c r="F11261" s="28"/>
      <c r="H11261" s="28"/>
    </row>
    <row r="11262" spans="4:8" x14ac:dyDescent="0.25">
      <c r="D11262" s="28"/>
      <c r="F11262" s="28"/>
      <c r="H11262" s="28"/>
    </row>
    <row r="11263" spans="4:8" x14ac:dyDescent="0.25">
      <c r="D11263" s="28"/>
      <c r="F11263" s="28"/>
      <c r="H11263" s="28"/>
    </row>
    <row r="11264" spans="4:8" x14ac:dyDescent="0.25">
      <c r="D11264" s="28"/>
      <c r="F11264" s="28"/>
      <c r="H11264" s="28"/>
    </row>
    <row r="11265" spans="4:8" x14ac:dyDescent="0.25">
      <c r="D11265" s="28"/>
      <c r="F11265" s="28"/>
      <c r="H11265" s="28"/>
    </row>
    <row r="11266" spans="4:8" x14ac:dyDescent="0.25">
      <c r="D11266" s="28"/>
      <c r="F11266" s="28"/>
      <c r="H11266" s="28"/>
    </row>
    <row r="11267" spans="4:8" x14ac:dyDescent="0.25">
      <c r="D11267" s="28"/>
      <c r="F11267" s="28"/>
      <c r="H11267" s="28"/>
    </row>
    <row r="11268" spans="4:8" x14ac:dyDescent="0.25">
      <c r="D11268" s="28"/>
      <c r="F11268" s="28"/>
      <c r="H11268" s="28"/>
    </row>
    <row r="11269" spans="4:8" x14ac:dyDescent="0.25">
      <c r="D11269" s="28"/>
      <c r="F11269" s="28"/>
      <c r="H11269" s="28"/>
    </row>
    <row r="11270" spans="4:8" x14ac:dyDescent="0.25">
      <c r="D11270" s="28"/>
      <c r="F11270" s="28"/>
      <c r="H11270" s="28"/>
    </row>
    <row r="11271" spans="4:8" x14ac:dyDescent="0.25">
      <c r="D11271" s="28"/>
      <c r="F11271" s="28"/>
      <c r="H11271" s="28"/>
    </row>
    <row r="11272" spans="4:8" x14ac:dyDescent="0.25">
      <c r="D11272" s="28"/>
      <c r="F11272" s="28"/>
      <c r="H11272" s="28"/>
    </row>
    <row r="11273" spans="4:8" x14ac:dyDescent="0.25">
      <c r="D11273" s="28"/>
      <c r="F11273" s="28"/>
      <c r="H11273" s="28"/>
    </row>
    <row r="11274" spans="4:8" x14ac:dyDescent="0.25">
      <c r="D11274" s="28"/>
      <c r="F11274" s="28"/>
      <c r="H11274" s="28"/>
    </row>
    <row r="11275" spans="4:8" x14ac:dyDescent="0.25">
      <c r="D11275" s="28"/>
      <c r="F11275" s="28"/>
      <c r="H11275" s="28"/>
    </row>
    <row r="11276" spans="4:8" x14ac:dyDescent="0.25">
      <c r="D11276" s="28"/>
      <c r="F11276" s="28"/>
      <c r="H11276" s="28"/>
    </row>
    <row r="11277" spans="4:8" x14ac:dyDescent="0.25">
      <c r="D11277" s="28"/>
      <c r="F11277" s="28"/>
      <c r="H11277" s="28"/>
    </row>
    <row r="11278" spans="4:8" x14ac:dyDescent="0.25">
      <c r="D11278" s="28"/>
      <c r="F11278" s="28"/>
      <c r="H11278" s="28"/>
    </row>
    <row r="11279" spans="4:8" x14ac:dyDescent="0.25">
      <c r="D11279" s="28"/>
      <c r="F11279" s="28"/>
      <c r="H11279" s="28"/>
    </row>
    <row r="11280" spans="4:8" x14ac:dyDescent="0.25">
      <c r="D11280" s="28"/>
      <c r="F11280" s="28"/>
      <c r="H11280" s="28"/>
    </row>
    <row r="11281" spans="4:8" x14ac:dyDescent="0.25">
      <c r="D11281" s="28"/>
      <c r="F11281" s="28"/>
      <c r="H11281" s="28"/>
    </row>
    <row r="11282" spans="4:8" x14ac:dyDescent="0.25">
      <c r="D11282" s="28"/>
      <c r="F11282" s="28"/>
      <c r="H11282" s="28"/>
    </row>
    <row r="11283" spans="4:8" x14ac:dyDescent="0.25">
      <c r="D11283" s="28"/>
      <c r="F11283" s="28"/>
      <c r="H11283" s="28"/>
    </row>
    <row r="11284" spans="4:8" x14ac:dyDescent="0.25">
      <c r="D11284" s="28"/>
      <c r="F11284" s="28"/>
      <c r="H11284" s="28"/>
    </row>
    <row r="11285" spans="4:8" x14ac:dyDescent="0.25">
      <c r="D11285" s="28"/>
      <c r="F11285" s="28"/>
      <c r="H11285" s="28"/>
    </row>
    <row r="11286" spans="4:8" x14ac:dyDescent="0.25">
      <c r="D11286" s="28"/>
      <c r="F11286" s="28"/>
      <c r="H11286" s="28"/>
    </row>
    <row r="11287" spans="4:8" x14ac:dyDescent="0.25">
      <c r="D11287" s="28"/>
      <c r="F11287" s="28"/>
      <c r="H11287" s="28"/>
    </row>
    <row r="11288" spans="4:8" x14ac:dyDescent="0.25">
      <c r="D11288" s="28"/>
      <c r="F11288" s="28"/>
      <c r="H11288" s="28"/>
    </row>
    <row r="11289" spans="4:8" x14ac:dyDescent="0.25">
      <c r="D11289" s="28"/>
      <c r="F11289" s="28"/>
      <c r="H11289" s="28"/>
    </row>
    <row r="11290" spans="4:8" x14ac:dyDescent="0.25">
      <c r="D11290" s="28"/>
      <c r="F11290" s="28"/>
      <c r="H11290" s="28"/>
    </row>
    <row r="11291" spans="4:8" x14ac:dyDescent="0.25">
      <c r="D11291" s="28"/>
      <c r="F11291" s="28"/>
      <c r="H11291" s="28"/>
    </row>
    <row r="11292" spans="4:8" x14ac:dyDescent="0.25">
      <c r="D11292" s="28"/>
      <c r="F11292" s="28"/>
      <c r="H11292" s="28"/>
    </row>
    <row r="11293" spans="4:8" x14ac:dyDescent="0.25">
      <c r="D11293" s="28"/>
      <c r="F11293" s="28"/>
      <c r="H11293" s="28"/>
    </row>
    <row r="11294" spans="4:8" x14ac:dyDescent="0.25">
      <c r="D11294" s="28"/>
      <c r="F11294" s="28"/>
      <c r="H11294" s="28"/>
    </row>
    <row r="11295" spans="4:8" x14ac:dyDescent="0.25">
      <c r="D11295" s="28"/>
      <c r="F11295" s="28"/>
      <c r="H11295" s="28"/>
    </row>
    <row r="11296" spans="4:8" x14ac:dyDescent="0.25">
      <c r="D11296" s="28"/>
      <c r="F11296" s="28"/>
      <c r="H11296" s="28"/>
    </row>
    <row r="11297" spans="4:8" x14ac:dyDescent="0.25">
      <c r="D11297" s="28"/>
      <c r="F11297" s="28"/>
      <c r="H11297" s="28"/>
    </row>
    <row r="11298" spans="4:8" x14ac:dyDescent="0.25">
      <c r="D11298" s="28"/>
      <c r="F11298" s="28"/>
      <c r="H11298" s="28"/>
    </row>
    <row r="11299" spans="4:8" x14ac:dyDescent="0.25">
      <c r="D11299" s="28"/>
      <c r="F11299" s="28"/>
      <c r="H11299" s="28"/>
    </row>
    <row r="11300" spans="4:8" x14ac:dyDescent="0.25">
      <c r="D11300" s="28"/>
      <c r="F11300" s="28"/>
      <c r="H11300" s="28"/>
    </row>
    <row r="11301" spans="4:8" x14ac:dyDescent="0.25">
      <c r="D11301" s="28"/>
      <c r="F11301" s="28"/>
      <c r="H11301" s="28"/>
    </row>
    <row r="11302" spans="4:8" x14ac:dyDescent="0.25">
      <c r="D11302" s="28"/>
      <c r="F11302" s="28"/>
      <c r="H11302" s="28"/>
    </row>
    <row r="11303" spans="4:8" x14ac:dyDescent="0.25">
      <c r="D11303" s="28"/>
      <c r="F11303" s="28"/>
      <c r="H11303" s="28"/>
    </row>
    <row r="11304" spans="4:8" x14ac:dyDescent="0.25">
      <c r="D11304" s="28"/>
      <c r="F11304" s="28"/>
      <c r="H11304" s="28"/>
    </row>
    <row r="11305" spans="4:8" x14ac:dyDescent="0.25">
      <c r="D11305" s="28"/>
      <c r="F11305" s="28"/>
      <c r="H11305" s="28"/>
    </row>
    <row r="11306" spans="4:8" x14ac:dyDescent="0.25">
      <c r="D11306" s="28"/>
      <c r="F11306" s="28"/>
      <c r="H11306" s="28"/>
    </row>
    <row r="11307" spans="4:8" x14ac:dyDescent="0.25">
      <c r="D11307" s="28"/>
      <c r="F11307" s="28"/>
      <c r="H11307" s="28"/>
    </row>
    <row r="11308" spans="4:8" x14ac:dyDescent="0.25">
      <c r="D11308" s="28"/>
      <c r="F11308" s="28"/>
      <c r="H11308" s="28"/>
    </row>
    <row r="11309" spans="4:8" x14ac:dyDescent="0.25">
      <c r="D11309" s="28"/>
      <c r="F11309" s="28"/>
      <c r="H11309" s="28"/>
    </row>
    <row r="11310" spans="4:8" x14ac:dyDescent="0.25">
      <c r="D11310" s="28"/>
      <c r="F11310" s="28"/>
      <c r="H11310" s="28"/>
    </row>
    <row r="11311" spans="4:8" x14ac:dyDescent="0.25">
      <c r="D11311" s="28"/>
      <c r="F11311" s="28"/>
      <c r="H11311" s="28"/>
    </row>
    <row r="11312" spans="4:8" x14ac:dyDescent="0.25">
      <c r="D11312" s="28"/>
      <c r="F11312" s="28"/>
      <c r="H11312" s="28"/>
    </row>
    <row r="11313" spans="4:8" x14ac:dyDescent="0.25">
      <c r="D11313" s="28"/>
      <c r="F11313" s="28"/>
      <c r="H11313" s="28"/>
    </row>
    <row r="11314" spans="4:8" x14ac:dyDescent="0.25">
      <c r="D11314" s="28"/>
      <c r="F11314" s="28"/>
      <c r="H11314" s="28"/>
    </row>
    <row r="11315" spans="4:8" x14ac:dyDescent="0.25">
      <c r="D11315" s="28"/>
      <c r="F11315" s="28"/>
      <c r="H11315" s="28"/>
    </row>
    <row r="11316" spans="4:8" x14ac:dyDescent="0.25">
      <c r="D11316" s="28"/>
      <c r="F11316" s="28"/>
      <c r="H11316" s="28"/>
    </row>
    <row r="11317" spans="4:8" x14ac:dyDescent="0.25">
      <c r="D11317" s="28"/>
      <c r="F11317" s="28"/>
      <c r="H11317" s="28"/>
    </row>
    <row r="11318" spans="4:8" x14ac:dyDescent="0.25">
      <c r="D11318" s="28"/>
      <c r="F11318" s="28"/>
      <c r="H11318" s="28"/>
    </row>
    <row r="11319" spans="4:8" x14ac:dyDescent="0.25">
      <c r="D11319" s="28"/>
      <c r="F11319" s="28"/>
      <c r="H11319" s="28"/>
    </row>
    <row r="11320" spans="4:8" x14ac:dyDescent="0.25">
      <c r="D11320" s="28"/>
      <c r="F11320" s="28"/>
      <c r="H11320" s="28"/>
    </row>
    <row r="11321" spans="4:8" x14ac:dyDescent="0.25">
      <c r="D11321" s="28"/>
      <c r="F11321" s="28"/>
      <c r="H11321" s="28"/>
    </row>
    <row r="11322" spans="4:8" x14ac:dyDescent="0.25">
      <c r="D11322" s="28"/>
      <c r="F11322" s="28"/>
      <c r="H11322" s="28"/>
    </row>
    <row r="11323" spans="4:8" x14ac:dyDescent="0.25">
      <c r="D11323" s="28"/>
      <c r="F11323" s="28"/>
      <c r="H11323" s="28"/>
    </row>
    <row r="11324" spans="4:8" x14ac:dyDescent="0.25">
      <c r="D11324" s="28"/>
      <c r="F11324" s="28"/>
      <c r="H11324" s="28"/>
    </row>
    <row r="11325" spans="4:8" x14ac:dyDescent="0.25">
      <c r="D11325" s="28"/>
      <c r="F11325" s="28"/>
      <c r="H11325" s="28"/>
    </row>
    <row r="11326" spans="4:8" x14ac:dyDescent="0.25">
      <c r="D11326" s="28"/>
      <c r="F11326" s="28"/>
      <c r="H11326" s="28"/>
    </row>
    <row r="11327" spans="4:8" x14ac:dyDescent="0.25">
      <c r="D11327" s="28"/>
      <c r="F11327" s="28"/>
      <c r="H11327" s="28"/>
    </row>
    <row r="11328" spans="4:8" x14ac:dyDescent="0.25">
      <c r="D11328" s="28"/>
      <c r="F11328" s="28"/>
      <c r="H11328" s="28"/>
    </row>
    <row r="11329" spans="4:8" x14ac:dyDescent="0.25">
      <c r="D11329" s="28"/>
      <c r="F11329" s="28"/>
      <c r="H11329" s="28"/>
    </row>
    <row r="11330" spans="4:8" x14ac:dyDescent="0.25">
      <c r="D11330" s="28"/>
      <c r="F11330" s="28"/>
      <c r="H11330" s="28"/>
    </row>
    <row r="11331" spans="4:8" x14ac:dyDescent="0.25">
      <c r="D11331" s="28"/>
      <c r="F11331" s="28"/>
      <c r="H11331" s="28"/>
    </row>
    <row r="11332" spans="4:8" x14ac:dyDescent="0.25">
      <c r="D11332" s="28"/>
      <c r="F11332" s="28"/>
      <c r="H11332" s="28"/>
    </row>
    <row r="11333" spans="4:8" x14ac:dyDescent="0.25">
      <c r="D11333" s="28"/>
      <c r="F11333" s="28"/>
      <c r="H11333" s="28"/>
    </row>
    <row r="11334" spans="4:8" x14ac:dyDescent="0.25">
      <c r="D11334" s="28"/>
      <c r="F11334" s="28"/>
      <c r="H11334" s="28"/>
    </row>
    <row r="11335" spans="4:8" x14ac:dyDescent="0.25">
      <c r="D11335" s="28"/>
      <c r="F11335" s="28"/>
      <c r="H11335" s="28"/>
    </row>
    <row r="11336" spans="4:8" x14ac:dyDescent="0.25">
      <c r="D11336" s="28"/>
      <c r="F11336" s="28"/>
      <c r="H11336" s="28"/>
    </row>
    <row r="11337" spans="4:8" x14ac:dyDescent="0.25">
      <c r="D11337" s="28"/>
      <c r="F11337" s="28"/>
      <c r="H11337" s="28"/>
    </row>
    <row r="11338" spans="4:8" x14ac:dyDescent="0.25">
      <c r="D11338" s="28"/>
      <c r="F11338" s="28"/>
      <c r="H11338" s="28"/>
    </row>
    <row r="11339" spans="4:8" x14ac:dyDescent="0.25">
      <c r="D11339" s="28"/>
      <c r="F11339" s="28"/>
      <c r="H11339" s="28"/>
    </row>
    <row r="11340" spans="4:8" x14ac:dyDescent="0.25">
      <c r="D11340" s="28"/>
      <c r="F11340" s="28"/>
      <c r="H11340" s="28"/>
    </row>
    <row r="11341" spans="4:8" x14ac:dyDescent="0.25">
      <c r="D11341" s="28"/>
      <c r="F11341" s="28"/>
      <c r="H11341" s="28"/>
    </row>
    <row r="11342" spans="4:8" x14ac:dyDescent="0.25">
      <c r="D11342" s="28"/>
      <c r="F11342" s="28"/>
      <c r="H11342" s="28"/>
    </row>
    <row r="11343" spans="4:8" x14ac:dyDescent="0.25">
      <c r="D11343" s="28"/>
      <c r="F11343" s="28"/>
      <c r="H11343" s="28"/>
    </row>
    <row r="11344" spans="4:8" x14ac:dyDescent="0.25">
      <c r="D11344" s="28"/>
      <c r="F11344" s="28"/>
      <c r="H11344" s="28"/>
    </row>
    <row r="11345" spans="4:8" x14ac:dyDescent="0.25">
      <c r="D11345" s="28"/>
      <c r="F11345" s="28"/>
      <c r="H11345" s="28"/>
    </row>
    <row r="11346" spans="4:8" x14ac:dyDescent="0.25">
      <c r="D11346" s="28"/>
      <c r="F11346" s="28"/>
      <c r="H11346" s="28"/>
    </row>
    <row r="11347" spans="4:8" x14ac:dyDescent="0.25">
      <c r="D11347" s="28"/>
      <c r="F11347" s="28"/>
      <c r="H11347" s="28"/>
    </row>
    <row r="11348" spans="4:8" x14ac:dyDescent="0.25">
      <c r="D11348" s="28"/>
      <c r="F11348" s="28"/>
      <c r="H11348" s="28"/>
    </row>
    <row r="11349" spans="4:8" x14ac:dyDescent="0.25">
      <c r="D11349" s="28"/>
      <c r="F11349" s="28"/>
      <c r="H11349" s="28"/>
    </row>
    <row r="11350" spans="4:8" x14ac:dyDescent="0.25">
      <c r="D11350" s="28"/>
      <c r="F11350" s="28"/>
      <c r="H11350" s="28"/>
    </row>
    <row r="11351" spans="4:8" x14ac:dyDescent="0.25">
      <c r="D11351" s="28"/>
      <c r="F11351" s="28"/>
      <c r="H11351" s="28"/>
    </row>
    <row r="11352" spans="4:8" x14ac:dyDescent="0.25">
      <c r="D11352" s="28"/>
      <c r="F11352" s="28"/>
      <c r="H11352" s="28"/>
    </row>
    <row r="11353" spans="4:8" x14ac:dyDescent="0.25">
      <c r="D11353" s="28"/>
      <c r="F11353" s="28"/>
      <c r="H11353" s="28"/>
    </row>
    <row r="11354" spans="4:8" x14ac:dyDescent="0.25">
      <c r="D11354" s="28"/>
      <c r="F11354" s="28"/>
      <c r="H11354" s="28"/>
    </row>
    <row r="11355" spans="4:8" x14ac:dyDescent="0.25">
      <c r="D11355" s="28"/>
      <c r="F11355" s="28"/>
      <c r="H11355" s="28"/>
    </row>
    <row r="11356" spans="4:8" x14ac:dyDescent="0.25">
      <c r="D11356" s="28"/>
      <c r="F11356" s="28"/>
      <c r="H11356" s="28"/>
    </row>
    <row r="11357" spans="4:8" x14ac:dyDescent="0.25">
      <c r="D11357" s="28"/>
      <c r="F11357" s="28"/>
      <c r="H11357" s="28"/>
    </row>
    <row r="11358" spans="4:8" x14ac:dyDescent="0.25">
      <c r="D11358" s="28"/>
      <c r="F11358" s="28"/>
      <c r="H11358" s="28"/>
    </row>
    <row r="11359" spans="4:8" x14ac:dyDescent="0.25">
      <c r="D11359" s="28"/>
      <c r="F11359" s="28"/>
      <c r="H11359" s="28"/>
    </row>
    <row r="11360" spans="4:8" x14ac:dyDescent="0.25">
      <c r="D11360" s="28"/>
      <c r="F11360" s="28"/>
      <c r="H11360" s="28"/>
    </row>
    <row r="11361" spans="4:8" x14ac:dyDescent="0.25">
      <c r="D11361" s="28"/>
      <c r="F11361" s="28"/>
      <c r="H11361" s="28"/>
    </row>
    <row r="11362" spans="4:8" x14ac:dyDescent="0.25">
      <c r="D11362" s="28"/>
      <c r="F11362" s="28"/>
      <c r="H11362" s="28"/>
    </row>
    <row r="11363" spans="4:8" x14ac:dyDescent="0.25">
      <c r="D11363" s="28"/>
      <c r="F11363" s="28"/>
      <c r="H11363" s="28"/>
    </row>
    <row r="11364" spans="4:8" x14ac:dyDescent="0.25">
      <c r="D11364" s="28"/>
      <c r="F11364" s="28"/>
      <c r="H11364" s="28"/>
    </row>
    <row r="11365" spans="4:8" x14ac:dyDescent="0.25">
      <c r="D11365" s="28"/>
      <c r="F11365" s="28"/>
      <c r="H11365" s="28"/>
    </row>
    <row r="11366" spans="4:8" x14ac:dyDescent="0.25">
      <c r="D11366" s="28"/>
      <c r="F11366" s="28"/>
      <c r="H11366" s="28"/>
    </row>
    <row r="11367" spans="4:8" x14ac:dyDescent="0.25">
      <c r="D11367" s="28"/>
      <c r="F11367" s="28"/>
      <c r="H11367" s="28"/>
    </row>
    <row r="11368" spans="4:8" x14ac:dyDescent="0.25">
      <c r="D11368" s="28"/>
      <c r="F11368" s="28"/>
      <c r="H11368" s="28"/>
    </row>
    <row r="11369" spans="4:8" x14ac:dyDescent="0.25">
      <c r="D11369" s="28"/>
      <c r="F11369" s="28"/>
      <c r="H11369" s="28"/>
    </row>
    <row r="11370" spans="4:8" x14ac:dyDescent="0.25">
      <c r="D11370" s="28"/>
      <c r="F11370" s="28"/>
      <c r="H11370" s="28"/>
    </row>
    <row r="11371" spans="4:8" x14ac:dyDescent="0.25">
      <c r="D11371" s="28"/>
      <c r="F11371" s="28"/>
      <c r="H11371" s="28"/>
    </row>
    <row r="11372" spans="4:8" x14ac:dyDescent="0.25">
      <c r="D11372" s="28"/>
      <c r="F11372" s="28"/>
      <c r="H11372" s="28"/>
    </row>
    <row r="11373" spans="4:8" x14ac:dyDescent="0.25">
      <c r="D11373" s="28"/>
      <c r="F11373" s="28"/>
      <c r="H11373" s="28"/>
    </row>
    <row r="11374" spans="4:8" x14ac:dyDescent="0.25">
      <c r="D11374" s="28"/>
      <c r="F11374" s="28"/>
      <c r="H11374" s="28"/>
    </row>
    <row r="11375" spans="4:8" x14ac:dyDescent="0.25">
      <c r="D11375" s="28"/>
      <c r="F11375" s="28"/>
      <c r="H11375" s="28"/>
    </row>
    <row r="11376" spans="4:8" x14ac:dyDescent="0.25">
      <c r="D11376" s="28"/>
      <c r="F11376" s="28"/>
      <c r="H11376" s="28"/>
    </row>
    <row r="11377" spans="4:8" x14ac:dyDescent="0.25">
      <c r="D11377" s="28"/>
      <c r="F11377" s="28"/>
      <c r="H11377" s="28"/>
    </row>
    <row r="11378" spans="4:8" x14ac:dyDescent="0.25">
      <c r="D11378" s="28"/>
      <c r="F11378" s="28"/>
      <c r="H11378" s="28"/>
    </row>
    <row r="11379" spans="4:8" x14ac:dyDescent="0.25">
      <c r="D11379" s="28"/>
      <c r="F11379" s="28"/>
      <c r="H11379" s="28"/>
    </row>
    <row r="11380" spans="4:8" x14ac:dyDescent="0.25">
      <c r="D11380" s="28"/>
      <c r="F11380" s="28"/>
      <c r="H11380" s="28"/>
    </row>
    <row r="11381" spans="4:8" x14ac:dyDescent="0.25">
      <c r="D11381" s="28"/>
      <c r="F11381" s="28"/>
      <c r="H11381" s="28"/>
    </row>
    <row r="11382" spans="4:8" x14ac:dyDescent="0.25">
      <c r="D11382" s="28"/>
      <c r="F11382" s="28"/>
      <c r="H11382" s="28"/>
    </row>
    <row r="11383" spans="4:8" x14ac:dyDescent="0.25">
      <c r="D11383" s="28"/>
      <c r="F11383" s="28"/>
      <c r="H11383" s="28"/>
    </row>
    <row r="11384" spans="4:8" x14ac:dyDescent="0.25">
      <c r="D11384" s="28"/>
      <c r="F11384" s="28"/>
      <c r="H11384" s="28"/>
    </row>
    <row r="11385" spans="4:8" x14ac:dyDescent="0.25">
      <c r="D11385" s="28"/>
      <c r="F11385" s="28"/>
      <c r="H11385" s="28"/>
    </row>
    <row r="11386" spans="4:8" x14ac:dyDescent="0.25">
      <c r="D11386" s="28"/>
      <c r="F11386" s="28"/>
      <c r="H11386" s="28"/>
    </row>
    <row r="11387" spans="4:8" x14ac:dyDescent="0.25">
      <c r="D11387" s="28"/>
      <c r="F11387" s="28"/>
      <c r="H11387" s="28"/>
    </row>
    <row r="11388" spans="4:8" x14ac:dyDescent="0.25">
      <c r="D11388" s="28"/>
      <c r="F11388" s="28"/>
      <c r="H11388" s="28"/>
    </row>
    <row r="11389" spans="4:8" x14ac:dyDescent="0.25">
      <c r="D11389" s="28"/>
      <c r="F11389" s="28"/>
      <c r="H11389" s="28"/>
    </row>
    <row r="11390" spans="4:8" x14ac:dyDescent="0.25">
      <c r="D11390" s="28"/>
      <c r="F11390" s="28"/>
      <c r="H11390" s="28"/>
    </row>
    <row r="11391" spans="4:8" x14ac:dyDescent="0.25">
      <c r="D11391" s="28"/>
      <c r="F11391" s="28"/>
      <c r="H11391" s="28"/>
    </row>
    <row r="11392" spans="4:8" x14ac:dyDescent="0.25">
      <c r="D11392" s="28"/>
      <c r="F11392" s="28"/>
      <c r="H11392" s="28"/>
    </row>
    <row r="11393" spans="4:8" x14ac:dyDescent="0.25">
      <c r="D11393" s="28"/>
      <c r="F11393" s="28"/>
      <c r="H11393" s="28"/>
    </row>
    <row r="11394" spans="4:8" x14ac:dyDescent="0.25">
      <c r="D11394" s="28"/>
      <c r="F11394" s="28"/>
      <c r="H11394" s="28"/>
    </row>
    <row r="11395" spans="4:8" x14ac:dyDescent="0.25">
      <c r="D11395" s="28"/>
      <c r="F11395" s="28"/>
      <c r="H11395" s="28"/>
    </row>
    <row r="11396" spans="4:8" x14ac:dyDescent="0.25">
      <c r="D11396" s="28"/>
      <c r="F11396" s="28"/>
      <c r="H11396" s="28"/>
    </row>
    <row r="11397" spans="4:8" x14ac:dyDescent="0.25">
      <c r="D11397" s="28"/>
      <c r="F11397" s="28"/>
      <c r="H11397" s="28"/>
    </row>
    <row r="11398" spans="4:8" x14ac:dyDescent="0.25">
      <c r="D11398" s="28"/>
      <c r="F11398" s="28"/>
      <c r="H11398" s="28"/>
    </row>
    <row r="11399" spans="4:8" x14ac:dyDescent="0.25">
      <c r="D11399" s="28"/>
      <c r="F11399" s="28"/>
      <c r="H11399" s="28"/>
    </row>
    <row r="11400" spans="4:8" x14ac:dyDescent="0.25">
      <c r="D11400" s="28"/>
      <c r="F11400" s="28"/>
      <c r="H11400" s="28"/>
    </row>
    <row r="11401" spans="4:8" x14ac:dyDescent="0.25">
      <c r="D11401" s="28"/>
      <c r="F11401" s="28"/>
      <c r="H11401" s="28"/>
    </row>
    <row r="11402" spans="4:8" x14ac:dyDescent="0.25">
      <c r="D11402" s="28"/>
      <c r="F11402" s="28"/>
      <c r="H11402" s="28"/>
    </row>
    <row r="11403" spans="4:8" x14ac:dyDescent="0.25">
      <c r="D11403" s="28"/>
      <c r="F11403" s="28"/>
      <c r="H11403" s="28"/>
    </row>
    <row r="11404" spans="4:8" x14ac:dyDescent="0.25">
      <c r="D11404" s="28"/>
      <c r="F11404" s="28"/>
      <c r="H11404" s="28"/>
    </row>
    <row r="11405" spans="4:8" x14ac:dyDescent="0.25">
      <c r="D11405" s="28"/>
      <c r="F11405" s="28"/>
      <c r="H11405" s="28"/>
    </row>
    <row r="11406" spans="4:8" x14ac:dyDescent="0.25">
      <c r="D11406" s="28"/>
      <c r="F11406" s="28"/>
      <c r="H11406" s="28"/>
    </row>
    <row r="11407" spans="4:8" x14ac:dyDescent="0.25">
      <c r="D11407" s="28"/>
      <c r="F11407" s="28"/>
      <c r="H11407" s="28"/>
    </row>
    <row r="11408" spans="4:8" x14ac:dyDescent="0.25">
      <c r="D11408" s="28"/>
      <c r="F11408" s="28"/>
      <c r="H11408" s="28"/>
    </row>
    <row r="11409" spans="4:8" x14ac:dyDescent="0.25">
      <c r="D11409" s="28"/>
      <c r="F11409" s="28"/>
      <c r="H11409" s="28"/>
    </row>
    <row r="11410" spans="4:8" x14ac:dyDescent="0.25">
      <c r="D11410" s="28"/>
      <c r="F11410" s="28"/>
      <c r="H11410" s="28"/>
    </row>
    <row r="11411" spans="4:8" x14ac:dyDescent="0.25">
      <c r="D11411" s="28"/>
      <c r="F11411" s="28"/>
      <c r="H11411" s="28"/>
    </row>
    <row r="11412" spans="4:8" x14ac:dyDescent="0.25">
      <c r="D11412" s="28"/>
      <c r="F11412" s="28"/>
      <c r="H11412" s="28"/>
    </row>
    <row r="11413" spans="4:8" x14ac:dyDescent="0.25">
      <c r="D11413" s="28"/>
      <c r="F11413" s="28"/>
      <c r="H11413" s="28"/>
    </row>
    <row r="11414" spans="4:8" x14ac:dyDescent="0.25">
      <c r="D11414" s="28"/>
      <c r="F11414" s="28"/>
      <c r="H11414" s="28"/>
    </row>
    <row r="11415" spans="4:8" x14ac:dyDescent="0.25">
      <c r="D11415" s="28"/>
      <c r="F11415" s="28"/>
      <c r="H11415" s="28"/>
    </row>
    <row r="11416" spans="4:8" x14ac:dyDescent="0.25">
      <c r="D11416" s="28"/>
      <c r="F11416" s="28"/>
      <c r="H11416" s="28"/>
    </row>
    <row r="11417" spans="4:8" x14ac:dyDescent="0.25">
      <c r="D11417" s="28"/>
      <c r="F11417" s="28"/>
      <c r="H11417" s="28"/>
    </row>
    <row r="11418" spans="4:8" x14ac:dyDescent="0.25">
      <c r="D11418" s="28"/>
      <c r="F11418" s="28"/>
      <c r="H11418" s="28"/>
    </row>
    <row r="11419" spans="4:8" x14ac:dyDescent="0.25">
      <c r="D11419" s="28"/>
      <c r="F11419" s="28"/>
      <c r="H11419" s="28"/>
    </row>
    <row r="11420" spans="4:8" x14ac:dyDescent="0.25">
      <c r="D11420" s="28"/>
      <c r="F11420" s="28"/>
      <c r="H11420" s="28"/>
    </row>
    <row r="11421" spans="4:8" x14ac:dyDescent="0.25">
      <c r="D11421" s="28"/>
      <c r="F11421" s="28"/>
      <c r="H11421" s="28"/>
    </row>
    <row r="11422" spans="4:8" x14ac:dyDescent="0.25">
      <c r="D11422" s="28"/>
      <c r="F11422" s="28"/>
      <c r="H11422" s="28"/>
    </row>
    <row r="11423" spans="4:8" x14ac:dyDescent="0.25">
      <c r="D11423" s="28"/>
      <c r="F11423" s="28"/>
      <c r="H11423" s="28"/>
    </row>
    <row r="11424" spans="4:8" x14ac:dyDescent="0.25">
      <c r="D11424" s="28"/>
      <c r="F11424" s="28"/>
      <c r="H11424" s="28"/>
    </row>
    <row r="11425" spans="4:8" x14ac:dyDescent="0.25">
      <c r="D11425" s="28"/>
      <c r="F11425" s="28"/>
      <c r="H11425" s="28"/>
    </row>
    <row r="11426" spans="4:8" x14ac:dyDescent="0.25">
      <c r="D11426" s="28"/>
      <c r="F11426" s="28"/>
      <c r="H11426" s="28"/>
    </row>
    <row r="11427" spans="4:8" x14ac:dyDescent="0.25">
      <c r="D11427" s="28"/>
      <c r="F11427" s="28"/>
      <c r="H11427" s="28"/>
    </row>
    <row r="11428" spans="4:8" x14ac:dyDescent="0.25">
      <c r="D11428" s="28"/>
      <c r="F11428" s="28"/>
      <c r="H11428" s="28"/>
    </row>
    <row r="11429" spans="4:8" x14ac:dyDescent="0.25">
      <c r="D11429" s="28"/>
      <c r="F11429" s="28"/>
      <c r="H11429" s="28"/>
    </row>
    <row r="11430" spans="4:8" x14ac:dyDescent="0.25">
      <c r="D11430" s="28"/>
      <c r="F11430" s="28"/>
      <c r="H11430" s="28"/>
    </row>
    <row r="11431" spans="4:8" x14ac:dyDescent="0.25">
      <c r="D11431" s="28"/>
      <c r="F11431" s="28"/>
      <c r="H11431" s="28"/>
    </row>
    <row r="11432" spans="4:8" x14ac:dyDescent="0.25">
      <c r="D11432" s="28"/>
      <c r="F11432" s="28"/>
      <c r="H11432" s="28"/>
    </row>
    <row r="11433" spans="4:8" x14ac:dyDescent="0.25">
      <c r="D11433" s="28"/>
      <c r="F11433" s="28"/>
      <c r="H11433" s="28"/>
    </row>
    <row r="11434" spans="4:8" x14ac:dyDescent="0.25">
      <c r="D11434" s="28"/>
      <c r="F11434" s="28"/>
      <c r="H11434" s="28"/>
    </row>
    <row r="11435" spans="4:8" x14ac:dyDescent="0.25">
      <c r="D11435" s="28"/>
      <c r="F11435" s="28"/>
      <c r="H11435" s="28"/>
    </row>
    <row r="11436" spans="4:8" x14ac:dyDescent="0.25">
      <c r="D11436" s="28"/>
      <c r="F11436" s="28"/>
      <c r="H11436" s="28"/>
    </row>
    <row r="11437" spans="4:8" x14ac:dyDescent="0.25">
      <c r="D11437" s="28"/>
      <c r="F11437" s="28"/>
      <c r="H11437" s="28"/>
    </row>
    <row r="11438" spans="4:8" x14ac:dyDescent="0.25">
      <c r="D11438" s="28"/>
      <c r="F11438" s="28"/>
      <c r="H11438" s="28"/>
    </row>
    <row r="11439" spans="4:8" x14ac:dyDescent="0.25">
      <c r="D11439" s="28"/>
      <c r="F11439" s="28"/>
      <c r="H11439" s="28"/>
    </row>
    <row r="11440" spans="4:8" x14ac:dyDescent="0.25">
      <c r="D11440" s="28"/>
      <c r="F11440" s="28"/>
      <c r="H11440" s="28"/>
    </row>
    <row r="11441" spans="4:8" x14ac:dyDescent="0.25">
      <c r="D11441" s="28"/>
      <c r="F11441" s="28"/>
      <c r="H11441" s="28"/>
    </row>
    <row r="11442" spans="4:8" x14ac:dyDescent="0.25">
      <c r="D11442" s="28"/>
      <c r="F11442" s="28"/>
      <c r="H11442" s="28"/>
    </row>
    <row r="11443" spans="4:8" x14ac:dyDescent="0.25">
      <c r="D11443" s="28"/>
      <c r="F11443" s="28"/>
      <c r="H11443" s="28"/>
    </row>
    <row r="11444" spans="4:8" x14ac:dyDescent="0.25">
      <c r="D11444" s="28"/>
      <c r="F11444" s="28"/>
      <c r="H11444" s="28"/>
    </row>
    <row r="11445" spans="4:8" x14ac:dyDescent="0.25">
      <c r="D11445" s="28"/>
      <c r="F11445" s="28"/>
      <c r="H11445" s="28"/>
    </row>
    <row r="11446" spans="4:8" x14ac:dyDescent="0.25">
      <c r="D11446" s="28"/>
      <c r="F11446" s="28"/>
      <c r="H11446" s="28"/>
    </row>
    <row r="11447" spans="4:8" x14ac:dyDescent="0.25">
      <c r="D11447" s="28"/>
      <c r="F11447" s="28"/>
      <c r="H11447" s="28"/>
    </row>
    <row r="11448" spans="4:8" x14ac:dyDescent="0.25">
      <c r="D11448" s="28"/>
      <c r="F11448" s="28"/>
      <c r="H11448" s="28"/>
    </row>
    <row r="11449" spans="4:8" x14ac:dyDescent="0.25">
      <c r="D11449" s="28"/>
      <c r="F11449" s="28"/>
      <c r="H11449" s="28"/>
    </row>
    <row r="11450" spans="4:8" x14ac:dyDescent="0.25">
      <c r="D11450" s="28"/>
      <c r="F11450" s="28"/>
      <c r="H11450" s="28"/>
    </row>
    <row r="11451" spans="4:8" x14ac:dyDescent="0.25">
      <c r="D11451" s="28"/>
      <c r="F11451" s="28"/>
      <c r="H11451" s="28"/>
    </row>
    <row r="11452" spans="4:8" x14ac:dyDescent="0.25">
      <c r="D11452" s="28"/>
      <c r="F11452" s="28"/>
      <c r="H11452" s="28"/>
    </row>
    <row r="11453" spans="4:8" x14ac:dyDescent="0.25">
      <c r="D11453" s="28"/>
      <c r="F11453" s="28"/>
      <c r="H11453" s="28"/>
    </row>
    <row r="11454" spans="4:8" x14ac:dyDescent="0.25">
      <c r="D11454" s="28"/>
      <c r="F11454" s="28"/>
      <c r="H11454" s="28"/>
    </row>
    <row r="11455" spans="4:8" x14ac:dyDescent="0.25">
      <c r="D11455" s="28"/>
      <c r="F11455" s="28"/>
      <c r="H11455" s="28"/>
    </row>
    <row r="11456" spans="4:8" x14ac:dyDescent="0.25">
      <c r="D11456" s="28"/>
      <c r="F11456" s="28"/>
      <c r="H11456" s="28"/>
    </row>
    <row r="11457" spans="4:8" x14ac:dyDescent="0.25">
      <c r="D11457" s="28"/>
      <c r="F11457" s="28"/>
      <c r="H11457" s="28"/>
    </row>
    <row r="11458" spans="4:8" x14ac:dyDescent="0.25">
      <c r="D11458" s="28"/>
      <c r="F11458" s="28"/>
      <c r="H11458" s="28"/>
    </row>
    <row r="11459" spans="4:8" x14ac:dyDescent="0.25">
      <c r="D11459" s="28"/>
      <c r="F11459" s="28"/>
      <c r="H11459" s="28"/>
    </row>
    <row r="11460" spans="4:8" x14ac:dyDescent="0.25">
      <c r="D11460" s="28"/>
      <c r="F11460" s="28"/>
      <c r="H11460" s="28"/>
    </row>
    <row r="11461" spans="4:8" x14ac:dyDescent="0.25">
      <c r="D11461" s="28"/>
      <c r="F11461" s="28"/>
      <c r="H11461" s="28"/>
    </row>
    <row r="11462" spans="4:8" x14ac:dyDescent="0.25">
      <c r="D11462" s="28"/>
      <c r="F11462" s="28"/>
      <c r="H11462" s="28"/>
    </row>
    <row r="11463" spans="4:8" x14ac:dyDescent="0.25">
      <c r="D11463" s="28"/>
      <c r="F11463" s="28"/>
      <c r="H11463" s="28"/>
    </row>
    <row r="11464" spans="4:8" x14ac:dyDescent="0.25">
      <c r="D11464" s="28"/>
      <c r="F11464" s="28"/>
      <c r="H11464" s="28"/>
    </row>
    <row r="11465" spans="4:8" x14ac:dyDescent="0.25">
      <c r="D11465" s="28"/>
      <c r="F11465" s="28"/>
      <c r="H11465" s="28"/>
    </row>
    <row r="11466" spans="4:8" x14ac:dyDescent="0.25">
      <c r="D11466" s="28"/>
      <c r="F11466" s="28"/>
      <c r="H11466" s="28"/>
    </row>
    <row r="11467" spans="4:8" x14ac:dyDescent="0.25">
      <c r="D11467" s="28"/>
      <c r="F11467" s="28"/>
      <c r="H11467" s="28"/>
    </row>
    <row r="11468" spans="4:8" x14ac:dyDescent="0.25">
      <c r="D11468" s="28"/>
      <c r="F11468" s="28"/>
      <c r="H11468" s="28"/>
    </row>
    <row r="11469" spans="4:8" x14ac:dyDescent="0.25">
      <c r="D11469" s="28"/>
      <c r="F11469" s="28"/>
      <c r="H11469" s="28"/>
    </row>
    <row r="11470" spans="4:8" x14ac:dyDescent="0.25">
      <c r="D11470" s="28"/>
      <c r="F11470" s="28"/>
      <c r="H11470" s="28"/>
    </row>
    <row r="11471" spans="4:8" x14ac:dyDescent="0.25">
      <c r="D11471" s="28"/>
      <c r="F11471" s="28"/>
      <c r="H11471" s="28"/>
    </row>
    <row r="11472" spans="4:8" x14ac:dyDescent="0.25">
      <c r="D11472" s="28"/>
      <c r="F11472" s="28"/>
      <c r="H11472" s="28"/>
    </row>
    <row r="11473" spans="4:8" x14ac:dyDescent="0.25">
      <c r="D11473" s="28"/>
      <c r="F11473" s="28"/>
      <c r="H11473" s="28"/>
    </row>
    <row r="11474" spans="4:8" x14ac:dyDescent="0.25">
      <c r="D11474" s="28"/>
      <c r="F11474" s="28"/>
      <c r="H11474" s="28"/>
    </row>
    <row r="11475" spans="4:8" x14ac:dyDescent="0.25">
      <c r="D11475" s="28"/>
      <c r="F11475" s="28"/>
      <c r="H11475" s="28"/>
    </row>
    <row r="11476" spans="4:8" x14ac:dyDescent="0.25">
      <c r="D11476" s="28"/>
      <c r="F11476" s="28"/>
      <c r="H11476" s="28"/>
    </row>
    <row r="11477" spans="4:8" x14ac:dyDescent="0.25">
      <c r="D11477" s="28"/>
      <c r="F11477" s="28"/>
      <c r="H11477" s="28"/>
    </row>
    <row r="11478" spans="4:8" x14ac:dyDescent="0.25">
      <c r="D11478" s="28"/>
      <c r="F11478" s="28"/>
      <c r="H11478" s="28"/>
    </row>
    <row r="11479" spans="4:8" x14ac:dyDescent="0.25">
      <c r="D11479" s="28"/>
      <c r="F11479" s="28"/>
      <c r="H11479" s="28"/>
    </row>
    <row r="11480" spans="4:8" x14ac:dyDescent="0.25">
      <c r="D11480" s="28"/>
      <c r="F11480" s="28"/>
      <c r="H11480" s="28"/>
    </row>
    <row r="11481" spans="4:8" x14ac:dyDescent="0.25">
      <c r="D11481" s="28"/>
      <c r="F11481" s="28"/>
      <c r="H11481" s="28"/>
    </row>
    <row r="11482" spans="4:8" x14ac:dyDescent="0.25">
      <c r="D11482" s="28"/>
      <c r="F11482" s="28"/>
      <c r="H11482" s="28"/>
    </row>
    <row r="11483" spans="4:8" x14ac:dyDescent="0.25">
      <c r="D11483" s="28"/>
      <c r="F11483" s="28"/>
      <c r="H11483" s="28"/>
    </row>
    <row r="11484" spans="4:8" x14ac:dyDescent="0.25">
      <c r="D11484" s="28"/>
      <c r="F11484" s="28"/>
      <c r="H11484" s="28"/>
    </row>
    <row r="11485" spans="4:8" x14ac:dyDescent="0.25">
      <c r="D11485" s="28"/>
      <c r="F11485" s="28"/>
      <c r="H11485" s="28"/>
    </row>
    <row r="11486" spans="4:8" x14ac:dyDescent="0.25">
      <c r="D11486" s="28"/>
      <c r="F11486" s="28"/>
      <c r="H11486" s="28"/>
    </row>
    <row r="11487" spans="4:8" x14ac:dyDescent="0.25">
      <c r="D11487" s="28"/>
      <c r="F11487" s="28"/>
      <c r="H11487" s="28"/>
    </row>
    <row r="11488" spans="4:8" x14ac:dyDescent="0.25">
      <c r="D11488" s="28"/>
      <c r="F11488" s="28"/>
      <c r="H11488" s="28"/>
    </row>
    <row r="11489" spans="4:8" x14ac:dyDescent="0.25">
      <c r="D11489" s="28"/>
      <c r="F11489" s="28"/>
      <c r="H11489" s="28"/>
    </row>
    <row r="11490" spans="4:8" x14ac:dyDescent="0.25">
      <c r="D11490" s="28"/>
      <c r="F11490" s="28"/>
      <c r="H11490" s="28"/>
    </row>
    <row r="11491" spans="4:8" x14ac:dyDescent="0.25">
      <c r="D11491" s="28"/>
      <c r="F11491" s="28"/>
      <c r="H11491" s="28"/>
    </row>
    <row r="11492" spans="4:8" x14ac:dyDescent="0.25">
      <c r="D11492" s="28"/>
      <c r="F11492" s="28"/>
      <c r="H11492" s="28"/>
    </row>
    <row r="11493" spans="4:8" x14ac:dyDescent="0.25">
      <c r="D11493" s="28"/>
      <c r="F11493" s="28"/>
      <c r="H11493" s="28"/>
    </row>
    <row r="11494" spans="4:8" x14ac:dyDescent="0.25">
      <c r="D11494" s="28"/>
      <c r="F11494" s="28"/>
      <c r="H11494" s="28"/>
    </row>
    <row r="11495" spans="4:8" x14ac:dyDescent="0.25">
      <c r="D11495" s="28"/>
      <c r="F11495" s="28"/>
      <c r="H11495" s="28"/>
    </row>
    <row r="11496" spans="4:8" x14ac:dyDescent="0.25">
      <c r="D11496" s="28"/>
      <c r="F11496" s="28"/>
      <c r="H11496" s="28"/>
    </row>
    <row r="11497" spans="4:8" x14ac:dyDescent="0.25">
      <c r="D11497" s="28"/>
      <c r="F11497" s="28"/>
      <c r="H11497" s="28"/>
    </row>
    <row r="11498" spans="4:8" x14ac:dyDescent="0.25">
      <c r="D11498" s="28"/>
      <c r="F11498" s="28"/>
      <c r="H11498" s="28"/>
    </row>
    <row r="11499" spans="4:8" x14ac:dyDescent="0.25">
      <c r="D11499" s="28"/>
      <c r="F11499" s="28"/>
      <c r="H11499" s="28"/>
    </row>
    <row r="11500" spans="4:8" x14ac:dyDescent="0.25">
      <c r="D11500" s="28"/>
      <c r="F11500" s="28"/>
      <c r="H11500" s="28"/>
    </row>
    <row r="11501" spans="4:8" x14ac:dyDescent="0.25">
      <c r="D11501" s="28"/>
      <c r="F11501" s="28"/>
      <c r="H11501" s="28"/>
    </row>
    <row r="11502" spans="4:8" x14ac:dyDescent="0.25">
      <c r="D11502" s="28"/>
      <c r="F11502" s="28"/>
      <c r="H11502" s="28"/>
    </row>
    <row r="11503" spans="4:8" x14ac:dyDescent="0.25">
      <c r="D11503" s="28"/>
      <c r="F11503" s="28"/>
      <c r="H11503" s="28"/>
    </row>
    <row r="11504" spans="4:8" x14ac:dyDescent="0.25">
      <c r="D11504" s="28"/>
      <c r="F11504" s="28"/>
      <c r="H11504" s="28"/>
    </row>
    <row r="11505" spans="4:8" x14ac:dyDescent="0.25">
      <c r="D11505" s="28"/>
      <c r="F11505" s="28"/>
      <c r="H11505" s="28"/>
    </row>
    <row r="11506" spans="4:8" x14ac:dyDescent="0.25">
      <c r="D11506" s="28"/>
      <c r="F11506" s="28"/>
      <c r="H11506" s="28"/>
    </row>
    <row r="11507" spans="4:8" x14ac:dyDescent="0.25">
      <c r="D11507" s="28"/>
      <c r="F11507" s="28"/>
      <c r="H11507" s="28"/>
    </row>
    <row r="11508" spans="4:8" x14ac:dyDescent="0.25">
      <c r="D11508" s="28"/>
      <c r="F11508" s="28"/>
      <c r="H11508" s="28"/>
    </row>
    <row r="11509" spans="4:8" x14ac:dyDescent="0.25">
      <c r="D11509" s="28"/>
      <c r="F11509" s="28"/>
      <c r="H11509" s="28"/>
    </row>
    <row r="11510" spans="4:8" x14ac:dyDescent="0.25">
      <c r="D11510" s="28"/>
      <c r="F11510" s="28"/>
      <c r="H11510" s="28"/>
    </row>
    <row r="11511" spans="4:8" x14ac:dyDescent="0.25">
      <c r="D11511" s="28"/>
      <c r="F11511" s="28"/>
      <c r="H11511" s="28"/>
    </row>
    <row r="11512" spans="4:8" x14ac:dyDescent="0.25">
      <c r="D11512" s="28"/>
      <c r="F11512" s="28"/>
      <c r="H11512" s="28"/>
    </row>
    <row r="11513" spans="4:8" x14ac:dyDescent="0.25">
      <c r="D11513" s="28"/>
      <c r="F11513" s="28"/>
      <c r="H11513" s="28"/>
    </row>
    <row r="11514" spans="4:8" x14ac:dyDescent="0.25">
      <c r="D11514" s="28"/>
      <c r="F11514" s="28"/>
      <c r="H11514" s="28"/>
    </row>
    <row r="11515" spans="4:8" x14ac:dyDescent="0.25">
      <c r="D11515" s="28"/>
      <c r="F11515" s="28"/>
      <c r="H11515" s="28"/>
    </row>
    <row r="11516" spans="4:8" x14ac:dyDescent="0.25">
      <c r="D11516" s="28"/>
      <c r="F11516" s="28"/>
      <c r="H11516" s="28"/>
    </row>
    <row r="11517" spans="4:8" x14ac:dyDescent="0.25">
      <c r="D11517" s="28"/>
      <c r="F11517" s="28"/>
      <c r="H11517" s="28"/>
    </row>
    <row r="11518" spans="4:8" x14ac:dyDescent="0.25">
      <c r="D11518" s="28"/>
      <c r="F11518" s="28"/>
      <c r="H11518" s="28"/>
    </row>
    <row r="11519" spans="4:8" x14ac:dyDescent="0.25">
      <c r="D11519" s="28"/>
      <c r="F11519" s="28"/>
      <c r="H11519" s="28"/>
    </row>
    <row r="11520" spans="4:8" x14ac:dyDescent="0.25">
      <c r="D11520" s="28"/>
      <c r="F11520" s="28"/>
      <c r="H11520" s="28"/>
    </row>
    <row r="11521" spans="4:8" x14ac:dyDescent="0.25">
      <c r="D11521" s="28"/>
      <c r="F11521" s="28"/>
      <c r="H11521" s="28"/>
    </row>
    <row r="11522" spans="4:8" x14ac:dyDescent="0.25">
      <c r="D11522" s="28"/>
      <c r="F11522" s="28"/>
      <c r="H11522" s="28"/>
    </row>
    <row r="11523" spans="4:8" x14ac:dyDescent="0.25">
      <c r="D11523" s="28"/>
      <c r="F11523" s="28"/>
      <c r="H11523" s="28"/>
    </row>
    <row r="11524" spans="4:8" x14ac:dyDescent="0.25">
      <c r="D11524" s="28"/>
      <c r="F11524" s="28"/>
      <c r="H11524" s="28"/>
    </row>
    <row r="11525" spans="4:8" x14ac:dyDescent="0.25">
      <c r="D11525" s="28"/>
      <c r="F11525" s="28"/>
      <c r="H11525" s="28"/>
    </row>
    <row r="11526" spans="4:8" x14ac:dyDescent="0.25">
      <c r="D11526" s="28"/>
      <c r="F11526" s="28"/>
      <c r="H11526" s="28"/>
    </row>
    <row r="11527" spans="4:8" x14ac:dyDescent="0.25">
      <c r="D11527" s="28"/>
      <c r="F11527" s="28"/>
      <c r="H11527" s="28"/>
    </row>
    <row r="11528" spans="4:8" x14ac:dyDescent="0.25">
      <c r="D11528" s="28"/>
      <c r="F11528" s="28"/>
      <c r="H11528" s="28"/>
    </row>
    <row r="11529" spans="4:8" x14ac:dyDescent="0.25">
      <c r="D11529" s="28"/>
      <c r="F11529" s="28"/>
      <c r="H11529" s="28"/>
    </row>
    <row r="11530" spans="4:8" x14ac:dyDescent="0.25">
      <c r="D11530" s="28"/>
      <c r="F11530" s="28"/>
      <c r="H11530" s="28"/>
    </row>
    <row r="11531" spans="4:8" x14ac:dyDescent="0.25">
      <c r="D11531" s="28"/>
      <c r="F11531" s="28"/>
      <c r="H11531" s="28"/>
    </row>
    <row r="11532" spans="4:8" x14ac:dyDescent="0.25">
      <c r="D11532" s="28"/>
      <c r="F11532" s="28"/>
      <c r="H11532" s="28"/>
    </row>
    <row r="11533" spans="4:8" x14ac:dyDescent="0.25">
      <c r="D11533" s="28"/>
      <c r="F11533" s="28"/>
      <c r="H11533" s="28"/>
    </row>
    <row r="11534" spans="4:8" x14ac:dyDescent="0.25">
      <c r="D11534" s="28"/>
      <c r="F11534" s="28"/>
      <c r="H11534" s="28"/>
    </row>
    <row r="11535" spans="4:8" x14ac:dyDescent="0.25">
      <c r="D11535" s="28"/>
      <c r="F11535" s="28"/>
      <c r="H11535" s="28"/>
    </row>
    <row r="11536" spans="4:8" x14ac:dyDescent="0.25">
      <c r="D11536" s="28"/>
      <c r="F11536" s="28"/>
      <c r="H11536" s="28"/>
    </row>
    <row r="11537" spans="4:8" x14ac:dyDescent="0.25">
      <c r="D11537" s="28"/>
      <c r="F11537" s="28"/>
      <c r="H11537" s="28"/>
    </row>
    <row r="11538" spans="4:8" x14ac:dyDescent="0.25">
      <c r="D11538" s="28"/>
      <c r="F11538" s="28"/>
      <c r="H11538" s="28"/>
    </row>
    <row r="11539" spans="4:8" x14ac:dyDescent="0.25">
      <c r="D11539" s="28"/>
      <c r="F11539" s="28"/>
      <c r="H11539" s="28"/>
    </row>
    <row r="11540" spans="4:8" x14ac:dyDescent="0.25">
      <c r="D11540" s="28"/>
      <c r="F11540" s="28"/>
      <c r="H11540" s="28"/>
    </row>
    <row r="11541" spans="4:8" x14ac:dyDescent="0.25">
      <c r="D11541" s="28"/>
      <c r="F11541" s="28"/>
      <c r="H11541" s="28"/>
    </row>
    <row r="11542" spans="4:8" x14ac:dyDescent="0.25">
      <c r="D11542" s="28"/>
      <c r="F11542" s="28"/>
      <c r="H11542" s="28"/>
    </row>
    <row r="11543" spans="4:8" x14ac:dyDescent="0.25">
      <c r="D11543" s="28"/>
      <c r="F11543" s="28"/>
      <c r="H11543" s="28"/>
    </row>
    <row r="11544" spans="4:8" x14ac:dyDescent="0.25">
      <c r="D11544" s="28"/>
      <c r="F11544" s="28"/>
      <c r="H11544" s="28"/>
    </row>
    <row r="11545" spans="4:8" x14ac:dyDescent="0.25">
      <c r="D11545" s="28"/>
      <c r="F11545" s="28"/>
      <c r="H11545" s="28"/>
    </row>
    <row r="11546" spans="4:8" x14ac:dyDescent="0.25">
      <c r="D11546" s="28"/>
      <c r="F11546" s="28"/>
      <c r="H11546" s="28"/>
    </row>
    <row r="11547" spans="4:8" x14ac:dyDescent="0.25">
      <c r="D11547" s="28"/>
      <c r="F11547" s="28"/>
      <c r="H11547" s="28"/>
    </row>
    <row r="11548" spans="4:8" x14ac:dyDescent="0.25">
      <c r="D11548" s="28"/>
      <c r="F11548" s="28"/>
      <c r="H11548" s="28"/>
    </row>
    <row r="11549" spans="4:8" x14ac:dyDescent="0.25">
      <c r="D11549" s="28"/>
      <c r="F11549" s="28"/>
      <c r="H11549" s="28"/>
    </row>
    <row r="11550" spans="4:8" x14ac:dyDescent="0.25">
      <c r="D11550" s="28"/>
      <c r="F11550" s="28"/>
      <c r="H11550" s="28"/>
    </row>
    <row r="11551" spans="4:8" x14ac:dyDescent="0.25">
      <c r="D11551" s="28"/>
      <c r="F11551" s="28"/>
      <c r="H11551" s="28"/>
    </row>
    <row r="11552" spans="4:8" x14ac:dyDescent="0.25">
      <c r="D11552" s="28"/>
      <c r="F11552" s="28"/>
      <c r="H11552" s="28"/>
    </row>
    <row r="11553" spans="4:8" x14ac:dyDescent="0.25">
      <c r="D11553" s="28"/>
      <c r="F11553" s="28"/>
      <c r="H11553" s="28"/>
    </row>
    <row r="11554" spans="4:8" x14ac:dyDescent="0.25">
      <c r="D11554" s="28"/>
      <c r="F11554" s="28"/>
      <c r="H11554" s="28"/>
    </row>
    <row r="11555" spans="4:8" x14ac:dyDescent="0.25">
      <c r="D11555" s="28"/>
      <c r="F11555" s="28"/>
      <c r="H11555" s="28"/>
    </row>
    <row r="11556" spans="4:8" x14ac:dyDescent="0.25">
      <c r="D11556" s="28"/>
      <c r="F11556" s="28"/>
      <c r="H11556" s="28"/>
    </row>
    <row r="11557" spans="4:8" x14ac:dyDescent="0.25">
      <c r="D11557" s="28"/>
      <c r="F11557" s="28"/>
      <c r="H11557" s="28"/>
    </row>
    <row r="11558" spans="4:8" x14ac:dyDescent="0.25">
      <c r="D11558" s="28"/>
      <c r="F11558" s="28"/>
      <c r="H11558" s="28"/>
    </row>
    <row r="11559" spans="4:8" x14ac:dyDescent="0.25">
      <c r="D11559" s="28"/>
      <c r="F11559" s="28"/>
      <c r="H11559" s="28"/>
    </row>
    <row r="11560" spans="4:8" x14ac:dyDescent="0.25">
      <c r="D11560" s="28"/>
      <c r="F11560" s="28"/>
      <c r="H11560" s="28"/>
    </row>
    <row r="11561" spans="4:8" x14ac:dyDescent="0.25">
      <c r="D11561" s="28"/>
      <c r="F11561" s="28"/>
      <c r="H11561" s="28"/>
    </row>
    <row r="11562" spans="4:8" x14ac:dyDescent="0.25">
      <c r="D11562" s="28"/>
      <c r="F11562" s="28"/>
      <c r="H11562" s="28"/>
    </row>
    <row r="11563" spans="4:8" x14ac:dyDescent="0.25">
      <c r="D11563" s="28"/>
      <c r="F11563" s="28"/>
      <c r="H11563" s="28"/>
    </row>
    <row r="11564" spans="4:8" x14ac:dyDescent="0.25">
      <c r="D11564" s="28"/>
      <c r="F11564" s="28"/>
      <c r="H11564" s="28"/>
    </row>
    <row r="11565" spans="4:8" x14ac:dyDescent="0.25">
      <c r="D11565" s="28"/>
      <c r="F11565" s="28"/>
      <c r="H11565" s="28"/>
    </row>
    <row r="11566" spans="4:8" x14ac:dyDescent="0.25">
      <c r="D11566" s="28"/>
      <c r="F11566" s="28"/>
      <c r="H11566" s="28"/>
    </row>
    <row r="11567" spans="4:8" x14ac:dyDescent="0.25">
      <c r="D11567" s="28"/>
      <c r="F11567" s="28"/>
      <c r="H11567" s="28"/>
    </row>
    <row r="11568" spans="4:8" x14ac:dyDescent="0.25">
      <c r="D11568" s="28"/>
      <c r="F11568" s="28"/>
      <c r="H11568" s="28"/>
    </row>
    <row r="11569" spans="4:8" x14ac:dyDescent="0.25">
      <c r="D11569" s="28"/>
      <c r="F11569" s="28"/>
      <c r="H11569" s="28"/>
    </row>
    <row r="11570" spans="4:8" x14ac:dyDescent="0.25">
      <c r="D11570" s="28"/>
      <c r="F11570" s="28"/>
      <c r="H11570" s="28"/>
    </row>
    <row r="11571" spans="4:8" x14ac:dyDescent="0.25">
      <c r="D11571" s="28"/>
      <c r="F11571" s="28"/>
      <c r="H11571" s="28"/>
    </row>
    <row r="11572" spans="4:8" x14ac:dyDescent="0.25">
      <c r="D11572" s="28"/>
      <c r="F11572" s="28"/>
      <c r="H11572" s="28"/>
    </row>
    <row r="11573" spans="4:8" x14ac:dyDescent="0.25">
      <c r="D11573" s="28"/>
      <c r="F11573" s="28"/>
      <c r="H11573" s="28"/>
    </row>
    <row r="11574" spans="4:8" x14ac:dyDescent="0.25">
      <c r="D11574" s="28"/>
      <c r="F11574" s="28"/>
      <c r="H11574" s="28"/>
    </row>
    <row r="11575" spans="4:8" x14ac:dyDescent="0.25">
      <c r="D11575" s="28"/>
      <c r="F11575" s="28"/>
      <c r="H11575" s="28"/>
    </row>
    <row r="11576" spans="4:8" x14ac:dyDescent="0.25">
      <c r="D11576" s="28"/>
      <c r="F11576" s="28"/>
      <c r="H11576" s="28"/>
    </row>
    <row r="11577" spans="4:8" x14ac:dyDescent="0.25">
      <c r="D11577" s="28"/>
      <c r="F11577" s="28"/>
      <c r="H11577" s="28"/>
    </row>
    <row r="11578" spans="4:8" x14ac:dyDescent="0.25">
      <c r="D11578" s="28"/>
      <c r="F11578" s="28"/>
      <c r="H11578" s="28"/>
    </row>
    <row r="11579" spans="4:8" x14ac:dyDescent="0.25">
      <c r="D11579" s="28"/>
      <c r="F11579" s="28"/>
      <c r="H11579" s="28"/>
    </row>
    <row r="11580" spans="4:8" x14ac:dyDescent="0.25">
      <c r="D11580" s="28"/>
      <c r="F11580" s="28"/>
      <c r="H11580" s="28"/>
    </row>
    <row r="11581" spans="4:8" x14ac:dyDescent="0.25">
      <c r="D11581" s="28"/>
      <c r="F11581" s="28"/>
      <c r="H11581" s="28"/>
    </row>
    <row r="11582" spans="4:8" x14ac:dyDescent="0.25">
      <c r="D11582" s="28"/>
      <c r="F11582" s="28"/>
      <c r="H11582" s="28"/>
    </row>
    <row r="11583" spans="4:8" x14ac:dyDescent="0.25">
      <c r="D11583" s="28"/>
      <c r="F11583" s="28"/>
      <c r="H11583" s="28"/>
    </row>
    <row r="11584" spans="4:8" x14ac:dyDescent="0.25">
      <c r="D11584" s="28"/>
      <c r="F11584" s="28"/>
      <c r="H11584" s="28"/>
    </row>
    <row r="11585" spans="4:8" x14ac:dyDescent="0.25">
      <c r="D11585" s="28"/>
      <c r="F11585" s="28"/>
      <c r="H11585" s="28"/>
    </row>
    <row r="11586" spans="4:8" x14ac:dyDescent="0.25">
      <c r="D11586" s="28"/>
      <c r="F11586" s="28"/>
      <c r="H11586" s="28"/>
    </row>
    <row r="11587" spans="4:8" x14ac:dyDescent="0.25">
      <c r="D11587" s="28"/>
      <c r="F11587" s="28"/>
      <c r="H11587" s="28"/>
    </row>
    <row r="11588" spans="4:8" x14ac:dyDescent="0.25">
      <c r="D11588" s="28"/>
      <c r="F11588" s="28"/>
      <c r="H11588" s="28"/>
    </row>
    <row r="11589" spans="4:8" x14ac:dyDescent="0.25">
      <c r="D11589" s="28"/>
      <c r="F11589" s="28"/>
      <c r="H11589" s="28"/>
    </row>
    <row r="11590" spans="4:8" x14ac:dyDescent="0.25">
      <c r="D11590" s="28"/>
      <c r="F11590" s="28"/>
      <c r="H11590" s="28"/>
    </row>
    <row r="11591" spans="4:8" x14ac:dyDescent="0.25">
      <c r="D11591" s="28"/>
      <c r="F11591" s="28"/>
      <c r="H11591" s="28"/>
    </row>
    <row r="11592" spans="4:8" x14ac:dyDescent="0.25">
      <c r="D11592" s="28"/>
      <c r="F11592" s="28"/>
      <c r="H11592" s="28"/>
    </row>
    <row r="11593" spans="4:8" x14ac:dyDescent="0.25">
      <c r="D11593" s="28"/>
      <c r="F11593" s="28"/>
      <c r="H11593" s="28"/>
    </row>
    <row r="11594" spans="4:8" x14ac:dyDescent="0.25">
      <c r="D11594" s="28"/>
      <c r="F11594" s="28"/>
      <c r="H11594" s="28"/>
    </row>
    <row r="11595" spans="4:8" x14ac:dyDescent="0.25">
      <c r="D11595" s="28"/>
      <c r="F11595" s="28"/>
      <c r="H11595" s="28"/>
    </row>
    <row r="11596" spans="4:8" x14ac:dyDescent="0.25">
      <c r="D11596" s="28"/>
      <c r="F11596" s="28"/>
      <c r="H11596" s="28"/>
    </row>
    <row r="11597" spans="4:8" x14ac:dyDescent="0.25">
      <c r="D11597" s="28"/>
      <c r="F11597" s="28"/>
      <c r="H11597" s="28"/>
    </row>
    <row r="11598" spans="4:8" x14ac:dyDescent="0.25">
      <c r="D11598" s="28"/>
      <c r="F11598" s="28"/>
      <c r="H11598" s="28"/>
    </row>
    <row r="11599" spans="4:8" x14ac:dyDescent="0.25">
      <c r="D11599" s="28"/>
      <c r="F11599" s="28"/>
      <c r="H11599" s="28"/>
    </row>
    <row r="11600" spans="4:8" x14ac:dyDescent="0.25">
      <c r="D11600" s="28"/>
      <c r="F11600" s="28"/>
      <c r="H11600" s="28"/>
    </row>
    <row r="11601" spans="4:8" x14ac:dyDescent="0.25">
      <c r="D11601" s="28"/>
      <c r="F11601" s="28"/>
      <c r="H11601" s="28"/>
    </row>
    <row r="11602" spans="4:8" x14ac:dyDescent="0.25">
      <c r="D11602" s="28"/>
      <c r="F11602" s="28"/>
      <c r="H11602" s="28"/>
    </row>
    <row r="11603" spans="4:8" x14ac:dyDescent="0.25">
      <c r="D11603" s="28"/>
      <c r="F11603" s="28"/>
      <c r="H11603" s="28"/>
    </row>
    <row r="11604" spans="4:8" x14ac:dyDescent="0.25">
      <c r="D11604" s="28"/>
      <c r="F11604" s="28"/>
      <c r="H11604" s="28"/>
    </row>
    <row r="11605" spans="4:8" x14ac:dyDescent="0.25">
      <c r="D11605" s="28"/>
      <c r="F11605" s="28"/>
      <c r="H11605" s="28"/>
    </row>
    <row r="11606" spans="4:8" x14ac:dyDescent="0.25">
      <c r="D11606" s="28"/>
      <c r="F11606" s="28"/>
      <c r="H11606" s="28"/>
    </row>
    <row r="11607" spans="4:8" x14ac:dyDescent="0.25">
      <c r="D11607" s="28"/>
      <c r="F11607" s="28"/>
      <c r="H11607" s="28"/>
    </row>
    <row r="11608" spans="4:8" x14ac:dyDescent="0.25">
      <c r="D11608" s="28"/>
      <c r="F11608" s="28"/>
      <c r="H11608" s="28"/>
    </row>
    <row r="11609" spans="4:8" x14ac:dyDescent="0.25">
      <c r="D11609" s="28"/>
      <c r="F11609" s="28"/>
      <c r="H11609" s="28"/>
    </row>
    <row r="11610" spans="4:8" x14ac:dyDescent="0.25">
      <c r="D11610" s="28"/>
      <c r="F11610" s="28"/>
      <c r="H11610" s="28"/>
    </row>
    <row r="11611" spans="4:8" x14ac:dyDescent="0.25">
      <c r="D11611" s="28"/>
      <c r="F11611" s="28"/>
      <c r="H11611" s="28"/>
    </row>
    <row r="11612" spans="4:8" x14ac:dyDescent="0.25">
      <c r="D11612" s="28"/>
      <c r="F11612" s="28"/>
      <c r="H11612" s="28"/>
    </row>
    <row r="11613" spans="4:8" x14ac:dyDescent="0.25">
      <c r="D11613" s="28"/>
      <c r="F11613" s="28"/>
      <c r="H11613" s="28"/>
    </row>
    <row r="11614" spans="4:8" x14ac:dyDescent="0.25">
      <c r="D11614" s="28"/>
      <c r="F11614" s="28"/>
      <c r="H11614" s="28"/>
    </row>
    <row r="11615" spans="4:8" x14ac:dyDescent="0.25">
      <c r="D11615" s="28"/>
      <c r="F11615" s="28"/>
      <c r="H11615" s="28"/>
    </row>
    <row r="11616" spans="4:8" x14ac:dyDescent="0.25">
      <c r="D11616" s="28"/>
      <c r="F11616" s="28"/>
      <c r="H11616" s="28"/>
    </row>
    <row r="11617" spans="4:8" x14ac:dyDescent="0.25">
      <c r="D11617" s="28"/>
      <c r="F11617" s="28"/>
      <c r="H11617" s="28"/>
    </row>
    <row r="11618" spans="4:8" x14ac:dyDescent="0.25">
      <c r="D11618" s="28"/>
      <c r="F11618" s="28"/>
      <c r="H11618" s="28"/>
    </row>
    <row r="11619" spans="4:8" x14ac:dyDescent="0.25">
      <c r="D11619" s="28"/>
      <c r="F11619" s="28"/>
      <c r="H11619" s="28"/>
    </row>
    <row r="11620" spans="4:8" x14ac:dyDescent="0.25">
      <c r="D11620" s="28"/>
      <c r="F11620" s="28"/>
      <c r="H11620" s="28"/>
    </row>
    <row r="11621" spans="4:8" x14ac:dyDescent="0.25">
      <c r="D11621" s="28"/>
      <c r="F11621" s="28"/>
      <c r="H11621" s="28"/>
    </row>
    <row r="11622" spans="4:8" x14ac:dyDescent="0.25">
      <c r="D11622" s="28"/>
      <c r="F11622" s="28"/>
      <c r="H11622" s="28"/>
    </row>
    <row r="11623" spans="4:8" x14ac:dyDescent="0.25">
      <c r="D11623" s="28"/>
      <c r="F11623" s="28"/>
      <c r="H11623" s="28"/>
    </row>
    <row r="11624" spans="4:8" x14ac:dyDescent="0.25">
      <c r="D11624" s="28"/>
      <c r="F11624" s="28"/>
      <c r="H11624" s="28"/>
    </row>
    <row r="11625" spans="4:8" x14ac:dyDescent="0.25">
      <c r="D11625" s="28"/>
      <c r="F11625" s="28"/>
      <c r="H11625" s="28"/>
    </row>
    <row r="11626" spans="4:8" x14ac:dyDescent="0.25">
      <c r="D11626" s="28"/>
      <c r="F11626" s="28"/>
      <c r="H11626" s="28"/>
    </row>
    <row r="11627" spans="4:8" x14ac:dyDescent="0.25">
      <c r="D11627" s="28"/>
      <c r="F11627" s="28"/>
      <c r="H11627" s="28"/>
    </row>
    <row r="11628" spans="4:8" x14ac:dyDescent="0.25">
      <c r="D11628" s="28"/>
      <c r="F11628" s="28"/>
      <c r="H11628" s="28"/>
    </row>
    <row r="11629" spans="4:8" x14ac:dyDescent="0.25">
      <c r="D11629" s="28"/>
      <c r="F11629" s="28"/>
      <c r="H11629" s="28"/>
    </row>
    <row r="11630" spans="4:8" x14ac:dyDescent="0.25">
      <c r="D11630" s="28"/>
      <c r="F11630" s="28"/>
      <c r="H11630" s="28"/>
    </row>
    <row r="11631" spans="4:8" x14ac:dyDescent="0.25">
      <c r="D11631" s="28"/>
      <c r="F11631" s="28"/>
      <c r="H11631" s="28"/>
    </row>
    <row r="11632" spans="4:8" x14ac:dyDescent="0.25">
      <c r="D11632" s="28"/>
      <c r="F11632" s="28"/>
      <c r="H11632" s="28"/>
    </row>
    <row r="11633" spans="4:8" x14ac:dyDescent="0.25">
      <c r="D11633" s="28"/>
      <c r="F11633" s="28"/>
      <c r="H11633" s="28"/>
    </row>
    <row r="11634" spans="4:8" x14ac:dyDescent="0.25">
      <c r="D11634" s="28"/>
      <c r="F11634" s="28"/>
      <c r="H11634" s="28"/>
    </row>
    <row r="11635" spans="4:8" x14ac:dyDescent="0.25">
      <c r="D11635" s="28"/>
      <c r="F11635" s="28"/>
      <c r="H11635" s="28"/>
    </row>
    <row r="11636" spans="4:8" x14ac:dyDescent="0.25">
      <c r="D11636" s="28"/>
      <c r="F11636" s="28"/>
      <c r="H11636" s="28"/>
    </row>
    <row r="11637" spans="4:8" x14ac:dyDescent="0.25">
      <c r="D11637" s="28"/>
      <c r="F11637" s="28"/>
      <c r="H11637" s="28"/>
    </row>
    <row r="11638" spans="4:8" x14ac:dyDescent="0.25">
      <c r="D11638" s="28"/>
      <c r="F11638" s="28"/>
      <c r="H11638" s="28"/>
    </row>
    <row r="11639" spans="4:8" x14ac:dyDescent="0.25">
      <c r="D11639" s="28"/>
      <c r="F11639" s="28"/>
      <c r="H11639" s="28"/>
    </row>
    <row r="11640" spans="4:8" x14ac:dyDescent="0.25">
      <c r="D11640" s="28"/>
      <c r="F11640" s="28"/>
      <c r="H11640" s="28"/>
    </row>
    <row r="11641" spans="4:8" x14ac:dyDescent="0.25">
      <c r="D11641" s="28"/>
      <c r="F11641" s="28"/>
      <c r="H11641" s="28"/>
    </row>
    <row r="11642" spans="4:8" x14ac:dyDescent="0.25">
      <c r="D11642" s="28"/>
      <c r="F11642" s="28"/>
      <c r="H11642" s="28"/>
    </row>
    <row r="11643" spans="4:8" x14ac:dyDescent="0.25">
      <c r="D11643" s="28"/>
      <c r="F11643" s="28"/>
      <c r="H11643" s="28"/>
    </row>
    <row r="11644" spans="4:8" x14ac:dyDescent="0.25">
      <c r="D11644" s="28"/>
      <c r="F11644" s="28"/>
      <c r="H11644" s="28"/>
    </row>
    <row r="11645" spans="4:8" x14ac:dyDescent="0.25">
      <c r="D11645" s="28"/>
      <c r="F11645" s="28"/>
      <c r="H11645" s="28"/>
    </row>
    <row r="11646" spans="4:8" x14ac:dyDescent="0.25">
      <c r="D11646" s="28"/>
      <c r="F11646" s="28"/>
      <c r="H11646" s="28"/>
    </row>
    <row r="11647" spans="4:8" x14ac:dyDescent="0.25">
      <c r="D11647" s="28"/>
      <c r="F11647" s="28"/>
      <c r="H11647" s="28"/>
    </row>
    <row r="11648" spans="4:8" x14ac:dyDescent="0.25">
      <c r="D11648" s="28"/>
      <c r="F11648" s="28"/>
      <c r="H11648" s="28"/>
    </row>
    <row r="11649" spans="4:8" x14ac:dyDescent="0.25">
      <c r="D11649" s="28"/>
      <c r="F11649" s="28"/>
      <c r="H11649" s="28"/>
    </row>
    <row r="11650" spans="4:8" x14ac:dyDescent="0.25">
      <c r="D11650" s="28"/>
      <c r="F11650" s="28"/>
      <c r="H11650" s="28"/>
    </row>
    <row r="11651" spans="4:8" x14ac:dyDescent="0.25">
      <c r="D11651" s="28"/>
      <c r="F11651" s="28"/>
      <c r="H11651" s="28"/>
    </row>
    <row r="11652" spans="4:8" x14ac:dyDescent="0.25">
      <c r="D11652" s="28"/>
      <c r="F11652" s="28"/>
      <c r="H11652" s="28"/>
    </row>
    <row r="11653" spans="4:8" x14ac:dyDescent="0.25">
      <c r="D11653" s="28"/>
      <c r="F11653" s="28"/>
      <c r="H11653" s="28"/>
    </row>
    <row r="11654" spans="4:8" x14ac:dyDescent="0.25">
      <c r="D11654" s="28"/>
      <c r="F11654" s="28"/>
      <c r="H11654" s="28"/>
    </row>
    <row r="11655" spans="4:8" x14ac:dyDescent="0.25">
      <c r="D11655" s="28"/>
      <c r="F11655" s="28"/>
      <c r="H11655" s="28"/>
    </row>
    <row r="11656" spans="4:8" x14ac:dyDescent="0.25">
      <c r="D11656" s="28"/>
      <c r="F11656" s="28"/>
      <c r="H11656" s="28"/>
    </row>
    <row r="11657" spans="4:8" x14ac:dyDescent="0.25">
      <c r="D11657" s="28"/>
      <c r="F11657" s="28"/>
      <c r="H11657" s="28"/>
    </row>
    <row r="11658" spans="4:8" x14ac:dyDescent="0.25">
      <c r="D11658" s="28"/>
      <c r="F11658" s="28"/>
      <c r="H11658" s="28"/>
    </row>
    <row r="11659" spans="4:8" x14ac:dyDescent="0.25">
      <c r="D11659" s="28"/>
      <c r="F11659" s="28"/>
      <c r="H11659" s="28"/>
    </row>
    <row r="11660" spans="4:8" x14ac:dyDescent="0.25">
      <c r="D11660" s="28"/>
      <c r="F11660" s="28"/>
      <c r="H11660" s="28"/>
    </row>
    <row r="11661" spans="4:8" x14ac:dyDescent="0.25">
      <c r="D11661" s="28"/>
      <c r="F11661" s="28"/>
      <c r="H11661" s="28"/>
    </row>
    <row r="11662" spans="4:8" x14ac:dyDescent="0.25">
      <c r="D11662" s="28"/>
      <c r="F11662" s="28"/>
      <c r="H11662" s="28"/>
    </row>
    <row r="11663" spans="4:8" x14ac:dyDescent="0.25">
      <c r="D11663" s="28"/>
      <c r="F11663" s="28"/>
      <c r="H11663" s="28"/>
    </row>
    <row r="11664" spans="4:8" x14ac:dyDescent="0.25">
      <c r="D11664" s="28"/>
      <c r="F11664" s="28"/>
      <c r="H11664" s="28"/>
    </row>
    <row r="11665" spans="4:8" x14ac:dyDescent="0.25">
      <c r="D11665" s="28"/>
      <c r="F11665" s="28"/>
      <c r="H11665" s="28"/>
    </row>
    <row r="11666" spans="4:8" x14ac:dyDescent="0.25">
      <c r="D11666" s="28"/>
      <c r="F11666" s="28"/>
      <c r="H11666" s="28"/>
    </row>
    <row r="11667" spans="4:8" x14ac:dyDescent="0.25">
      <c r="D11667" s="28"/>
      <c r="F11667" s="28"/>
      <c r="H11667" s="28"/>
    </row>
    <row r="11668" spans="4:8" x14ac:dyDescent="0.25">
      <c r="D11668" s="28"/>
      <c r="F11668" s="28"/>
      <c r="H11668" s="28"/>
    </row>
    <row r="11669" spans="4:8" x14ac:dyDescent="0.25">
      <c r="D11669" s="28"/>
      <c r="F11669" s="28"/>
      <c r="H11669" s="28"/>
    </row>
    <row r="11670" spans="4:8" x14ac:dyDescent="0.25">
      <c r="D11670" s="28"/>
      <c r="F11670" s="28"/>
      <c r="H11670" s="28"/>
    </row>
    <row r="11671" spans="4:8" x14ac:dyDescent="0.25">
      <c r="D11671" s="28"/>
      <c r="F11671" s="28"/>
      <c r="H11671" s="28"/>
    </row>
    <row r="11672" spans="4:8" x14ac:dyDescent="0.25">
      <c r="D11672" s="28"/>
      <c r="F11672" s="28"/>
      <c r="H11672" s="28"/>
    </row>
    <row r="11673" spans="4:8" x14ac:dyDescent="0.25">
      <c r="D11673" s="28"/>
      <c r="F11673" s="28"/>
      <c r="H11673" s="28"/>
    </row>
    <row r="11674" spans="4:8" x14ac:dyDescent="0.25">
      <c r="D11674" s="28"/>
      <c r="F11674" s="28"/>
      <c r="H11674" s="28"/>
    </row>
    <row r="11675" spans="4:8" x14ac:dyDescent="0.25">
      <c r="D11675" s="28"/>
      <c r="F11675" s="28"/>
      <c r="H11675" s="28"/>
    </row>
    <row r="11676" spans="4:8" x14ac:dyDescent="0.25">
      <c r="D11676" s="28"/>
      <c r="F11676" s="28"/>
      <c r="H11676" s="28"/>
    </row>
    <row r="11677" spans="4:8" x14ac:dyDescent="0.25">
      <c r="D11677" s="28"/>
      <c r="F11677" s="28"/>
      <c r="H11677" s="28"/>
    </row>
    <row r="11678" spans="4:8" x14ac:dyDescent="0.25">
      <c r="D11678" s="28"/>
      <c r="F11678" s="28"/>
      <c r="H11678" s="28"/>
    </row>
    <row r="11679" spans="4:8" x14ac:dyDescent="0.25">
      <c r="D11679" s="28"/>
      <c r="F11679" s="28"/>
      <c r="H11679" s="28"/>
    </row>
    <row r="11680" spans="4:8" x14ac:dyDescent="0.25">
      <c r="D11680" s="28"/>
      <c r="F11680" s="28"/>
      <c r="H11680" s="28"/>
    </row>
    <row r="11681" spans="4:8" x14ac:dyDescent="0.25">
      <c r="D11681" s="28"/>
      <c r="F11681" s="28"/>
      <c r="H11681" s="28"/>
    </row>
    <row r="11682" spans="4:8" x14ac:dyDescent="0.25">
      <c r="D11682" s="28"/>
      <c r="F11682" s="28"/>
      <c r="H11682" s="28"/>
    </row>
    <row r="11683" spans="4:8" x14ac:dyDescent="0.25">
      <c r="D11683" s="28"/>
      <c r="F11683" s="28"/>
      <c r="H11683" s="28"/>
    </row>
    <row r="11684" spans="4:8" x14ac:dyDescent="0.25">
      <c r="D11684" s="28"/>
      <c r="F11684" s="28"/>
      <c r="H11684" s="28"/>
    </row>
    <row r="11685" spans="4:8" x14ac:dyDescent="0.25">
      <c r="D11685" s="28"/>
      <c r="F11685" s="28"/>
      <c r="H11685" s="28"/>
    </row>
    <row r="11686" spans="4:8" x14ac:dyDescent="0.25">
      <c r="D11686" s="28"/>
      <c r="F11686" s="28"/>
      <c r="H11686" s="28"/>
    </row>
    <row r="11687" spans="4:8" x14ac:dyDescent="0.25">
      <c r="D11687" s="28"/>
      <c r="F11687" s="28"/>
      <c r="H11687" s="28"/>
    </row>
    <row r="11688" spans="4:8" x14ac:dyDescent="0.25">
      <c r="D11688" s="28"/>
      <c r="F11688" s="28"/>
      <c r="H11688" s="28"/>
    </row>
    <row r="11689" spans="4:8" x14ac:dyDescent="0.25">
      <c r="D11689" s="28"/>
      <c r="F11689" s="28"/>
      <c r="H11689" s="28"/>
    </row>
    <row r="11690" spans="4:8" x14ac:dyDescent="0.25">
      <c r="D11690" s="28"/>
      <c r="F11690" s="28"/>
      <c r="H11690" s="28"/>
    </row>
    <row r="11691" spans="4:8" x14ac:dyDescent="0.25">
      <c r="D11691" s="28"/>
      <c r="F11691" s="28"/>
      <c r="H11691" s="28"/>
    </row>
    <row r="11692" spans="4:8" x14ac:dyDescent="0.25">
      <c r="D11692" s="28"/>
      <c r="F11692" s="28"/>
      <c r="H11692" s="28"/>
    </row>
    <row r="11693" spans="4:8" x14ac:dyDescent="0.25">
      <c r="D11693" s="28"/>
      <c r="F11693" s="28"/>
      <c r="H11693" s="28"/>
    </row>
    <row r="11694" spans="4:8" x14ac:dyDescent="0.25">
      <c r="D11694" s="28"/>
      <c r="F11694" s="28"/>
      <c r="H11694" s="28"/>
    </row>
    <row r="11695" spans="4:8" x14ac:dyDescent="0.25">
      <c r="D11695" s="28"/>
      <c r="F11695" s="28"/>
      <c r="H11695" s="28"/>
    </row>
    <row r="11696" spans="4:8" x14ac:dyDescent="0.25">
      <c r="D11696" s="28"/>
      <c r="F11696" s="28"/>
      <c r="H11696" s="28"/>
    </row>
    <row r="11697" spans="4:8" x14ac:dyDescent="0.25">
      <c r="D11697" s="28"/>
      <c r="F11697" s="28"/>
      <c r="H11697" s="28"/>
    </row>
    <row r="11698" spans="4:8" x14ac:dyDescent="0.25">
      <c r="D11698" s="28"/>
      <c r="F11698" s="28"/>
      <c r="H11698" s="28"/>
    </row>
    <row r="11699" spans="4:8" x14ac:dyDescent="0.25">
      <c r="D11699" s="28"/>
      <c r="F11699" s="28"/>
      <c r="H11699" s="28"/>
    </row>
    <row r="11700" spans="4:8" x14ac:dyDescent="0.25">
      <c r="D11700" s="28"/>
      <c r="F11700" s="28"/>
      <c r="H11700" s="28"/>
    </row>
    <row r="11701" spans="4:8" x14ac:dyDescent="0.25">
      <c r="D11701" s="28"/>
      <c r="F11701" s="28"/>
      <c r="H11701" s="28"/>
    </row>
    <row r="11702" spans="4:8" x14ac:dyDescent="0.25">
      <c r="D11702" s="28"/>
      <c r="F11702" s="28"/>
      <c r="H11702" s="28"/>
    </row>
    <row r="11703" spans="4:8" x14ac:dyDescent="0.25">
      <c r="D11703" s="28"/>
      <c r="F11703" s="28"/>
      <c r="H11703" s="28"/>
    </row>
    <row r="11704" spans="4:8" x14ac:dyDescent="0.25">
      <c r="D11704" s="28"/>
      <c r="F11704" s="28"/>
      <c r="H11704" s="28"/>
    </row>
    <row r="11705" spans="4:8" x14ac:dyDescent="0.25">
      <c r="D11705" s="28"/>
      <c r="F11705" s="28"/>
      <c r="H11705" s="28"/>
    </row>
    <row r="11706" spans="4:8" x14ac:dyDescent="0.25">
      <c r="D11706" s="28"/>
      <c r="F11706" s="28"/>
      <c r="H11706" s="28"/>
    </row>
    <row r="11707" spans="4:8" x14ac:dyDescent="0.25">
      <c r="D11707" s="28"/>
      <c r="F11707" s="28"/>
      <c r="H11707" s="28"/>
    </row>
    <row r="11708" spans="4:8" x14ac:dyDescent="0.25">
      <c r="D11708" s="28"/>
      <c r="F11708" s="28"/>
      <c r="H11708" s="28"/>
    </row>
    <row r="11709" spans="4:8" x14ac:dyDescent="0.25">
      <c r="D11709" s="28"/>
      <c r="F11709" s="28"/>
      <c r="H11709" s="28"/>
    </row>
    <row r="11710" spans="4:8" x14ac:dyDescent="0.25">
      <c r="D11710" s="28"/>
      <c r="F11710" s="28"/>
      <c r="H11710" s="28"/>
    </row>
    <row r="11711" spans="4:8" x14ac:dyDescent="0.25">
      <c r="D11711" s="28"/>
      <c r="F11711" s="28"/>
      <c r="H11711" s="28"/>
    </row>
    <row r="11712" spans="4:8" x14ac:dyDescent="0.25">
      <c r="D11712" s="28"/>
      <c r="F11712" s="28"/>
      <c r="H11712" s="28"/>
    </row>
    <row r="11713" spans="4:8" x14ac:dyDescent="0.25">
      <c r="D11713" s="28"/>
      <c r="F11713" s="28"/>
      <c r="H11713" s="28"/>
    </row>
    <row r="11714" spans="4:8" x14ac:dyDescent="0.25">
      <c r="D11714" s="28"/>
      <c r="F11714" s="28"/>
      <c r="H11714" s="28"/>
    </row>
    <row r="11715" spans="4:8" x14ac:dyDescent="0.25">
      <c r="D11715" s="28"/>
      <c r="F11715" s="28"/>
      <c r="H11715" s="28"/>
    </row>
    <row r="11716" spans="4:8" x14ac:dyDescent="0.25">
      <c r="D11716" s="28"/>
      <c r="F11716" s="28"/>
      <c r="H11716" s="28"/>
    </row>
    <row r="11717" spans="4:8" x14ac:dyDescent="0.25">
      <c r="D11717" s="28"/>
      <c r="F11717" s="28"/>
      <c r="H11717" s="28"/>
    </row>
    <row r="11718" spans="4:8" x14ac:dyDescent="0.25">
      <c r="D11718" s="28"/>
      <c r="F11718" s="28"/>
      <c r="H11718" s="28"/>
    </row>
    <row r="11719" spans="4:8" x14ac:dyDescent="0.25">
      <c r="D11719" s="28"/>
      <c r="F11719" s="28"/>
      <c r="H11719" s="28"/>
    </row>
    <row r="11720" spans="4:8" x14ac:dyDescent="0.25">
      <c r="D11720" s="28"/>
      <c r="F11720" s="28"/>
      <c r="H11720" s="28"/>
    </row>
    <row r="11721" spans="4:8" x14ac:dyDescent="0.25">
      <c r="D11721" s="28"/>
      <c r="F11721" s="28"/>
      <c r="H11721" s="28"/>
    </row>
    <row r="11722" spans="4:8" x14ac:dyDescent="0.25">
      <c r="D11722" s="28"/>
      <c r="F11722" s="28"/>
      <c r="H11722" s="28"/>
    </row>
    <row r="11723" spans="4:8" x14ac:dyDescent="0.25">
      <c r="D11723" s="28"/>
      <c r="F11723" s="28"/>
      <c r="H11723" s="28"/>
    </row>
    <row r="11724" spans="4:8" x14ac:dyDescent="0.25">
      <c r="D11724" s="28"/>
      <c r="F11724" s="28"/>
      <c r="H11724" s="28"/>
    </row>
    <row r="11725" spans="4:8" x14ac:dyDescent="0.25">
      <c r="D11725" s="28"/>
      <c r="F11725" s="28"/>
      <c r="H11725" s="28"/>
    </row>
    <row r="11726" spans="4:8" x14ac:dyDescent="0.25">
      <c r="D11726" s="28"/>
      <c r="F11726" s="28"/>
      <c r="H11726" s="28"/>
    </row>
    <row r="11727" spans="4:8" x14ac:dyDescent="0.25">
      <c r="D11727" s="28"/>
      <c r="F11727" s="28"/>
      <c r="H11727" s="28"/>
    </row>
    <row r="11728" spans="4:8" x14ac:dyDescent="0.25">
      <c r="D11728" s="28"/>
      <c r="F11728" s="28"/>
      <c r="H11728" s="28"/>
    </row>
    <row r="11729" spans="4:8" x14ac:dyDescent="0.25">
      <c r="D11729" s="28"/>
      <c r="F11729" s="28"/>
      <c r="H11729" s="28"/>
    </row>
    <row r="11730" spans="4:8" x14ac:dyDescent="0.25">
      <c r="D11730" s="28"/>
      <c r="F11730" s="28"/>
      <c r="H11730" s="28"/>
    </row>
    <row r="11731" spans="4:8" x14ac:dyDescent="0.25">
      <c r="D11731" s="28"/>
      <c r="F11731" s="28"/>
      <c r="H11731" s="28"/>
    </row>
    <row r="11732" spans="4:8" x14ac:dyDescent="0.25">
      <c r="D11732" s="28"/>
      <c r="F11732" s="28"/>
      <c r="H11732" s="28"/>
    </row>
    <row r="11733" spans="4:8" x14ac:dyDescent="0.25">
      <c r="D11733" s="28"/>
      <c r="F11733" s="28"/>
      <c r="H11733" s="28"/>
    </row>
    <row r="11734" spans="4:8" x14ac:dyDescent="0.25">
      <c r="D11734" s="28"/>
      <c r="F11734" s="28"/>
      <c r="H11734" s="28"/>
    </row>
    <row r="11735" spans="4:8" x14ac:dyDescent="0.25">
      <c r="D11735" s="28"/>
      <c r="F11735" s="28"/>
      <c r="H11735" s="28"/>
    </row>
    <row r="11736" spans="4:8" x14ac:dyDescent="0.25">
      <c r="D11736" s="28"/>
      <c r="F11736" s="28"/>
      <c r="H11736" s="28"/>
    </row>
    <row r="11737" spans="4:8" x14ac:dyDescent="0.25">
      <c r="D11737" s="28"/>
      <c r="F11737" s="28"/>
      <c r="H11737" s="28"/>
    </row>
    <row r="11738" spans="4:8" x14ac:dyDescent="0.25">
      <c r="D11738" s="28"/>
      <c r="F11738" s="28"/>
      <c r="H11738" s="28"/>
    </row>
    <row r="11739" spans="4:8" x14ac:dyDescent="0.25">
      <c r="D11739" s="28"/>
      <c r="F11739" s="28"/>
      <c r="H11739" s="28"/>
    </row>
    <row r="11740" spans="4:8" x14ac:dyDescent="0.25">
      <c r="D11740" s="28"/>
      <c r="F11740" s="28"/>
      <c r="H11740" s="28"/>
    </row>
    <row r="11741" spans="4:8" x14ac:dyDescent="0.25">
      <c r="D11741" s="28"/>
      <c r="F11741" s="28"/>
      <c r="H11741" s="28"/>
    </row>
    <row r="11742" spans="4:8" x14ac:dyDescent="0.25">
      <c r="D11742" s="28"/>
      <c r="F11742" s="28"/>
      <c r="H11742" s="28"/>
    </row>
    <row r="11743" spans="4:8" x14ac:dyDescent="0.25">
      <c r="D11743" s="28"/>
      <c r="F11743" s="28"/>
      <c r="H11743" s="28"/>
    </row>
    <row r="11744" spans="4:8" x14ac:dyDescent="0.25">
      <c r="D11744" s="28"/>
      <c r="F11744" s="28"/>
      <c r="H11744" s="28"/>
    </row>
    <row r="11745" spans="4:8" x14ac:dyDescent="0.25">
      <c r="D11745" s="28"/>
      <c r="F11745" s="28"/>
      <c r="H11745" s="28"/>
    </row>
    <row r="11746" spans="4:8" x14ac:dyDescent="0.25">
      <c r="D11746" s="28"/>
      <c r="F11746" s="28"/>
      <c r="H11746" s="28"/>
    </row>
    <row r="11747" spans="4:8" x14ac:dyDescent="0.25">
      <c r="D11747" s="28"/>
      <c r="F11747" s="28"/>
      <c r="H11747" s="28"/>
    </row>
    <row r="11748" spans="4:8" x14ac:dyDescent="0.25">
      <c r="D11748" s="28"/>
      <c r="F11748" s="28"/>
      <c r="H11748" s="28"/>
    </row>
    <row r="11749" spans="4:8" x14ac:dyDescent="0.25">
      <c r="D11749" s="28"/>
      <c r="F11749" s="28"/>
      <c r="H11749" s="28"/>
    </row>
    <row r="11750" spans="4:8" x14ac:dyDescent="0.25">
      <c r="D11750" s="28"/>
      <c r="F11750" s="28"/>
      <c r="H11750" s="28"/>
    </row>
    <row r="11751" spans="4:8" x14ac:dyDescent="0.25">
      <c r="D11751" s="28"/>
      <c r="F11751" s="28"/>
      <c r="H11751" s="28"/>
    </row>
    <row r="11752" spans="4:8" x14ac:dyDescent="0.25">
      <c r="D11752" s="28"/>
      <c r="F11752" s="28"/>
      <c r="H11752" s="28"/>
    </row>
    <row r="11753" spans="4:8" x14ac:dyDescent="0.25">
      <c r="D11753" s="28"/>
      <c r="F11753" s="28"/>
      <c r="H11753" s="28"/>
    </row>
    <row r="11754" spans="4:8" x14ac:dyDescent="0.25">
      <c r="D11754" s="28"/>
      <c r="F11754" s="28"/>
      <c r="H11754" s="28"/>
    </row>
    <row r="11755" spans="4:8" x14ac:dyDescent="0.25">
      <c r="D11755" s="28"/>
      <c r="F11755" s="28"/>
      <c r="H11755" s="28"/>
    </row>
    <row r="11756" spans="4:8" x14ac:dyDescent="0.25">
      <c r="D11756" s="28"/>
      <c r="F11756" s="28"/>
      <c r="H11756" s="28"/>
    </row>
    <row r="11757" spans="4:8" x14ac:dyDescent="0.25">
      <c r="D11757" s="28"/>
      <c r="F11757" s="28"/>
      <c r="H11757" s="28"/>
    </row>
    <row r="11758" spans="4:8" x14ac:dyDescent="0.25">
      <c r="D11758" s="28"/>
      <c r="F11758" s="28"/>
      <c r="H11758" s="28"/>
    </row>
    <row r="11759" spans="4:8" x14ac:dyDescent="0.25">
      <c r="D11759" s="28"/>
      <c r="F11759" s="28"/>
      <c r="H11759" s="28"/>
    </row>
    <row r="11760" spans="4:8" x14ac:dyDescent="0.25">
      <c r="D11760" s="28"/>
      <c r="F11760" s="28"/>
      <c r="H11760" s="28"/>
    </row>
    <row r="11761" spans="4:8" x14ac:dyDescent="0.25">
      <c r="D11761" s="28"/>
      <c r="F11761" s="28"/>
      <c r="H11761" s="28"/>
    </row>
    <row r="11762" spans="4:8" x14ac:dyDescent="0.25">
      <c r="D11762" s="28"/>
      <c r="F11762" s="28"/>
      <c r="H11762" s="28"/>
    </row>
    <row r="11763" spans="4:8" x14ac:dyDescent="0.25">
      <c r="D11763" s="28"/>
      <c r="F11763" s="28"/>
      <c r="H11763" s="28"/>
    </row>
    <row r="11764" spans="4:8" x14ac:dyDescent="0.25">
      <c r="D11764" s="28"/>
      <c r="F11764" s="28"/>
      <c r="H11764" s="28"/>
    </row>
    <row r="11765" spans="4:8" x14ac:dyDescent="0.25">
      <c r="D11765" s="28"/>
      <c r="F11765" s="28"/>
      <c r="H11765" s="28"/>
    </row>
    <row r="11766" spans="4:8" x14ac:dyDescent="0.25">
      <c r="D11766" s="28"/>
      <c r="F11766" s="28"/>
      <c r="H11766" s="28"/>
    </row>
    <row r="11767" spans="4:8" x14ac:dyDescent="0.25">
      <c r="D11767" s="28"/>
      <c r="F11767" s="28"/>
      <c r="H11767" s="28"/>
    </row>
    <row r="11768" spans="4:8" x14ac:dyDescent="0.25">
      <c r="D11768" s="28"/>
      <c r="F11768" s="28"/>
      <c r="H11768" s="28"/>
    </row>
    <row r="11769" spans="4:8" x14ac:dyDescent="0.25">
      <c r="D11769" s="28"/>
      <c r="F11769" s="28"/>
      <c r="H11769" s="28"/>
    </row>
    <row r="11770" spans="4:8" x14ac:dyDescent="0.25">
      <c r="D11770" s="28"/>
      <c r="F11770" s="28"/>
      <c r="H11770" s="28"/>
    </row>
    <row r="11771" spans="4:8" x14ac:dyDescent="0.25">
      <c r="D11771" s="28"/>
      <c r="F11771" s="28"/>
      <c r="H11771" s="28"/>
    </row>
    <row r="11772" spans="4:8" x14ac:dyDescent="0.25">
      <c r="D11772" s="28"/>
      <c r="F11772" s="28"/>
      <c r="H11772" s="28"/>
    </row>
    <row r="11773" spans="4:8" x14ac:dyDescent="0.25">
      <c r="D11773" s="28"/>
      <c r="F11773" s="28"/>
      <c r="H11773" s="28"/>
    </row>
    <row r="11774" spans="4:8" x14ac:dyDescent="0.25">
      <c r="D11774" s="28"/>
      <c r="F11774" s="28"/>
      <c r="H11774" s="28"/>
    </row>
    <row r="11775" spans="4:8" x14ac:dyDescent="0.25">
      <c r="D11775" s="28"/>
      <c r="F11775" s="28"/>
      <c r="H11775" s="28"/>
    </row>
    <row r="11776" spans="4:8" x14ac:dyDescent="0.25">
      <c r="D11776" s="28"/>
      <c r="F11776" s="28"/>
      <c r="H11776" s="28"/>
    </row>
    <row r="11777" spans="4:8" x14ac:dyDescent="0.25">
      <c r="D11777" s="28"/>
      <c r="F11777" s="28"/>
      <c r="H11777" s="28"/>
    </row>
    <row r="11778" spans="4:8" x14ac:dyDescent="0.25">
      <c r="D11778" s="28"/>
      <c r="F11778" s="28"/>
      <c r="H11778" s="28"/>
    </row>
    <row r="11779" spans="4:8" x14ac:dyDescent="0.25">
      <c r="D11779" s="28"/>
      <c r="F11779" s="28"/>
      <c r="H11779" s="28"/>
    </row>
    <row r="11780" spans="4:8" x14ac:dyDescent="0.25">
      <c r="D11780" s="28"/>
      <c r="F11780" s="28"/>
      <c r="H11780" s="28"/>
    </row>
    <row r="11781" spans="4:8" x14ac:dyDescent="0.25">
      <c r="D11781" s="28"/>
      <c r="F11781" s="28"/>
      <c r="H11781" s="28"/>
    </row>
    <row r="11782" spans="4:8" x14ac:dyDescent="0.25">
      <c r="D11782" s="28"/>
      <c r="F11782" s="28"/>
      <c r="H11782" s="28"/>
    </row>
    <row r="11783" spans="4:8" x14ac:dyDescent="0.25">
      <c r="D11783" s="28"/>
      <c r="F11783" s="28"/>
      <c r="H11783" s="28"/>
    </row>
    <row r="11784" spans="4:8" x14ac:dyDescent="0.25">
      <c r="D11784" s="28"/>
      <c r="F11784" s="28"/>
      <c r="H11784" s="28"/>
    </row>
    <row r="11785" spans="4:8" x14ac:dyDescent="0.25">
      <c r="D11785" s="28"/>
      <c r="F11785" s="28"/>
      <c r="H11785" s="28"/>
    </row>
    <row r="11786" spans="4:8" x14ac:dyDescent="0.25">
      <c r="D11786" s="28"/>
      <c r="F11786" s="28"/>
      <c r="H11786" s="28"/>
    </row>
    <row r="11787" spans="4:8" x14ac:dyDescent="0.25">
      <c r="D11787" s="28"/>
      <c r="F11787" s="28"/>
      <c r="H11787" s="28"/>
    </row>
    <row r="11788" spans="4:8" x14ac:dyDescent="0.25">
      <c r="D11788" s="28"/>
      <c r="F11788" s="28"/>
      <c r="H11788" s="28"/>
    </row>
    <row r="11789" spans="4:8" x14ac:dyDescent="0.25">
      <c r="D11789" s="28"/>
      <c r="F11789" s="28"/>
      <c r="H11789" s="28"/>
    </row>
    <row r="11790" spans="4:8" x14ac:dyDescent="0.25">
      <c r="D11790" s="28"/>
      <c r="F11790" s="28"/>
      <c r="H11790" s="28"/>
    </row>
    <row r="11791" spans="4:8" x14ac:dyDescent="0.25">
      <c r="D11791" s="28"/>
      <c r="F11791" s="28"/>
      <c r="H11791" s="28"/>
    </row>
    <row r="11792" spans="4:8" x14ac:dyDescent="0.25">
      <c r="D11792" s="28"/>
      <c r="F11792" s="28"/>
      <c r="H11792" s="28"/>
    </row>
    <row r="11793" spans="4:8" x14ac:dyDescent="0.25">
      <c r="D11793" s="28"/>
      <c r="F11793" s="28"/>
      <c r="H11793" s="28"/>
    </row>
    <row r="11794" spans="4:8" x14ac:dyDescent="0.25">
      <c r="D11794" s="28"/>
      <c r="F11794" s="28"/>
      <c r="H11794" s="28"/>
    </row>
    <row r="11795" spans="4:8" x14ac:dyDescent="0.25">
      <c r="D11795" s="28"/>
      <c r="F11795" s="28"/>
      <c r="H11795" s="28"/>
    </row>
    <row r="11796" spans="4:8" x14ac:dyDescent="0.25">
      <c r="D11796" s="28"/>
      <c r="F11796" s="28"/>
      <c r="H11796" s="28"/>
    </row>
    <row r="11797" spans="4:8" x14ac:dyDescent="0.25">
      <c r="D11797" s="28"/>
      <c r="F11797" s="28"/>
      <c r="H11797" s="28"/>
    </row>
    <row r="11798" spans="4:8" x14ac:dyDescent="0.25">
      <c r="D11798" s="28"/>
      <c r="F11798" s="28"/>
      <c r="H11798" s="28"/>
    </row>
    <row r="11799" spans="4:8" x14ac:dyDescent="0.25">
      <c r="D11799" s="28"/>
      <c r="F11799" s="28"/>
      <c r="H11799" s="28"/>
    </row>
    <row r="11800" spans="4:8" x14ac:dyDescent="0.25">
      <c r="D11800" s="28"/>
      <c r="F11800" s="28"/>
      <c r="H11800" s="28"/>
    </row>
    <row r="11801" spans="4:8" x14ac:dyDescent="0.25">
      <c r="D11801" s="28"/>
      <c r="F11801" s="28"/>
      <c r="H11801" s="28"/>
    </row>
    <row r="11802" spans="4:8" x14ac:dyDescent="0.25">
      <c r="D11802" s="28"/>
      <c r="F11802" s="28"/>
      <c r="H11802" s="28"/>
    </row>
    <row r="11803" spans="4:8" x14ac:dyDescent="0.25">
      <c r="D11803" s="28"/>
      <c r="F11803" s="28"/>
      <c r="H11803" s="28"/>
    </row>
    <row r="11804" spans="4:8" x14ac:dyDescent="0.25">
      <c r="D11804" s="28"/>
      <c r="F11804" s="28"/>
      <c r="H11804" s="28"/>
    </row>
    <row r="11805" spans="4:8" x14ac:dyDescent="0.25">
      <c r="D11805" s="28"/>
      <c r="F11805" s="28"/>
      <c r="H11805" s="28"/>
    </row>
    <row r="11806" spans="4:8" x14ac:dyDescent="0.25">
      <c r="D11806" s="28"/>
      <c r="F11806" s="28"/>
      <c r="H11806" s="28"/>
    </row>
    <row r="11807" spans="4:8" x14ac:dyDescent="0.25">
      <c r="D11807" s="28"/>
      <c r="F11807" s="28"/>
      <c r="H11807" s="28"/>
    </row>
    <row r="11808" spans="4:8" x14ac:dyDescent="0.25">
      <c r="D11808" s="28"/>
      <c r="F11808" s="28"/>
      <c r="H11808" s="28"/>
    </row>
    <row r="11809" spans="4:8" x14ac:dyDescent="0.25">
      <c r="D11809" s="28"/>
      <c r="F11809" s="28"/>
      <c r="H11809" s="28"/>
    </row>
    <row r="11810" spans="4:8" x14ac:dyDescent="0.25">
      <c r="D11810" s="28"/>
      <c r="F11810" s="28"/>
      <c r="H11810" s="28"/>
    </row>
    <row r="11811" spans="4:8" x14ac:dyDescent="0.25">
      <c r="D11811" s="28"/>
      <c r="F11811" s="28"/>
      <c r="H11811" s="28"/>
    </row>
    <row r="11812" spans="4:8" x14ac:dyDescent="0.25">
      <c r="D11812" s="28"/>
      <c r="F11812" s="28"/>
      <c r="H11812" s="28"/>
    </row>
    <row r="11813" spans="4:8" x14ac:dyDescent="0.25">
      <c r="D11813" s="28"/>
      <c r="F11813" s="28"/>
      <c r="H11813" s="28"/>
    </row>
    <row r="11814" spans="4:8" x14ac:dyDescent="0.25">
      <c r="D11814" s="28"/>
      <c r="F11814" s="28"/>
      <c r="H11814" s="28"/>
    </row>
    <row r="11815" spans="4:8" x14ac:dyDescent="0.25">
      <c r="D11815" s="28"/>
      <c r="F11815" s="28"/>
      <c r="H11815" s="28"/>
    </row>
    <row r="11816" spans="4:8" x14ac:dyDescent="0.25">
      <c r="D11816" s="28"/>
      <c r="F11816" s="28"/>
      <c r="H11816" s="28"/>
    </row>
    <row r="11817" spans="4:8" x14ac:dyDescent="0.25">
      <c r="D11817" s="28"/>
      <c r="F11817" s="28"/>
      <c r="H11817" s="28"/>
    </row>
    <row r="11818" spans="4:8" x14ac:dyDescent="0.25">
      <c r="D11818" s="28"/>
      <c r="F11818" s="28"/>
      <c r="H11818" s="28"/>
    </row>
    <row r="11819" spans="4:8" x14ac:dyDescent="0.25">
      <c r="D11819" s="28"/>
      <c r="F11819" s="28"/>
      <c r="H11819" s="28"/>
    </row>
    <row r="11820" spans="4:8" x14ac:dyDescent="0.25">
      <c r="D11820" s="28"/>
      <c r="F11820" s="28"/>
      <c r="H11820" s="28"/>
    </row>
    <row r="11821" spans="4:8" x14ac:dyDescent="0.25">
      <c r="D11821" s="28"/>
      <c r="F11821" s="28"/>
      <c r="H11821" s="28"/>
    </row>
    <row r="11822" spans="4:8" x14ac:dyDescent="0.25">
      <c r="D11822" s="28"/>
      <c r="F11822" s="28"/>
      <c r="H11822" s="28"/>
    </row>
    <row r="11823" spans="4:8" x14ac:dyDescent="0.25">
      <c r="D11823" s="28"/>
      <c r="F11823" s="28"/>
      <c r="H11823" s="28"/>
    </row>
    <row r="11824" spans="4:8" x14ac:dyDescent="0.25">
      <c r="D11824" s="28"/>
      <c r="F11824" s="28"/>
      <c r="H11824" s="28"/>
    </row>
    <row r="11825" spans="4:8" x14ac:dyDescent="0.25">
      <c r="D11825" s="28"/>
      <c r="F11825" s="28"/>
      <c r="H11825" s="28"/>
    </row>
    <row r="11826" spans="4:8" x14ac:dyDescent="0.25">
      <c r="D11826" s="28"/>
      <c r="F11826" s="28"/>
      <c r="H11826" s="28"/>
    </row>
    <row r="11827" spans="4:8" x14ac:dyDescent="0.25">
      <c r="D11827" s="28"/>
      <c r="F11827" s="28"/>
      <c r="H11827" s="28"/>
    </row>
    <row r="11828" spans="4:8" x14ac:dyDescent="0.25">
      <c r="D11828" s="28"/>
      <c r="F11828" s="28"/>
      <c r="H11828" s="28"/>
    </row>
    <row r="11829" spans="4:8" x14ac:dyDescent="0.25">
      <c r="D11829" s="28"/>
      <c r="F11829" s="28"/>
      <c r="H11829" s="28"/>
    </row>
    <row r="11830" spans="4:8" x14ac:dyDescent="0.25">
      <c r="D11830" s="28"/>
      <c r="F11830" s="28"/>
      <c r="H11830" s="28"/>
    </row>
    <row r="11831" spans="4:8" x14ac:dyDescent="0.25">
      <c r="D11831" s="28"/>
      <c r="F11831" s="28"/>
      <c r="H11831" s="28"/>
    </row>
    <row r="11832" spans="4:8" x14ac:dyDescent="0.25">
      <c r="D11832" s="28"/>
      <c r="F11832" s="28"/>
      <c r="H11832" s="28"/>
    </row>
    <row r="11833" spans="4:8" x14ac:dyDescent="0.25">
      <c r="D11833" s="28"/>
      <c r="F11833" s="28"/>
      <c r="H11833" s="28"/>
    </row>
    <row r="11834" spans="4:8" x14ac:dyDescent="0.25">
      <c r="D11834" s="28"/>
      <c r="F11834" s="28"/>
      <c r="H11834" s="28"/>
    </row>
    <row r="11835" spans="4:8" x14ac:dyDescent="0.25">
      <c r="D11835" s="28"/>
      <c r="F11835" s="28"/>
      <c r="H11835" s="28"/>
    </row>
    <row r="11836" spans="4:8" x14ac:dyDescent="0.25">
      <c r="D11836" s="28"/>
      <c r="F11836" s="28"/>
      <c r="H11836" s="28"/>
    </row>
    <row r="11837" spans="4:8" x14ac:dyDescent="0.25">
      <c r="D11837" s="28"/>
      <c r="F11837" s="28"/>
      <c r="H11837" s="28"/>
    </row>
    <row r="11838" spans="4:8" x14ac:dyDescent="0.25">
      <c r="D11838" s="28"/>
      <c r="F11838" s="28"/>
      <c r="H11838" s="28"/>
    </row>
    <row r="11839" spans="4:8" x14ac:dyDescent="0.25">
      <c r="D11839" s="28"/>
      <c r="F11839" s="28"/>
      <c r="H11839" s="28"/>
    </row>
    <row r="11840" spans="4:8" x14ac:dyDescent="0.25">
      <c r="D11840" s="28"/>
      <c r="F11840" s="28"/>
      <c r="H11840" s="28"/>
    </row>
    <row r="11841" spans="4:8" x14ac:dyDescent="0.25">
      <c r="D11841" s="28"/>
      <c r="F11841" s="28"/>
      <c r="H11841" s="28"/>
    </row>
    <row r="11842" spans="4:8" x14ac:dyDescent="0.25">
      <c r="D11842" s="28"/>
      <c r="F11842" s="28"/>
      <c r="H11842" s="28"/>
    </row>
    <row r="11843" spans="4:8" x14ac:dyDescent="0.25">
      <c r="D11843" s="28"/>
      <c r="F11843" s="28"/>
      <c r="H11843" s="28"/>
    </row>
    <row r="11844" spans="4:8" x14ac:dyDescent="0.25">
      <c r="D11844" s="28"/>
      <c r="F11844" s="28"/>
      <c r="H11844" s="28"/>
    </row>
    <row r="11845" spans="4:8" x14ac:dyDescent="0.25">
      <c r="D11845" s="28"/>
      <c r="F11845" s="28"/>
      <c r="H11845" s="28"/>
    </row>
    <row r="11846" spans="4:8" x14ac:dyDescent="0.25">
      <c r="D11846" s="28"/>
      <c r="F11846" s="28"/>
      <c r="H11846" s="28"/>
    </row>
    <row r="11847" spans="4:8" x14ac:dyDescent="0.25">
      <c r="D11847" s="28"/>
      <c r="F11847" s="28"/>
      <c r="H11847" s="28"/>
    </row>
    <row r="11848" spans="4:8" x14ac:dyDescent="0.25">
      <c r="D11848" s="28"/>
      <c r="F11848" s="28"/>
      <c r="H11848" s="28"/>
    </row>
    <row r="11849" spans="4:8" x14ac:dyDescent="0.25">
      <c r="D11849" s="28"/>
      <c r="F11849" s="28"/>
      <c r="H11849" s="28"/>
    </row>
    <row r="11850" spans="4:8" x14ac:dyDescent="0.25">
      <c r="D11850" s="28"/>
      <c r="F11850" s="28"/>
      <c r="H11850" s="28"/>
    </row>
    <row r="11851" spans="4:8" x14ac:dyDescent="0.25">
      <c r="D11851" s="28"/>
      <c r="F11851" s="28"/>
      <c r="H11851" s="28"/>
    </row>
    <row r="11852" spans="4:8" x14ac:dyDescent="0.25">
      <c r="D11852" s="28"/>
      <c r="F11852" s="28"/>
      <c r="H11852" s="28"/>
    </row>
    <row r="11853" spans="4:8" x14ac:dyDescent="0.25">
      <c r="D11853" s="28"/>
      <c r="F11853" s="28"/>
      <c r="H11853" s="28"/>
    </row>
    <row r="11854" spans="4:8" x14ac:dyDescent="0.25">
      <c r="D11854" s="28"/>
      <c r="F11854" s="28"/>
      <c r="H11854" s="28"/>
    </row>
    <row r="11855" spans="4:8" x14ac:dyDescent="0.25">
      <c r="D11855" s="28"/>
      <c r="F11855" s="28"/>
      <c r="H11855" s="28"/>
    </row>
    <row r="11856" spans="4:8" x14ac:dyDescent="0.25">
      <c r="D11856" s="28"/>
      <c r="F11856" s="28"/>
      <c r="H11856" s="28"/>
    </row>
    <row r="11857" spans="4:8" x14ac:dyDescent="0.25">
      <c r="D11857" s="28"/>
      <c r="F11857" s="28"/>
      <c r="H11857" s="28"/>
    </row>
    <row r="11858" spans="4:8" x14ac:dyDescent="0.25">
      <c r="D11858" s="28"/>
      <c r="F11858" s="28"/>
      <c r="H11858" s="28"/>
    </row>
    <row r="11859" spans="4:8" x14ac:dyDescent="0.25">
      <c r="D11859" s="28"/>
      <c r="F11859" s="28"/>
      <c r="H11859" s="28"/>
    </row>
    <row r="11860" spans="4:8" x14ac:dyDescent="0.25">
      <c r="D11860" s="28"/>
      <c r="F11860" s="28"/>
      <c r="H11860" s="28"/>
    </row>
    <row r="11861" spans="4:8" x14ac:dyDescent="0.25">
      <c r="D11861" s="28"/>
      <c r="F11861" s="28"/>
      <c r="H11861" s="28"/>
    </row>
    <row r="11862" spans="4:8" x14ac:dyDescent="0.25">
      <c r="D11862" s="28"/>
      <c r="F11862" s="28"/>
      <c r="H11862" s="28"/>
    </row>
    <row r="11863" spans="4:8" x14ac:dyDescent="0.25">
      <c r="D11863" s="28"/>
      <c r="F11863" s="28"/>
      <c r="H11863" s="28"/>
    </row>
    <row r="11864" spans="4:8" x14ac:dyDescent="0.25">
      <c r="D11864" s="28"/>
      <c r="F11864" s="28"/>
      <c r="H11864" s="28"/>
    </row>
    <row r="11865" spans="4:8" x14ac:dyDescent="0.25">
      <c r="D11865" s="28"/>
      <c r="F11865" s="28"/>
      <c r="H11865" s="28"/>
    </row>
    <row r="11866" spans="4:8" x14ac:dyDescent="0.25">
      <c r="D11866" s="28"/>
      <c r="F11866" s="28"/>
      <c r="H11866" s="28"/>
    </row>
    <row r="11867" spans="4:8" x14ac:dyDescent="0.25">
      <c r="D11867" s="28"/>
      <c r="F11867" s="28"/>
      <c r="H11867" s="28"/>
    </row>
    <row r="11868" spans="4:8" x14ac:dyDescent="0.25">
      <c r="D11868" s="28"/>
      <c r="F11868" s="28"/>
      <c r="H11868" s="28"/>
    </row>
    <row r="11869" spans="4:8" x14ac:dyDescent="0.25">
      <c r="D11869" s="28"/>
      <c r="F11869" s="28"/>
      <c r="H11869" s="28"/>
    </row>
    <row r="11870" spans="4:8" x14ac:dyDescent="0.25">
      <c r="D11870" s="28"/>
      <c r="F11870" s="28"/>
      <c r="H11870" s="28"/>
    </row>
    <row r="11871" spans="4:8" x14ac:dyDescent="0.25">
      <c r="D11871" s="28"/>
      <c r="F11871" s="28"/>
      <c r="H11871" s="28"/>
    </row>
    <row r="11872" spans="4:8" x14ac:dyDescent="0.25">
      <c r="D11872" s="28"/>
      <c r="F11872" s="28"/>
      <c r="H11872" s="28"/>
    </row>
    <row r="11873" spans="4:8" x14ac:dyDescent="0.25">
      <c r="D11873" s="28"/>
      <c r="F11873" s="28"/>
      <c r="H11873" s="28"/>
    </row>
    <row r="11874" spans="4:8" x14ac:dyDescent="0.25">
      <c r="D11874" s="28"/>
      <c r="F11874" s="28"/>
      <c r="H11874" s="28"/>
    </row>
    <row r="11875" spans="4:8" x14ac:dyDescent="0.25">
      <c r="D11875" s="28"/>
      <c r="F11875" s="28"/>
      <c r="H11875" s="28"/>
    </row>
    <row r="11876" spans="4:8" x14ac:dyDescent="0.25">
      <c r="D11876" s="28"/>
      <c r="F11876" s="28"/>
      <c r="H11876" s="28"/>
    </row>
    <row r="11877" spans="4:8" x14ac:dyDescent="0.25">
      <c r="D11877" s="28"/>
      <c r="F11877" s="28"/>
      <c r="H11877" s="28"/>
    </row>
    <row r="11878" spans="4:8" x14ac:dyDescent="0.25">
      <c r="D11878" s="28"/>
      <c r="F11878" s="28"/>
      <c r="H11878" s="28"/>
    </row>
    <row r="11879" spans="4:8" x14ac:dyDescent="0.25">
      <c r="D11879" s="28"/>
      <c r="F11879" s="28"/>
      <c r="H11879" s="28"/>
    </row>
    <row r="11880" spans="4:8" x14ac:dyDescent="0.25">
      <c r="D11880" s="28"/>
      <c r="F11880" s="28"/>
      <c r="H11880" s="28"/>
    </row>
    <row r="11881" spans="4:8" x14ac:dyDescent="0.25">
      <c r="D11881" s="28"/>
      <c r="F11881" s="28"/>
      <c r="H11881" s="28"/>
    </row>
    <row r="11882" spans="4:8" x14ac:dyDescent="0.25">
      <c r="D11882" s="28"/>
      <c r="F11882" s="28"/>
      <c r="H11882" s="28"/>
    </row>
    <row r="11883" spans="4:8" x14ac:dyDescent="0.25">
      <c r="D11883" s="28"/>
      <c r="F11883" s="28"/>
      <c r="H11883" s="28"/>
    </row>
    <row r="11884" spans="4:8" x14ac:dyDescent="0.25">
      <c r="D11884" s="28"/>
      <c r="F11884" s="28"/>
      <c r="H11884" s="28"/>
    </row>
    <row r="11885" spans="4:8" x14ac:dyDescent="0.25">
      <c r="D11885" s="28"/>
      <c r="F11885" s="28"/>
      <c r="H11885" s="28"/>
    </row>
    <row r="11886" spans="4:8" x14ac:dyDescent="0.25">
      <c r="D11886" s="28"/>
      <c r="F11886" s="28"/>
      <c r="H11886" s="28"/>
    </row>
    <row r="11887" spans="4:8" x14ac:dyDescent="0.25">
      <c r="D11887" s="28"/>
      <c r="F11887" s="28"/>
      <c r="H11887" s="28"/>
    </row>
    <row r="11888" spans="4:8" x14ac:dyDescent="0.25">
      <c r="D11888" s="28"/>
      <c r="F11888" s="28"/>
      <c r="H11888" s="28"/>
    </row>
    <row r="11889" spans="4:8" x14ac:dyDescent="0.25">
      <c r="D11889" s="28"/>
      <c r="F11889" s="28"/>
      <c r="H11889" s="28"/>
    </row>
    <row r="11890" spans="4:8" x14ac:dyDescent="0.25">
      <c r="D11890" s="28"/>
      <c r="F11890" s="28"/>
      <c r="H11890" s="28"/>
    </row>
    <row r="11891" spans="4:8" x14ac:dyDescent="0.25">
      <c r="D11891" s="28"/>
      <c r="F11891" s="28"/>
      <c r="H11891" s="28"/>
    </row>
    <row r="11892" spans="4:8" x14ac:dyDescent="0.25">
      <c r="D11892" s="28"/>
      <c r="F11892" s="28"/>
      <c r="H11892" s="28"/>
    </row>
    <row r="11893" spans="4:8" x14ac:dyDescent="0.25">
      <c r="D11893" s="28"/>
      <c r="F11893" s="28"/>
      <c r="H11893" s="28"/>
    </row>
    <row r="11894" spans="4:8" x14ac:dyDescent="0.25">
      <c r="D11894" s="28"/>
      <c r="F11894" s="28"/>
      <c r="H11894" s="28"/>
    </row>
    <row r="11895" spans="4:8" x14ac:dyDescent="0.25">
      <c r="D11895" s="28"/>
      <c r="F11895" s="28"/>
      <c r="H11895" s="28"/>
    </row>
    <row r="11896" spans="4:8" x14ac:dyDescent="0.25">
      <c r="D11896" s="28"/>
      <c r="F11896" s="28"/>
      <c r="H11896" s="28"/>
    </row>
    <row r="11897" spans="4:8" x14ac:dyDescent="0.25">
      <c r="D11897" s="28"/>
      <c r="F11897" s="28"/>
      <c r="H11897" s="28"/>
    </row>
    <row r="11898" spans="4:8" x14ac:dyDescent="0.25">
      <c r="D11898" s="28"/>
      <c r="F11898" s="28"/>
      <c r="H11898" s="28"/>
    </row>
    <row r="11899" spans="4:8" x14ac:dyDescent="0.25">
      <c r="D11899" s="28"/>
      <c r="F11899" s="28"/>
      <c r="H11899" s="28"/>
    </row>
    <row r="11900" spans="4:8" x14ac:dyDescent="0.25">
      <c r="D11900" s="28"/>
      <c r="F11900" s="28"/>
      <c r="H11900" s="28"/>
    </row>
    <row r="11901" spans="4:8" x14ac:dyDescent="0.25">
      <c r="D11901" s="28"/>
      <c r="F11901" s="28"/>
      <c r="H11901" s="28"/>
    </row>
    <row r="11902" spans="4:8" x14ac:dyDescent="0.25">
      <c r="D11902" s="28"/>
      <c r="F11902" s="28"/>
      <c r="H11902" s="28"/>
    </row>
    <row r="11903" spans="4:8" x14ac:dyDescent="0.25">
      <c r="D11903" s="28"/>
      <c r="F11903" s="28"/>
      <c r="H11903" s="28"/>
    </row>
    <row r="11904" spans="4:8" x14ac:dyDescent="0.25">
      <c r="D11904" s="28"/>
      <c r="F11904" s="28"/>
      <c r="H11904" s="28"/>
    </row>
    <row r="11905" spans="4:8" x14ac:dyDescent="0.25">
      <c r="D11905" s="28"/>
      <c r="F11905" s="28"/>
      <c r="H11905" s="28"/>
    </row>
    <row r="11906" spans="4:8" x14ac:dyDescent="0.25">
      <c r="D11906" s="28"/>
      <c r="F11906" s="28"/>
      <c r="H11906" s="28"/>
    </row>
    <row r="11907" spans="4:8" x14ac:dyDescent="0.25">
      <c r="D11907" s="28"/>
      <c r="F11907" s="28"/>
      <c r="H11907" s="28"/>
    </row>
    <row r="11908" spans="4:8" x14ac:dyDescent="0.25">
      <c r="D11908" s="28"/>
      <c r="F11908" s="28"/>
      <c r="H11908" s="28"/>
    </row>
    <row r="11909" spans="4:8" x14ac:dyDescent="0.25">
      <c r="D11909" s="28"/>
      <c r="F11909" s="28"/>
      <c r="H11909" s="28"/>
    </row>
    <row r="11910" spans="4:8" x14ac:dyDescent="0.25">
      <c r="D11910" s="28"/>
      <c r="F11910" s="28"/>
      <c r="H11910" s="28"/>
    </row>
    <row r="11911" spans="4:8" x14ac:dyDescent="0.25">
      <c r="D11911" s="28"/>
      <c r="F11911" s="28"/>
      <c r="H11911" s="28"/>
    </row>
    <row r="11912" spans="4:8" x14ac:dyDescent="0.25">
      <c r="D11912" s="28"/>
      <c r="F11912" s="28"/>
      <c r="H11912" s="28"/>
    </row>
    <row r="11913" spans="4:8" x14ac:dyDescent="0.25">
      <c r="D11913" s="28"/>
      <c r="F11913" s="28"/>
      <c r="H11913" s="28"/>
    </row>
    <row r="11914" spans="4:8" x14ac:dyDescent="0.25">
      <c r="D11914" s="28"/>
      <c r="F11914" s="28"/>
      <c r="H11914" s="28"/>
    </row>
    <row r="11915" spans="4:8" x14ac:dyDescent="0.25">
      <c r="D11915" s="28"/>
      <c r="F11915" s="28"/>
      <c r="H11915" s="28"/>
    </row>
    <row r="11916" spans="4:8" x14ac:dyDescent="0.25">
      <c r="D11916" s="28"/>
      <c r="F11916" s="28"/>
      <c r="H11916" s="28"/>
    </row>
    <row r="11917" spans="4:8" x14ac:dyDescent="0.25">
      <c r="D11917" s="28"/>
      <c r="F11917" s="28"/>
      <c r="H11917" s="28"/>
    </row>
    <row r="11918" spans="4:8" x14ac:dyDescent="0.25">
      <c r="D11918" s="28"/>
      <c r="F11918" s="28"/>
      <c r="H11918" s="28"/>
    </row>
    <row r="11919" spans="4:8" x14ac:dyDescent="0.25">
      <c r="D11919" s="28"/>
      <c r="F11919" s="28"/>
      <c r="H11919" s="28"/>
    </row>
    <row r="11920" spans="4:8" x14ac:dyDescent="0.25">
      <c r="D11920" s="28"/>
      <c r="F11920" s="28"/>
      <c r="H11920" s="28"/>
    </row>
    <row r="11921" spans="4:8" x14ac:dyDescent="0.25">
      <c r="D11921" s="28"/>
      <c r="F11921" s="28"/>
      <c r="H11921" s="28"/>
    </row>
    <row r="11922" spans="4:8" x14ac:dyDescent="0.25">
      <c r="D11922" s="28"/>
      <c r="F11922" s="28"/>
      <c r="H11922" s="28"/>
    </row>
    <row r="11923" spans="4:8" x14ac:dyDescent="0.25">
      <c r="D11923" s="28"/>
      <c r="F11923" s="28"/>
      <c r="H11923" s="28"/>
    </row>
    <row r="11924" spans="4:8" x14ac:dyDescent="0.25">
      <c r="D11924" s="28"/>
      <c r="F11924" s="28"/>
      <c r="H11924" s="28"/>
    </row>
    <row r="11925" spans="4:8" x14ac:dyDescent="0.25">
      <c r="D11925" s="28"/>
      <c r="F11925" s="28"/>
      <c r="H11925" s="28"/>
    </row>
    <row r="11926" spans="4:8" x14ac:dyDescent="0.25">
      <c r="D11926" s="28"/>
      <c r="F11926" s="28"/>
      <c r="H11926" s="28"/>
    </row>
    <row r="11927" spans="4:8" x14ac:dyDescent="0.25">
      <c r="D11927" s="28"/>
      <c r="F11927" s="28"/>
      <c r="H11927" s="28"/>
    </row>
    <row r="11928" spans="4:8" x14ac:dyDescent="0.25">
      <c r="D11928" s="28"/>
      <c r="F11928" s="28"/>
      <c r="H11928" s="28"/>
    </row>
    <row r="11929" spans="4:8" x14ac:dyDescent="0.25">
      <c r="D11929" s="28"/>
      <c r="F11929" s="28"/>
      <c r="H11929" s="28"/>
    </row>
    <row r="11930" spans="4:8" x14ac:dyDescent="0.25">
      <c r="D11930" s="28"/>
      <c r="F11930" s="28"/>
      <c r="H11930" s="28"/>
    </row>
    <row r="11931" spans="4:8" x14ac:dyDescent="0.25">
      <c r="D11931" s="28"/>
      <c r="F11931" s="28"/>
      <c r="H11931" s="28"/>
    </row>
    <row r="11932" spans="4:8" x14ac:dyDescent="0.25">
      <c r="D11932" s="28"/>
      <c r="F11932" s="28"/>
      <c r="H11932" s="28"/>
    </row>
    <row r="11933" spans="4:8" x14ac:dyDescent="0.25">
      <c r="D11933" s="28"/>
      <c r="F11933" s="28"/>
      <c r="H11933" s="28"/>
    </row>
    <row r="11934" spans="4:8" x14ac:dyDescent="0.25">
      <c r="D11934" s="28"/>
      <c r="F11934" s="28"/>
      <c r="H11934" s="28"/>
    </row>
    <row r="11935" spans="4:8" x14ac:dyDescent="0.25">
      <c r="D11935" s="28"/>
      <c r="F11935" s="28"/>
      <c r="H11935" s="28"/>
    </row>
    <row r="11936" spans="4:8" x14ac:dyDescent="0.25">
      <c r="D11936" s="28"/>
      <c r="F11936" s="28"/>
      <c r="H11936" s="28"/>
    </row>
    <row r="11937" spans="4:8" x14ac:dyDescent="0.25">
      <c r="D11937" s="28"/>
      <c r="F11937" s="28"/>
      <c r="H11937" s="28"/>
    </row>
    <row r="11938" spans="4:8" x14ac:dyDescent="0.25">
      <c r="D11938" s="28"/>
      <c r="F11938" s="28"/>
      <c r="H11938" s="28"/>
    </row>
    <row r="11939" spans="4:8" x14ac:dyDescent="0.25">
      <c r="D11939" s="28"/>
      <c r="F11939" s="28"/>
      <c r="H11939" s="28"/>
    </row>
    <row r="11940" spans="4:8" x14ac:dyDescent="0.25">
      <c r="D11940" s="28"/>
      <c r="F11940" s="28"/>
      <c r="H11940" s="28"/>
    </row>
    <row r="11941" spans="4:8" x14ac:dyDescent="0.25">
      <c r="D11941" s="28"/>
      <c r="F11941" s="28"/>
      <c r="H11941" s="28"/>
    </row>
    <row r="11942" spans="4:8" x14ac:dyDescent="0.25">
      <c r="D11942" s="28"/>
      <c r="F11942" s="28"/>
      <c r="H11942" s="28"/>
    </row>
    <row r="11943" spans="4:8" x14ac:dyDescent="0.25">
      <c r="D11943" s="28"/>
      <c r="F11943" s="28"/>
      <c r="H11943" s="28"/>
    </row>
    <row r="11944" spans="4:8" x14ac:dyDescent="0.25">
      <c r="D11944" s="28"/>
      <c r="F11944" s="28"/>
      <c r="H11944" s="28"/>
    </row>
    <row r="11945" spans="4:8" x14ac:dyDescent="0.25">
      <c r="D11945" s="28"/>
      <c r="F11945" s="28"/>
      <c r="H11945" s="28"/>
    </row>
    <row r="11946" spans="4:8" x14ac:dyDescent="0.25">
      <c r="D11946" s="28"/>
      <c r="F11946" s="28"/>
      <c r="H11946" s="28"/>
    </row>
    <row r="11947" spans="4:8" x14ac:dyDescent="0.25">
      <c r="D11947" s="28"/>
      <c r="F11947" s="28"/>
      <c r="H11947" s="28"/>
    </row>
    <row r="11948" spans="4:8" x14ac:dyDescent="0.25">
      <c r="D11948" s="28"/>
      <c r="F11948" s="28"/>
      <c r="H11948" s="28"/>
    </row>
    <row r="11949" spans="4:8" x14ac:dyDescent="0.25">
      <c r="D11949" s="28"/>
      <c r="F11949" s="28"/>
      <c r="H11949" s="28"/>
    </row>
    <row r="11950" spans="4:8" x14ac:dyDescent="0.25">
      <c r="D11950" s="28"/>
      <c r="F11950" s="28"/>
      <c r="H11950" s="28"/>
    </row>
    <row r="11951" spans="4:8" x14ac:dyDescent="0.25">
      <c r="D11951" s="28"/>
      <c r="F11951" s="28"/>
      <c r="H11951" s="28"/>
    </row>
    <row r="11952" spans="4:8" x14ac:dyDescent="0.25">
      <c r="D11952" s="28"/>
      <c r="F11952" s="28"/>
      <c r="H11952" s="28"/>
    </row>
    <row r="11953" spans="4:8" x14ac:dyDescent="0.25">
      <c r="D11953" s="28"/>
      <c r="F11953" s="28"/>
      <c r="H11953" s="28"/>
    </row>
    <row r="11954" spans="4:8" x14ac:dyDescent="0.25">
      <c r="D11954" s="28"/>
      <c r="F11954" s="28"/>
      <c r="H11954" s="28"/>
    </row>
    <row r="11955" spans="4:8" x14ac:dyDescent="0.25">
      <c r="D11955" s="28"/>
      <c r="F11955" s="28"/>
      <c r="H11955" s="28"/>
    </row>
    <row r="11956" spans="4:8" x14ac:dyDescent="0.25">
      <c r="D11956" s="28"/>
      <c r="F11956" s="28"/>
      <c r="H11956" s="28"/>
    </row>
    <row r="11957" spans="4:8" x14ac:dyDescent="0.25">
      <c r="D11957" s="28"/>
      <c r="F11957" s="28"/>
      <c r="H11957" s="28"/>
    </row>
    <row r="11958" spans="4:8" x14ac:dyDescent="0.25">
      <c r="D11958" s="28"/>
      <c r="F11958" s="28"/>
      <c r="H11958" s="28"/>
    </row>
    <row r="11959" spans="4:8" x14ac:dyDescent="0.25">
      <c r="D11959" s="28"/>
      <c r="F11959" s="28"/>
      <c r="H11959" s="28"/>
    </row>
    <row r="11960" spans="4:8" x14ac:dyDescent="0.25">
      <c r="D11960" s="28"/>
      <c r="F11960" s="28"/>
      <c r="H11960" s="28"/>
    </row>
    <row r="11961" spans="4:8" x14ac:dyDescent="0.25">
      <c r="D11961" s="28"/>
      <c r="F11961" s="28"/>
      <c r="H11961" s="28"/>
    </row>
    <row r="11962" spans="4:8" x14ac:dyDescent="0.25">
      <c r="D11962" s="28"/>
      <c r="F11962" s="28"/>
      <c r="H11962" s="28"/>
    </row>
    <row r="11963" spans="4:8" x14ac:dyDescent="0.25">
      <c r="D11963" s="28"/>
      <c r="F11963" s="28"/>
      <c r="H11963" s="28"/>
    </row>
    <row r="11964" spans="4:8" x14ac:dyDescent="0.25">
      <c r="D11964" s="28"/>
      <c r="F11964" s="28"/>
      <c r="H11964" s="28"/>
    </row>
    <row r="11965" spans="4:8" x14ac:dyDescent="0.25">
      <c r="D11965" s="28"/>
      <c r="F11965" s="28"/>
      <c r="H11965" s="28"/>
    </row>
    <row r="11966" spans="4:8" x14ac:dyDescent="0.25">
      <c r="D11966" s="28"/>
      <c r="F11966" s="28"/>
      <c r="H11966" s="28"/>
    </row>
    <row r="11967" spans="4:8" x14ac:dyDescent="0.25">
      <c r="D11967" s="28"/>
      <c r="F11967" s="28"/>
      <c r="H11967" s="28"/>
    </row>
    <row r="11968" spans="4:8" x14ac:dyDescent="0.25">
      <c r="D11968" s="28"/>
      <c r="F11968" s="28"/>
      <c r="H11968" s="28"/>
    </row>
    <row r="11969" spans="4:8" x14ac:dyDescent="0.25">
      <c r="D11969" s="28"/>
      <c r="F11969" s="28"/>
      <c r="H11969" s="28"/>
    </row>
    <row r="11970" spans="4:8" x14ac:dyDescent="0.25">
      <c r="D11970" s="28"/>
      <c r="F11970" s="28"/>
      <c r="H11970" s="28"/>
    </row>
    <row r="11971" spans="4:8" x14ac:dyDescent="0.25">
      <c r="D11971" s="28"/>
      <c r="F11971" s="28"/>
      <c r="H11971" s="28"/>
    </row>
    <row r="11972" spans="4:8" x14ac:dyDescent="0.25">
      <c r="D11972" s="28"/>
      <c r="F11972" s="28"/>
      <c r="H11972" s="28"/>
    </row>
    <row r="11973" spans="4:8" x14ac:dyDescent="0.25">
      <c r="D11973" s="28"/>
      <c r="F11973" s="28"/>
      <c r="H11973" s="28"/>
    </row>
    <row r="11974" spans="4:8" x14ac:dyDescent="0.25">
      <c r="D11974" s="28"/>
      <c r="F11974" s="28"/>
      <c r="H11974" s="28"/>
    </row>
    <row r="11975" spans="4:8" x14ac:dyDescent="0.25">
      <c r="D11975" s="28"/>
      <c r="F11975" s="28"/>
      <c r="H11975" s="28"/>
    </row>
    <row r="11976" spans="4:8" x14ac:dyDescent="0.25">
      <c r="D11976" s="28"/>
      <c r="F11976" s="28"/>
      <c r="H11976" s="28"/>
    </row>
    <row r="11977" spans="4:8" x14ac:dyDescent="0.25">
      <c r="D11977" s="28"/>
      <c r="F11977" s="28"/>
      <c r="H11977" s="28"/>
    </row>
    <row r="11978" spans="4:8" x14ac:dyDescent="0.25">
      <c r="D11978" s="28"/>
      <c r="F11978" s="28"/>
      <c r="H11978" s="28"/>
    </row>
    <row r="11979" spans="4:8" x14ac:dyDescent="0.25">
      <c r="D11979" s="28"/>
      <c r="F11979" s="28"/>
      <c r="H11979" s="28"/>
    </row>
    <row r="11980" spans="4:8" x14ac:dyDescent="0.25">
      <c r="D11980" s="28"/>
      <c r="F11980" s="28"/>
      <c r="H11980" s="28"/>
    </row>
    <row r="11981" spans="4:8" x14ac:dyDescent="0.25">
      <c r="D11981" s="28"/>
      <c r="F11981" s="28"/>
      <c r="H11981" s="28"/>
    </row>
    <row r="11982" spans="4:8" x14ac:dyDescent="0.25">
      <c r="D11982" s="28"/>
      <c r="F11982" s="28"/>
      <c r="H11982" s="28"/>
    </row>
    <row r="11983" spans="4:8" x14ac:dyDescent="0.25">
      <c r="D11983" s="28"/>
      <c r="F11983" s="28"/>
      <c r="H11983" s="28"/>
    </row>
    <row r="11984" spans="4:8" x14ac:dyDescent="0.25">
      <c r="D11984" s="28"/>
      <c r="F11984" s="28"/>
      <c r="H11984" s="28"/>
    </row>
    <row r="11985" spans="4:8" x14ac:dyDescent="0.25">
      <c r="D11985" s="28"/>
      <c r="F11985" s="28"/>
      <c r="H11985" s="28"/>
    </row>
    <row r="11986" spans="4:8" x14ac:dyDescent="0.25">
      <c r="D11986" s="28"/>
      <c r="F11986" s="28"/>
      <c r="H11986" s="28"/>
    </row>
    <row r="11987" spans="4:8" x14ac:dyDescent="0.25">
      <c r="D11987" s="28"/>
      <c r="F11987" s="28"/>
      <c r="H11987" s="28"/>
    </row>
    <row r="11988" spans="4:8" x14ac:dyDescent="0.25">
      <c r="D11988" s="28"/>
      <c r="F11988" s="28"/>
      <c r="H11988" s="28"/>
    </row>
    <row r="11989" spans="4:8" x14ac:dyDescent="0.25">
      <c r="D11989" s="28"/>
      <c r="F11989" s="28"/>
      <c r="H11989" s="28"/>
    </row>
    <row r="11990" spans="4:8" x14ac:dyDescent="0.25">
      <c r="D11990" s="28"/>
      <c r="F11990" s="28"/>
      <c r="H11990" s="28"/>
    </row>
    <row r="11991" spans="4:8" x14ac:dyDescent="0.25">
      <c r="D11991" s="28"/>
      <c r="F11991" s="28"/>
      <c r="H11991" s="28"/>
    </row>
    <row r="11992" spans="4:8" x14ac:dyDescent="0.25">
      <c r="D11992" s="28"/>
      <c r="F11992" s="28"/>
      <c r="H11992" s="28"/>
    </row>
    <row r="11993" spans="4:8" x14ac:dyDescent="0.25">
      <c r="D11993" s="28"/>
      <c r="F11993" s="28"/>
      <c r="H11993" s="28"/>
    </row>
    <row r="11994" spans="4:8" x14ac:dyDescent="0.25">
      <c r="D11994" s="28"/>
      <c r="F11994" s="28"/>
      <c r="H11994" s="28"/>
    </row>
    <row r="11995" spans="4:8" x14ac:dyDescent="0.25">
      <c r="D11995" s="28"/>
      <c r="F11995" s="28"/>
      <c r="H11995" s="28"/>
    </row>
    <row r="11996" spans="4:8" x14ac:dyDescent="0.25">
      <c r="D11996" s="28"/>
      <c r="F11996" s="28"/>
      <c r="H11996" s="28"/>
    </row>
    <row r="11997" spans="4:8" x14ac:dyDescent="0.25">
      <c r="D11997" s="28"/>
      <c r="F11997" s="28"/>
      <c r="H11997" s="28"/>
    </row>
    <row r="11998" spans="4:8" x14ac:dyDescent="0.25">
      <c r="D11998" s="28"/>
      <c r="F11998" s="28"/>
      <c r="H11998" s="28"/>
    </row>
    <row r="11999" spans="4:8" x14ac:dyDescent="0.25">
      <c r="D11999" s="28"/>
      <c r="F11999" s="28"/>
      <c r="H11999" s="28"/>
    </row>
    <row r="12000" spans="4:8" x14ac:dyDescent="0.25">
      <c r="D12000" s="28"/>
      <c r="F12000" s="28"/>
      <c r="H12000" s="28"/>
    </row>
    <row r="12001" spans="4:8" x14ac:dyDescent="0.25">
      <c r="D12001" s="28"/>
      <c r="F12001" s="28"/>
      <c r="H12001" s="28"/>
    </row>
    <row r="12002" spans="4:8" x14ac:dyDescent="0.25">
      <c r="D12002" s="28"/>
      <c r="F12002" s="28"/>
      <c r="H12002" s="28"/>
    </row>
    <row r="12003" spans="4:8" x14ac:dyDescent="0.25">
      <c r="D12003" s="28"/>
      <c r="F12003" s="28"/>
      <c r="H12003" s="28"/>
    </row>
    <row r="12004" spans="4:8" x14ac:dyDescent="0.25">
      <c r="D12004" s="28"/>
      <c r="F12004" s="28"/>
      <c r="H12004" s="28"/>
    </row>
    <row r="12005" spans="4:8" x14ac:dyDescent="0.25">
      <c r="D12005" s="28"/>
      <c r="F12005" s="28"/>
      <c r="H12005" s="28"/>
    </row>
    <row r="12006" spans="4:8" x14ac:dyDescent="0.25">
      <c r="D12006" s="28"/>
      <c r="F12006" s="28"/>
      <c r="H12006" s="28"/>
    </row>
    <row r="12007" spans="4:8" x14ac:dyDescent="0.25">
      <c r="D12007" s="28"/>
      <c r="F12007" s="28"/>
      <c r="H12007" s="28"/>
    </row>
    <row r="12008" spans="4:8" x14ac:dyDescent="0.25">
      <c r="D12008" s="28"/>
      <c r="F12008" s="28"/>
      <c r="H12008" s="28"/>
    </row>
    <row r="12009" spans="4:8" x14ac:dyDescent="0.25">
      <c r="D12009" s="28"/>
      <c r="F12009" s="28"/>
      <c r="H12009" s="28"/>
    </row>
    <row r="12010" spans="4:8" x14ac:dyDescent="0.25">
      <c r="D12010" s="28"/>
      <c r="F12010" s="28"/>
      <c r="H12010" s="28"/>
    </row>
    <row r="12011" spans="4:8" x14ac:dyDescent="0.25">
      <c r="D12011" s="28"/>
      <c r="F12011" s="28"/>
      <c r="H12011" s="28"/>
    </row>
    <row r="12012" spans="4:8" x14ac:dyDescent="0.25">
      <c r="D12012" s="28"/>
      <c r="F12012" s="28"/>
      <c r="H12012" s="28"/>
    </row>
    <row r="12013" spans="4:8" x14ac:dyDescent="0.25">
      <c r="D12013" s="28"/>
      <c r="F12013" s="28"/>
      <c r="H12013" s="28"/>
    </row>
    <row r="12014" spans="4:8" x14ac:dyDescent="0.25">
      <c r="D12014" s="28"/>
      <c r="F12014" s="28"/>
      <c r="H12014" s="28"/>
    </row>
    <row r="12015" spans="4:8" x14ac:dyDescent="0.25">
      <c r="D12015" s="28"/>
      <c r="F12015" s="28"/>
      <c r="H12015" s="28"/>
    </row>
    <row r="12016" spans="4:8" x14ac:dyDescent="0.25">
      <c r="D12016" s="28"/>
      <c r="F12016" s="28"/>
      <c r="H12016" s="28"/>
    </row>
    <row r="12017" spans="4:8" x14ac:dyDescent="0.25">
      <c r="D12017" s="28"/>
      <c r="F12017" s="28"/>
      <c r="H12017" s="28"/>
    </row>
    <row r="12018" spans="4:8" x14ac:dyDescent="0.25">
      <c r="D12018" s="28"/>
      <c r="F12018" s="28"/>
      <c r="H12018" s="28"/>
    </row>
    <row r="12019" spans="4:8" x14ac:dyDescent="0.25">
      <c r="D12019" s="28"/>
      <c r="F12019" s="28"/>
      <c r="H12019" s="28"/>
    </row>
    <row r="12020" spans="4:8" x14ac:dyDescent="0.25">
      <c r="D12020" s="28"/>
      <c r="F12020" s="28"/>
      <c r="H12020" s="28"/>
    </row>
    <row r="12021" spans="4:8" x14ac:dyDescent="0.25">
      <c r="D12021" s="28"/>
      <c r="F12021" s="28"/>
      <c r="H12021" s="28"/>
    </row>
    <row r="12022" spans="4:8" x14ac:dyDescent="0.25">
      <c r="D12022" s="28"/>
      <c r="F12022" s="28"/>
      <c r="H12022" s="28"/>
    </row>
    <row r="12023" spans="4:8" x14ac:dyDescent="0.25">
      <c r="D12023" s="28"/>
      <c r="F12023" s="28"/>
      <c r="H12023" s="28"/>
    </row>
    <row r="12024" spans="4:8" x14ac:dyDescent="0.25">
      <c r="D12024" s="28"/>
      <c r="F12024" s="28"/>
      <c r="H12024" s="28"/>
    </row>
    <row r="12025" spans="4:8" x14ac:dyDescent="0.25">
      <c r="D12025" s="28"/>
      <c r="F12025" s="28"/>
      <c r="H12025" s="28"/>
    </row>
    <row r="12026" spans="4:8" x14ac:dyDescent="0.25">
      <c r="D12026" s="28"/>
      <c r="F12026" s="28"/>
      <c r="H12026" s="28"/>
    </row>
    <row r="12027" spans="4:8" x14ac:dyDescent="0.25">
      <c r="D12027" s="28"/>
      <c r="F12027" s="28"/>
      <c r="H12027" s="28"/>
    </row>
    <row r="12028" spans="4:8" x14ac:dyDescent="0.25">
      <c r="D12028" s="28"/>
      <c r="F12028" s="28"/>
      <c r="H12028" s="28"/>
    </row>
    <row r="12029" spans="4:8" x14ac:dyDescent="0.25">
      <c r="D12029" s="28"/>
      <c r="F12029" s="28"/>
      <c r="H12029" s="28"/>
    </row>
    <row r="12030" spans="4:8" x14ac:dyDescent="0.25">
      <c r="D12030" s="28"/>
      <c r="F12030" s="28"/>
      <c r="H12030" s="28"/>
    </row>
    <row r="12031" spans="4:8" x14ac:dyDescent="0.25">
      <c r="D12031" s="28"/>
      <c r="F12031" s="28"/>
      <c r="H12031" s="28"/>
    </row>
    <row r="12032" spans="4:8" x14ac:dyDescent="0.25">
      <c r="D12032" s="28"/>
      <c r="F12032" s="28"/>
      <c r="H12032" s="28"/>
    </row>
    <row r="12033" spans="4:8" x14ac:dyDescent="0.25">
      <c r="D12033" s="28"/>
      <c r="F12033" s="28"/>
      <c r="H12033" s="28"/>
    </row>
    <row r="12034" spans="4:8" x14ac:dyDescent="0.25">
      <c r="D12034" s="28"/>
      <c r="F12034" s="28"/>
      <c r="H12034" s="28"/>
    </row>
    <row r="12035" spans="4:8" x14ac:dyDescent="0.25">
      <c r="D12035" s="28"/>
      <c r="F12035" s="28"/>
      <c r="H12035" s="28"/>
    </row>
    <row r="12036" spans="4:8" x14ac:dyDescent="0.25">
      <c r="D12036" s="28"/>
      <c r="F12036" s="28"/>
      <c r="H12036" s="28"/>
    </row>
    <row r="12037" spans="4:8" x14ac:dyDescent="0.25">
      <c r="D12037" s="28"/>
      <c r="F12037" s="28"/>
      <c r="H12037" s="28"/>
    </row>
    <row r="12038" spans="4:8" x14ac:dyDescent="0.25">
      <c r="D12038" s="28"/>
      <c r="F12038" s="28"/>
      <c r="H12038" s="28"/>
    </row>
    <row r="12039" spans="4:8" x14ac:dyDescent="0.25">
      <c r="D12039" s="28"/>
      <c r="F12039" s="28"/>
      <c r="H12039" s="28"/>
    </row>
    <row r="12040" spans="4:8" x14ac:dyDescent="0.25">
      <c r="D12040" s="28"/>
      <c r="F12040" s="28"/>
      <c r="H12040" s="28"/>
    </row>
    <row r="12041" spans="4:8" x14ac:dyDescent="0.25">
      <c r="D12041" s="28"/>
      <c r="F12041" s="28"/>
      <c r="H12041" s="28"/>
    </row>
    <row r="12042" spans="4:8" x14ac:dyDescent="0.25">
      <c r="D12042" s="28"/>
      <c r="F12042" s="28"/>
      <c r="H12042" s="28"/>
    </row>
    <row r="12043" spans="4:8" x14ac:dyDescent="0.25">
      <c r="D12043" s="28"/>
      <c r="F12043" s="28"/>
      <c r="H12043" s="28"/>
    </row>
    <row r="12044" spans="4:8" x14ac:dyDescent="0.25">
      <c r="D12044" s="28"/>
      <c r="F12044" s="28"/>
      <c r="H12044" s="28"/>
    </row>
    <row r="12045" spans="4:8" x14ac:dyDescent="0.25">
      <c r="D12045" s="28"/>
      <c r="F12045" s="28"/>
      <c r="H12045" s="28"/>
    </row>
    <row r="12046" spans="4:8" x14ac:dyDescent="0.25">
      <c r="D12046" s="28"/>
      <c r="F12046" s="28"/>
      <c r="H12046" s="28"/>
    </row>
    <row r="12047" spans="4:8" x14ac:dyDescent="0.25">
      <c r="D12047" s="28"/>
      <c r="F12047" s="28"/>
      <c r="H12047" s="28"/>
    </row>
    <row r="12048" spans="4:8" x14ac:dyDescent="0.25">
      <c r="D12048" s="28"/>
      <c r="F12048" s="28"/>
      <c r="H12048" s="28"/>
    </row>
    <row r="12049" spans="4:8" x14ac:dyDescent="0.25">
      <c r="D12049" s="28"/>
      <c r="F12049" s="28"/>
      <c r="H12049" s="28"/>
    </row>
    <row r="12050" spans="4:8" x14ac:dyDescent="0.25">
      <c r="D12050" s="28"/>
      <c r="F12050" s="28"/>
      <c r="H12050" s="28"/>
    </row>
    <row r="12051" spans="4:8" x14ac:dyDescent="0.25">
      <c r="D12051" s="28"/>
      <c r="F12051" s="28"/>
      <c r="H12051" s="28"/>
    </row>
    <row r="12052" spans="4:8" x14ac:dyDescent="0.25">
      <c r="D12052" s="28"/>
      <c r="F12052" s="28"/>
      <c r="H12052" s="28"/>
    </row>
    <row r="12053" spans="4:8" x14ac:dyDescent="0.25">
      <c r="D12053" s="28"/>
      <c r="F12053" s="28"/>
      <c r="H12053" s="28"/>
    </row>
    <row r="12054" spans="4:8" x14ac:dyDescent="0.25">
      <c r="D12054" s="28"/>
      <c r="F12054" s="28"/>
      <c r="H12054" s="28"/>
    </row>
    <row r="12055" spans="4:8" x14ac:dyDescent="0.25">
      <c r="D12055" s="28"/>
      <c r="F12055" s="28"/>
      <c r="H12055" s="28"/>
    </row>
    <row r="12056" spans="4:8" x14ac:dyDescent="0.25">
      <c r="D12056" s="28"/>
      <c r="F12056" s="28"/>
      <c r="H12056" s="28"/>
    </row>
    <row r="12057" spans="4:8" x14ac:dyDescent="0.25">
      <c r="D12057" s="28"/>
      <c r="F12057" s="28"/>
      <c r="H12057" s="28"/>
    </row>
    <row r="12058" spans="4:8" x14ac:dyDescent="0.25">
      <c r="D12058" s="28"/>
      <c r="F12058" s="28"/>
      <c r="H12058" s="28"/>
    </row>
    <row r="12059" spans="4:8" x14ac:dyDescent="0.25">
      <c r="D12059" s="28"/>
      <c r="F12059" s="28"/>
      <c r="H12059" s="28"/>
    </row>
    <row r="12060" spans="4:8" x14ac:dyDescent="0.25">
      <c r="D12060" s="28"/>
      <c r="F12060" s="28"/>
      <c r="H12060" s="28"/>
    </row>
    <row r="12061" spans="4:8" x14ac:dyDescent="0.25">
      <c r="D12061" s="28"/>
      <c r="F12061" s="28"/>
      <c r="H12061" s="28"/>
    </row>
    <row r="12062" spans="4:8" x14ac:dyDescent="0.25">
      <c r="D12062" s="28"/>
      <c r="F12062" s="28"/>
      <c r="H12062" s="28"/>
    </row>
    <row r="12063" spans="4:8" x14ac:dyDescent="0.25">
      <c r="D12063" s="28"/>
      <c r="F12063" s="28"/>
      <c r="H12063" s="28"/>
    </row>
    <row r="12064" spans="4:8" x14ac:dyDescent="0.25">
      <c r="D12064" s="28"/>
      <c r="F12064" s="28"/>
      <c r="H12064" s="28"/>
    </row>
    <row r="12065" spans="4:8" x14ac:dyDescent="0.25">
      <c r="D12065" s="28"/>
      <c r="F12065" s="28"/>
      <c r="H12065" s="28"/>
    </row>
    <row r="12066" spans="4:8" x14ac:dyDescent="0.25">
      <c r="D12066" s="28"/>
      <c r="F12066" s="28"/>
      <c r="H12066" s="28"/>
    </row>
    <row r="12067" spans="4:8" x14ac:dyDescent="0.25">
      <c r="D12067" s="28"/>
      <c r="F12067" s="28"/>
      <c r="H12067" s="28"/>
    </row>
    <row r="12068" spans="4:8" x14ac:dyDescent="0.25">
      <c r="D12068" s="28"/>
      <c r="F12068" s="28"/>
      <c r="H12068" s="28"/>
    </row>
    <row r="12069" spans="4:8" x14ac:dyDescent="0.25">
      <c r="D12069" s="28"/>
      <c r="F12069" s="28"/>
      <c r="H12069" s="28"/>
    </row>
    <row r="12070" spans="4:8" x14ac:dyDescent="0.25">
      <c r="D12070" s="28"/>
      <c r="F12070" s="28"/>
      <c r="H12070" s="28"/>
    </row>
    <row r="12071" spans="4:8" x14ac:dyDescent="0.25">
      <c r="D12071" s="28"/>
      <c r="F12071" s="28"/>
      <c r="H12071" s="28"/>
    </row>
    <row r="12072" spans="4:8" x14ac:dyDescent="0.25">
      <c r="D12072" s="28"/>
      <c r="F12072" s="28"/>
      <c r="H12072" s="28"/>
    </row>
    <row r="12073" spans="4:8" x14ac:dyDescent="0.25">
      <c r="D12073" s="28"/>
      <c r="F12073" s="28"/>
      <c r="H12073" s="28"/>
    </row>
    <row r="12074" spans="4:8" x14ac:dyDescent="0.25">
      <c r="D12074" s="28"/>
      <c r="F12074" s="28"/>
      <c r="H12074" s="28"/>
    </row>
    <row r="12075" spans="4:8" x14ac:dyDescent="0.25">
      <c r="D12075" s="28"/>
      <c r="F12075" s="28"/>
      <c r="H12075" s="28"/>
    </row>
    <row r="12076" spans="4:8" x14ac:dyDescent="0.25">
      <c r="D12076" s="28"/>
      <c r="F12076" s="28"/>
      <c r="H12076" s="28"/>
    </row>
    <row r="12077" spans="4:8" x14ac:dyDescent="0.25">
      <c r="D12077" s="28"/>
      <c r="F12077" s="28"/>
      <c r="H12077" s="28"/>
    </row>
    <row r="12078" spans="4:8" x14ac:dyDescent="0.25">
      <c r="D12078" s="28"/>
      <c r="F12078" s="28"/>
      <c r="H12078" s="28"/>
    </row>
    <row r="12079" spans="4:8" x14ac:dyDescent="0.25">
      <c r="D12079" s="28"/>
      <c r="F12079" s="28"/>
      <c r="H12079" s="28"/>
    </row>
    <row r="12080" spans="4:8" x14ac:dyDescent="0.25">
      <c r="D12080" s="28"/>
      <c r="F12080" s="28"/>
      <c r="H12080" s="28"/>
    </row>
    <row r="12081" spans="4:8" x14ac:dyDescent="0.25">
      <c r="D12081" s="28"/>
      <c r="F12081" s="28"/>
      <c r="H12081" s="28"/>
    </row>
    <row r="12082" spans="4:8" x14ac:dyDescent="0.25">
      <c r="D12082" s="28"/>
      <c r="F12082" s="28"/>
      <c r="H12082" s="28"/>
    </row>
    <row r="12083" spans="4:8" x14ac:dyDescent="0.25">
      <c r="D12083" s="28"/>
      <c r="F12083" s="28"/>
      <c r="H12083" s="28"/>
    </row>
    <row r="12084" spans="4:8" x14ac:dyDescent="0.25">
      <c r="D12084" s="28"/>
      <c r="F12084" s="28"/>
      <c r="H12084" s="28"/>
    </row>
    <row r="12085" spans="4:8" x14ac:dyDescent="0.25">
      <c r="D12085" s="28"/>
      <c r="F12085" s="28"/>
      <c r="H12085" s="28"/>
    </row>
    <row r="12086" spans="4:8" x14ac:dyDescent="0.25">
      <c r="D12086" s="28"/>
      <c r="F12086" s="28"/>
      <c r="H12086" s="28"/>
    </row>
    <row r="12087" spans="4:8" x14ac:dyDescent="0.25">
      <c r="D12087" s="28"/>
      <c r="F12087" s="28"/>
      <c r="H12087" s="28"/>
    </row>
    <row r="12088" spans="4:8" x14ac:dyDescent="0.25">
      <c r="D12088" s="28"/>
      <c r="F12088" s="28"/>
      <c r="H12088" s="28"/>
    </row>
    <row r="12089" spans="4:8" x14ac:dyDescent="0.25">
      <c r="D12089" s="28"/>
      <c r="F12089" s="28"/>
      <c r="H12089" s="28"/>
    </row>
    <row r="12090" spans="4:8" x14ac:dyDescent="0.25">
      <c r="D12090" s="28"/>
      <c r="F12090" s="28"/>
      <c r="H12090" s="28"/>
    </row>
    <row r="12091" spans="4:8" x14ac:dyDescent="0.25">
      <c r="D12091" s="28"/>
      <c r="F12091" s="28"/>
      <c r="H12091" s="28"/>
    </row>
    <row r="12092" spans="4:8" x14ac:dyDescent="0.25">
      <c r="D12092" s="28"/>
      <c r="F12092" s="28"/>
      <c r="H12092" s="28"/>
    </row>
    <row r="12093" spans="4:8" x14ac:dyDescent="0.25">
      <c r="D12093" s="28"/>
      <c r="F12093" s="28"/>
      <c r="H12093" s="28"/>
    </row>
    <row r="12094" spans="4:8" x14ac:dyDescent="0.25">
      <c r="D12094" s="28"/>
      <c r="F12094" s="28"/>
      <c r="H12094" s="28"/>
    </row>
    <row r="12095" spans="4:8" x14ac:dyDescent="0.25">
      <c r="D12095" s="28"/>
      <c r="F12095" s="28"/>
      <c r="H12095" s="28"/>
    </row>
    <row r="12096" spans="4:8" x14ac:dyDescent="0.25">
      <c r="D12096" s="28"/>
      <c r="F12096" s="28"/>
      <c r="H12096" s="28"/>
    </row>
    <row r="12097" spans="4:8" x14ac:dyDescent="0.25">
      <c r="D12097" s="28"/>
      <c r="F12097" s="28"/>
      <c r="H12097" s="28"/>
    </row>
    <row r="12098" spans="4:8" x14ac:dyDescent="0.25">
      <c r="D12098" s="28"/>
      <c r="F12098" s="28"/>
      <c r="H12098" s="28"/>
    </row>
    <row r="12099" spans="4:8" x14ac:dyDescent="0.25">
      <c r="D12099" s="28"/>
      <c r="F12099" s="28"/>
      <c r="H12099" s="28"/>
    </row>
    <row r="12100" spans="4:8" x14ac:dyDescent="0.25">
      <c r="D12100" s="28"/>
      <c r="F12100" s="28"/>
      <c r="H12100" s="28"/>
    </row>
    <row r="12101" spans="4:8" x14ac:dyDescent="0.25">
      <c r="D12101" s="28"/>
      <c r="F12101" s="28"/>
      <c r="H12101" s="28"/>
    </row>
    <row r="12102" spans="4:8" x14ac:dyDescent="0.25">
      <c r="D12102" s="28"/>
      <c r="F12102" s="28"/>
      <c r="H12102" s="28"/>
    </row>
    <row r="12103" spans="4:8" x14ac:dyDescent="0.25">
      <c r="D12103" s="28"/>
      <c r="F12103" s="28"/>
      <c r="H12103" s="28"/>
    </row>
    <row r="12104" spans="4:8" x14ac:dyDescent="0.25">
      <c r="D12104" s="28"/>
      <c r="F12104" s="28"/>
      <c r="H12104" s="28"/>
    </row>
    <row r="12105" spans="4:8" x14ac:dyDescent="0.25">
      <c r="D12105" s="28"/>
      <c r="F12105" s="28"/>
      <c r="H12105" s="28"/>
    </row>
    <row r="12106" spans="4:8" x14ac:dyDescent="0.25">
      <c r="D12106" s="28"/>
      <c r="F12106" s="28"/>
      <c r="H12106" s="28"/>
    </row>
    <row r="12107" spans="4:8" x14ac:dyDescent="0.25">
      <c r="D12107" s="28"/>
      <c r="F12107" s="28"/>
      <c r="H12107" s="28"/>
    </row>
    <row r="12108" spans="4:8" x14ac:dyDescent="0.25">
      <c r="D12108" s="28"/>
      <c r="F12108" s="28"/>
      <c r="H12108" s="28"/>
    </row>
    <row r="12109" spans="4:8" x14ac:dyDescent="0.25">
      <c r="D12109" s="28"/>
      <c r="F12109" s="28"/>
      <c r="H12109" s="28"/>
    </row>
    <row r="12110" spans="4:8" x14ac:dyDescent="0.25">
      <c r="D12110" s="28"/>
      <c r="F12110" s="28"/>
      <c r="H12110" s="28"/>
    </row>
    <row r="12111" spans="4:8" x14ac:dyDescent="0.25">
      <c r="D12111" s="28"/>
      <c r="F12111" s="28"/>
      <c r="H12111" s="28"/>
    </row>
    <row r="12112" spans="4:8" x14ac:dyDescent="0.25">
      <c r="D12112" s="28"/>
      <c r="F12112" s="28"/>
      <c r="H12112" s="28"/>
    </row>
    <row r="12113" spans="4:8" x14ac:dyDescent="0.25">
      <c r="D12113" s="28"/>
      <c r="F12113" s="28"/>
      <c r="H12113" s="28"/>
    </row>
    <row r="12114" spans="4:8" x14ac:dyDescent="0.25">
      <c r="D12114" s="28"/>
      <c r="F12114" s="28"/>
      <c r="H12114" s="28"/>
    </row>
    <row r="12115" spans="4:8" x14ac:dyDescent="0.25">
      <c r="D12115" s="28"/>
      <c r="F12115" s="28"/>
      <c r="H12115" s="28"/>
    </row>
    <row r="12116" spans="4:8" x14ac:dyDescent="0.25">
      <c r="D12116" s="28"/>
      <c r="F12116" s="28"/>
      <c r="H12116" s="28"/>
    </row>
    <row r="12117" spans="4:8" x14ac:dyDescent="0.25">
      <c r="D12117" s="28"/>
      <c r="F12117" s="28"/>
      <c r="H12117" s="28"/>
    </row>
    <row r="12118" spans="4:8" x14ac:dyDescent="0.25">
      <c r="D12118" s="28"/>
      <c r="F12118" s="28"/>
      <c r="H12118" s="28"/>
    </row>
    <row r="12119" spans="4:8" x14ac:dyDescent="0.25">
      <c r="D12119" s="28"/>
      <c r="F12119" s="28"/>
      <c r="H12119" s="28"/>
    </row>
    <row r="12120" spans="4:8" x14ac:dyDescent="0.25">
      <c r="D12120" s="28"/>
      <c r="F12120" s="28"/>
      <c r="H12120" s="28"/>
    </row>
    <row r="12121" spans="4:8" x14ac:dyDescent="0.25">
      <c r="D12121" s="28"/>
      <c r="F12121" s="28"/>
      <c r="H12121" s="28"/>
    </row>
    <row r="12122" spans="4:8" x14ac:dyDescent="0.25">
      <c r="D12122" s="28"/>
      <c r="F12122" s="28"/>
      <c r="H12122" s="28"/>
    </row>
    <row r="12123" spans="4:8" x14ac:dyDescent="0.25">
      <c r="D12123" s="28"/>
      <c r="F12123" s="28"/>
      <c r="H12123" s="28"/>
    </row>
    <row r="12124" spans="4:8" x14ac:dyDescent="0.25">
      <c r="D12124" s="28"/>
      <c r="F12124" s="28"/>
      <c r="H12124" s="28"/>
    </row>
    <row r="12125" spans="4:8" x14ac:dyDescent="0.25">
      <c r="D12125" s="28"/>
      <c r="F12125" s="28"/>
      <c r="H12125" s="28"/>
    </row>
    <row r="12126" spans="4:8" x14ac:dyDescent="0.25">
      <c r="D12126" s="28"/>
      <c r="F12126" s="28"/>
      <c r="H12126" s="28"/>
    </row>
    <row r="12127" spans="4:8" x14ac:dyDescent="0.25">
      <c r="D12127" s="28"/>
      <c r="F12127" s="28"/>
      <c r="H12127" s="28"/>
    </row>
    <row r="12128" spans="4:8" x14ac:dyDescent="0.25">
      <c r="D12128" s="28"/>
      <c r="F12128" s="28"/>
      <c r="H12128" s="28"/>
    </row>
    <row r="12129" spans="4:8" x14ac:dyDescent="0.25">
      <c r="D12129" s="28"/>
      <c r="F12129" s="28"/>
      <c r="H12129" s="28"/>
    </row>
    <row r="12130" spans="4:8" x14ac:dyDescent="0.25">
      <c r="D12130" s="28"/>
      <c r="F12130" s="28"/>
      <c r="H12130" s="28"/>
    </row>
    <row r="12131" spans="4:8" x14ac:dyDescent="0.25">
      <c r="D12131" s="28"/>
      <c r="F12131" s="28"/>
      <c r="H12131" s="28"/>
    </row>
    <row r="12132" spans="4:8" x14ac:dyDescent="0.25">
      <c r="D12132" s="28"/>
      <c r="F12132" s="28"/>
      <c r="H12132" s="28"/>
    </row>
    <row r="12133" spans="4:8" x14ac:dyDescent="0.25">
      <c r="D12133" s="28"/>
      <c r="F12133" s="28"/>
      <c r="H12133" s="28"/>
    </row>
    <row r="12134" spans="4:8" x14ac:dyDescent="0.25">
      <c r="D12134" s="28"/>
      <c r="F12134" s="28"/>
      <c r="H12134" s="28"/>
    </row>
    <row r="12135" spans="4:8" x14ac:dyDescent="0.25">
      <c r="D12135" s="28"/>
      <c r="F12135" s="28"/>
      <c r="H12135" s="28"/>
    </row>
    <row r="12136" spans="4:8" x14ac:dyDescent="0.25">
      <c r="D12136" s="28"/>
      <c r="F12136" s="28"/>
      <c r="H12136" s="28"/>
    </row>
    <row r="12137" spans="4:8" x14ac:dyDescent="0.25">
      <c r="D12137" s="28"/>
      <c r="F12137" s="28"/>
      <c r="H12137" s="28"/>
    </row>
    <row r="12138" spans="4:8" x14ac:dyDescent="0.25">
      <c r="D12138" s="28"/>
      <c r="F12138" s="28"/>
      <c r="H12138" s="28"/>
    </row>
    <row r="12139" spans="4:8" x14ac:dyDescent="0.25">
      <c r="D12139" s="28"/>
      <c r="F12139" s="28"/>
      <c r="H12139" s="28"/>
    </row>
    <row r="12140" spans="4:8" x14ac:dyDescent="0.25">
      <c r="D12140" s="28"/>
      <c r="F12140" s="28"/>
      <c r="H12140" s="28"/>
    </row>
    <row r="12141" spans="4:8" x14ac:dyDescent="0.25">
      <c r="D12141" s="28"/>
      <c r="F12141" s="28"/>
      <c r="H12141" s="28"/>
    </row>
    <row r="12142" spans="4:8" x14ac:dyDescent="0.25">
      <c r="D12142" s="28"/>
      <c r="F12142" s="28"/>
      <c r="H12142" s="28"/>
    </row>
    <row r="12143" spans="4:8" x14ac:dyDescent="0.25">
      <c r="D12143" s="28"/>
      <c r="F12143" s="28"/>
      <c r="H12143" s="28"/>
    </row>
    <row r="12144" spans="4:8" x14ac:dyDescent="0.25">
      <c r="D12144" s="28"/>
      <c r="F12144" s="28"/>
      <c r="H12144" s="28"/>
    </row>
    <row r="12145" spans="4:8" x14ac:dyDescent="0.25">
      <c r="D12145" s="28"/>
      <c r="F12145" s="28"/>
      <c r="H12145" s="28"/>
    </row>
    <row r="12146" spans="4:8" x14ac:dyDescent="0.25">
      <c r="D12146" s="28"/>
      <c r="F12146" s="28"/>
      <c r="H12146" s="28"/>
    </row>
    <row r="12147" spans="4:8" x14ac:dyDescent="0.25">
      <c r="D12147" s="28"/>
      <c r="F12147" s="28"/>
      <c r="H12147" s="28"/>
    </row>
    <row r="12148" spans="4:8" x14ac:dyDescent="0.25">
      <c r="D12148" s="28"/>
      <c r="F12148" s="28"/>
      <c r="H12148" s="28"/>
    </row>
    <row r="12149" spans="4:8" x14ac:dyDescent="0.25">
      <c r="D12149" s="28"/>
      <c r="F12149" s="28"/>
      <c r="H12149" s="28"/>
    </row>
    <row r="12150" spans="4:8" x14ac:dyDescent="0.25">
      <c r="D12150" s="28"/>
      <c r="F12150" s="28"/>
      <c r="H12150" s="28"/>
    </row>
    <row r="12151" spans="4:8" x14ac:dyDescent="0.25">
      <c r="D12151" s="28"/>
      <c r="F12151" s="28"/>
      <c r="H12151" s="28"/>
    </row>
    <row r="12152" spans="4:8" x14ac:dyDescent="0.25">
      <c r="D12152" s="28"/>
      <c r="F12152" s="28"/>
      <c r="H12152" s="28"/>
    </row>
    <row r="12153" spans="4:8" x14ac:dyDescent="0.25">
      <c r="D12153" s="28"/>
      <c r="F12153" s="28"/>
      <c r="H12153" s="28"/>
    </row>
    <row r="12154" spans="4:8" x14ac:dyDescent="0.25">
      <c r="D12154" s="28"/>
      <c r="F12154" s="28"/>
      <c r="H12154" s="28"/>
    </row>
    <row r="12155" spans="4:8" x14ac:dyDescent="0.25">
      <c r="D12155" s="28"/>
      <c r="F12155" s="28"/>
      <c r="H12155" s="28"/>
    </row>
    <row r="12156" spans="4:8" x14ac:dyDescent="0.25">
      <c r="D12156" s="28"/>
      <c r="F12156" s="28"/>
      <c r="H12156" s="28"/>
    </row>
    <row r="12157" spans="4:8" x14ac:dyDescent="0.25">
      <c r="D12157" s="28"/>
      <c r="F12157" s="28"/>
      <c r="H12157" s="28"/>
    </row>
    <row r="12158" spans="4:8" x14ac:dyDescent="0.25">
      <c r="D12158" s="28"/>
      <c r="F12158" s="28"/>
      <c r="H12158" s="28"/>
    </row>
    <row r="12159" spans="4:8" x14ac:dyDescent="0.25">
      <c r="D12159" s="28"/>
      <c r="F12159" s="28"/>
      <c r="H12159" s="28"/>
    </row>
    <row r="12160" spans="4:8" x14ac:dyDescent="0.25">
      <c r="D12160" s="28"/>
      <c r="F12160" s="28"/>
      <c r="H12160" s="28"/>
    </row>
    <row r="12161" spans="4:8" x14ac:dyDescent="0.25">
      <c r="D12161" s="28"/>
      <c r="F12161" s="28"/>
      <c r="H12161" s="28"/>
    </row>
    <row r="12162" spans="4:8" x14ac:dyDescent="0.25">
      <c r="D12162" s="28"/>
      <c r="F12162" s="28"/>
      <c r="H12162" s="28"/>
    </row>
    <row r="12163" spans="4:8" x14ac:dyDescent="0.25">
      <c r="D12163" s="28"/>
      <c r="F12163" s="28"/>
      <c r="H12163" s="28"/>
    </row>
    <row r="12164" spans="4:8" x14ac:dyDescent="0.25">
      <c r="D12164" s="28"/>
      <c r="F12164" s="28"/>
      <c r="H12164" s="28"/>
    </row>
    <row r="12165" spans="4:8" x14ac:dyDescent="0.25">
      <c r="D12165" s="28"/>
      <c r="F12165" s="28"/>
      <c r="H12165" s="28"/>
    </row>
    <row r="12166" spans="4:8" x14ac:dyDescent="0.25">
      <c r="D12166" s="28"/>
      <c r="F12166" s="28"/>
      <c r="H12166" s="28"/>
    </row>
    <row r="12167" spans="4:8" x14ac:dyDescent="0.25">
      <c r="D12167" s="28"/>
      <c r="F12167" s="28"/>
      <c r="H12167" s="28"/>
    </row>
    <row r="12168" spans="4:8" x14ac:dyDescent="0.25">
      <c r="D12168" s="28"/>
      <c r="F12168" s="28"/>
      <c r="H12168" s="28"/>
    </row>
    <row r="12169" spans="4:8" x14ac:dyDescent="0.25">
      <c r="D12169" s="28"/>
      <c r="F12169" s="28"/>
      <c r="H12169" s="28"/>
    </row>
    <row r="12170" spans="4:8" x14ac:dyDescent="0.25">
      <c r="D12170" s="28"/>
      <c r="F12170" s="28"/>
      <c r="H12170" s="28"/>
    </row>
    <row r="12171" spans="4:8" x14ac:dyDescent="0.25">
      <c r="D12171" s="28"/>
      <c r="F12171" s="28"/>
      <c r="H12171" s="28"/>
    </row>
    <row r="12172" spans="4:8" x14ac:dyDescent="0.25">
      <c r="D12172" s="28"/>
      <c r="F12172" s="28"/>
      <c r="H12172" s="28"/>
    </row>
    <row r="12173" spans="4:8" x14ac:dyDescent="0.25">
      <c r="D12173" s="28"/>
      <c r="F12173" s="28"/>
      <c r="H12173" s="28"/>
    </row>
    <row r="12174" spans="4:8" x14ac:dyDescent="0.25">
      <c r="D12174" s="28"/>
      <c r="F12174" s="28"/>
      <c r="H12174" s="28"/>
    </row>
    <row r="12175" spans="4:8" x14ac:dyDescent="0.25">
      <c r="D12175" s="28"/>
      <c r="F12175" s="28"/>
      <c r="H12175" s="28"/>
    </row>
    <row r="12176" spans="4:8" x14ac:dyDescent="0.25">
      <c r="D12176" s="28"/>
      <c r="F12176" s="28"/>
      <c r="H12176" s="28"/>
    </row>
    <row r="12177" spans="4:8" x14ac:dyDescent="0.25">
      <c r="D12177" s="28"/>
      <c r="F12177" s="28"/>
      <c r="H12177" s="28"/>
    </row>
    <row r="12178" spans="4:8" x14ac:dyDescent="0.25">
      <c r="D12178" s="28"/>
      <c r="F12178" s="28"/>
      <c r="H12178" s="28"/>
    </row>
    <row r="12179" spans="4:8" x14ac:dyDescent="0.25">
      <c r="D12179" s="28"/>
      <c r="F12179" s="28"/>
      <c r="H12179" s="28"/>
    </row>
    <row r="12180" spans="4:8" x14ac:dyDescent="0.25">
      <c r="D12180" s="28"/>
      <c r="F12180" s="28"/>
      <c r="H12180" s="28"/>
    </row>
    <row r="12181" spans="4:8" x14ac:dyDescent="0.25">
      <c r="D12181" s="28"/>
      <c r="F12181" s="28"/>
      <c r="H12181" s="28"/>
    </row>
    <row r="12182" spans="4:8" x14ac:dyDescent="0.25">
      <c r="D12182" s="28"/>
      <c r="F12182" s="28"/>
      <c r="H12182" s="28"/>
    </row>
    <row r="12183" spans="4:8" x14ac:dyDescent="0.25">
      <c r="D12183" s="28"/>
      <c r="F12183" s="28"/>
      <c r="H12183" s="28"/>
    </row>
    <row r="12184" spans="4:8" x14ac:dyDescent="0.25">
      <c r="D12184" s="28"/>
      <c r="F12184" s="28"/>
      <c r="H12184" s="28"/>
    </row>
    <row r="12185" spans="4:8" x14ac:dyDescent="0.25">
      <c r="D12185" s="28"/>
      <c r="F12185" s="28"/>
      <c r="H12185" s="28"/>
    </row>
    <row r="12186" spans="4:8" x14ac:dyDescent="0.25">
      <c r="D12186" s="28"/>
      <c r="F12186" s="28"/>
      <c r="H12186" s="28"/>
    </row>
    <row r="12187" spans="4:8" x14ac:dyDescent="0.25">
      <c r="D12187" s="28"/>
      <c r="F12187" s="28"/>
      <c r="H12187" s="28"/>
    </row>
    <row r="12188" spans="4:8" x14ac:dyDescent="0.25">
      <c r="D12188" s="28"/>
      <c r="F12188" s="28"/>
      <c r="H12188" s="28"/>
    </row>
    <row r="12189" spans="4:8" x14ac:dyDescent="0.25">
      <c r="D12189" s="28"/>
      <c r="F12189" s="28"/>
      <c r="H12189" s="28"/>
    </row>
    <row r="12190" spans="4:8" x14ac:dyDescent="0.25">
      <c r="D12190" s="28"/>
      <c r="F12190" s="28"/>
      <c r="H12190" s="28"/>
    </row>
    <row r="12191" spans="4:8" x14ac:dyDescent="0.25">
      <c r="D12191" s="28"/>
      <c r="F12191" s="28"/>
      <c r="H12191" s="28"/>
    </row>
    <row r="12192" spans="4:8" x14ac:dyDescent="0.25">
      <c r="D12192" s="28"/>
      <c r="F12192" s="28"/>
      <c r="H12192" s="28"/>
    </row>
    <row r="12193" spans="4:8" x14ac:dyDescent="0.25">
      <c r="D12193" s="28"/>
      <c r="F12193" s="28"/>
      <c r="H12193" s="28"/>
    </row>
    <row r="12194" spans="4:8" x14ac:dyDescent="0.25">
      <c r="D12194" s="28"/>
      <c r="F12194" s="28"/>
      <c r="H12194" s="28"/>
    </row>
    <row r="12195" spans="4:8" x14ac:dyDescent="0.25">
      <c r="D12195" s="28"/>
      <c r="F12195" s="28"/>
      <c r="H12195" s="28"/>
    </row>
    <row r="12196" spans="4:8" x14ac:dyDescent="0.25">
      <c r="D12196" s="28"/>
      <c r="F12196" s="28"/>
      <c r="H12196" s="28"/>
    </row>
    <row r="12197" spans="4:8" x14ac:dyDescent="0.25">
      <c r="D12197" s="28"/>
      <c r="F12197" s="28"/>
      <c r="H12197" s="28"/>
    </row>
    <row r="12198" spans="4:8" x14ac:dyDescent="0.25">
      <c r="D12198" s="28"/>
      <c r="F12198" s="28"/>
      <c r="H12198" s="28"/>
    </row>
    <row r="12199" spans="4:8" x14ac:dyDescent="0.25">
      <c r="D12199" s="28"/>
      <c r="F12199" s="28"/>
      <c r="H12199" s="28"/>
    </row>
    <row r="12200" spans="4:8" x14ac:dyDescent="0.25">
      <c r="D12200" s="28"/>
      <c r="F12200" s="28"/>
      <c r="H12200" s="28"/>
    </row>
    <row r="12201" spans="4:8" x14ac:dyDescent="0.25">
      <c r="D12201" s="28"/>
      <c r="F12201" s="28"/>
      <c r="H12201" s="28"/>
    </row>
    <row r="12202" spans="4:8" x14ac:dyDescent="0.25">
      <c r="D12202" s="28"/>
      <c r="F12202" s="28"/>
      <c r="H12202" s="28"/>
    </row>
    <row r="12203" spans="4:8" x14ac:dyDescent="0.25">
      <c r="D12203" s="28"/>
      <c r="F12203" s="28"/>
      <c r="H12203" s="28"/>
    </row>
    <row r="12204" spans="4:8" x14ac:dyDescent="0.25">
      <c r="D12204" s="28"/>
      <c r="F12204" s="28"/>
      <c r="H12204" s="28"/>
    </row>
    <row r="12205" spans="4:8" x14ac:dyDescent="0.25">
      <c r="D12205" s="28"/>
      <c r="F12205" s="28"/>
      <c r="H12205" s="28"/>
    </row>
    <row r="12206" spans="4:8" x14ac:dyDescent="0.25">
      <c r="D12206" s="28"/>
      <c r="F12206" s="28"/>
      <c r="H12206" s="28"/>
    </row>
    <row r="12207" spans="4:8" x14ac:dyDescent="0.25">
      <c r="D12207" s="28"/>
      <c r="F12207" s="28"/>
      <c r="H12207" s="28"/>
    </row>
    <row r="12208" spans="4:8" x14ac:dyDescent="0.25">
      <c r="D12208" s="28"/>
      <c r="F12208" s="28"/>
      <c r="H12208" s="28"/>
    </row>
    <row r="12209" spans="4:8" x14ac:dyDescent="0.25">
      <c r="D12209" s="28"/>
      <c r="F12209" s="28"/>
      <c r="H12209" s="28"/>
    </row>
    <row r="12210" spans="4:8" x14ac:dyDescent="0.25">
      <c r="D12210" s="28"/>
      <c r="F12210" s="28"/>
      <c r="H12210" s="28"/>
    </row>
    <row r="12211" spans="4:8" x14ac:dyDescent="0.25">
      <c r="D12211" s="28"/>
      <c r="F12211" s="28"/>
      <c r="H12211" s="28"/>
    </row>
    <row r="12212" spans="4:8" x14ac:dyDescent="0.25">
      <c r="D12212" s="28"/>
      <c r="F12212" s="28"/>
      <c r="H12212" s="28"/>
    </row>
    <row r="12213" spans="4:8" x14ac:dyDescent="0.25">
      <c r="D12213" s="28"/>
      <c r="F12213" s="28"/>
      <c r="H12213" s="28"/>
    </row>
    <row r="12214" spans="4:8" x14ac:dyDescent="0.25">
      <c r="D12214" s="28"/>
      <c r="F12214" s="28"/>
      <c r="H12214" s="28"/>
    </row>
    <row r="12215" spans="4:8" x14ac:dyDescent="0.25">
      <c r="D12215" s="28"/>
      <c r="F12215" s="28"/>
      <c r="H12215" s="28"/>
    </row>
    <row r="12216" spans="4:8" x14ac:dyDescent="0.25">
      <c r="D12216" s="28"/>
      <c r="F12216" s="28"/>
      <c r="H12216" s="28"/>
    </row>
    <row r="12217" spans="4:8" x14ac:dyDescent="0.25">
      <c r="D12217" s="28"/>
      <c r="F12217" s="28"/>
      <c r="H12217" s="28"/>
    </row>
    <row r="12218" spans="4:8" x14ac:dyDescent="0.25">
      <c r="D12218" s="28"/>
      <c r="F12218" s="28"/>
      <c r="H12218" s="28"/>
    </row>
    <row r="12219" spans="4:8" x14ac:dyDescent="0.25">
      <c r="D12219" s="28"/>
      <c r="F12219" s="28"/>
      <c r="H12219" s="28"/>
    </row>
    <row r="12220" spans="4:8" x14ac:dyDescent="0.25">
      <c r="D12220" s="28"/>
      <c r="F12220" s="28"/>
      <c r="H12220" s="28"/>
    </row>
    <row r="12221" spans="4:8" x14ac:dyDescent="0.25">
      <c r="D12221" s="28"/>
      <c r="F12221" s="28"/>
      <c r="H12221" s="28"/>
    </row>
    <row r="12222" spans="4:8" x14ac:dyDescent="0.25">
      <c r="D12222" s="28"/>
      <c r="F12222" s="28"/>
      <c r="H12222" s="28"/>
    </row>
    <row r="12223" spans="4:8" x14ac:dyDescent="0.25">
      <c r="D12223" s="28"/>
      <c r="F12223" s="28"/>
      <c r="H12223" s="28"/>
    </row>
    <row r="12224" spans="4:8" x14ac:dyDescent="0.25">
      <c r="D12224" s="28"/>
      <c r="F12224" s="28"/>
      <c r="H12224" s="28"/>
    </row>
    <row r="12225" spans="4:8" x14ac:dyDescent="0.25">
      <c r="D12225" s="28"/>
      <c r="F12225" s="28"/>
      <c r="H12225" s="28"/>
    </row>
    <row r="12226" spans="4:8" x14ac:dyDescent="0.25">
      <c r="D12226" s="28"/>
      <c r="F12226" s="28"/>
      <c r="H12226" s="28"/>
    </row>
    <row r="12227" spans="4:8" x14ac:dyDescent="0.25">
      <c r="D12227" s="28"/>
      <c r="F12227" s="28"/>
      <c r="H12227" s="28"/>
    </row>
    <row r="12228" spans="4:8" x14ac:dyDescent="0.25">
      <c r="D12228" s="28"/>
      <c r="F12228" s="28"/>
      <c r="H12228" s="28"/>
    </row>
    <row r="12229" spans="4:8" x14ac:dyDescent="0.25">
      <c r="D12229" s="28"/>
      <c r="F12229" s="28"/>
      <c r="H12229" s="28"/>
    </row>
    <row r="12230" spans="4:8" x14ac:dyDescent="0.25">
      <c r="D12230" s="28"/>
      <c r="F12230" s="28"/>
      <c r="H12230" s="28"/>
    </row>
    <row r="12231" spans="4:8" x14ac:dyDescent="0.25">
      <c r="D12231" s="28"/>
      <c r="F12231" s="28"/>
      <c r="H12231" s="28"/>
    </row>
    <row r="12232" spans="4:8" x14ac:dyDescent="0.25">
      <c r="D12232" s="28"/>
      <c r="F12232" s="28"/>
      <c r="H12232" s="28"/>
    </row>
    <row r="12233" spans="4:8" x14ac:dyDescent="0.25">
      <c r="D12233" s="28"/>
      <c r="F12233" s="28"/>
      <c r="H12233" s="28"/>
    </row>
    <row r="12234" spans="4:8" x14ac:dyDescent="0.25">
      <c r="D12234" s="28"/>
      <c r="F12234" s="28"/>
      <c r="H12234" s="28"/>
    </row>
    <row r="12235" spans="4:8" x14ac:dyDescent="0.25">
      <c r="D12235" s="28"/>
      <c r="F12235" s="28"/>
      <c r="H12235" s="28"/>
    </row>
    <row r="12236" spans="4:8" x14ac:dyDescent="0.25">
      <c r="D12236" s="28"/>
      <c r="F12236" s="28"/>
      <c r="H12236" s="28"/>
    </row>
    <row r="12237" spans="4:8" x14ac:dyDescent="0.25">
      <c r="D12237" s="28"/>
      <c r="F12237" s="28"/>
      <c r="H12237" s="28"/>
    </row>
    <row r="12238" spans="4:8" x14ac:dyDescent="0.25">
      <c r="D12238" s="28"/>
      <c r="F12238" s="28"/>
      <c r="H12238" s="28"/>
    </row>
    <row r="12239" spans="4:8" x14ac:dyDescent="0.25">
      <c r="D12239" s="28"/>
      <c r="F12239" s="28"/>
      <c r="H12239" s="28"/>
    </row>
    <row r="12240" spans="4:8" x14ac:dyDescent="0.25">
      <c r="D12240" s="28"/>
      <c r="F12240" s="28"/>
      <c r="H12240" s="28"/>
    </row>
    <row r="12241" spans="4:8" x14ac:dyDescent="0.25">
      <c r="D12241" s="28"/>
      <c r="F12241" s="28"/>
      <c r="H12241" s="28"/>
    </row>
    <row r="12242" spans="4:8" x14ac:dyDescent="0.25">
      <c r="D12242" s="28"/>
      <c r="F12242" s="28"/>
      <c r="H12242" s="28"/>
    </row>
    <row r="12243" spans="4:8" x14ac:dyDescent="0.25">
      <c r="D12243" s="28"/>
      <c r="F12243" s="28"/>
      <c r="H12243" s="28"/>
    </row>
    <row r="12244" spans="4:8" x14ac:dyDescent="0.25">
      <c r="D12244" s="28"/>
      <c r="F12244" s="28"/>
      <c r="H12244" s="28"/>
    </row>
    <row r="12245" spans="4:8" x14ac:dyDescent="0.25">
      <c r="D12245" s="28"/>
      <c r="F12245" s="28"/>
      <c r="H12245" s="28"/>
    </row>
    <row r="12246" spans="4:8" x14ac:dyDescent="0.25">
      <c r="D12246" s="28"/>
      <c r="F12246" s="28"/>
      <c r="H12246" s="28"/>
    </row>
    <row r="12247" spans="4:8" x14ac:dyDescent="0.25">
      <c r="D12247" s="28"/>
      <c r="F12247" s="28"/>
      <c r="H12247" s="28"/>
    </row>
    <row r="12248" spans="4:8" x14ac:dyDescent="0.25">
      <c r="D12248" s="28"/>
      <c r="F12248" s="28"/>
      <c r="H12248" s="28"/>
    </row>
    <row r="12249" spans="4:8" x14ac:dyDescent="0.25">
      <c r="D12249" s="28"/>
      <c r="F12249" s="28"/>
      <c r="H12249" s="28"/>
    </row>
    <row r="12250" spans="4:8" x14ac:dyDescent="0.25">
      <c r="D12250" s="28"/>
      <c r="F12250" s="28"/>
      <c r="H12250" s="28"/>
    </row>
    <row r="12251" spans="4:8" x14ac:dyDescent="0.25">
      <c r="D12251" s="28"/>
      <c r="F12251" s="28"/>
      <c r="H12251" s="28"/>
    </row>
    <row r="12252" spans="4:8" x14ac:dyDescent="0.25">
      <c r="D12252" s="28"/>
      <c r="F12252" s="28"/>
      <c r="H12252" s="28"/>
    </row>
    <row r="12253" spans="4:8" x14ac:dyDescent="0.25">
      <c r="D12253" s="28"/>
      <c r="F12253" s="28"/>
      <c r="H12253" s="28"/>
    </row>
    <row r="12254" spans="4:8" x14ac:dyDescent="0.25">
      <c r="D12254" s="28"/>
      <c r="F12254" s="28"/>
      <c r="H12254" s="28"/>
    </row>
    <row r="12255" spans="4:8" x14ac:dyDescent="0.25">
      <c r="D12255" s="28"/>
      <c r="F12255" s="28"/>
      <c r="H12255" s="28"/>
    </row>
    <row r="12256" spans="4:8" x14ac:dyDescent="0.25">
      <c r="D12256" s="28"/>
      <c r="F12256" s="28"/>
      <c r="H12256" s="28"/>
    </row>
    <row r="12257" spans="4:8" x14ac:dyDescent="0.25">
      <c r="D12257" s="28"/>
      <c r="F12257" s="28"/>
      <c r="H12257" s="28"/>
    </row>
    <row r="12258" spans="4:8" x14ac:dyDescent="0.25">
      <c r="D12258" s="28"/>
      <c r="F12258" s="28"/>
      <c r="H12258" s="28"/>
    </row>
    <row r="12259" spans="4:8" x14ac:dyDescent="0.25">
      <c r="D12259" s="28"/>
      <c r="F12259" s="28"/>
      <c r="H12259" s="28"/>
    </row>
    <row r="12260" spans="4:8" x14ac:dyDescent="0.25">
      <c r="D12260" s="28"/>
      <c r="F12260" s="28"/>
      <c r="H12260" s="28"/>
    </row>
    <row r="12261" spans="4:8" x14ac:dyDescent="0.25">
      <c r="D12261" s="28"/>
      <c r="F12261" s="28"/>
      <c r="H12261" s="28"/>
    </row>
    <row r="12262" spans="4:8" x14ac:dyDescent="0.25">
      <c r="D12262" s="28"/>
      <c r="F12262" s="28"/>
      <c r="H12262" s="28"/>
    </row>
    <row r="12263" spans="4:8" x14ac:dyDescent="0.25">
      <c r="D12263" s="28"/>
      <c r="F12263" s="28"/>
      <c r="H12263" s="28"/>
    </row>
    <row r="12264" spans="4:8" x14ac:dyDescent="0.25">
      <c r="D12264" s="28"/>
      <c r="F12264" s="28"/>
      <c r="H12264" s="28"/>
    </row>
    <row r="12265" spans="4:8" x14ac:dyDescent="0.25">
      <c r="D12265" s="28"/>
      <c r="F12265" s="28"/>
      <c r="H12265" s="28"/>
    </row>
    <row r="12266" spans="4:8" x14ac:dyDescent="0.25">
      <c r="D12266" s="28"/>
      <c r="F12266" s="28"/>
      <c r="H12266" s="28"/>
    </row>
    <row r="12267" spans="4:8" x14ac:dyDescent="0.25">
      <c r="D12267" s="28"/>
      <c r="F12267" s="28"/>
      <c r="H12267" s="28"/>
    </row>
    <row r="12268" spans="4:8" x14ac:dyDescent="0.25">
      <c r="D12268" s="28"/>
      <c r="F12268" s="28"/>
      <c r="H12268" s="28"/>
    </row>
    <row r="12269" spans="4:8" x14ac:dyDescent="0.25">
      <c r="D12269" s="28"/>
      <c r="F12269" s="28"/>
      <c r="H12269" s="28"/>
    </row>
    <row r="12270" spans="4:8" x14ac:dyDescent="0.25">
      <c r="D12270" s="28"/>
      <c r="F12270" s="28"/>
      <c r="H12270" s="28"/>
    </row>
    <row r="12271" spans="4:8" x14ac:dyDescent="0.25">
      <c r="D12271" s="28"/>
      <c r="F12271" s="28"/>
      <c r="H12271" s="28"/>
    </row>
    <row r="12272" spans="4:8" x14ac:dyDescent="0.25">
      <c r="D12272" s="28"/>
      <c r="F12272" s="28"/>
      <c r="H12272" s="28"/>
    </row>
    <row r="12273" spans="4:8" x14ac:dyDescent="0.25">
      <c r="D12273" s="28"/>
      <c r="F12273" s="28"/>
      <c r="H12273" s="28"/>
    </row>
    <row r="12274" spans="4:8" x14ac:dyDescent="0.25">
      <c r="D12274" s="28"/>
      <c r="F12274" s="28"/>
      <c r="H12274" s="28"/>
    </row>
    <row r="12275" spans="4:8" x14ac:dyDescent="0.25">
      <c r="D12275" s="28"/>
      <c r="F12275" s="28"/>
      <c r="H12275" s="28"/>
    </row>
    <row r="12276" spans="4:8" x14ac:dyDescent="0.25">
      <c r="D12276" s="28"/>
      <c r="F12276" s="28"/>
      <c r="H12276" s="28"/>
    </row>
    <row r="12277" spans="4:8" x14ac:dyDescent="0.25">
      <c r="D12277" s="28"/>
      <c r="F12277" s="28"/>
      <c r="H12277" s="28"/>
    </row>
    <row r="12278" spans="4:8" x14ac:dyDescent="0.25">
      <c r="D12278" s="28"/>
      <c r="F12278" s="28"/>
      <c r="H12278" s="28"/>
    </row>
    <row r="12279" spans="4:8" x14ac:dyDescent="0.25">
      <c r="D12279" s="28"/>
      <c r="F12279" s="28"/>
      <c r="H12279" s="28"/>
    </row>
    <row r="12280" spans="4:8" x14ac:dyDescent="0.25">
      <c r="D12280" s="28"/>
      <c r="F12280" s="28"/>
      <c r="H12280" s="28"/>
    </row>
    <row r="12281" spans="4:8" x14ac:dyDescent="0.25">
      <c r="D12281" s="28"/>
      <c r="F12281" s="28"/>
      <c r="H12281" s="28"/>
    </row>
    <row r="12282" spans="4:8" x14ac:dyDescent="0.25">
      <c r="D12282" s="28"/>
      <c r="F12282" s="28"/>
      <c r="H12282" s="28"/>
    </row>
    <row r="12283" spans="4:8" x14ac:dyDescent="0.25">
      <c r="D12283" s="28"/>
      <c r="F12283" s="28"/>
      <c r="H12283" s="28"/>
    </row>
    <row r="12284" spans="4:8" x14ac:dyDescent="0.25">
      <c r="D12284" s="28"/>
      <c r="F12284" s="28"/>
      <c r="H12284" s="28"/>
    </row>
    <row r="12285" spans="4:8" x14ac:dyDescent="0.25">
      <c r="D12285" s="28"/>
      <c r="F12285" s="28"/>
      <c r="H12285" s="28"/>
    </row>
    <row r="12286" spans="4:8" x14ac:dyDescent="0.25">
      <c r="D12286" s="28"/>
      <c r="F12286" s="28"/>
      <c r="H12286" s="28"/>
    </row>
    <row r="12287" spans="4:8" x14ac:dyDescent="0.25">
      <c r="D12287" s="28"/>
      <c r="F12287" s="28"/>
      <c r="H12287" s="28"/>
    </row>
    <row r="12288" spans="4:8" x14ac:dyDescent="0.25">
      <c r="D12288" s="28"/>
      <c r="F12288" s="28"/>
      <c r="H12288" s="28"/>
    </row>
    <row r="12289" spans="4:8" x14ac:dyDescent="0.25">
      <c r="D12289" s="28"/>
      <c r="F12289" s="28"/>
      <c r="H12289" s="28"/>
    </row>
    <row r="12290" spans="4:8" x14ac:dyDescent="0.25">
      <c r="D12290" s="28"/>
      <c r="F12290" s="28"/>
      <c r="H12290" s="28"/>
    </row>
    <row r="12291" spans="4:8" x14ac:dyDescent="0.25">
      <c r="D12291" s="28"/>
      <c r="F12291" s="28"/>
      <c r="H12291" s="28"/>
    </row>
    <row r="12292" spans="4:8" x14ac:dyDescent="0.25">
      <c r="D12292" s="28"/>
      <c r="F12292" s="28"/>
      <c r="H12292" s="28"/>
    </row>
    <row r="12293" spans="4:8" x14ac:dyDescent="0.25">
      <c r="D12293" s="28"/>
      <c r="F12293" s="28"/>
      <c r="H12293" s="28"/>
    </row>
    <row r="12294" spans="4:8" x14ac:dyDescent="0.25">
      <c r="D12294" s="28"/>
      <c r="F12294" s="28"/>
      <c r="H12294" s="28"/>
    </row>
    <row r="12295" spans="4:8" x14ac:dyDescent="0.25">
      <c r="D12295" s="28"/>
      <c r="F12295" s="28"/>
      <c r="H12295" s="28"/>
    </row>
    <row r="12296" spans="4:8" x14ac:dyDescent="0.25">
      <c r="D12296" s="28"/>
      <c r="F12296" s="28"/>
      <c r="H12296" s="28"/>
    </row>
    <row r="12297" spans="4:8" x14ac:dyDescent="0.25">
      <c r="D12297" s="28"/>
      <c r="F12297" s="28"/>
      <c r="H12297" s="28"/>
    </row>
    <row r="12298" spans="4:8" x14ac:dyDescent="0.25">
      <c r="D12298" s="28"/>
      <c r="F12298" s="28"/>
      <c r="H12298" s="28"/>
    </row>
    <row r="12299" spans="4:8" x14ac:dyDescent="0.25">
      <c r="D12299" s="28"/>
      <c r="F12299" s="28"/>
      <c r="H12299" s="28"/>
    </row>
    <row r="12300" spans="4:8" x14ac:dyDescent="0.25">
      <c r="D12300" s="28"/>
      <c r="F12300" s="28"/>
      <c r="H12300" s="28"/>
    </row>
    <row r="12301" spans="4:8" x14ac:dyDescent="0.25">
      <c r="D12301" s="28"/>
      <c r="F12301" s="28"/>
      <c r="H12301" s="28"/>
    </row>
    <row r="12302" spans="4:8" x14ac:dyDescent="0.25">
      <c r="D12302" s="28"/>
      <c r="F12302" s="28"/>
      <c r="H12302" s="28"/>
    </row>
    <row r="12303" spans="4:8" x14ac:dyDescent="0.25">
      <c r="D12303" s="28"/>
      <c r="F12303" s="28"/>
      <c r="H12303" s="28"/>
    </row>
    <row r="12304" spans="4:8" x14ac:dyDescent="0.25">
      <c r="D12304" s="28"/>
      <c r="F12304" s="28"/>
      <c r="H12304" s="28"/>
    </row>
    <row r="12305" spans="4:8" x14ac:dyDescent="0.25">
      <c r="D12305" s="28"/>
      <c r="F12305" s="28"/>
      <c r="H12305" s="28"/>
    </row>
    <row r="12306" spans="4:8" x14ac:dyDescent="0.25">
      <c r="D12306" s="28"/>
      <c r="F12306" s="28"/>
      <c r="H12306" s="28"/>
    </row>
    <row r="12307" spans="4:8" x14ac:dyDescent="0.25">
      <c r="D12307" s="28"/>
      <c r="F12307" s="28"/>
      <c r="H12307" s="28"/>
    </row>
    <row r="12308" spans="4:8" x14ac:dyDescent="0.25">
      <c r="D12308" s="28"/>
      <c r="F12308" s="28"/>
      <c r="H12308" s="28"/>
    </row>
    <row r="12309" spans="4:8" x14ac:dyDescent="0.25">
      <c r="D12309" s="28"/>
      <c r="F12309" s="28"/>
      <c r="H12309" s="28"/>
    </row>
    <row r="12310" spans="4:8" x14ac:dyDescent="0.25">
      <c r="D12310" s="28"/>
      <c r="F12310" s="28"/>
      <c r="H12310" s="28"/>
    </row>
    <row r="12311" spans="4:8" x14ac:dyDescent="0.25">
      <c r="D12311" s="28"/>
      <c r="F12311" s="28"/>
      <c r="H12311" s="28"/>
    </row>
    <row r="12312" spans="4:8" x14ac:dyDescent="0.25">
      <c r="D12312" s="28"/>
      <c r="F12312" s="28"/>
      <c r="H12312" s="28"/>
    </row>
    <row r="12313" spans="4:8" x14ac:dyDescent="0.25">
      <c r="D12313" s="28"/>
      <c r="F12313" s="28"/>
      <c r="H12313" s="28"/>
    </row>
    <row r="12314" spans="4:8" x14ac:dyDescent="0.25">
      <c r="D12314" s="28"/>
      <c r="F12314" s="28"/>
      <c r="H12314" s="28"/>
    </row>
    <row r="12315" spans="4:8" x14ac:dyDescent="0.25">
      <c r="D12315" s="28"/>
      <c r="F12315" s="28"/>
      <c r="H12315" s="28"/>
    </row>
    <row r="12316" spans="4:8" x14ac:dyDescent="0.25">
      <c r="D12316" s="28"/>
      <c r="F12316" s="28"/>
      <c r="H12316" s="28"/>
    </row>
    <row r="12317" spans="4:8" x14ac:dyDescent="0.25">
      <c r="D12317" s="28"/>
      <c r="F12317" s="28"/>
      <c r="H12317" s="28"/>
    </row>
    <row r="12318" spans="4:8" x14ac:dyDescent="0.25">
      <c r="D12318" s="28"/>
      <c r="F12318" s="28"/>
      <c r="H12318" s="28"/>
    </row>
    <row r="12319" spans="4:8" x14ac:dyDescent="0.25">
      <c r="D12319" s="28"/>
      <c r="F12319" s="28"/>
      <c r="H12319" s="28"/>
    </row>
    <row r="12320" spans="4:8" x14ac:dyDescent="0.25">
      <c r="D12320" s="28"/>
      <c r="F12320" s="28"/>
      <c r="H12320" s="28"/>
    </row>
    <row r="12321" spans="4:8" x14ac:dyDescent="0.25">
      <c r="D12321" s="28"/>
      <c r="F12321" s="28"/>
      <c r="H12321" s="28"/>
    </row>
    <row r="12322" spans="4:8" x14ac:dyDescent="0.25">
      <c r="D12322" s="28"/>
      <c r="F12322" s="28"/>
      <c r="H12322" s="28"/>
    </row>
    <row r="12323" spans="4:8" x14ac:dyDescent="0.25">
      <c r="D12323" s="28"/>
      <c r="F12323" s="28"/>
      <c r="H12323" s="28"/>
    </row>
    <row r="12324" spans="4:8" x14ac:dyDescent="0.25">
      <c r="D12324" s="28"/>
      <c r="F12324" s="28"/>
      <c r="H12324" s="28"/>
    </row>
    <row r="12325" spans="4:8" x14ac:dyDescent="0.25">
      <c r="D12325" s="28"/>
      <c r="F12325" s="28"/>
      <c r="H12325" s="28"/>
    </row>
    <row r="12326" spans="4:8" x14ac:dyDescent="0.25">
      <c r="D12326" s="28"/>
      <c r="F12326" s="28"/>
      <c r="H12326" s="28"/>
    </row>
    <row r="12327" spans="4:8" x14ac:dyDescent="0.25">
      <c r="D12327" s="28"/>
      <c r="F12327" s="28"/>
      <c r="H12327" s="28"/>
    </row>
    <row r="12328" spans="4:8" x14ac:dyDescent="0.25">
      <c r="D12328" s="28"/>
      <c r="F12328" s="28"/>
      <c r="H12328" s="28"/>
    </row>
    <row r="12329" spans="4:8" x14ac:dyDescent="0.25">
      <c r="D12329" s="28"/>
      <c r="F12329" s="28"/>
      <c r="H12329" s="28"/>
    </row>
    <row r="12330" spans="4:8" x14ac:dyDescent="0.25">
      <c r="D12330" s="28"/>
      <c r="F12330" s="28"/>
      <c r="H12330" s="28"/>
    </row>
    <row r="12331" spans="4:8" x14ac:dyDescent="0.25">
      <c r="D12331" s="28"/>
      <c r="F12331" s="28"/>
      <c r="H12331" s="28"/>
    </row>
    <row r="12332" spans="4:8" x14ac:dyDescent="0.25">
      <c r="D12332" s="28"/>
      <c r="F12332" s="28"/>
      <c r="H12332" s="28"/>
    </row>
    <row r="12333" spans="4:8" x14ac:dyDescent="0.25">
      <c r="D12333" s="28"/>
      <c r="F12333" s="28"/>
      <c r="H12333" s="28"/>
    </row>
    <row r="12334" spans="4:8" x14ac:dyDescent="0.25">
      <c r="D12334" s="28"/>
      <c r="F12334" s="28"/>
      <c r="H12334" s="28"/>
    </row>
    <row r="12335" spans="4:8" x14ac:dyDescent="0.25">
      <c r="D12335" s="28"/>
      <c r="F12335" s="28"/>
      <c r="H12335" s="28"/>
    </row>
    <row r="12336" spans="4:8" x14ac:dyDescent="0.25">
      <c r="D12336" s="28"/>
      <c r="F12336" s="28"/>
      <c r="H12336" s="28"/>
    </row>
    <row r="12337" spans="4:8" x14ac:dyDescent="0.25">
      <c r="D12337" s="28"/>
      <c r="F12337" s="28"/>
      <c r="H12337" s="28"/>
    </row>
    <row r="12338" spans="4:8" x14ac:dyDescent="0.25">
      <c r="D12338" s="28"/>
      <c r="F12338" s="28"/>
      <c r="H12338" s="28"/>
    </row>
    <row r="12339" spans="4:8" x14ac:dyDescent="0.25">
      <c r="D12339" s="28"/>
      <c r="F12339" s="28"/>
      <c r="H12339" s="28"/>
    </row>
    <row r="12340" spans="4:8" x14ac:dyDescent="0.25">
      <c r="D12340" s="28"/>
      <c r="F12340" s="28"/>
      <c r="H12340" s="28"/>
    </row>
    <row r="12341" spans="4:8" x14ac:dyDescent="0.25">
      <c r="D12341" s="28"/>
      <c r="F12341" s="28"/>
      <c r="H12341" s="28"/>
    </row>
    <row r="12342" spans="4:8" x14ac:dyDescent="0.25">
      <c r="D12342" s="28"/>
      <c r="F12342" s="28"/>
      <c r="H12342" s="28"/>
    </row>
    <row r="12343" spans="4:8" x14ac:dyDescent="0.25">
      <c r="D12343" s="28"/>
      <c r="F12343" s="28"/>
      <c r="H12343" s="28"/>
    </row>
    <row r="12344" spans="4:8" x14ac:dyDescent="0.25">
      <c r="D12344" s="28"/>
      <c r="F12344" s="28"/>
      <c r="H12344" s="28"/>
    </row>
    <row r="12345" spans="4:8" x14ac:dyDescent="0.25">
      <c r="D12345" s="28"/>
      <c r="F12345" s="28"/>
      <c r="H12345" s="28"/>
    </row>
    <row r="12346" spans="4:8" x14ac:dyDescent="0.25">
      <c r="D12346" s="28"/>
      <c r="F12346" s="28"/>
      <c r="H12346" s="28"/>
    </row>
    <row r="12347" spans="4:8" x14ac:dyDescent="0.25">
      <c r="D12347" s="28"/>
      <c r="F12347" s="28"/>
      <c r="H12347" s="28"/>
    </row>
    <row r="12348" spans="4:8" x14ac:dyDescent="0.25">
      <c r="D12348" s="28"/>
      <c r="F12348" s="28"/>
      <c r="H12348" s="28"/>
    </row>
    <row r="12349" spans="4:8" x14ac:dyDescent="0.25">
      <c r="D12349" s="28"/>
      <c r="F12349" s="28"/>
      <c r="H12349" s="28"/>
    </row>
    <row r="12350" spans="4:8" x14ac:dyDescent="0.25">
      <c r="D12350" s="28"/>
      <c r="F12350" s="28"/>
      <c r="H12350" s="28"/>
    </row>
    <row r="12351" spans="4:8" x14ac:dyDescent="0.25">
      <c r="D12351" s="28"/>
      <c r="F12351" s="28"/>
      <c r="H12351" s="28"/>
    </row>
    <row r="12352" spans="4:8" x14ac:dyDescent="0.25">
      <c r="D12352" s="28"/>
      <c r="F12352" s="28"/>
      <c r="H12352" s="28"/>
    </row>
    <row r="12353" spans="4:8" x14ac:dyDescent="0.25">
      <c r="D12353" s="28"/>
      <c r="F12353" s="28"/>
      <c r="H12353" s="28"/>
    </row>
    <row r="12354" spans="4:8" x14ac:dyDescent="0.25">
      <c r="D12354" s="28"/>
      <c r="F12354" s="28"/>
      <c r="H12354" s="28"/>
    </row>
    <row r="12355" spans="4:8" x14ac:dyDescent="0.25">
      <c r="D12355" s="28"/>
      <c r="F12355" s="28"/>
      <c r="H12355" s="28"/>
    </row>
    <row r="12356" spans="4:8" x14ac:dyDescent="0.25">
      <c r="D12356" s="28"/>
      <c r="F12356" s="28"/>
      <c r="H12356" s="28"/>
    </row>
    <row r="12357" spans="4:8" x14ac:dyDescent="0.25">
      <c r="D12357" s="28"/>
      <c r="F12357" s="28"/>
      <c r="H12357" s="28"/>
    </row>
    <row r="12358" spans="4:8" x14ac:dyDescent="0.25">
      <c r="D12358" s="28"/>
      <c r="F12358" s="28"/>
      <c r="H12358" s="28"/>
    </row>
    <row r="12359" spans="4:8" x14ac:dyDescent="0.25">
      <c r="D12359" s="28"/>
      <c r="F12359" s="28"/>
      <c r="H12359" s="28"/>
    </row>
    <row r="12360" spans="4:8" x14ac:dyDescent="0.25">
      <c r="D12360" s="28"/>
      <c r="F12360" s="28"/>
      <c r="H12360" s="28"/>
    </row>
    <row r="12361" spans="4:8" x14ac:dyDescent="0.25">
      <c r="D12361" s="28"/>
      <c r="F12361" s="28"/>
      <c r="H12361" s="28"/>
    </row>
    <row r="12362" spans="4:8" x14ac:dyDescent="0.25">
      <c r="D12362" s="28"/>
      <c r="F12362" s="28"/>
      <c r="H12362" s="28"/>
    </row>
    <row r="12363" spans="4:8" x14ac:dyDescent="0.25">
      <c r="D12363" s="28"/>
      <c r="F12363" s="28"/>
      <c r="H12363" s="28"/>
    </row>
    <row r="12364" spans="4:8" x14ac:dyDescent="0.25">
      <c r="D12364" s="28"/>
      <c r="F12364" s="28"/>
      <c r="H12364" s="28"/>
    </row>
    <row r="12365" spans="4:8" x14ac:dyDescent="0.25">
      <c r="D12365" s="28"/>
      <c r="F12365" s="28"/>
      <c r="H12365" s="28"/>
    </row>
    <row r="12366" spans="4:8" x14ac:dyDescent="0.25">
      <c r="D12366" s="28"/>
      <c r="F12366" s="28"/>
      <c r="H12366" s="28"/>
    </row>
    <row r="12367" spans="4:8" x14ac:dyDescent="0.25">
      <c r="D12367" s="28"/>
      <c r="F12367" s="28"/>
      <c r="H12367" s="28"/>
    </row>
    <row r="12368" spans="4:8" x14ac:dyDescent="0.25">
      <c r="D12368" s="28"/>
      <c r="F12368" s="28"/>
      <c r="H12368" s="28"/>
    </row>
    <row r="12369" spans="4:8" x14ac:dyDescent="0.25">
      <c r="D12369" s="28"/>
      <c r="F12369" s="28"/>
      <c r="H12369" s="28"/>
    </row>
    <row r="12370" spans="4:8" x14ac:dyDescent="0.25">
      <c r="D12370" s="28"/>
      <c r="F12370" s="28"/>
      <c r="H12370" s="28"/>
    </row>
    <row r="12371" spans="4:8" x14ac:dyDescent="0.25">
      <c r="D12371" s="28"/>
      <c r="F12371" s="28"/>
      <c r="H12371" s="28"/>
    </row>
    <row r="12372" spans="4:8" x14ac:dyDescent="0.25">
      <c r="D12372" s="28"/>
      <c r="F12372" s="28"/>
      <c r="H12372" s="28"/>
    </row>
    <row r="12373" spans="4:8" x14ac:dyDescent="0.25">
      <c r="D12373" s="28"/>
      <c r="F12373" s="28"/>
      <c r="H12373" s="28"/>
    </row>
    <row r="12374" spans="4:8" x14ac:dyDescent="0.25">
      <c r="D12374" s="28"/>
      <c r="F12374" s="28"/>
      <c r="H12374" s="28"/>
    </row>
    <row r="12375" spans="4:8" x14ac:dyDescent="0.25">
      <c r="D12375" s="28"/>
      <c r="F12375" s="28"/>
      <c r="H12375" s="28"/>
    </row>
    <row r="12376" spans="4:8" x14ac:dyDescent="0.25">
      <c r="D12376" s="28"/>
      <c r="F12376" s="28"/>
      <c r="H12376" s="28"/>
    </row>
    <row r="12377" spans="4:8" x14ac:dyDescent="0.25">
      <c r="D12377" s="28"/>
      <c r="F12377" s="28"/>
      <c r="H12377" s="28"/>
    </row>
    <row r="12378" spans="4:8" x14ac:dyDescent="0.25">
      <c r="D12378" s="28"/>
      <c r="F12378" s="28"/>
      <c r="H12378" s="28"/>
    </row>
    <row r="12379" spans="4:8" x14ac:dyDescent="0.25">
      <c r="D12379" s="28"/>
      <c r="F12379" s="28"/>
      <c r="H12379" s="28"/>
    </row>
    <row r="12380" spans="4:8" x14ac:dyDescent="0.25">
      <c r="D12380" s="28"/>
      <c r="F12380" s="28"/>
      <c r="H12380" s="28"/>
    </row>
    <row r="12381" spans="4:8" x14ac:dyDescent="0.25">
      <c r="D12381" s="28"/>
      <c r="F12381" s="28"/>
      <c r="H12381" s="28"/>
    </row>
    <row r="12382" spans="4:8" x14ac:dyDescent="0.25">
      <c r="D12382" s="28"/>
      <c r="F12382" s="28"/>
      <c r="H12382" s="28"/>
    </row>
    <row r="12383" spans="4:8" x14ac:dyDescent="0.25">
      <c r="D12383" s="28"/>
      <c r="F12383" s="28"/>
      <c r="H12383" s="28"/>
    </row>
    <row r="12384" spans="4:8" x14ac:dyDescent="0.25">
      <c r="D12384" s="28"/>
      <c r="F12384" s="28"/>
      <c r="H12384" s="28"/>
    </row>
    <row r="12385" spans="4:8" x14ac:dyDescent="0.25">
      <c r="D12385" s="28"/>
      <c r="F12385" s="28"/>
      <c r="H12385" s="28"/>
    </row>
    <row r="12386" spans="4:8" x14ac:dyDescent="0.25">
      <c r="D12386" s="28"/>
      <c r="F12386" s="28"/>
      <c r="H12386" s="28"/>
    </row>
    <row r="12387" spans="4:8" x14ac:dyDescent="0.25">
      <c r="D12387" s="28"/>
      <c r="F12387" s="28"/>
      <c r="H12387" s="28"/>
    </row>
    <row r="12388" spans="4:8" x14ac:dyDescent="0.25">
      <c r="D12388" s="28"/>
      <c r="F12388" s="28"/>
      <c r="H12388" s="28"/>
    </row>
    <row r="12389" spans="4:8" x14ac:dyDescent="0.25">
      <c r="D12389" s="28"/>
      <c r="F12389" s="28"/>
      <c r="H12389" s="28"/>
    </row>
    <row r="12390" spans="4:8" x14ac:dyDescent="0.25">
      <c r="D12390" s="28"/>
      <c r="F12390" s="28"/>
      <c r="H12390" s="28"/>
    </row>
    <row r="12391" spans="4:8" x14ac:dyDescent="0.25">
      <c r="D12391" s="28"/>
      <c r="F12391" s="28"/>
      <c r="H12391" s="28"/>
    </row>
    <row r="12392" spans="4:8" x14ac:dyDescent="0.25">
      <c r="D12392" s="28"/>
      <c r="F12392" s="28"/>
      <c r="H12392" s="28"/>
    </row>
    <row r="12393" spans="4:8" x14ac:dyDescent="0.25">
      <c r="D12393" s="28"/>
      <c r="F12393" s="28"/>
      <c r="H12393" s="28"/>
    </row>
    <row r="12394" spans="4:8" x14ac:dyDescent="0.25">
      <c r="D12394" s="28"/>
      <c r="F12394" s="28"/>
      <c r="H12394" s="28"/>
    </row>
    <row r="12395" spans="4:8" x14ac:dyDescent="0.25">
      <c r="D12395" s="28"/>
      <c r="F12395" s="28"/>
      <c r="H12395" s="28"/>
    </row>
    <row r="12396" spans="4:8" x14ac:dyDescent="0.25">
      <c r="D12396" s="28"/>
      <c r="F12396" s="28"/>
      <c r="H12396" s="28"/>
    </row>
    <row r="12397" spans="4:8" x14ac:dyDescent="0.25">
      <c r="D12397" s="28"/>
      <c r="F12397" s="28"/>
      <c r="H12397" s="28"/>
    </row>
    <row r="12398" spans="4:8" x14ac:dyDescent="0.25">
      <c r="D12398" s="28"/>
      <c r="F12398" s="28"/>
      <c r="H12398" s="28"/>
    </row>
    <row r="12399" spans="4:8" x14ac:dyDescent="0.25">
      <c r="D12399" s="28"/>
      <c r="F12399" s="28"/>
      <c r="H12399" s="28"/>
    </row>
    <row r="12400" spans="4:8" x14ac:dyDescent="0.25">
      <c r="D12400" s="28"/>
      <c r="F12400" s="28"/>
      <c r="H12400" s="28"/>
    </row>
    <row r="12401" spans="4:8" x14ac:dyDescent="0.25">
      <c r="D12401" s="28"/>
      <c r="F12401" s="28"/>
      <c r="H12401" s="28"/>
    </row>
    <row r="12402" spans="4:8" x14ac:dyDescent="0.25">
      <c r="D12402" s="28"/>
      <c r="F12402" s="28"/>
      <c r="H12402" s="28"/>
    </row>
    <row r="12403" spans="4:8" x14ac:dyDescent="0.25">
      <c r="D12403" s="28"/>
      <c r="F12403" s="28"/>
      <c r="H12403" s="28"/>
    </row>
    <row r="12404" spans="4:8" x14ac:dyDescent="0.25">
      <c r="D12404" s="28"/>
      <c r="F12404" s="28"/>
      <c r="H12404" s="28"/>
    </row>
    <row r="12405" spans="4:8" x14ac:dyDescent="0.25">
      <c r="D12405" s="28"/>
      <c r="F12405" s="28"/>
      <c r="H12405" s="28"/>
    </row>
    <row r="12406" spans="4:8" x14ac:dyDescent="0.25">
      <c r="D12406" s="28"/>
      <c r="F12406" s="28"/>
      <c r="H12406" s="28"/>
    </row>
    <row r="12407" spans="4:8" x14ac:dyDescent="0.25">
      <c r="D12407" s="28"/>
      <c r="F12407" s="28"/>
      <c r="H12407" s="28"/>
    </row>
    <row r="12408" spans="4:8" x14ac:dyDescent="0.25">
      <c r="D12408" s="28"/>
      <c r="F12408" s="28"/>
      <c r="H12408" s="28"/>
    </row>
    <row r="12409" spans="4:8" x14ac:dyDescent="0.25">
      <c r="D12409" s="28"/>
      <c r="F12409" s="28"/>
      <c r="H12409" s="28"/>
    </row>
    <row r="12410" spans="4:8" x14ac:dyDescent="0.25">
      <c r="D12410" s="28"/>
      <c r="F12410" s="28"/>
      <c r="H12410" s="28"/>
    </row>
    <row r="12411" spans="4:8" x14ac:dyDescent="0.25">
      <c r="D12411" s="28"/>
      <c r="F12411" s="28"/>
      <c r="H12411" s="28"/>
    </row>
    <row r="12412" spans="4:8" x14ac:dyDescent="0.25">
      <c r="D12412" s="28"/>
      <c r="F12412" s="28"/>
      <c r="H12412" s="28"/>
    </row>
    <row r="12413" spans="4:8" x14ac:dyDescent="0.25">
      <c r="D12413" s="28"/>
      <c r="F12413" s="28"/>
      <c r="H12413" s="28"/>
    </row>
    <row r="12414" spans="4:8" x14ac:dyDescent="0.25">
      <c r="D12414" s="28"/>
      <c r="F12414" s="28"/>
      <c r="H12414" s="28"/>
    </row>
    <row r="12415" spans="4:8" x14ac:dyDescent="0.25">
      <c r="D12415" s="28"/>
      <c r="F12415" s="28"/>
      <c r="H12415" s="28"/>
    </row>
    <row r="12416" spans="4:8" x14ac:dyDescent="0.25">
      <c r="D12416" s="28"/>
      <c r="F12416" s="28"/>
      <c r="H12416" s="28"/>
    </row>
    <row r="12417" spans="4:8" x14ac:dyDescent="0.25">
      <c r="D12417" s="28"/>
      <c r="F12417" s="28"/>
      <c r="H12417" s="28"/>
    </row>
    <row r="12418" spans="4:8" x14ac:dyDescent="0.25">
      <c r="D12418" s="28"/>
      <c r="F12418" s="28"/>
      <c r="H12418" s="28"/>
    </row>
    <row r="12419" spans="4:8" x14ac:dyDescent="0.25">
      <c r="D12419" s="28"/>
      <c r="F12419" s="28"/>
      <c r="H12419" s="28"/>
    </row>
    <row r="12420" spans="4:8" x14ac:dyDescent="0.25">
      <c r="D12420" s="28"/>
      <c r="F12420" s="28"/>
      <c r="H12420" s="28"/>
    </row>
    <row r="12421" spans="4:8" x14ac:dyDescent="0.25">
      <c r="D12421" s="28"/>
      <c r="F12421" s="28"/>
      <c r="H12421" s="28"/>
    </row>
    <row r="12422" spans="4:8" x14ac:dyDescent="0.25">
      <c r="D12422" s="28"/>
      <c r="F12422" s="28"/>
      <c r="H12422" s="28"/>
    </row>
    <row r="12423" spans="4:8" x14ac:dyDescent="0.25">
      <c r="D12423" s="28"/>
      <c r="F12423" s="28"/>
      <c r="H12423" s="28"/>
    </row>
    <row r="12424" spans="4:8" x14ac:dyDescent="0.25">
      <c r="D12424" s="28"/>
      <c r="F12424" s="28"/>
      <c r="H12424" s="28"/>
    </row>
    <row r="12425" spans="4:8" x14ac:dyDescent="0.25">
      <c r="D12425" s="28"/>
      <c r="F12425" s="28"/>
      <c r="H12425" s="28"/>
    </row>
    <row r="12426" spans="4:8" x14ac:dyDescent="0.25">
      <c r="D12426" s="28"/>
      <c r="F12426" s="28"/>
      <c r="H12426" s="28"/>
    </row>
    <row r="12427" spans="4:8" x14ac:dyDescent="0.25">
      <c r="D12427" s="28"/>
      <c r="F12427" s="28"/>
      <c r="H12427" s="28"/>
    </row>
    <row r="12428" spans="4:8" x14ac:dyDescent="0.25">
      <c r="D12428" s="28"/>
      <c r="F12428" s="28"/>
      <c r="H12428" s="28"/>
    </row>
    <row r="12429" spans="4:8" x14ac:dyDescent="0.25">
      <c r="D12429" s="28"/>
      <c r="F12429" s="28"/>
      <c r="H12429" s="28"/>
    </row>
    <row r="12430" spans="4:8" x14ac:dyDescent="0.25">
      <c r="D12430" s="28"/>
      <c r="F12430" s="28"/>
      <c r="H12430" s="28"/>
    </row>
    <row r="12431" spans="4:8" x14ac:dyDescent="0.25">
      <c r="D12431" s="28"/>
      <c r="F12431" s="28"/>
      <c r="H12431" s="28"/>
    </row>
    <row r="12432" spans="4:8" x14ac:dyDescent="0.25">
      <c r="D12432" s="28"/>
      <c r="F12432" s="28"/>
      <c r="H12432" s="28"/>
    </row>
    <row r="12433" spans="4:8" x14ac:dyDescent="0.25">
      <c r="D12433" s="28"/>
      <c r="F12433" s="28"/>
      <c r="H12433" s="28"/>
    </row>
    <row r="12434" spans="4:8" x14ac:dyDescent="0.25">
      <c r="D12434" s="28"/>
      <c r="F12434" s="28"/>
      <c r="H12434" s="28"/>
    </row>
    <row r="12435" spans="4:8" x14ac:dyDescent="0.25">
      <c r="D12435" s="28"/>
      <c r="F12435" s="28"/>
      <c r="H12435" s="28"/>
    </row>
    <row r="12436" spans="4:8" x14ac:dyDescent="0.25">
      <c r="D12436" s="28"/>
      <c r="F12436" s="28"/>
      <c r="H12436" s="28"/>
    </row>
    <row r="12437" spans="4:8" x14ac:dyDescent="0.25">
      <c r="D12437" s="28"/>
      <c r="F12437" s="28"/>
      <c r="H12437" s="28"/>
    </row>
    <row r="12438" spans="4:8" x14ac:dyDescent="0.25">
      <c r="D12438" s="28"/>
      <c r="F12438" s="28"/>
      <c r="H12438" s="28"/>
    </row>
    <row r="12439" spans="4:8" x14ac:dyDescent="0.25">
      <c r="D12439" s="28"/>
      <c r="F12439" s="28"/>
      <c r="H12439" s="28"/>
    </row>
    <row r="12440" spans="4:8" x14ac:dyDescent="0.25">
      <c r="D12440" s="28"/>
      <c r="F12440" s="28"/>
      <c r="H12440" s="28"/>
    </row>
    <row r="12441" spans="4:8" x14ac:dyDescent="0.25">
      <c r="D12441" s="28"/>
      <c r="F12441" s="28"/>
      <c r="H12441" s="28"/>
    </row>
    <row r="12442" spans="4:8" x14ac:dyDescent="0.25">
      <c r="D12442" s="28"/>
      <c r="F12442" s="28"/>
      <c r="H12442" s="28"/>
    </row>
    <row r="12443" spans="4:8" x14ac:dyDescent="0.25">
      <c r="D12443" s="28"/>
      <c r="F12443" s="28"/>
      <c r="H12443" s="28"/>
    </row>
    <row r="12444" spans="4:8" x14ac:dyDescent="0.25">
      <c r="D12444" s="28"/>
      <c r="F12444" s="28"/>
      <c r="H12444" s="28"/>
    </row>
    <row r="12445" spans="4:8" x14ac:dyDescent="0.25">
      <c r="D12445" s="28"/>
      <c r="F12445" s="28"/>
      <c r="H12445" s="28"/>
    </row>
    <row r="12446" spans="4:8" x14ac:dyDescent="0.25">
      <c r="D12446" s="28"/>
      <c r="F12446" s="28"/>
      <c r="H12446" s="28"/>
    </row>
    <row r="12447" spans="4:8" x14ac:dyDescent="0.25">
      <c r="D12447" s="28"/>
      <c r="F12447" s="28"/>
      <c r="H12447" s="28"/>
    </row>
    <row r="12448" spans="4:8" x14ac:dyDescent="0.25">
      <c r="D12448" s="28"/>
      <c r="F12448" s="28"/>
      <c r="H12448" s="28"/>
    </row>
    <row r="12449" spans="4:8" x14ac:dyDescent="0.25">
      <c r="D12449" s="28"/>
      <c r="F12449" s="28"/>
      <c r="H12449" s="28"/>
    </row>
    <row r="12450" spans="4:8" x14ac:dyDescent="0.25">
      <c r="D12450" s="28"/>
      <c r="F12450" s="28"/>
      <c r="H12450" s="28"/>
    </row>
    <row r="12451" spans="4:8" x14ac:dyDescent="0.25">
      <c r="D12451" s="28"/>
      <c r="F12451" s="28"/>
      <c r="H12451" s="28"/>
    </row>
    <row r="12452" spans="4:8" x14ac:dyDescent="0.25">
      <c r="D12452" s="28"/>
      <c r="F12452" s="28"/>
      <c r="H12452" s="28"/>
    </row>
    <row r="12453" spans="4:8" x14ac:dyDescent="0.25">
      <c r="D12453" s="28"/>
      <c r="F12453" s="28"/>
      <c r="H12453" s="28"/>
    </row>
    <row r="12454" spans="4:8" x14ac:dyDescent="0.25">
      <c r="D12454" s="28"/>
      <c r="F12454" s="28"/>
      <c r="H12454" s="28"/>
    </row>
    <row r="12455" spans="4:8" x14ac:dyDescent="0.25">
      <c r="D12455" s="28"/>
      <c r="F12455" s="28"/>
      <c r="H12455" s="28"/>
    </row>
    <row r="12456" spans="4:8" x14ac:dyDescent="0.25">
      <c r="D12456" s="28"/>
      <c r="F12456" s="28"/>
      <c r="H12456" s="28"/>
    </row>
    <row r="12457" spans="4:8" x14ac:dyDescent="0.25">
      <c r="D12457" s="28"/>
      <c r="F12457" s="28"/>
      <c r="H12457" s="28"/>
    </row>
    <row r="12458" spans="4:8" x14ac:dyDescent="0.25">
      <c r="D12458" s="28"/>
      <c r="F12458" s="28"/>
      <c r="H12458" s="28"/>
    </row>
    <row r="12459" spans="4:8" x14ac:dyDescent="0.25">
      <c r="D12459" s="28"/>
      <c r="F12459" s="28"/>
      <c r="H12459" s="28"/>
    </row>
    <row r="12460" spans="4:8" x14ac:dyDescent="0.25">
      <c r="D12460" s="28"/>
      <c r="F12460" s="28"/>
      <c r="H12460" s="28"/>
    </row>
    <row r="12461" spans="4:8" x14ac:dyDescent="0.25">
      <c r="D12461" s="28"/>
      <c r="F12461" s="28"/>
      <c r="H12461" s="28"/>
    </row>
    <row r="12462" spans="4:8" x14ac:dyDescent="0.25">
      <c r="D12462" s="28"/>
      <c r="F12462" s="28"/>
      <c r="H12462" s="28"/>
    </row>
    <row r="12463" spans="4:8" x14ac:dyDescent="0.25">
      <c r="D12463" s="28"/>
      <c r="F12463" s="28"/>
      <c r="H12463" s="28"/>
    </row>
    <row r="12464" spans="4:8" x14ac:dyDescent="0.25">
      <c r="D12464" s="28"/>
      <c r="F12464" s="28"/>
      <c r="H12464" s="28"/>
    </row>
    <row r="12465" spans="4:8" x14ac:dyDescent="0.25">
      <c r="D12465" s="28"/>
      <c r="F12465" s="28"/>
      <c r="H12465" s="28"/>
    </row>
    <row r="12466" spans="4:8" x14ac:dyDescent="0.25">
      <c r="D12466" s="28"/>
      <c r="F12466" s="28"/>
      <c r="H12466" s="28"/>
    </row>
    <row r="12467" spans="4:8" x14ac:dyDescent="0.25">
      <c r="D12467" s="28"/>
      <c r="F12467" s="28"/>
      <c r="H12467" s="28"/>
    </row>
    <row r="12468" spans="4:8" x14ac:dyDescent="0.25">
      <c r="D12468" s="28"/>
      <c r="F12468" s="28"/>
      <c r="H12468" s="28"/>
    </row>
    <row r="12469" spans="4:8" x14ac:dyDescent="0.25">
      <c r="D12469" s="28"/>
      <c r="F12469" s="28"/>
      <c r="H12469" s="28"/>
    </row>
    <row r="12470" spans="4:8" x14ac:dyDescent="0.25">
      <c r="D12470" s="28"/>
      <c r="F12470" s="28"/>
      <c r="H12470" s="28"/>
    </row>
    <row r="12471" spans="4:8" x14ac:dyDescent="0.25">
      <c r="D12471" s="28"/>
      <c r="F12471" s="28"/>
      <c r="H12471" s="28"/>
    </row>
    <row r="12472" spans="4:8" x14ac:dyDescent="0.25">
      <c r="D12472" s="28"/>
      <c r="F12472" s="28"/>
      <c r="H12472" s="28"/>
    </row>
    <row r="12473" spans="4:8" x14ac:dyDescent="0.25">
      <c r="D12473" s="28"/>
      <c r="F12473" s="28"/>
      <c r="H12473" s="28"/>
    </row>
    <row r="12474" spans="4:8" x14ac:dyDescent="0.25">
      <c r="D12474" s="28"/>
      <c r="F12474" s="28"/>
      <c r="H12474" s="28"/>
    </row>
    <row r="12475" spans="4:8" x14ac:dyDescent="0.25">
      <c r="D12475" s="28"/>
      <c r="F12475" s="28"/>
      <c r="H12475" s="28"/>
    </row>
    <row r="12476" spans="4:8" x14ac:dyDescent="0.25">
      <c r="D12476" s="28"/>
      <c r="F12476" s="28"/>
      <c r="H12476" s="28"/>
    </row>
    <row r="12477" spans="4:8" x14ac:dyDescent="0.25">
      <c r="D12477" s="28"/>
      <c r="F12477" s="28"/>
      <c r="H12477" s="28"/>
    </row>
    <row r="12478" spans="4:8" x14ac:dyDescent="0.25">
      <c r="D12478" s="28"/>
      <c r="F12478" s="28"/>
      <c r="H12478" s="28"/>
    </row>
    <row r="12479" spans="4:8" x14ac:dyDescent="0.25">
      <c r="D12479" s="28"/>
      <c r="F12479" s="28"/>
      <c r="H12479" s="28"/>
    </row>
    <row r="12480" spans="4:8" x14ac:dyDescent="0.25">
      <c r="D12480" s="28"/>
      <c r="F12480" s="28"/>
      <c r="H12480" s="28"/>
    </row>
    <row r="12481" spans="4:8" x14ac:dyDescent="0.25">
      <c r="D12481" s="28"/>
      <c r="F12481" s="28"/>
      <c r="H12481" s="28"/>
    </row>
    <row r="12482" spans="4:8" x14ac:dyDescent="0.25">
      <c r="D12482" s="28"/>
      <c r="F12482" s="28"/>
      <c r="H12482" s="28"/>
    </row>
    <row r="12483" spans="4:8" x14ac:dyDescent="0.25">
      <c r="D12483" s="28"/>
      <c r="F12483" s="28"/>
      <c r="H12483" s="28"/>
    </row>
    <row r="12484" spans="4:8" x14ac:dyDescent="0.25">
      <c r="D12484" s="28"/>
      <c r="F12484" s="28"/>
      <c r="H12484" s="28"/>
    </row>
    <row r="12485" spans="4:8" x14ac:dyDescent="0.25">
      <c r="D12485" s="28"/>
      <c r="F12485" s="28"/>
      <c r="H12485" s="28"/>
    </row>
    <row r="12486" spans="4:8" x14ac:dyDescent="0.25">
      <c r="D12486" s="28"/>
      <c r="F12486" s="28"/>
      <c r="H12486" s="28"/>
    </row>
    <row r="12487" spans="4:8" x14ac:dyDescent="0.25">
      <c r="D12487" s="28"/>
      <c r="F12487" s="28"/>
      <c r="H12487" s="28"/>
    </row>
    <row r="12488" spans="4:8" x14ac:dyDescent="0.25">
      <c r="D12488" s="28"/>
      <c r="F12488" s="28"/>
      <c r="H12488" s="28"/>
    </row>
    <row r="12489" spans="4:8" x14ac:dyDescent="0.25">
      <c r="D12489" s="28"/>
      <c r="F12489" s="28"/>
      <c r="H12489" s="28"/>
    </row>
    <row r="12490" spans="4:8" x14ac:dyDescent="0.25">
      <c r="D12490" s="28"/>
      <c r="F12490" s="28"/>
      <c r="H12490" s="28"/>
    </row>
    <row r="12491" spans="4:8" x14ac:dyDescent="0.25">
      <c r="D12491" s="28"/>
      <c r="F12491" s="28"/>
      <c r="H12491" s="28"/>
    </row>
    <row r="12492" spans="4:8" x14ac:dyDescent="0.25">
      <c r="D12492" s="28"/>
      <c r="F12492" s="28"/>
      <c r="H12492" s="28"/>
    </row>
    <row r="12493" spans="4:8" x14ac:dyDescent="0.25">
      <c r="D12493" s="28"/>
      <c r="F12493" s="28"/>
      <c r="H12493" s="28"/>
    </row>
    <row r="12494" spans="4:8" x14ac:dyDescent="0.25">
      <c r="D12494" s="28"/>
      <c r="F12494" s="28"/>
      <c r="H12494" s="28"/>
    </row>
    <row r="12495" spans="4:8" x14ac:dyDescent="0.25">
      <c r="D12495" s="28"/>
      <c r="F12495" s="28"/>
      <c r="H12495" s="28"/>
    </row>
    <row r="12496" spans="4:8" x14ac:dyDescent="0.25">
      <c r="D12496" s="28"/>
      <c r="F12496" s="28"/>
      <c r="H12496" s="28"/>
    </row>
    <row r="12497" spans="4:8" x14ac:dyDescent="0.25">
      <c r="D12497" s="28"/>
      <c r="F12497" s="28"/>
      <c r="H12497" s="28"/>
    </row>
    <row r="12498" spans="4:8" x14ac:dyDescent="0.25">
      <c r="D12498" s="28"/>
      <c r="F12498" s="28"/>
      <c r="H12498" s="28"/>
    </row>
    <row r="12499" spans="4:8" x14ac:dyDescent="0.25">
      <c r="D12499" s="28"/>
      <c r="F12499" s="28"/>
      <c r="H12499" s="28"/>
    </row>
    <row r="12500" spans="4:8" x14ac:dyDescent="0.25">
      <c r="D12500" s="28"/>
      <c r="F12500" s="28"/>
      <c r="H12500" s="28"/>
    </row>
    <row r="12501" spans="4:8" x14ac:dyDescent="0.25">
      <c r="D12501" s="28"/>
      <c r="F12501" s="28"/>
      <c r="H12501" s="28"/>
    </row>
    <row r="12502" spans="4:8" x14ac:dyDescent="0.25">
      <c r="D12502" s="28"/>
      <c r="F12502" s="28"/>
      <c r="H12502" s="28"/>
    </row>
    <row r="12503" spans="4:8" x14ac:dyDescent="0.25">
      <c r="D12503" s="28"/>
      <c r="F12503" s="28"/>
      <c r="H12503" s="28"/>
    </row>
    <row r="12504" spans="4:8" x14ac:dyDescent="0.25">
      <c r="D12504" s="28"/>
      <c r="F12504" s="28"/>
      <c r="H12504" s="28"/>
    </row>
    <row r="12505" spans="4:8" x14ac:dyDescent="0.25">
      <c r="D12505" s="28"/>
      <c r="F12505" s="28"/>
      <c r="H12505" s="28"/>
    </row>
    <row r="12506" spans="4:8" x14ac:dyDescent="0.25">
      <c r="D12506" s="28"/>
      <c r="F12506" s="28"/>
      <c r="H12506" s="28"/>
    </row>
    <row r="12507" spans="4:8" x14ac:dyDescent="0.25">
      <c r="D12507" s="28"/>
      <c r="F12507" s="28"/>
      <c r="H12507" s="28"/>
    </row>
    <row r="12508" spans="4:8" x14ac:dyDescent="0.25">
      <c r="D12508" s="28"/>
      <c r="F12508" s="28"/>
      <c r="H12508" s="28"/>
    </row>
    <row r="12509" spans="4:8" x14ac:dyDescent="0.25">
      <c r="D12509" s="28"/>
      <c r="F12509" s="28"/>
      <c r="H12509" s="28"/>
    </row>
    <row r="12510" spans="4:8" x14ac:dyDescent="0.25">
      <c r="D12510" s="28"/>
      <c r="F12510" s="28"/>
      <c r="H12510" s="28"/>
    </row>
    <row r="12511" spans="4:8" x14ac:dyDescent="0.25">
      <c r="D12511" s="28"/>
      <c r="F12511" s="28"/>
      <c r="H12511" s="28"/>
    </row>
    <row r="12512" spans="4:8" x14ac:dyDescent="0.25">
      <c r="D12512" s="28"/>
      <c r="F12512" s="28"/>
      <c r="H12512" s="28"/>
    </row>
    <row r="12513" spans="4:8" x14ac:dyDescent="0.25">
      <c r="D12513" s="28"/>
      <c r="F12513" s="28"/>
      <c r="H12513" s="28"/>
    </row>
    <row r="12514" spans="4:8" x14ac:dyDescent="0.25">
      <c r="D12514" s="28"/>
      <c r="F12514" s="28"/>
      <c r="H12514" s="28"/>
    </row>
    <row r="12515" spans="4:8" x14ac:dyDescent="0.25">
      <c r="D12515" s="28"/>
      <c r="F12515" s="28"/>
      <c r="H12515" s="28"/>
    </row>
    <row r="12516" spans="4:8" x14ac:dyDescent="0.25">
      <c r="D12516" s="28"/>
      <c r="F12516" s="28"/>
      <c r="H12516" s="28"/>
    </row>
    <row r="12517" spans="4:8" x14ac:dyDescent="0.25">
      <c r="D12517" s="28"/>
      <c r="F12517" s="28"/>
      <c r="H12517" s="28"/>
    </row>
    <row r="12518" spans="4:8" x14ac:dyDescent="0.25">
      <c r="D12518" s="28"/>
      <c r="F12518" s="28"/>
      <c r="H12518" s="28"/>
    </row>
    <row r="12519" spans="4:8" x14ac:dyDescent="0.25">
      <c r="D12519" s="28"/>
      <c r="F12519" s="28"/>
      <c r="H12519" s="28"/>
    </row>
    <row r="12520" spans="4:8" x14ac:dyDescent="0.25">
      <c r="D12520" s="28"/>
      <c r="F12520" s="28"/>
      <c r="H12520" s="28"/>
    </row>
    <row r="12521" spans="4:8" x14ac:dyDescent="0.25">
      <c r="D12521" s="28"/>
      <c r="F12521" s="28"/>
      <c r="H12521" s="28"/>
    </row>
    <row r="12522" spans="4:8" x14ac:dyDescent="0.25">
      <c r="D12522" s="28"/>
      <c r="F12522" s="28"/>
      <c r="H12522" s="28"/>
    </row>
    <row r="12523" spans="4:8" x14ac:dyDescent="0.25">
      <c r="D12523" s="28"/>
      <c r="F12523" s="28"/>
      <c r="H12523" s="28"/>
    </row>
    <row r="12524" spans="4:8" x14ac:dyDescent="0.25">
      <c r="D12524" s="28"/>
      <c r="F12524" s="28"/>
      <c r="H12524" s="28"/>
    </row>
    <row r="12525" spans="4:8" x14ac:dyDescent="0.25">
      <c r="D12525" s="28"/>
      <c r="F12525" s="28"/>
      <c r="H12525" s="28"/>
    </row>
    <row r="12526" spans="4:8" x14ac:dyDescent="0.25">
      <c r="D12526" s="28"/>
      <c r="F12526" s="28"/>
      <c r="H12526" s="28"/>
    </row>
    <row r="12527" spans="4:8" x14ac:dyDescent="0.25">
      <c r="D12527" s="28"/>
      <c r="F12527" s="28"/>
      <c r="H12527" s="28"/>
    </row>
    <row r="12528" spans="4:8" x14ac:dyDescent="0.25">
      <c r="D12528" s="28"/>
      <c r="F12528" s="28"/>
      <c r="H12528" s="28"/>
    </row>
    <row r="12529" spans="4:8" x14ac:dyDescent="0.25">
      <c r="D12529" s="28"/>
      <c r="F12529" s="28"/>
      <c r="H12529" s="28"/>
    </row>
    <row r="12530" spans="4:8" x14ac:dyDescent="0.25">
      <c r="D12530" s="28"/>
      <c r="F12530" s="28"/>
      <c r="H12530" s="28"/>
    </row>
    <row r="12531" spans="4:8" x14ac:dyDescent="0.25">
      <c r="D12531" s="28"/>
      <c r="F12531" s="28"/>
      <c r="H12531" s="28"/>
    </row>
    <row r="12532" spans="4:8" x14ac:dyDescent="0.25">
      <c r="D12532" s="28"/>
      <c r="F12532" s="28"/>
      <c r="H12532" s="28"/>
    </row>
    <row r="12533" spans="4:8" x14ac:dyDescent="0.25">
      <c r="D12533" s="28"/>
      <c r="F12533" s="28"/>
      <c r="H12533" s="28"/>
    </row>
    <row r="12534" spans="4:8" x14ac:dyDescent="0.25">
      <c r="D12534" s="28"/>
      <c r="F12534" s="28"/>
      <c r="H12534" s="28"/>
    </row>
    <row r="12535" spans="4:8" x14ac:dyDescent="0.25">
      <c r="D12535" s="28"/>
      <c r="F12535" s="28"/>
      <c r="H12535" s="28"/>
    </row>
    <row r="12536" spans="4:8" x14ac:dyDescent="0.25">
      <c r="D12536" s="28"/>
      <c r="F12536" s="28"/>
      <c r="H12536" s="28"/>
    </row>
    <row r="12537" spans="4:8" x14ac:dyDescent="0.25">
      <c r="D12537" s="28"/>
      <c r="F12537" s="28"/>
      <c r="H12537" s="28"/>
    </row>
    <row r="12538" spans="4:8" x14ac:dyDescent="0.25">
      <c r="D12538" s="28"/>
      <c r="F12538" s="28"/>
      <c r="H12538" s="28"/>
    </row>
    <row r="12539" spans="4:8" x14ac:dyDescent="0.25">
      <c r="D12539" s="28"/>
      <c r="F12539" s="28"/>
      <c r="H12539" s="28"/>
    </row>
    <row r="12540" spans="4:8" x14ac:dyDescent="0.25">
      <c r="D12540" s="28"/>
      <c r="F12540" s="28"/>
      <c r="H12540" s="28"/>
    </row>
    <row r="12541" spans="4:8" x14ac:dyDescent="0.25">
      <c r="D12541" s="28"/>
      <c r="F12541" s="28"/>
      <c r="H12541" s="28"/>
    </row>
    <row r="12542" spans="4:8" x14ac:dyDescent="0.25">
      <c r="D12542" s="28"/>
      <c r="F12542" s="28"/>
      <c r="H12542" s="28"/>
    </row>
    <row r="12543" spans="4:8" x14ac:dyDescent="0.25">
      <c r="D12543" s="28"/>
      <c r="F12543" s="28"/>
      <c r="H12543" s="28"/>
    </row>
    <row r="12544" spans="4:8" x14ac:dyDescent="0.25">
      <c r="D12544" s="28"/>
      <c r="F12544" s="28"/>
      <c r="H12544" s="28"/>
    </row>
    <row r="12545" spans="4:8" x14ac:dyDescent="0.25">
      <c r="D12545" s="28"/>
      <c r="F12545" s="28"/>
      <c r="H12545" s="28"/>
    </row>
    <row r="12546" spans="4:8" x14ac:dyDescent="0.25">
      <c r="D12546" s="28"/>
      <c r="F12546" s="28"/>
      <c r="H12546" s="28"/>
    </row>
    <row r="12547" spans="4:8" x14ac:dyDescent="0.25">
      <c r="D12547" s="28"/>
      <c r="F12547" s="28"/>
      <c r="H12547" s="28"/>
    </row>
    <row r="12548" spans="4:8" x14ac:dyDescent="0.25">
      <c r="D12548" s="28"/>
      <c r="F12548" s="28"/>
      <c r="H12548" s="28"/>
    </row>
    <row r="12549" spans="4:8" x14ac:dyDescent="0.25">
      <c r="D12549" s="28"/>
      <c r="F12549" s="28"/>
      <c r="H12549" s="28"/>
    </row>
    <row r="12550" spans="4:8" x14ac:dyDescent="0.25">
      <c r="D12550" s="28"/>
      <c r="F12550" s="28"/>
      <c r="H12550" s="28"/>
    </row>
    <row r="12551" spans="4:8" x14ac:dyDescent="0.25">
      <c r="D12551" s="28"/>
      <c r="F12551" s="28"/>
      <c r="H12551" s="28"/>
    </row>
    <row r="12552" spans="4:8" x14ac:dyDescent="0.25">
      <c r="D12552" s="28"/>
      <c r="F12552" s="28"/>
      <c r="H12552" s="28"/>
    </row>
    <row r="12553" spans="4:8" x14ac:dyDescent="0.25">
      <c r="D12553" s="28"/>
      <c r="F12553" s="28"/>
      <c r="H12553" s="28"/>
    </row>
    <row r="12554" spans="4:8" x14ac:dyDescent="0.25">
      <c r="D12554" s="28"/>
      <c r="F12554" s="28"/>
      <c r="H12554" s="28"/>
    </row>
    <row r="12555" spans="4:8" x14ac:dyDescent="0.25">
      <c r="D12555" s="28"/>
      <c r="F12555" s="28"/>
      <c r="H12555" s="28"/>
    </row>
    <row r="12556" spans="4:8" x14ac:dyDescent="0.25">
      <c r="D12556" s="28"/>
      <c r="F12556" s="28"/>
      <c r="H12556" s="28"/>
    </row>
    <row r="12557" spans="4:8" x14ac:dyDescent="0.25">
      <c r="D12557" s="28"/>
      <c r="F12557" s="28"/>
      <c r="H12557" s="28"/>
    </row>
    <row r="12558" spans="4:8" x14ac:dyDescent="0.25">
      <c r="D12558" s="28"/>
      <c r="F12558" s="28"/>
      <c r="H12558" s="28"/>
    </row>
    <row r="12559" spans="4:8" x14ac:dyDescent="0.25">
      <c r="D12559" s="28"/>
      <c r="F12559" s="28"/>
      <c r="H12559" s="28"/>
    </row>
    <row r="12560" spans="4:8" x14ac:dyDescent="0.25">
      <c r="D12560" s="28"/>
      <c r="F12560" s="28"/>
      <c r="H12560" s="28"/>
    </row>
    <row r="12561" spans="4:8" x14ac:dyDescent="0.25">
      <c r="D12561" s="28"/>
      <c r="F12561" s="28"/>
      <c r="H12561" s="28"/>
    </row>
    <row r="12562" spans="4:8" x14ac:dyDescent="0.25">
      <c r="D12562" s="28"/>
      <c r="F12562" s="28"/>
      <c r="H12562" s="28"/>
    </row>
    <row r="12563" spans="4:8" x14ac:dyDescent="0.25">
      <c r="D12563" s="28"/>
      <c r="F12563" s="28"/>
      <c r="H12563" s="28"/>
    </row>
    <row r="12564" spans="4:8" x14ac:dyDescent="0.25">
      <c r="D12564" s="28"/>
      <c r="F12564" s="28"/>
      <c r="H12564" s="28"/>
    </row>
    <row r="12565" spans="4:8" x14ac:dyDescent="0.25">
      <c r="D12565" s="28"/>
      <c r="F12565" s="28"/>
      <c r="H12565" s="28"/>
    </row>
    <row r="12566" spans="4:8" x14ac:dyDescent="0.25">
      <c r="D12566" s="28"/>
      <c r="F12566" s="28"/>
      <c r="H12566" s="28"/>
    </row>
    <row r="12567" spans="4:8" x14ac:dyDescent="0.25">
      <c r="D12567" s="28"/>
      <c r="F12567" s="28"/>
      <c r="H12567" s="28"/>
    </row>
    <row r="12568" spans="4:8" x14ac:dyDescent="0.25">
      <c r="D12568" s="28"/>
      <c r="F12568" s="28"/>
      <c r="H12568" s="28"/>
    </row>
    <row r="12569" spans="4:8" x14ac:dyDescent="0.25">
      <c r="D12569" s="28"/>
      <c r="F12569" s="28"/>
      <c r="H12569" s="28"/>
    </row>
    <row r="12570" spans="4:8" x14ac:dyDescent="0.25">
      <c r="D12570" s="28"/>
      <c r="F12570" s="28"/>
      <c r="H12570" s="28"/>
    </row>
    <row r="12571" spans="4:8" x14ac:dyDescent="0.25">
      <c r="D12571" s="28"/>
      <c r="F12571" s="28"/>
      <c r="H12571" s="28"/>
    </row>
    <row r="12572" spans="4:8" x14ac:dyDescent="0.25">
      <c r="D12572" s="28"/>
      <c r="F12572" s="28"/>
      <c r="H12572" s="28"/>
    </row>
    <row r="12573" spans="4:8" x14ac:dyDescent="0.25">
      <c r="D12573" s="28"/>
      <c r="F12573" s="28"/>
      <c r="H12573" s="28"/>
    </row>
    <row r="12574" spans="4:8" x14ac:dyDescent="0.25">
      <c r="D12574" s="28"/>
      <c r="F12574" s="28"/>
      <c r="H12574" s="28"/>
    </row>
    <row r="12575" spans="4:8" x14ac:dyDescent="0.25">
      <c r="D12575" s="28"/>
      <c r="F12575" s="28"/>
      <c r="H12575" s="28"/>
    </row>
    <row r="12576" spans="4:8" x14ac:dyDescent="0.25">
      <c r="D12576" s="28"/>
      <c r="F12576" s="28"/>
      <c r="H12576" s="28"/>
    </row>
    <row r="12577" spans="4:8" x14ac:dyDescent="0.25">
      <c r="D12577" s="28"/>
      <c r="F12577" s="28"/>
      <c r="H12577" s="28"/>
    </row>
    <row r="12578" spans="4:8" x14ac:dyDescent="0.25">
      <c r="D12578" s="28"/>
      <c r="F12578" s="28"/>
      <c r="H12578" s="28"/>
    </row>
    <row r="12579" spans="4:8" x14ac:dyDescent="0.25">
      <c r="D12579" s="28"/>
      <c r="F12579" s="28"/>
      <c r="H12579" s="28"/>
    </row>
    <row r="12580" spans="4:8" x14ac:dyDescent="0.25">
      <c r="D12580" s="28"/>
      <c r="F12580" s="28"/>
      <c r="H12580" s="28"/>
    </row>
    <row r="12581" spans="4:8" x14ac:dyDescent="0.25">
      <c r="D12581" s="28"/>
      <c r="F12581" s="28"/>
      <c r="H12581" s="28"/>
    </row>
    <row r="12582" spans="4:8" x14ac:dyDescent="0.25">
      <c r="D12582" s="28"/>
      <c r="F12582" s="28"/>
      <c r="H12582" s="28"/>
    </row>
    <row r="12583" spans="4:8" x14ac:dyDescent="0.25">
      <c r="D12583" s="28"/>
      <c r="F12583" s="28"/>
      <c r="H12583" s="28"/>
    </row>
    <row r="12584" spans="4:8" x14ac:dyDescent="0.25">
      <c r="D12584" s="28"/>
      <c r="F12584" s="28"/>
      <c r="H12584" s="28"/>
    </row>
    <row r="12585" spans="4:8" x14ac:dyDescent="0.25">
      <c r="D12585" s="28"/>
      <c r="F12585" s="28"/>
      <c r="H12585" s="28"/>
    </row>
    <row r="12586" spans="4:8" x14ac:dyDescent="0.25">
      <c r="D12586" s="28"/>
      <c r="F12586" s="28"/>
      <c r="H12586" s="28"/>
    </row>
    <row r="12587" spans="4:8" x14ac:dyDescent="0.25">
      <c r="D12587" s="28"/>
      <c r="F12587" s="28"/>
      <c r="H12587" s="28"/>
    </row>
    <row r="12588" spans="4:8" x14ac:dyDescent="0.25">
      <c r="D12588" s="28"/>
      <c r="F12588" s="28"/>
      <c r="H12588" s="28"/>
    </row>
    <row r="12589" spans="4:8" x14ac:dyDescent="0.25">
      <c r="D12589" s="28"/>
      <c r="F12589" s="28"/>
      <c r="H12589" s="28"/>
    </row>
    <row r="12590" spans="4:8" x14ac:dyDescent="0.25">
      <c r="D12590" s="28"/>
      <c r="F12590" s="28"/>
      <c r="H12590" s="28"/>
    </row>
    <row r="12591" spans="4:8" x14ac:dyDescent="0.25">
      <c r="D12591" s="28"/>
      <c r="F12591" s="28"/>
      <c r="H12591" s="28"/>
    </row>
    <row r="12592" spans="4:8" x14ac:dyDescent="0.25">
      <c r="D12592" s="28"/>
      <c r="F12592" s="28"/>
      <c r="H12592" s="28"/>
    </row>
    <row r="12593" spans="4:8" x14ac:dyDescent="0.25">
      <c r="D12593" s="28"/>
      <c r="F12593" s="28"/>
      <c r="H12593" s="28"/>
    </row>
    <row r="12594" spans="4:8" x14ac:dyDescent="0.25">
      <c r="D12594" s="28"/>
      <c r="F12594" s="28"/>
      <c r="H12594" s="28"/>
    </row>
    <row r="12595" spans="4:8" x14ac:dyDescent="0.25">
      <c r="D12595" s="28"/>
      <c r="F12595" s="28"/>
      <c r="H12595" s="28"/>
    </row>
    <row r="12596" spans="4:8" x14ac:dyDescent="0.25">
      <c r="D12596" s="28"/>
      <c r="F12596" s="28"/>
      <c r="H12596" s="28"/>
    </row>
    <row r="12597" spans="4:8" x14ac:dyDescent="0.25">
      <c r="D12597" s="28"/>
      <c r="F12597" s="28"/>
      <c r="H12597" s="28"/>
    </row>
    <row r="12598" spans="4:8" x14ac:dyDescent="0.25">
      <c r="D12598" s="28"/>
      <c r="F12598" s="28"/>
      <c r="H12598" s="28"/>
    </row>
    <row r="12599" spans="4:8" x14ac:dyDescent="0.25">
      <c r="D12599" s="28"/>
      <c r="F12599" s="28"/>
      <c r="H12599" s="28"/>
    </row>
    <row r="12600" spans="4:8" x14ac:dyDescent="0.25">
      <c r="D12600" s="28"/>
      <c r="F12600" s="28"/>
      <c r="H12600" s="28"/>
    </row>
    <row r="12601" spans="4:8" x14ac:dyDescent="0.25">
      <c r="D12601" s="28"/>
      <c r="F12601" s="28"/>
      <c r="H12601" s="28"/>
    </row>
    <row r="12602" spans="4:8" x14ac:dyDescent="0.25">
      <c r="D12602" s="28"/>
      <c r="F12602" s="28"/>
      <c r="H12602" s="28"/>
    </row>
    <row r="12603" spans="4:8" x14ac:dyDescent="0.25">
      <c r="D12603" s="28"/>
      <c r="F12603" s="28"/>
      <c r="H12603" s="28"/>
    </row>
    <row r="12604" spans="4:8" x14ac:dyDescent="0.25">
      <c r="D12604" s="28"/>
      <c r="F12604" s="28"/>
      <c r="H12604" s="28"/>
    </row>
    <row r="12605" spans="4:8" x14ac:dyDescent="0.25">
      <c r="D12605" s="28"/>
      <c r="F12605" s="28"/>
      <c r="H12605" s="28"/>
    </row>
    <row r="12606" spans="4:8" x14ac:dyDescent="0.25">
      <c r="D12606" s="28"/>
      <c r="F12606" s="28"/>
      <c r="H12606" s="28"/>
    </row>
    <row r="12607" spans="4:8" x14ac:dyDescent="0.25">
      <c r="D12607" s="28"/>
      <c r="F12607" s="28"/>
      <c r="H12607" s="28"/>
    </row>
    <row r="12608" spans="4:8" x14ac:dyDescent="0.25">
      <c r="D12608" s="28"/>
      <c r="F12608" s="28"/>
      <c r="H12608" s="28"/>
    </row>
    <row r="12609" spans="4:8" x14ac:dyDescent="0.25">
      <c r="D12609" s="28"/>
      <c r="F12609" s="28"/>
      <c r="H12609" s="28"/>
    </row>
    <row r="12610" spans="4:8" x14ac:dyDescent="0.25">
      <c r="D12610" s="28"/>
      <c r="F12610" s="28"/>
      <c r="H12610" s="28"/>
    </row>
    <row r="12611" spans="4:8" x14ac:dyDescent="0.25">
      <c r="D12611" s="28"/>
      <c r="F12611" s="28"/>
      <c r="H12611" s="28"/>
    </row>
    <row r="12612" spans="4:8" x14ac:dyDescent="0.25">
      <c r="D12612" s="28"/>
      <c r="F12612" s="28"/>
      <c r="H12612" s="28"/>
    </row>
    <row r="12613" spans="4:8" x14ac:dyDescent="0.25">
      <c r="D12613" s="28"/>
      <c r="F12613" s="28"/>
      <c r="H12613" s="28"/>
    </row>
    <row r="12614" spans="4:8" x14ac:dyDescent="0.25">
      <c r="D12614" s="28"/>
      <c r="F12614" s="28"/>
      <c r="H12614" s="28"/>
    </row>
    <row r="12615" spans="4:8" x14ac:dyDescent="0.25">
      <c r="D12615" s="28"/>
      <c r="F12615" s="28"/>
      <c r="H12615" s="28"/>
    </row>
    <row r="12616" spans="4:8" x14ac:dyDescent="0.25">
      <c r="D12616" s="28"/>
      <c r="F12616" s="28"/>
      <c r="H12616" s="28"/>
    </row>
    <row r="12617" spans="4:8" x14ac:dyDescent="0.25">
      <c r="D12617" s="28"/>
      <c r="F12617" s="28"/>
      <c r="H12617" s="28"/>
    </row>
    <row r="12618" spans="4:8" x14ac:dyDescent="0.25">
      <c r="D12618" s="28"/>
      <c r="F12618" s="28"/>
      <c r="H12618" s="28"/>
    </row>
    <row r="12619" spans="4:8" x14ac:dyDescent="0.25">
      <c r="D12619" s="28"/>
      <c r="F12619" s="28"/>
      <c r="H12619" s="28"/>
    </row>
    <row r="12620" spans="4:8" x14ac:dyDescent="0.25">
      <c r="D12620" s="28"/>
      <c r="F12620" s="28"/>
      <c r="H12620" s="28"/>
    </row>
    <row r="12621" spans="4:8" x14ac:dyDescent="0.25">
      <c r="D12621" s="28"/>
      <c r="F12621" s="28"/>
      <c r="H12621" s="28"/>
    </row>
    <row r="12622" spans="4:8" x14ac:dyDescent="0.25">
      <c r="D12622" s="28"/>
      <c r="F12622" s="28"/>
      <c r="H12622" s="28"/>
    </row>
    <row r="12623" spans="4:8" x14ac:dyDescent="0.25">
      <c r="D12623" s="28"/>
      <c r="F12623" s="28"/>
      <c r="H12623" s="28"/>
    </row>
    <row r="12624" spans="4:8" x14ac:dyDescent="0.25">
      <c r="D12624" s="28"/>
      <c r="F12624" s="28"/>
      <c r="H12624" s="28"/>
    </row>
    <row r="12625" spans="4:8" x14ac:dyDescent="0.25">
      <c r="D12625" s="28"/>
      <c r="F12625" s="28"/>
      <c r="H12625" s="28"/>
    </row>
    <row r="12626" spans="4:8" x14ac:dyDescent="0.25">
      <c r="D12626" s="28"/>
      <c r="F12626" s="28"/>
      <c r="H12626" s="28"/>
    </row>
    <row r="12627" spans="4:8" x14ac:dyDescent="0.25">
      <c r="D12627" s="28"/>
      <c r="F12627" s="28"/>
      <c r="H12627" s="28"/>
    </row>
    <row r="12628" spans="4:8" x14ac:dyDescent="0.25">
      <c r="D12628" s="28"/>
      <c r="F12628" s="28"/>
      <c r="H12628" s="28"/>
    </row>
    <row r="12629" spans="4:8" x14ac:dyDescent="0.25">
      <c r="D12629" s="28"/>
      <c r="F12629" s="28"/>
      <c r="H12629" s="28"/>
    </row>
    <row r="12630" spans="4:8" x14ac:dyDescent="0.25">
      <c r="D12630" s="28"/>
      <c r="F12630" s="28"/>
      <c r="H12630" s="28"/>
    </row>
    <row r="12631" spans="4:8" x14ac:dyDescent="0.25">
      <c r="D12631" s="28"/>
      <c r="F12631" s="28"/>
      <c r="H12631" s="28"/>
    </row>
    <row r="12632" spans="4:8" x14ac:dyDescent="0.25">
      <c r="D12632" s="28"/>
      <c r="F12632" s="28"/>
      <c r="H12632" s="28"/>
    </row>
    <row r="12633" spans="4:8" x14ac:dyDescent="0.25">
      <c r="D12633" s="28"/>
      <c r="F12633" s="28"/>
      <c r="H12633" s="28"/>
    </row>
    <row r="12634" spans="4:8" x14ac:dyDescent="0.25">
      <c r="D12634" s="28"/>
      <c r="F12634" s="28"/>
      <c r="H12634" s="28"/>
    </row>
    <row r="12635" spans="4:8" x14ac:dyDescent="0.25">
      <c r="D12635" s="28"/>
      <c r="F12635" s="28"/>
      <c r="H12635" s="28"/>
    </row>
    <row r="12636" spans="4:8" x14ac:dyDescent="0.25">
      <c r="D12636" s="28"/>
      <c r="F12636" s="28"/>
      <c r="H12636" s="28"/>
    </row>
    <row r="12637" spans="4:8" x14ac:dyDescent="0.25">
      <c r="D12637" s="28"/>
      <c r="F12637" s="28"/>
      <c r="H12637" s="28"/>
    </row>
    <row r="12638" spans="4:8" x14ac:dyDescent="0.25">
      <c r="D12638" s="28"/>
      <c r="F12638" s="28"/>
      <c r="H12638" s="28"/>
    </row>
    <row r="12639" spans="4:8" x14ac:dyDescent="0.25">
      <c r="D12639" s="28"/>
      <c r="F12639" s="28"/>
      <c r="H12639" s="28"/>
    </row>
    <row r="12640" spans="4:8" x14ac:dyDescent="0.25">
      <c r="D12640" s="28"/>
      <c r="F12640" s="28"/>
      <c r="H12640" s="28"/>
    </row>
    <row r="12641" spans="4:8" x14ac:dyDescent="0.25">
      <c r="D12641" s="28"/>
      <c r="F12641" s="28"/>
      <c r="H12641" s="28"/>
    </row>
    <row r="12642" spans="4:8" x14ac:dyDescent="0.25">
      <c r="D12642" s="28"/>
      <c r="F12642" s="28"/>
      <c r="H12642" s="28"/>
    </row>
    <row r="12643" spans="4:8" x14ac:dyDescent="0.25">
      <c r="D12643" s="28"/>
      <c r="F12643" s="28"/>
      <c r="H12643" s="28"/>
    </row>
    <row r="12644" spans="4:8" x14ac:dyDescent="0.25">
      <c r="D12644" s="28"/>
      <c r="F12644" s="28"/>
      <c r="H12644" s="28"/>
    </row>
    <row r="12645" spans="4:8" x14ac:dyDescent="0.25">
      <c r="D12645" s="28"/>
      <c r="F12645" s="28"/>
      <c r="H12645" s="28"/>
    </row>
    <row r="12646" spans="4:8" x14ac:dyDescent="0.25">
      <c r="D12646" s="28"/>
      <c r="F12646" s="28"/>
      <c r="H12646" s="28"/>
    </row>
    <row r="12647" spans="4:8" x14ac:dyDescent="0.25">
      <c r="D12647" s="28"/>
      <c r="F12647" s="28"/>
      <c r="H12647" s="28"/>
    </row>
    <row r="12648" spans="4:8" x14ac:dyDescent="0.25">
      <c r="D12648" s="28"/>
      <c r="F12648" s="28"/>
      <c r="H12648" s="28"/>
    </row>
    <row r="12649" spans="4:8" x14ac:dyDescent="0.25">
      <c r="D12649" s="28"/>
      <c r="F12649" s="28"/>
      <c r="H12649" s="28"/>
    </row>
    <row r="12650" spans="4:8" x14ac:dyDescent="0.25">
      <c r="D12650" s="28"/>
      <c r="F12650" s="28"/>
      <c r="H12650" s="28"/>
    </row>
    <row r="12651" spans="4:8" x14ac:dyDescent="0.25">
      <c r="D12651" s="28"/>
      <c r="F12651" s="28"/>
      <c r="H12651" s="28"/>
    </row>
    <row r="12652" spans="4:8" x14ac:dyDescent="0.25">
      <c r="D12652" s="28"/>
      <c r="F12652" s="28"/>
      <c r="H12652" s="28"/>
    </row>
    <row r="12653" spans="4:8" x14ac:dyDescent="0.25">
      <c r="D12653" s="28"/>
      <c r="F12653" s="28"/>
      <c r="H12653" s="28"/>
    </row>
    <row r="12654" spans="4:8" x14ac:dyDescent="0.25">
      <c r="D12654" s="28"/>
      <c r="F12654" s="28"/>
      <c r="H12654" s="28"/>
    </row>
    <row r="12655" spans="4:8" x14ac:dyDescent="0.25">
      <c r="D12655" s="28"/>
      <c r="F12655" s="28"/>
      <c r="H12655" s="28"/>
    </row>
    <row r="12656" spans="4:8" x14ac:dyDescent="0.25">
      <c r="D12656" s="28"/>
      <c r="F12656" s="28"/>
      <c r="H12656" s="28"/>
    </row>
    <row r="12657" spans="4:8" x14ac:dyDescent="0.25">
      <c r="D12657" s="28"/>
      <c r="F12657" s="28"/>
      <c r="H12657" s="28"/>
    </row>
    <row r="12658" spans="4:8" x14ac:dyDescent="0.25">
      <c r="D12658" s="28"/>
      <c r="F12658" s="28"/>
      <c r="H12658" s="28"/>
    </row>
    <row r="12659" spans="4:8" x14ac:dyDescent="0.25">
      <c r="D12659" s="28"/>
      <c r="F12659" s="28"/>
      <c r="H12659" s="28"/>
    </row>
    <row r="12660" spans="4:8" x14ac:dyDescent="0.25">
      <c r="D12660" s="28"/>
      <c r="F12660" s="28"/>
      <c r="H12660" s="28"/>
    </row>
    <row r="12661" spans="4:8" x14ac:dyDescent="0.25">
      <c r="D12661" s="28"/>
      <c r="F12661" s="28"/>
      <c r="H12661" s="28"/>
    </row>
    <row r="12662" spans="4:8" x14ac:dyDescent="0.25">
      <c r="D12662" s="28"/>
      <c r="F12662" s="28"/>
      <c r="H12662" s="28"/>
    </row>
    <row r="12663" spans="4:8" x14ac:dyDescent="0.25">
      <c r="D12663" s="28"/>
      <c r="F12663" s="28"/>
      <c r="H12663" s="28"/>
    </row>
    <row r="12664" spans="4:8" x14ac:dyDescent="0.25">
      <c r="D12664" s="28"/>
      <c r="F12664" s="28"/>
      <c r="H12664" s="28"/>
    </row>
    <row r="12665" spans="4:8" x14ac:dyDescent="0.25">
      <c r="D12665" s="28"/>
      <c r="F12665" s="28"/>
      <c r="H12665" s="28"/>
    </row>
    <row r="12666" spans="4:8" x14ac:dyDescent="0.25">
      <c r="D12666" s="28"/>
      <c r="F12666" s="28"/>
      <c r="H12666" s="28"/>
    </row>
    <row r="12667" spans="4:8" x14ac:dyDescent="0.25">
      <c r="D12667" s="28"/>
      <c r="F12667" s="28"/>
      <c r="H12667" s="28"/>
    </row>
    <row r="12668" spans="4:8" x14ac:dyDescent="0.25">
      <c r="D12668" s="28"/>
      <c r="F12668" s="28"/>
      <c r="H12668" s="28"/>
    </row>
    <row r="12669" spans="4:8" x14ac:dyDescent="0.25">
      <c r="D12669" s="28"/>
      <c r="F12669" s="28"/>
      <c r="H12669" s="28"/>
    </row>
    <row r="12670" spans="4:8" x14ac:dyDescent="0.25">
      <c r="D12670" s="28"/>
      <c r="F12670" s="28"/>
      <c r="H12670" s="28"/>
    </row>
    <row r="12671" spans="4:8" x14ac:dyDescent="0.25">
      <c r="D12671" s="28"/>
      <c r="F12671" s="28"/>
      <c r="H12671" s="28"/>
    </row>
    <row r="12672" spans="4:8" x14ac:dyDescent="0.25">
      <c r="D12672" s="28"/>
      <c r="F12672" s="28"/>
      <c r="H12672" s="28"/>
    </row>
    <row r="12673" spans="4:8" x14ac:dyDescent="0.25">
      <c r="D12673" s="28"/>
      <c r="F12673" s="28"/>
      <c r="H12673" s="28"/>
    </row>
    <row r="12674" spans="4:8" x14ac:dyDescent="0.25">
      <c r="D12674" s="28"/>
      <c r="F12674" s="28"/>
      <c r="H12674" s="28"/>
    </row>
    <row r="12675" spans="4:8" x14ac:dyDescent="0.25">
      <c r="D12675" s="28"/>
      <c r="F12675" s="28"/>
      <c r="H12675" s="28"/>
    </row>
    <row r="12676" spans="4:8" x14ac:dyDescent="0.25">
      <c r="D12676" s="28"/>
      <c r="F12676" s="28"/>
      <c r="H12676" s="28"/>
    </row>
    <row r="12677" spans="4:8" x14ac:dyDescent="0.25">
      <c r="D12677" s="28"/>
      <c r="F12677" s="28"/>
      <c r="H12677" s="28"/>
    </row>
    <row r="12678" spans="4:8" x14ac:dyDescent="0.25">
      <c r="D12678" s="28"/>
      <c r="F12678" s="28"/>
      <c r="H12678" s="28"/>
    </row>
    <row r="12679" spans="4:8" x14ac:dyDescent="0.25">
      <c r="D12679" s="28"/>
      <c r="F12679" s="28"/>
      <c r="H12679" s="28"/>
    </row>
    <row r="12680" spans="4:8" x14ac:dyDescent="0.25">
      <c r="D12680" s="28"/>
      <c r="F12680" s="28"/>
      <c r="H12680" s="28"/>
    </row>
    <row r="12681" spans="4:8" x14ac:dyDescent="0.25">
      <c r="D12681" s="28"/>
      <c r="F12681" s="28"/>
      <c r="H12681" s="28"/>
    </row>
    <row r="12682" spans="4:8" x14ac:dyDescent="0.25">
      <c r="D12682" s="28"/>
      <c r="F12682" s="28"/>
      <c r="H12682" s="28"/>
    </row>
    <row r="12683" spans="4:8" x14ac:dyDescent="0.25">
      <c r="D12683" s="28"/>
      <c r="F12683" s="28"/>
      <c r="H12683" s="28"/>
    </row>
    <row r="12684" spans="4:8" x14ac:dyDescent="0.25">
      <c r="D12684" s="28"/>
      <c r="F12684" s="28"/>
      <c r="H12684" s="28"/>
    </row>
    <row r="12685" spans="4:8" x14ac:dyDescent="0.25">
      <c r="D12685" s="28"/>
      <c r="F12685" s="28"/>
      <c r="H12685" s="28"/>
    </row>
    <row r="12686" spans="4:8" x14ac:dyDescent="0.25">
      <c r="D12686" s="28"/>
      <c r="F12686" s="28"/>
      <c r="H12686" s="28"/>
    </row>
    <row r="12687" spans="4:8" x14ac:dyDescent="0.25">
      <c r="D12687" s="28"/>
      <c r="F12687" s="28"/>
      <c r="H12687" s="28"/>
    </row>
    <row r="12688" spans="4:8" x14ac:dyDescent="0.25">
      <c r="D12688" s="28"/>
      <c r="F12688" s="28"/>
      <c r="H12688" s="28"/>
    </row>
    <row r="12689" spans="4:8" x14ac:dyDescent="0.25">
      <c r="D12689" s="28"/>
      <c r="F12689" s="28"/>
      <c r="H12689" s="28"/>
    </row>
    <row r="12690" spans="4:8" x14ac:dyDescent="0.25">
      <c r="D12690" s="28"/>
      <c r="F12690" s="28"/>
      <c r="H12690" s="28"/>
    </row>
    <row r="12691" spans="4:8" x14ac:dyDescent="0.25">
      <c r="D12691" s="28"/>
      <c r="F12691" s="28"/>
      <c r="H12691" s="28"/>
    </row>
    <row r="12692" spans="4:8" x14ac:dyDescent="0.25">
      <c r="D12692" s="28"/>
      <c r="F12692" s="28"/>
      <c r="H12692" s="28"/>
    </row>
    <row r="12693" spans="4:8" x14ac:dyDescent="0.25">
      <c r="D12693" s="28"/>
      <c r="F12693" s="28"/>
      <c r="H12693" s="28"/>
    </row>
    <row r="12694" spans="4:8" x14ac:dyDescent="0.25">
      <c r="D12694" s="28"/>
      <c r="F12694" s="28"/>
      <c r="H12694" s="28"/>
    </row>
    <row r="12695" spans="4:8" x14ac:dyDescent="0.25">
      <c r="D12695" s="28"/>
      <c r="F12695" s="28"/>
      <c r="H12695" s="28"/>
    </row>
    <row r="12696" spans="4:8" x14ac:dyDescent="0.25">
      <c r="D12696" s="28"/>
      <c r="F12696" s="28"/>
      <c r="H12696" s="28"/>
    </row>
    <row r="12697" spans="4:8" x14ac:dyDescent="0.25">
      <c r="D12697" s="28"/>
      <c r="F12697" s="28"/>
      <c r="H12697" s="28"/>
    </row>
    <row r="12698" spans="4:8" x14ac:dyDescent="0.25">
      <c r="D12698" s="28"/>
      <c r="F12698" s="28"/>
      <c r="H12698" s="28"/>
    </row>
    <row r="12699" spans="4:8" x14ac:dyDescent="0.25">
      <c r="D12699" s="28"/>
      <c r="F12699" s="28"/>
      <c r="H12699" s="28"/>
    </row>
    <row r="12700" spans="4:8" x14ac:dyDescent="0.25">
      <c r="D12700" s="28"/>
      <c r="F12700" s="28"/>
      <c r="H12700" s="28"/>
    </row>
    <row r="12701" spans="4:8" x14ac:dyDescent="0.25">
      <c r="D12701" s="28"/>
      <c r="F12701" s="28"/>
      <c r="H12701" s="28"/>
    </row>
    <row r="12702" spans="4:8" x14ac:dyDescent="0.25">
      <c r="D12702" s="28"/>
      <c r="F12702" s="28"/>
      <c r="H12702" s="28"/>
    </row>
    <row r="12703" spans="4:8" x14ac:dyDescent="0.25">
      <c r="D12703" s="28"/>
      <c r="F12703" s="28"/>
      <c r="H12703" s="28"/>
    </row>
    <row r="12704" spans="4:8" x14ac:dyDescent="0.25">
      <c r="D12704" s="28"/>
      <c r="F12704" s="28"/>
      <c r="H12704" s="28"/>
    </row>
    <row r="12705" spans="4:8" x14ac:dyDescent="0.25">
      <c r="D12705" s="28"/>
      <c r="F12705" s="28"/>
      <c r="H12705" s="28"/>
    </row>
    <row r="12706" spans="4:8" x14ac:dyDescent="0.25">
      <c r="D12706" s="28"/>
      <c r="F12706" s="28"/>
      <c r="H12706" s="28"/>
    </row>
    <row r="12707" spans="4:8" x14ac:dyDescent="0.25">
      <c r="D12707" s="28"/>
      <c r="F12707" s="28"/>
      <c r="H12707" s="28"/>
    </row>
    <row r="12708" spans="4:8" x14ac:dyDescent="0.25">
      <c r="D12708" s="28"/>
      <c r="F12708" s="28"/>
      <c r="H12708" s="28"/>
    </row>
    <row r="12709" spans="4:8" x14ac:dyDescent="0.25">
      <c r="D12709" s="28"/>
      <c r="F12709" s="28"/>
      <c r="H12709" s="28"/>
    </row>
    <row r="12710" spans="4:8" x14ac:dyDescent="0.25">
      <c r="D12710" s="28"/>
      <c r="F12710" s="28"/>
      <c r="H12710" s="28"/>
    </row>
    <row r="12711" spans="4:8" x14ac:dyDescent="0.25">
      <c r="D12711" s="28"/>
      <c r="F12711" s="28"/>
      <c r="H12711" s="28"/>
    </row>
    <row r="12712" spans="4:8" x14ac:dyDescent="0.25">
      <c r="D12712" s="28"/>
      <c r="F12712" s="28"/>
      <c r="H12712" s="28"/>
    </row>
    <row r="12713" spans="4:8" x14ac:dyDescent="0.25">
      <c r="D12713" s="28"/>
      <c r="F12713" s="28"/>
      <c r="H12713" s="28"/>
    </row>
    <row r="12714" spans="4:8" x14ac:dyDescent="0.25">
      <c r="D12714" s="28"/>
      <c r="F12714" s="28"/>
      <c r="H12714" s="28"/>
    </row>
    <row r="12715" spans="4:8" x14ac:dyDescent="0.25">
      <c r="D12715" s="28"/>
      <c r="F12715" s="28"/>
      <c r="H12715" s="28"/>
    </row>
    <row r="12716" spans="4:8" x14ac:dyDescent="0.25">
      <c r="D12716" s="28"/>
      <c r="F12716" s="28"/>
      <c r="H12716" s="28"/>
    </row>
    <row r="12717" spans="4:8" x14ac:dyDescent="0.25">
      <c r="D12717" s="28"/>
      <c r="F12717" s="28"/>
      <c r="H12717" s="28"/>
    </row>
    <row r="12718" spans="4:8" x14ac:dyDescent="0.25">
      <c r="D12718" s="28"/>
      <c r="F12718" s="28"/>
      <c r="H12718" s="28"/>
    </row>
    <row r="12719" spans="4:8" x14ac:dyDescent="0.25">
      <c r="D12719" s="28"/>
      <c r="F12719" s="28"/>
      <c r="H12719" s="28"/>
    </row>
    <row r="12720" spans="4:8" x14ac:dyDescent="0.25">
      <c r="D12720" s="28"/>
      <c r="F12720" s="28"/>
      <c r="H12720" s="28"/>
    </row>
    <row r="12721" spans="4:8" x14ac:dyDescent="0.25">
      <c r="D12721" s="28"/>
      <c r="F12721" s="28"/>
      <c r="H12721" s="28"/>
    </row>
    <row r="12722" spans="4:8" x14ac:dyDescent="0.25">
      <c r="D12722" s="28"/>
      <c r="F12722" s="28"/>
      <c r="H12722" s="28"/>
    </row>
    <row r="12723" spans="4:8" x14ac:dyDescent="0.25">
      <c r="D12723" s="28"/>
      <c r="F12723" s="28"/>
      <c r="H12723" s="28"/>
    </row>
    <row r="12724" spans="4:8" x14ac:dyDescent="0.25">
      <c r="D12724" s="28"/>
      <c r="F12724" s="28"/>
      <c r="H12724" s="28"/>
    </row>
    <row r="12725" spans="4:8" x14ac:dyDescent="0.25">
      <c r="D12725" s="28"/>
      <c r="F12725" s="28"/>
      <c r="H12725" s="28"/>
    </row>
    <row r="12726" spans="4:8" x14ac:dyDescent="0.25">
      <c r="D12726" s="28"/>
      <c r="F12726" s="28"/>
      <c r="H12726" s="28"/>
    </row>
    <row r="12727" spans="4:8" x14ac:dyDescent="0.25">
      <c r="D12727" s="28"/>
      <c r="F12727" s="28"/>
      <c r="H12727" s="28"/>
    </row>
    <row r="12728" spans="4:8" x14ac:dyDescent="0.25">
      <c r="D12728" s="28"/>
      <c r="F12728" s="28"/>
      <c r="H12728" s="28"/>
    </row>
    <row r="12729" spans="4:8" x14ac:dyDescent="0.25">
      <c r="D12729" s="28"/>
      <c r="F12729" s="28"/>
      <c r="H12729" s="28"/>
    </row>
    <row r="12730" spans="4:8" x14ac:dyDescent="0.25">
      <c r="D12730" s="28"/>
      <c r="F12730" s="28"/>
      <c r="H12730" s="28"/>
    </row>
    <row r="12731" spans="4:8" x14ac:dyDescent="0.25">
      <c r="D12731" s="28"/>
      <c r="F12731" s="28"/>
      <c r="H12731" s="28"/>
    </row>
    <row r="12732" spans="4:8" x14ac:dyDescent="0.25">
      <c r="D12732" s="28"/>
      <c r="F12732" s="28"/>
      <c r="H12732" s="28"/>
    </row>
    <row r="12733" spans="4:8" x14ac:dyDescent="0.25">
      <c r="D12733" s="28"/>
      <c r="F12733" s="28"/>
      <c r="H12733" s="28"/>
    </row>
    <row r="12734" spans="4:8" x14ac:dyDescent="0.25">
      <c r="D12734" s="28"/>
      <c r="F12734" s="28"/>
      <c r="H12734" s="28"/>
    </row>
    <row r="12735" spans="4:8" x14ac:dyDescent="0.25">
      <c r="D12735" s="28"/>
      <c r="F12735" s="28"/>
      <c r="H12735" s="28"/>
    </row>
    <row r="12736" spans="4:8" x14ac:dyDescent="0.25">
      <c r="D12736" s="28"/>
      <c r="F12736" s="28"/>
      <c r="H12736" s="28"/>
    </row>
    <row r="12737" spans="4:8" x14ac:dyDescent="0.25">
      <c r="D12737" s="28"/>
      <c r="F12737" s="28"/>
      <c r="H12737" s="28"/>
    </row>
    <row r="12738" spans="4:8" x14ac:dyDescent="0.25">
      <c r="D12738" s="28"/>
      <c r="F12738" s="28"/>
      <c r="H12738" s="28"/>
    </row>
    <row r="12739" spans="4:8" x14ac:dyDescent="0.25">
      <c r="D12739" s="28"/>
      <c r="F12739" s="28"/>
      <c r="H12739" s="28"/>
    </row>
    <row r="12740" spans="4:8" x14ac:dyDescent="0.25">
      <c r="D12740" s="28"/>
      <c r="F12740" s="28"/>
      <c r="H12740" s="28"/>
    </row>
    <row r="12741" spans="4:8" x14ac:dyDescent="0.25">
      <c r="D12741" s="28"/>
      <c r="F12741" s="28"/>
      <c r="H12741" s="28"/>
    </row>
    <row r="12742" spans="4:8" x14ac:dyDescent="0.25">
      <c r="D12742" s="28"/>
      <c r="F12742" s="28"/>
      <c r="H12742" s="28"/>
    </row>
    <row r="12743" spans="4:8" x14ac:dyDescent="0.25">
      <c r="D12743" s="28"/>
      <c r="F12743" s="28"/>
      <c r="H12743" s="28"/>
    </row>
    <row r="12744" spans="4:8" x14ac:dyDescent="0.25">
      <c r="D12744" s="28"/>
      <c r="F12744" s="28"/>
      <c r="H12744" s="28"/>
    </row>
    <row r="12745" spans="4:8" x14ac:dyDescent="0.25">
      <c r="D12745" s="28"/>
      <c r="F12745" s="28"/>
      <c r="H12745" s="28"/>
    </row>
    <row r="12746" spans="4:8" x14ac:dyDescent="0.25">
      <c r="D12746" s="28"/>
      <c r="F12746" s="28"/>
      <c r="H12746" s="28"/>
    </row>
    <row r="12747" spans="4:8" x14ac:dyDescent="0.25">
      <c r="D12747" s="28"/>
      <c r="F12747" s="28"/>
      <c r="H12747" s="28"/>
    </row>
    <row r="12748" spans="4:8" x14ac:dyDescent="0.25">
      <c r="D12748" s="28"/>
      <c r="F12748" s="28"/>
      <c r="H12748" s="28"/>
    </row>
    <row r="12749" spans="4:8" x14ac:dyDescent="0.25">
      <c r="D12749" s="28"/>
      <c r="F12749" s="28"/>
      <c r="H12749" s="28"/>
    </row>
    <row r="12750" spans="4:8" x14ac:dyDescent="0.25">
      <c r="D12750" s="28"/>
      <c r="F12750" s="28"/>
      <c r="H12750" s="28"/>
    </row>
    <row r="12751" spans="4:8" x14ac:dyDescent="0.25">
      <c r="D12751" s="28"/>
      <c r="F12751" s="28"/>
      <c r="H12751" s="28"/>
    </row>
    <row r="12752" spans="4:8" x14ac:dyDescent="0.25">
      <c r="D12752" s="28"/>
      <c r="F12752" s="28"/>
      <c r="H12752" s="28"/>
    </row>
    <row r="12753" spans="4:8" x14ac:dyDescent="0.25">
      <c r="D12753" s="28"/>
      <c r="F12753" s="28"/>
      <c r="H12753" s="28"/>
    </row>
    <row r="12754" spans="4:8" x14ac:dyDescent="0.25">
      <c r="D12754" s="28"/>
      <c r="F12754" s="28"/>
      <c r="H12754" s="28"/>
    </row>
    <row r="12755" spans="4:8" x14ac:dyDescent="0.25">
      <c r="D12755" s="28"/>
      <c r="F12755" s="28"/>
      <c r="H12755" s="28"/>
    </row>
    <row r="12756" spans="4:8" x14ac:dyDescent="0.25">
      <c r="D12756" s="28"/>
      <c r="F12756" s="28"/>
      <c r="H12756" s="28"/>
    </row>
    <row r="12757" spans="4:8" x14ac:dyDescent="0.25">
      <c r="D12757" s="28"/>
      <c r="F12757" s="28"/>
      <c r="H12757" s="28"/>
    </row>
    <row r="12758" spans="4:8" x14ac:dyDescent="0.25">
      <c r="D12758" s="28"/>
      <c r="F12758" s="28"/>
      <c r="H12758" s="28"/>
    </row>
    <row r="12759" spans="4:8" x14ac:dyDescent="0.25">
      <c r="D12759" s="28"/>
      <c r="F12759" s="28"/>
      <c r="H12759" s="28"/>
    </row>
    <row r="12760" spans="4:8" x14ac:dyDescent="0.25">
      <c r="D12760" s="28"/>
      <c r="F12760" s="28"/>
      <c r="H12760" s="28"/>
    </row>
    <row r="12761" spans="4:8" x14ac:dyDescent="0.25">
      <c r="D12761" s="28"/>
      <c r="F12761" s="28"/>
      <c r="H12761" s="28"/>
    </row>
    <row r="12762" spans="4:8" x14ac:dyDescent="0.25">
      <c r="D12762" s="28"/>
      <c r="F12762" s="28"/>
      <c r="H12762" s="28"/>
    </row>
    <row r="12763" spans="4:8" x14ac:dyDescent="0.25">
      <c r="D12763" s="28"/>
      <c r="F12763" s="28"/>
      <c r="H12763" s="28"/>
    </row>
    <row r="12764" spans="4:8" x14ac:dyDescent="0.25">
      <c r="D12764" s="28"/>
      <c r="F12764" s="28"/>
      <c r="H12764" s="28"/>
    </row>
    <row r="12765" spans="4:8" x14ac:dyDescent="0.25">
      <c r="D12765" s="28"/>
      <c r="F12765" s="28"/>
      <c r="H12765" s="28"/>
    </row>
    <row r="12766" spans="4:8" x14ac:dyDescent="0.25">
      <c r="D12766" s="28"/>
      <c r="F12766" s="28"/>
      <c r="H12766" s="28"/>
    </row>
    <row r="12767" spans="4:8" x14ac:dyDescent="0.25">
      <c r="D12767" s="28"/>
      <c r="F12767" s="28"/>
      <c r="H12767" s="28"/>
    </row>
    <row r="12768" spans="4:8" x14ac:dyDescent="0.25">
      <c r="D12768" s="28"/>
      <c r="F12768" s="28"/>
      <c r="H12768" s="28"/>
    </row>
    <row r="12769" spans="4:8" x14ac:dyDescent="0.25">
      <c r="D12769" s="28"/>
      <c r="F12769" s="28"/>
      <c r="H12769" s="28"/>
    </row>
    <row r="12770" spans="4:8" x14ac:dyDescent="0.25">
      <c r="D12770" s="28"/>
      <c r="F12770" s="28"/>
      <c r="H12770" s="28"/>
    </row>
    <row r="12771" spans="4:8" x14ac:dyDescent="0.25">
      <c r="D12771" s="28"/>
      <c r="F12771" s="28"/>
      <c r="H12771" s="28"/>
    </row>
    <row r="12772" spans="4:8" x14ac:dyDescent="0.25">
      <c r="D12772" s="28"/>
      <c r="F12772" s="28"/>
      <c r="H12772" s="28"/>
    </row>
    <row r="12773" spans="4:8" x14ac:dyDescent="0.25">
      <c r="D12773" s="28"/>
      <c r="F12773" s="28"/>
      <c r="H12773" s="28"/>
    </row>
    <row r="12774" spans="4:8" x14ac:dyDescent="0.25">
      <c r="D12774" s="28"/>
      <c r="F12774" s="28"/>
      <c r="H12774" s="28"/>
    </row>
    <row r="12775" spans="4:8" x14ac:dyDescent="0.25">
      <c r="D12775" s="28"/>
      <c r="F12775" s="28"/>
      <c r="H12775" s="28"/>
    </row>
    <row r="12776" spans="4:8" x14ac:dyDescent="0.25">
      <c r="D12776" s="28"/>
      <c r="F12776" s="28"/>
      <c r="H12776" s="28"/>
    </row>
    <row r="12777" spans="4:8" x14ac:dyDescent="0.25">
      <c r="D12777" s="28"/>
      <c r="F12777" s="28"/>
      <c r="H12777" s="28"/>
    </row>
    <row r="12778" spans="4:8" x14ac:dyDescent="0.25">
      <c r="D12778" s="28"/>
      <c r="F12778" s="28"/>
      <c r="H12778" s="28"/>
    </row>
    <row r="12779" spans="4:8" x14ac:dyDescent="0.25">
      <c r="D12779" s="28"/>
      <c r="F12779" s="28"/>
      <c r="H12779" s="28"/>
    </row>
    <row r="12780" spans="4:8" x14ac:dyDescent="0.25">
      <c r="D12780" s="28"/>
      <c r="F12780" s="28"/>
      <c r="H12780" s="28"/>
    </row>
    <row r="12781" spans="4:8" x14ac:dyDescent="0.25">
      <c r="D12781" s="28"/>
      <c r="F12781" s="28"/>
      <c r="H12781" s="28"/>
    </row>
    <row r="12782" spans="4:8" x14ac:dyDescent="0.25">
      <c r="D12782" s="28"/>
      <c r="F12782" s="28"/>
      <c r="H12782" s="28"/>
    </row>
    <row r="12783" spans="4:8" x14ac:dyDescent="0.25">
      <c r="D12783" s="28"/>
      <c r="F12783" s="28"/>
      <c r="H12783" s="28"/>
    </row>
    <row r="12784" spans="4:8" x14ac:dyDescent="0.25">
      <c r="D12784" s="28"/>
      <c r="F12784" s="28"/>
      <c r="H12784" s="28"/>
    </row>
    <row r="12785" spans="4:8" x14ac:dyDescent="0.25">
      <c r="D12785" s="28"/>
      <c r="F12785" s="28"/>
      <c r="H12785" s="28"/>
    </row>
    <row r="12786" spans="4:8" x14ac:dyDescent="0.25">
      <c r="D12786" s="28"/>
      <c r="F12786" s="28"/>
      <c r="H12786" s="28"/>
    </row>
    <row r="12787" spans="4:8" x14ac:dyDescent="0.25">
      <c r="D12787" s="28"/>
      <c r="F12787" s="28"/>
      <c r="H12787" s="28"/>
    </row>
    <row r="12788" spans="4:8" x14ac:dyDescent="0.25">
      <c r="D12788" s="28"/>
      <c r="F12788" s="28"/>
      <c r="H12788" s="28"/>
    </row>
    <row r="12789" spans="4:8" x14ac:dyDescent="0.25">
      <c r="D12789" s="28"/>
      <c r="F12789" s="28"/>
      <c r="H12789" s="28"/>
    </row>
    <row r="12790" spans="4:8" x14ac:dyDescent="0.25">
      <c r="D12790" s="28"/>
      <c r="F12790" s="28"/>
      <c r="H12790" s="28"/>
    </row>
    <row r="12791" spans="4:8" x14ac:dyDescent="0.25">
      <c r="D12791" s="28"/>
      <c r="F12791" s="28"/>
      <c r="H12791" s="28"/>
    </row>
    <row r="12792" spans="4:8" x14ac:dyDescent="0.25">
      <c r="D12792" s="28"/>
      <c r="F12792" s="28"/>
      <c r="H12792" s="28"/>
    </row>
    <row r="12793" spans="4:8" x14ac:dyDescent="0.25">
      <c r="D12793" s="28"/>
      <c r="F12793" s="28"/>
      <c r="H12793" s="28"/>
    </row>
    <row r="12794" spans="4:8" x14ac:dyDescent="0.25">
      <c r="D12794" s="28"/>
      <c r="F12794" s="28"/>
      <c r="H12794" s="28"/>
    </row>
    <row r="12795" spans="4:8" x14ac:dyDescent="0.25">
      <c r="D12795" s="28"/>
      <c r="F12795" s="28"/>
      <c r="H12795" s="28"/>
    </row>
    <row r="12796" spans="4:8" x14ac:dyDescent="0.25">
      <c r="D12796" s="28"/>
      <c r="F12796" s="28"/>
      <c r="H12796" s="28"/>
    </row>
    <row r="12797" spans="4:8" x14ac:dyDescent="0.25">
      <c r="D12797" s="28"/>
      <c r="F12797" s="28"/>
      <c r="H12797" s="28"/>
    </row>
    <row r="12798" spans="4:8" x14ac:dyDescent="0.25">
      <c r="D12798" s="28"/>
      <c r="F12798" s="28"/>
      <c r="H12798" s="28"/>
    </row>
    <row r="12799" spans="4:8" x14ac:dyDescent="0.25">
      <c r="D12799" s="28"/>
      <c r="F12799" s="28"/>
      <c r="H12799" s="28"/>
    </row>
    <row r="12800" spans="4:8" x14ac:dyDescent="0.25">
      <c r="D12800" s="28"/>
      <c r="F12800" s="28"/>
      <c r="H12800" s="28"/>
    </row>
    <row r="12801" spans="4:8" x14ac:dyDescent="0.25">
      <c r="D12801" s="28"/>
      <c r="F12801" s="28"/>
      <c r="H12801" s="28"/>
    </row>
    <row r="12802" spans="4:8" x14ac:dyDescent="0.25">
      <c r="D12802" s="28"/>
      <c r="F12802" s="28"/>
      <c r="H12802" s="28"/>
    </row>
    <row r="12803" spans="4:8" x14ac:dyDescent="0.25">
      <c r="D12803" s="28"/>
      <c r="F12803" s="28"/>
      <c r="H12803" s="28"/>
    </row>
    <row r="12804" spans="4:8" x14ac:dyDescent="0.25">
      <c r="D12804" s="28"/>
      <c r="F12804" s="28"/>
      <c r="H12804" s="28"/>
    </row>
    <row r="12805" spans="4:8" x14ac:dyDescent="0.25">
      <c r="D12805" s="28"/>
      <c r="F12805" s="28"/>
      <c r="H12805" s="28"/>
    </row>
    <row r="12806" spans="4:8" x14ac:dyDescent="0.25">
      <c r="D12806" s="28"/>
      <c r="F12806" s="28"/>
      <c r="H12806" s="28"/>
    </row>
    <row r="12807" spans="4:8" x14ac:dyDescent="0.25">
      <c r="D12807" s="28"/>
      <c r="F12807" s="28"/>
      <c r="H12807" s="28"/>
    </row>
    <row r="12808" spans="4:8" x14ac:dyDescent="0.25">
      <c r="D12808" s="28"/>
      <c r="F12808" s="28"/>
      <c r="H12808" s="28"/>
    </row>
    <row r="12809" spans="4:8" x14ac:dyDescent="0.25">
      <c r="D12809" s="28"/>
      <c r="F12809" s="28"/>
      <c r="H12809" s="28"/>
    </row>
    <row r="12810" spans="4:8" x14ac:dyDescent="0.25">
      <c r="D12810" s="28"/>
      <c r="F12810" s="28"/>
      <c r="H12810" s="28"/>
    </row>
    <row r="12811" spans="4:8" x14ac:dyDescent="0.25">
      <c r="D12811" s="28"/>
      <c r="F12811" s="28"/>
      <c r="H12811" s="28"/>
    </row>
    <row r="12812" spans="4:8" x14ac:dyDescent="0.25">
      <c r="D12812" s="28"/>
      <c r="F12812" s="28"/>
      <c r="H12812" s="28"/>
    </row>
    <row r="12813" spans="4:8" x14ac:dyDescent="0.25">
      <c r="D12813" s="28"/>
      <c r="F12813" s="28"/>
      <c r="H12813" s="28"/>
    </row>
    <row r="12814" spans="4:8" x14ac:dyDescent="0.25">
      <c r="D12814" s="28"/>
      <c r="F12814" s="28"/>
      <c r="H12814" s="28"/>
    </row>
    <row r="12815" spans="4:8" x14ac:dyDescent="0.25">
      <c r="D12815" s="28"/>
      <c r="F12815" s="28"/>
      <c r="H12815" s="28"/>
    </row>
    <row r="12816" spans="4:8" x14ac:dyDescent="0.25">
      <c r="D12816" s="28"/>
      <c r="F12816" s="28"/>
      <c r="H12816" s="28"/>
    </row>
    <row r="12817" spans="4:8" x14ac:dyDescent="0.25">
      <c r="D12817" s="28"/>
      <c r="F12817" s="28"/>
      <c r="H12817" s="28"/>
    </row>
    <row r="12818" spans="4:8" x14ac:dyDescent="0.25">
      <c r="D12818" s="28"/>
      <c r="F12818" s="28"/>
      <c r="H12818" s="28"/>
    </row>
    <row r="12819" spans="4:8" x14ac:dyDescent="0.25">
      <c r="D12819" s="28"/>
      <c r="F12819" s="28"/>
      <c r="H12819" s="28"/>
    </row>
    <row r="12820" spans="4:8" x14ac:dyDescent="0.25">
      <c r="D12820" s="28"/>
      <c r="F12820" s="28"/>
      <c r="H12820" s="28"/>
    </row>
    <row r="12821" spans="4:8" x14ac:dyDescent="0.25">
      <c r="D12821" s="28"/>
      <c r="F12821" s="28"/>
      <c r="H12821" s="28"/>
    </row>
    <row r="12822" spans="4:8" x14ac:dyDescent="0.25">
      <c r="D12822" s="28"/>
      <c r="F12822" s="28"/>
      <c r="H12822" s="28"/>
    </row>
    <row r="12823" spans="4:8" x14ac:dyDescent="0.25">
      <c r="D12823" s="28"/>
      <c r="F12823" s="28"/>
      <c r="H12823" s="28"/>
    </row>
    <row r="12824" spans="4:8" x14ac:dyDescent="0.25">
      <c r="D12824" s="28"/>
      <c r="F12824" s="28"/>
      <c r="H12824" s="28"/>
    </row>
    <row r="12825" spans="4:8" x14ac:dyDescent="0.25">
      <c r="D12825" s="28"/>
      <c r="F12825" s="28"/>
      <c r="H12825" s="28"/>
    </row>
    <row r="12826" spans="4:8" x14ac:dyDescent="0.25">
      <c r="D12826" s="28"/>
      <c r="F12826" s="28"/>
      <c r="H12826" s="28"/>
    </row>
    <row r="12827" spans="4:8" x14ac:dyDescent="0.25">
      <c r="D12827" s="28"/>
      <c r="F12827" s="28"/>
      <c r="H12827" s="28"/>
    </row>
    <row r="12828" spans="4:8" x14ac:dyDescent="0.25">
      <c r="D12828" s="28"/>
      <c r="F12828" s="28"/>
      <c r="H12828" s="28"/>
    </row>
    <row r="12829" spans="4:8" x14ac:dyDescent="0.25">
      <c r="D12829" s="28"/>
      <c r="F12829" s="28"/>
      <c r="H12829" s="28"/>
    </row>
    <row r="12830" spans="4:8" x14ac:dyDescent="0.25">
      <c r="D12830" s="28"/>
      <c r="F12830" s="28"/>
      <c r="H12830" s="28"/>
    </row>
    <row r="12831" spans="4:8" x14ac:dyDescent="0.25">
      <c r="D12831" s="28"/>
      <c r="F12831" s="28"/>
      <c r="H12831" s="28"/>
    </row>
    <row r="12832" spans="4:8" x14ac:dyDescent="0.25">
      <c r="D12832" s="28"/>
      <c r="F12832" s="28"/>
      <c r="H12832" s="28"/>
    </row>
    <row r="12833" spans="4:8" x14ac:dyDescent="0.25">
      <c r="D12833" s="28"/>
      <c r="F12833" s="28"/>
      <c r="H12833" s="28"/>
    </row>
    <row r="12834" spans="4:8" x14ac:dyDescent="0.25">
      <c r="D12834" s="28"/>
      <c r="F12834" s="28"/>
      <c r="H12834" s="28"/>
    </row>
    <row r="12835" spans="4:8" x14ac:dyDescent="0.25">
      <c r="D12835" s="28"/>
      <c r="F12835" s="28"/>
      <c r="H12835" s="28"/>
    </row>
    <row r="12836" spans="4:8" x14ac:dyDescent="0.25">
      <c r="D12836" s="28"/>
      <c r="F12836" s="28"/>
      <c r="H12836" s="28"/>
    </row>
    <row r="12837" spans="4:8" x14ac:dyDescent="0.25">
      <c r="D12837" s="28"/>
      <c r="F12837" s="28"/>
      <c r="H12837" s="28"/>
    </row>
    <row r="12838" spans="4:8" x14ac:dyDescent="0.25">
      <c r="D12838" s="28"/>
      <c r="F12838" s="28"/>
      <c r="H12838" s="28"/>
    </row>
    <row r="12839" spans="4:8" x14ac:dyDescent="0.25">
      <c r="D12839" s="28"/>
      <c r="F12839" s="28"/>
      <c r="H12839" s="28"/>
    </row>
    <row r="12840" spans="4:8" x14ac:dyDescent="0.25">
      <c r="D12840" s="28"/>
      <c r="F12840" s="28"/>
      <c r="H12840" s="28"/>
    </row>
    <row r="12841" spans="4:8" x14ac:dyDescent="0.25">
      <c r="D12841" s="28"/>
      <c r="F12841" s="28"/>
      <c r="H12841" s="28"/>
    </row>
    <row r="12842" spans="4:8" x14ac:dyDescent="0.25">
      <c r="D12842" s="28"/>
      <c r="F12842" s="28"/>
      <c r="H12842" s="28"/>
    </row>
    <row r="12843" spans="4:8" x14ac:dyDescent="0.25">
      <c r="D12843" s="28"/>
      <c r="F12843" s="28"/>
      <c r="H12843" s="28"/>
    </row>
    <row r="12844" spans="4:8" x14ac:dyDescent="0.25">
      <c r="D12844" s="28"/>
      <c r="F12844" s="28"/>
      <c r="H12844" s="28"/>
    </row>
    <row r="12845" spans="4:8" x14ac:dyDescent="0.25">
      <c r="D12845" s="28"/>
      <c r="F12845" s="28"/>
      <c r="H12845" s="28"/>
    </row>
    <row r="12846" spans="4:8" x14ac:dyDescent="0.25">
      <c r="D12846" s="28"/>
      <c r="F12846" s="28"/>
      <c r="H12846" s="28"/>
    </row>
    <row r="12847" spans="4:8" x14ac:dyDescent="0.25">
      <c r="D12847" s="28"/>
      <c r="F12847" s="28"/>
      <c r="H12847" s="28"/>
    </row>
    <row r="12848" spans="4:8" x14ac:dyDescent="0.25">
      <c r="D12848" s="28"/>
      <c r="F12848" s="28"/>
      <c r="H12848" s="28"/>
    </row>
    <row r="12849" spans="4:8" x14ac:dyDescent="0.25">
      <c r="D12849" s="28"/>
      <c r="F12849" s="28"/>
      <c r="H12849" s="28"/>
    </row>
    <row r="12850" spans="4:8" x14ac:dyDescent="0.25">
      <c r="D12850" s="28"/>
      <c r="F12850" s="28"/>
      <c r="H12850" s="28"/>
    </row>
    <row r="12851" spans="4:8" x14ac:dyDescent="0.25">
      <c r="D12851" s="28"/>
      <c r="F12851" s="28"/>
      <c r="H12851" s="28"/>
    </row>
    <row r="12852" spans="4:8" x14ac:dyDescent="0.25">
      <c r="D12852" s="28"/>
      <c r="F12852" s="28"/>
      <c r="H12852" s="28"/>
    </row>
    <row r="12853" spans="4:8" x14ac:dyDescent="0.25">
      <c r="D12853" s="28"/>
      <c r="F12853" s="28"/>
      <c r="H12853" s="28"/>
    </row>
    <row r="12854" spans="4:8" x14ac:dyDescent="0.25">
      <c r="D12854" s="28"/>
      <c r="F12854" s="28"/>
      <c r="H12854" s="28"/>
    </row>
    <row r="12855" spans="4:8" x14ac:dyDescent="0.25">
      <c r="D12855" s="28"/>
      <c r="F12855" s="28"/>
      <c r="H12855" s="28"/>
    </row>
    <row r="12856" spans="4:8" x14ac:dyDescent="0.25">
      <c r="D12856" s="28"/>
      <c r="F12856" s="28"/>
      <c r="H12856" s="28"/>
    </row>
    <row r="12857" spans="4:8" x14ac:dyDescent="0.25">
      <c r="D12857" s="28"/>
      <c r="F12857" s="28"/>
      <c r="H12857" s="28"/>
    </row>
    <row r="12858" spans="4:8" x14ac:dyDescent="0.25">
      <c r="D12858" s="28"/>
      <c r="F12858" s="28"/>
      <c r="H12858" s="28"/>
    </row>
    <row r="12859" spans="4:8" x14ac:dyDescent="0.25">
      <c r="D12859" s="28"/>
      <c r="F12859" s="28"/>
      <c r="H12859" s="28"/>
    </row>
    <row r="12860" spans="4:8" x14ac:dyDescent="0.25">
      <c r="D12860" s="28"/>
      <c r="F12860" s="28"/>
      <c r="H12860" s="28"/>
    </row>
    <row r="12861" spans="4:8" x14ac:dyDescent="0.25">
      <c r="D12861" s="28"/>
      <c r="F12861" s="28"/>
      <c r="H12861" s="28"/>
    </row>
    <row r="12862" spans="4:8" x14ac:dyDescent="0.25">
      <c r="D12862" s="28"/>
      <c r="F12862" s="28"/>
      <c r="H12862" s="28"/>
    </row>
    <row r="12863" spans="4:8" x14ac:dyDescent="0.25">
      <c r="D12863" s="28"/>
      <c r="F12863" s="28"/>
      <c r="H12863" s="28"/>
    </row>
    <row r="12864" spans="4:8" x14ac:dyDescent="0.25">
      <c r="D12864" s="28"/>
      <c r="F12864" s="28"/>
      <c r="H12864" s="28"/>
    </row>
    <row r="12865" spans="4:8" x14ac:dyDescent="0.25">
      <c r="D12865" s="28"/>
      <c r="F12865" s="28"/>
      <c r="H12865" s="28"/>
    </row>
    <row r="12866" spans="4:8" x14ac:dyDescent="0.25">
      <c r="D12866" s="28"/>
      <c r="F12866" s="28"/>
      <c r="H12866" s="28"/>
    </row>
    <row r="12867" spans="4:8" x14ac:dyDescent="0.25">
      <c r="D12867" s="28"/>
      <c r="F12867" s="28"/>
      <c r="H12867" s="28"/>
    </row>
    <row r="12868" spans="4:8" x14ac:dyDescent="0.25">
      <c r="D12868" s="28"/>
      <c r="F12868" s="28"/>
      <c r="H12868" s="28"/>
    </row>
    <row r="12869" spans="4:8" x14ac:dyDescent="0.25">
      <c r="D12869" s="28"/>
      <c r="F12869" s="28"/>
      <c r="H12869" s="28"/>
    </row>
    <row r="12870" spans="4:8" x14ac:dyDescent="0.25">
      <c r="D12870" s="28"/>
      <c r="F12870" s="28"/>
      <c r="H12870" s="28"/>
    </row>
    <row r="12871" spans="4:8" x14ac:dyDescent="0.25">
      <c r="D12871" s="28"/>
      <c r="F12871" s="28"/>
      <c r="H12871" s="28"/>
    </row>
    <row r="12872" spans="4:8" x14ac:dyDescent="0.25">
      <c r="D12872" s="28"/>
      <c r="F12872" s="28"/>
      <c r="H12872" s="28"/>
    </row>
    <row r="12873" spans="4:8" x14ac:dyDescent="0.25">
      <c r="D12873" s="28"/>
      <c r="F12873" s="28"/>
      <c r="H12873" s="28"/>
    </row>
    <row r="12874" spans="4:8" x14ac:dyDescent="0.25">
      <c r="D12874" s="28"/>
      <c r="F12874" s="28"/>
      <c r="H12874" s="28"/>
    </row>
    <row r="12875" spans="4:8" x14ac:dyDescent="0.25">
      <c r="D12875" s="28"/>
      <c r="F12875" s="28"/>
      <c r="H12875" s="28"/>
    </row>
    <row r="12876" spans="4:8" x14ac:dyDescent="0.25">
      <c r="D12876" s="28"/>
      <c r="F12876" s="28"/>
      <c r="H12876" s="28"/>
    </row>
    <row r="12877" spans="4:8" x14ac:dyDescent="0.25">
      <c r="D12877" s="28"/>
      <c r="F12877" s="28"/>
      <c r="H12877" s="28"/>
    </row>
    <row r="12878" spans="4:8" x14ac:dyDescent="0.25">
      <c r="D12878" s="28"/>
      <c r="F12878" s="28"/>
      <c r="H12878" s="28"/>
    </row>
    <row r="12879" spans="4:8" x14ac:dyDescent="0.25">
      <c r="D12879" s="28"/>
      <c r="F12879" s="28"/>
      <c r="H12879" s="28"/>
    </row>
    <row r="12880" spans="4:8" x14ac:dyDescent="0.25">
      <c r="D12880" s="28"/>
      <c r="F12880" s="28"/>
      <c r="H12880" s="28"/>
    </row>
    <row r="12881" spans="4:8" x14ac:dyDescent="0.25">
      <c r="D12881" s="28"/>
      <c r="F12881" s="28"/>
      <c r="H12881" s="28"/>
    </row>
    <row r="12882" spans="4:8" x14ac:dyDescent="0.25">
      <c r="D12882" s="28"/>
      <c r="F12882" s="28"/>
      <c r="H12882" s="28"/>
    </row>
    <row r="12883" spans="4:8" x14ac:dyDescent="0.25">
      <c r="D12883" s="28"/>
      <c r="F12883" s="28"/>
      <c r="H12883" s="28"/>
    </row>
    <row r="12884" spans="4:8" x14ac:dyDescent="0.25">
      <c r="D12884" s="28"/>
      <c r="F12884" s="28"/>
      <c r="H12884" s="28"/>
    </row>
    <row r="12885" spans="4:8" x14ac:dyDescent="0.25">
      <c r="D12885" s="28"/>
      <c r="F12885" s="28"/>
      <c r="H12885" s="28"/>
    </row>
    <row r="12886" spans="4:8" x14ac:dyDescent="0.25">
      <c r="D12886" s="28"/>
      <c r="F12886" s="28"/>
      <c r="H12886" s="28"/>
    </row>
    <row r="12887" spans="4:8" x14ac:dyDescent="0.25">
      <c r="D12887" s="28"/>
      <c r="F12887" s="28"/>
      <c r="H12887" s="28"/>
    </row>
    <row r="12888" spans="4:8" x14ac:dyDescent="0.25">
      <c r="D12888" s="28"/>
      <c r="F12888" s="28"/>
      <c r="H12888" s="28"/>
    </row>
    <row r="12889" spans="4:8" x14ac:dyDescent="0.25">
      <c r="D12889" s="28"/>
      <c r="F12889" s="28"/>
      <c r="H12889" s="28"/>
    </row>
    <row r="12890" spans="4:8" x14ac:dyDescent="0.25">
      <c r="D12890" s="28"/>
      <c r="F12890" s="28"/>
      <c r="H12890" s="28"/>
    </row>
    <row r="12891" spans="4:8" x14ac:dyDescent="0.25">
      <c r="D12891" s="28"/>
      <c r="F12891" s="28"/>
      <c r="H12891" s="28"/>
    </row>
    <row r="12892" spans="4:8" x14ac:dyDescent="0.25">
      <c r="D12892" s="28"/>
      <c r="F12892" s="28"/>
      <c r="H12892" s="28"/>
    </row>
    <row r="12893" spans="4:8" x14ac:dyDescent="0.25">
      <c r="D12893" s="28"/>
      <c r="F12893" s="28"/>
      <c r="H12893" s="28"/>
    </row>
    <row r="12894" spans="4:8" x14ac:dyDescent="0.25">
      <c r="D12894" s="28"/>
      <c r="F12894" s="28"/>
      <c r="H12894" s="28"/>
    </row>
    <row r="12895" spans="4:8" x14ac:dyDescent="0.25">
      <c r="D12895" s="28"/>
      <c r="F12895" s="28"/>
      <c r="H12895" s="28"/>
    </row>
    <row r="12896" spans="4:8" x14ac:dyDescent="0.25">
      <c r="D12896" s="28"/>
      <c r="F12896" s="28"/>
      <c r="H12896" s="28"/>
    </row>
    <row r="12897" spans="4:8" x14ac:dyDescent="0.25">
      <c r="D12897" s="28"/>
      <c r="F12897" s="28"/>
      <c r="H12897" s="28"/>
    </row>
    <row r="12898" spans="4:8" x14ac:dyDescent="0.25">
      <c r="D12898" s="28"/>
      <c r="F12898" s="28"/>
      <c r="H12898" s="28"/>
    </row>
    <row r="12899" spans="4:8" x14ac:dyDescent="0.25">
      <c r="D12899" s="28"/>
      <c r="F12899" s="28"/>
      <c r="H12899" s="28"/>
    </row>
    <row r="12900" spans="4:8" x14ac:dyDescent="0.25">
      <c r="D12900" s="28"/>
      <c r="F12900" s="28"/>
      <c r="H12900" s="28"/>
    </row>
    <row r="12901" spans="4:8" x14ac:dyDescent="0.25">
      <c r="D12901" s="28"/>
      <c r="F12901" s="28"/>
      <c r="H12901" s="28"/>
    </row>
    <row r="12902" spans="4:8" x14ac:dyDescent="0.25">
      <c r="D12902" s="28"/>
      <c r="F12902" s="28"/>
      <c r="H12902" s="28"/>
    </row>
    <row r="12903" spans="4:8" x14ac:dyDescent="0.25">
      <c r="D12903" s="28"/>
      <c r="F12903" s="28"/>
      <c r="H12903" s="28"/>
    </row>
    <row r="12904" spans="4:8" x14ac:dyDescent="0.25">
      <c r="D12904" s="28"/>
      <c r="F12904" s="28"/>
      <c r="H12904" s="28"/>
    </row>
    <row r="12905" spans="4:8" x14ac:dyDescent="0.25">
      <c r="D12905" s="28"/>
      <c r="F12905" s="28"/>
      <c r="H12905" s="28"/>
    </row>
    <row r="12906" spans="4:8" x14ac:dyDescent="0.25">
      <c r="D12906" s="28"/>
      <c r="F12906" s="28"/>
      <c r="H12906" s="28"/>
    </row>
    <row r="12907" spans="4:8" x14ac:dyDescent="0.25">
      <c r="D12907" s="28"/>
      <c r="F12907" s="28"/>
      <c r="H12907" s="28"/>
    </row>
    <row r="12908" spans="4:8" x14ac:dyDescent="0.25">
      <c r="D12908" s="28"/>
      <c r="F12908" s="28"/>
      <c r="H12908" s="28"/>
    </row>
    <row r="12909" spans="4:8" x14ac:dyDescent="0.25">
      <c r="D12909" s="28"/>
      <c r="F12909" s="28"/>
      <c r="H12909" s="28"/>
    </row>
    <row r="12910" spans="4:8" x14ac:dyDescent="0.25">
      <c r="D12910" s="28"/>
      <c r="F12910" s="28"/>
      <c r="H12910" s="28"/>
    </row>
    <row r="12911" spans="4:8" x14ac:dyDescent="0.25">
      <c r="D12911" s="28"/>
      <c r="F12911" s="28"/>
      <c r="H12911" s="28"/>
    </row>
    <row r="12912" spans="4:8" x14ac:dyDescent="0.25">
      <c r="D12912" s="28"/>
      <c r="F12912" s="28"/>
      <c r="H12912" s="28"/>
    </row>
    <row r="12913" spans="4:8" x14ac:dyDescent="0.25">
      <c r="D12913" s="28"/>
      <c r="F12913" s="28"/>
      <c r="H12913" s="28"/>
    </row>
    <row r="12914" spans="4:8" x14ac:dyDescent="0.25">
      <c r="D12914" s="28"/>
      <c r="F12914" s="28"/>
      <c r="H12914" s="28"/>
    </row>
    <row r="12915" spans="4:8" x14ac:dyDescent="0.25">
      <c r="D12915" s="28"/>
      <c r="F12915" s="28"/>
      <c r="H12915" s="28"/>
    </row>
    <row r="12916" spans="4:8" x14ac:dyDescent="0.25">
      <c r="D12916" s="28"/>
      <c r="F12916" s="28"/>
      <c r="H12916" s="28"/>
    </row>
    <row r="12917" spans="4:8" x14ac:dyDescent="0.25">
      <c r="D12917" s="28"/>
      <c r="F12917" s="28"/>
      <c r="H12917" s="28"/>
    </row>
    <row r="12918" spans="4:8" x14ac:dyDescent="0.25">
      <c r="D12918" s="28"/>
      <c r="F12918" s="28"/>
      <c r="H12918" s="28"/>
    </row>
    <row r="12919" spans="4:8" x14ac:dyDescent="0.25">
      <c r="D12919" s="28"/>
      <c r="F12919" s="28"/>
      <c r="H12919" s="28"/>
    </row>
    <row r="12920" spans="4:8" x14ac:dyDescent="0.25">
      <c r="D12920" s="28"/>
      <c r="F12920" s="28"/>
      <c r="H12920" s="28"/>
    </row>
    <row r="12921" spans="4:8" x14ac:dyDescent="0.25">
      <c r="D12921" s="28"/>
      <c r="F12921" s="28"/>
      <c r="H12921" s="28"/>
    </row>
    <row r="12922" spans="4:8" x14ac:dyDescent="0.25">
      <c r="D12922" s="28"/>
      <c r="F12922" s="28"/>
      <c r="H12922" s="28"/>
    </row>
    <row r="12923" spans="4:8" x14ac:dyDescent="0.25">
      <c r="D12923" s="28"/>
      <c r="F12923" s="28"/>
      <c r="H12923" s="28"/>
    </row>
    <row r="12924" spans="4:8" x14ac:dyDescent="0.25">
      <c r="D12924" s="28"/>
      <c r="F12924" s="28"/>
      <c r="H12924" s="28"/>
    </row>
    <row r="12925" spans="4:8" x14ac:dyDescent="0.25">
      <c r="D12925" s="28"/>
      <c r="F12925" s="28"/>
      <c r="H12925" s="28"/>
    </row>
    <row r="12926" spans="4:8" x14ac:dyDescent="0.25">
      <c r="D12926" s="28"/>
      <c r="F12926" s="28"/>
      <c r="H12926" s="28"/>
    </row>
    <row r="12927" spans="4:8" x14ac:dyDescent="0.25">
      <c r="D12927" s="28"/>
      <c r="F12927" s="28"/>
      <c r="H12927" s="28"/>
    </row>
    <row r="12928" spans="4:8" x14ac:dyDescent="0.25">
      <c r="D12928" s="28"/>
      <c r="F12928" s="28"/>
      <c r="H12928" s="28"/>
    </row>
    <row r="12929" spans="4:8" x14ac:dyDescent="0.25">
      <c r="D12929" s="28"/>
      <c r="F12929" s="28"/>
      <c r="H12929" s="28"/>
    </row>
    <row r="12930" spans="4:8" x14ac:dyDescent="0.25">
      <c r="D12930" s="28"/>
      <c r="F12930" s="28"/>
      <c r="H12930" s="28"/>
    </row>
    <row r="12931" spans="4:8" x14ac:dyDescent="0.25">
      <c r="D12931" s="28"/>
      <c r="F12931" s="28"/>
      <c r="H12931" s="28"/>
    </row>
    <row r="12932" spans="4:8" x14ac:dyDescent="0.25">
      <c r="D12932" s="28"/>
      <c r="F12932" s="28"/>
      <c r="H12932" s="28"/>
    </row>
    <row r="12933" spans="4:8" x14ac:dyDescent="0.25">
      <c r="D12933" s="28"/>
      <c r="F12933" s="28"/>
      <c r="H12933" s="28"/>
    </row>
    <row r="12934" spans="4:8" x14ac:dyDescent="0.25">
      <c r="D12934" s="28"/>
      <c r="F12934" s="28"/>
      <c r="H12934" s="28"/>
    </row>
    <row r="12935" spans="4:8" x14ac:dyDescent="0.25">
      <c r="D12935" s="28"/>
      <c r="F12935" s="28"/>
      <c r="H12935" s="28"/>
    </row>
    <row r="12936" spans="4:8" x14ac:dyDescent="0.25">
      <c r="D12936" s="28"/>
      <c r="F12936" s="28"/>
      <c r="H12936" s="28"/>
    </row>
    <row r="12937" spans="4:8" x14ac:dyDescent="0.25">
      <c r="D12937" s="28"/>
      <c r="F12937" s="28"/>
      <c r="H12937" s="28"/>
    </row>
    <row r="12938" spans="4:8" x14ac:dyDescent="0.25">
      <c r="D12938" s="28"/>
      <c r="F12938" s="28"/>
      <c r="H12938" s="28"/>
    </row>
    <row r="12939" spans="4:8" x14ac:dyDescent="0.25">
      <c r="D12939" s="28"/>
      <c r="F12939" s="28"/>
      <c r="H12939" s="28"/>
    </row>
    <row r="12940" spans="4:8" x14ac:dyDescent="0.25">
      <c r="D12940" s="28"/>
      <c r="F12940" s="28"/>
      <c r="H12940" s="28"/>
    </row>
    <row r="12941" spans="4:8" x14ac:dyDescent="0.25">
      <c r="D12941" s="28"/>
      <c r="F12941" s="28"/>
      <c r="H12941" s="28"/>
    </row>
    <row r="12942" spans="4:8" x14ac:dyDescent="0.25">
      <c r="D12942" s="28"/>
      <c r="F12942" s="28"/>
      <c r="H12942" s="28"/>
    </row>
    <row r="12943" spans="4:8" x14ac:dyDescent="0.25">
      <c r="D12943" s="28"/>
      <c r="F12943" s="28"/>
      <c r="H12943" s="28"/>
    </row>
    <row r="12944" spans="4:8" x14ac:dyDescent="0.25">
      <c r="D12944" s="28"/>
      <c r="F12944" s="28"/>
      <c r="H12944" s="28"/>
    </row>
    <row r="12945" spans="4:8" x14ac:dyDescent="0.25">
      <c r="D12945" s="28"/>
      <c r="F12945" s="28"/>
      <c r="H12945" s="28"/>
    </row>
    <row r="12946" spans="4:8" x14ac:dyDescent="0.25">
      <c r="D12946" s="28"/>
      <c r="F12946" s="28"/>
      <c r="H12946" s="28"/>
    </row>
    <row r="12947" spans="4:8" x14ac:dyDescent="0.25">
      <c r="D12947" s="28"/>
      <c r="F12947" s="28"/>
      <c r="H12947" s="28"/>
    </row>
    <row r="12948" spans="4:8" x14ac:dyDescent="0.25">
      <c r="D12948" s="28"/>
      <c r="F12948" s="28"/>
      <c r="H12948" s="28"/>
    </row>
    <row r="12949" spans="4:8" x14ac:dyDescent="0.25">
      <c r="D12949" s="28"/>
      <c r="F12949" s="28"/>
      <c r="H12949" s="28"/>
    </row>
    <row r="12950" spans="4:8" x14ac:dyDescent="0.25">
      <c r="D12950" s="28"/>
      <c r="F12950" s="28"/>
      <c r="H12950" s="28"/>
    </row>
    <row r="12951" spans="4:8" x14ac:dyDescent="0.25">
      <c r="D12951" s="28"/>
      <c r="F12951" s="28"/>
      <c r="H12951" s="28"/>
    </row>
    <row r="12952" spans="4:8" x14ac:dyDescent="0.25">
      <c r="D12952" s="28"/>
      <c r="F12952" s="28"/>
      <c r="H12952" s="28"/>
    </row>
    <row r="12953" spans="4:8" x14ac:dyDescent="0.25">
      <c r="D12953" s="28"/>
      <c r="F12953" s="28"/>
      <c r="H12953" s="28"/>
    </row>
    <row r="12954" spans="4:8" x14ac:dyDescent="0.25">
      <c r="D12954" s="28"/>
      <c r="F12954" s="28"/>
      <c r="H12954" s="28"/>
    </row>
    <row r="12955" spans="4:8" x14ac:dyDescent="0.25">
      <c r="D12955" s="28"/>
      <c r="F12955" s="28"/>
      <c r="H12955" s="28"/>
    </row>
    <row r="12956" spans="4:8" x14ac:dyDescent="0.25">
      <c r="D12956" s="28"/>
      <c r="F12956" s="28"/>
      <c r="H12956" s="28"/>
    </row>
    <row r="12957" spans="4:8" x14ac:dyDescent="0.25">
      <c r="D12957" s="28"/>
      <c r="F12957" s="28"/>
      <c r="H12957" s="28"/>
    </row>
    <row r="12958" spans="4:8" x14ac:dyDescent="0.25">
      <c r="D12958" s="28"/>
      <c r="F12958" s="28"/>
      <c r="H12958" s="28"/>
    </row>
    <row r="12959" spans="4:8" x14ac:dyDescent="0.25">
      <c r="D12959" s="28"/>
      <c r="F12959" s="28"/>
      <c r="H12959" s="28"/>
    </row>
    <row r="12960" spans="4:8" x14ac:dyDescent="0.25">
      <c r="D12960" s="28"/>
      <c r="F12960" s="28"/>
      <c r="H12960" s="28"/>
    </row>
    <row r="12961" spans="4:8" x14ac:dyDescent="0.25">
      <c r="D12961" s="28"/>
      <c r="F12961" s="28"/>
      <c r="H12961" s="28"/>
    </row>
    <row r="12962" spans="4:8" x14ac:dyDescent="0.25">
      <c r="D12962" s="28"/>
      <c r="F12962" s="28"/>
      <c r="H12962" s="28"/>
    </row>
    <row r="12963" spans="4:8" x14ac:dyDescent="0.25">
      <c r="D12963" s="28"/>
      <c r="F12963" s="28"/>
      <c r="H12963" s="28"/>
    </row>
    <row r="12964" spans="4:8" x14ac:dyDescent="0.25">
      <c r="D12964" s="28"/>
      <c r="F12964" s="28"/>
      <c r="H12964" s="28"/>
    </row>
    <row r="12965" spans="4:8" x14ac:dyDescent="0.25">
      <c r="D12965" s="28"/>
      <c r="F12965" s="28"/>
      <c r="H12965" s="28"/>
    </row>
    <row r="12966" spans="4:8" x14ac:dyDescent="0.25">
      <c r="D12966" s="28"/>
      <c r="F12966" s="28"/>
      <c r="H12966" s="28"/>
    </row>
    <row r="12967" spans="4:8" x14ac:dyDescent="0.25">
      <c r="D12967" s="28"/>
      <c r="F12967" s="28"/>
      <c r="H12967" s="28"/>
    </row>
    <row r="12968" spans="4:8" x14ac:dyDescent="0.25">
      <c r="D12968" s="28"/>
      <c r="F12968" s="28"/>
      <c r="H12968" s="28"/>
    </row>
    <row r="12969" spans="4:8" x14ac:dyDescent="0.25">
      <c r="D12969" s="28"/>
      <c r="F12969" s="28"/>
      <c r="H12969" s="28"/>
    </row>
    <row r="12970" spans="4:8" x14ac:dyDescent="0.25">
      <c r="D12970" s="28"/>
      <c r="F12970" s="28"/>
      <c r="H12970" s="28"/>
    </row>
    <row r="12971" spans="4:8" x14ac:dyDescent="0.25">
      <c r="D12971" s="28"/>
      <c r="F12971" s="28"/>
      <c r="H12971" s="28"/>
    </row>
    <row r="12972" spans="4:8" x14ac:dyDescent="0.25">
      <c r="D12972" s="28"/>
      <c r="F12972" s="28"/>
      <c r="H12972" s="28"/>
    </row>
    <row r="12973" spans="4:8" x14ac:dyDescent="0.25">
      <c r="D12973" s="28"/>
      <c r="F12973" s="28"/>
      <c r="H12973" s="28"/>
    </row>
    <row r="12974" spans="4:8" x14ac:dyDescent="0.25">
      <c r="D12974" s="28"/>
      <c r="F12974" s="28"/>
      <c r="H12974" s="28"/>
    </row>
    <row r="12975" spans="4:8" x14ac:dyDescent="0.25">
      <c r="D12975" s="28"/>
      <c r="F12975" s="28"/>
      <c r="H12975" s="28"/>
    </row>
    <row r="12976" spans="4:8" x14ac:dyDescent="0.25">
      <c r="D12976" s="28"/>
      <c r="F12976" s="28"/>
      <c r="H12976" s="28"/>
    </row>
    <row r="12977" spans="4:8" x14ac:dyDescent="0.25">
      <c r="D12977" s="28"/>
      <c r="F12977" s="28"/>
      <c r="H12977" s="28"/>
    </row>
    <row r="12978" spans="4:8" x14ac:dyDescent="0.25">
      <c r="D12978" s="28"/>
      <c r="F12978" s="28"/>
      <c r="H12978" s="28"/>
    </row>
    <row r="12979" spans="4:8" x14ac:dyDescent="0.25">
      <c r="D12979" s="28"/>
      <c r="F12979" s="28"/>
      <c r="H12979" s="28"/>
    </row>
    <row r="12980" spans="4:8" x14ac:dyDescent="0.25">
      <c r="D12980" s="28"/>
      <c r="F12980" s="28"/>
      <c r="H12980" s="28"/>
    </row>
    <row r="12981" spans="4:8" x14ac:dyDescent="0.25">
      <c r="D12981" s="28"/>
      <c r="F12981" s="28"/>
      <c r="H12981" s="28"/>
    </row>
    <row r="12982" spans="4:8" x14ac:dyDescent="0.25">
      <c r="D12982" s="28"/>
      <c r="F12982" s="28"/>
      <c r="H12982" s="28"/>
    </row>
    <row r="12983" spans="4:8" x14ac:dyDescent="0.25">
      <c r="D12983" s="28"/>
      <c r="F12983" s="28"/>
      <c r="H12983" s="28"/>
    </row>
    <row r="12984" spans="4:8" x14ac:dyDescent="0.25">
      <c r="D12984" s="28"/>
      <c r="F12984" s="28"/>
      <c r="H12984" s="28"/>
    </row>
    <row r="12985" spans="4:8" x14ac:dyDescent="0.25">
      <c r="D12985" s="28"/>
      <c r="F12985" s="28"/>
      <c r="H12985" s="28"/>
    </row>
    <row r="12986" spans="4:8" x14ac:dyDescent="0.25">
      <c r="D12986" s="28"/>
      <c r="F12986" s="28"/>
      <c r="H12986" s="28"/>
    </row>
    <row r="12987" spans="4:8" x14ac:dyDescent="0.25">
      <c r="D12987" s="28"/>
      <c r="F12987" s="28"/>
      <c r="H12987" s="28"/>
    </row>
    <row r="12988" spans="4:8" x14ac:dyDescent="0.25">
      <c r="D12988" s="28"/>
      <c r="F12988" s="28"/>
      <c r="H12988" s="28"/>
    </row>
    <row r="12989" spans="4:8" x14ac:dyDescent="0.25">
      <c r="D12989" s="28"/>
      <c r="F12989" s="28"/>
      <c r="H12989" s="28"/>
    </row>
    <row r="12990" spans="4:8" x14ac:dyDescent="0.25">
      <c r="D12990" s="28"/>
      <c r="F12990" s="28"/>
      <c r="H12990" s="28"/>
    </row>
    <row r="12991" spans="4:8" x14ac:dyDescent="0.25">
      <c r="D12991" s="28"/>
      <c r="F12991" s="28"/>
      <c r="H12991" s="28"/>
    </row>
    <row r="12992" spans="4:8" x14ac:dyDescent="0.25">
      <c r="D12992" s="28"/>
      <c r="F12992" s="28"/>
      <c r="H12992" s="28"/>
    </row>
    <row r="12993" spans="4:8" x14ac:dyDescent="0.25">
      <c r="D12993" s="28"/>
      <c r="F12993" s="28"/>
      <c r="H12993" s="28"/>
    </row>
    <row r="12994" spans="4:8" x14ac:dyDescent="0.25">
      <c r="D12994" s="28"/>
      <c r="F12994" s="28"/>
      <c r="H12994" s="28"/>
    </row>
    <row r="12995" spans="4:8" x14ac:dyDescent="0.25">
      <c r="D12995" s="28"/>
      <c r="F12995" s="28"/>
      <c r="H12995" s="28"/>
    </row>
    <row r="12996" spans="4:8" x14ac:dyDescent="0.25">
      <c r="D12996" s="28"/>
      <c r="F12996" s="28"/>
      <c r="H12996" s="28"/>
    </row>
    <row r="12997" spans="4:8" x14ac:dyDescent="0.25">
      <c r="D12997" s="28"/>
      <c r="F12997" s="28"/>
      <c r="H12997" s="28"/>
    </row>
    <row r="12998" spans="4:8" x14ac:dyDescent="0.25">
      <c r="D12998" s="28"/>
      <c r="F12998" s="28"/>
      <c r="H12998" s="28"/>
    </row>
    <row r="12999" spans="4:8" x14ac:dyDescent="0.25">
      <c r="D12999" s="28"/>
      <c r="F12999" s="28"/>
      <c r="H12999" s="28"/>
    </row>
    <row r="13000" spans="4:8" x14ac:dyDescent="0.25">
      <c r="D13000" s="28"/>
      <c r="F13000" s="28"/>
      <c r="H13000" s="28"/>
    </row>
    <row r="13001" spans="4:8" x14ac:dyDescent="0.25">
      <c r="D13001" s="28"/>
      <c r="F13001" s="28"/>
      <c r="H13001" s="28"/>
    </row>
    <row r="13002" spans="4:8" x14ac:dyDescent="0.25">
      <c r="D13002" s="28"/>
      <c r="F13002" s="28"/>
      <c r="H13002" s="28"/>
    </row>
    <row r="13003" spans="4:8" x14ac:dyDescent="0.25">
      <c r="D13003" s="28"/>
      <c r="F13003" s="28"/>
      <c r="H13003" s="28"/>
    </row>
    <row r="13004" spans="4:8" x14ac:dyDescent="0.25">
      <c r="D13004" s="28"/>
      <c r="F13004" s="28"/>
      <c r="H13004" s="28"/>
    </row>
    <row r="13005" spans="4:8" x14ac:dyDescent="0.25">
      <c r="D13005" s="28"/>
      <c r="F13005" s="28"/>
      <c r="H13005" s="28"/>
    </row>
    <row r="13006" spans="4:8" x14ac:dyDescent="0.25">
      <c r="D13006" s="28"/>
      <c r="F13006" s="28"/>
      <c r="H13006" s="28"/>
    </row>
    <row r="13007" spans="4:8" x14ac:dyDescent="0.25">
      <c r="D13007" s="28"/>
      <c r="F13007" s="28"/>
      <c r="H13007" s="28"/>
    </row>
    <row r="13008" spans="4:8" x14ac:dyDescent="0.25">
      <c r="D13008" s="28"/>
      <c r="F13008" s="28"/>
      <c r="H13008" s="28"/>
    </row>
    <row r="13009" spans="4:8" x14ac:dyDescent="0.25">
      <c r="D13009" s="28"/>
      <c r="F13009" s="28"/>
      <c r="H13009" s="28"/>
    </row>
    <row r="13010" spans="4:8" x14ac:dyDescent="0.25">
      <c r="D13010" s="28"/>
      <c r="F13010" s="28"/>
      <c r="H13010" s="28"/>
    </row>
    <row r="13011" spans="4:8" x14ac:dyDescent="0.25">
      <c r="D13011" s="28"/>
      <c r="F13011" s="28"/>
      <c r="H13011" s="28"/>
    </row>
    <row r="13012" spans="4:8" x14ac:dyDescent="0.25">
      <c r="D13012" s="28"/>
      <c r="F13012" s="28"/>
      <c r="H13012" s="28"/>
    </row>
    <row r="13013" spans="4:8" x14ac:dyDescent="0.25">
      <c r="D13013" s="28"/>
      <c r="F13013" s="28"/>
      <c r="H13013" s="28"/>
    </row>
    <row r="13014" spans="4:8" x14ac:dyDescent="0.25">
      <c r="D13014" s="28"/>
      <c r="F13014" s="28"/>
      <c r="H13014" s="28"/>
    </row>
    <row r="13015" spans="4:8" x14ac:dyDescent="0.25">
      <c r="D13015" s="28"/>
      <c r="F13015" s="28"/>
      <c r="H13015" s="28"/>
    </row>
    <row r="13016" spans="4:8" x14ac:dyDescent="0.25">
      <c r="D13016" s="28"/>
      <c r="F13016" s="28"/>
      <c r="H13016" s="28"/>
    </row>
    <row r="13017" spans="4:8" x14ac:dyDescent="0.25">
      <c r="D13017" s="28"/>
      <c r="F13017" s="28"/>
      <c r="H13017" s="28"/>
    </row>
    <row r="13018" spans="4:8" x14ac:dyDescent="0.25">
      <c r="D13018" s="28"/>
      <c r="F13018" s="28"/>
      <c r="H13018" s="28"/>
    </row>
    <row r="13019" spans="4:8" x14ac:dyDescent="0.25">
      <c r="D13019" s="28"/>
      <c r="F13019" s="28"/>
      <c r="H13019" s="28"/>
    </row>
    <row r="13020" spans="4:8" x14ac:dyDescent="0.25">
      <c r="D13020" s="28"/>
      <c r="F13020" s="28"/>
      <c r="H13020" s="28"/>
    </row>
    <row r="13021" spans="4:8" x14ac:dyDescent="0.25">
      <c r="D13021" s="28"/>
      <c r="F13021" s="28"/>
      <c r="H13021" s="28"/>
    </row>
    <row r="13022" spans="4:8" x14ac:dyDescent="0.25">
      <c r="D13022" s="28"/>
      <c r="F13022" s="28"/>
      <c r="H13022" s="28"/>
    </row>
    <row r="13023" spans="4:8" x14ac:dyDescent="0.25">
      <c r="D13023" s="28"/>
      <c r="F13023" s="28"/>
      <c r="H13023" s="28"/>
    </row>
    <row r="13024" spans="4:8" x14ac:dyDescent="0.25">
      <c r="D13024" s="28"/>
      <c r="F13024" s="28"/>
      <c r="H13024" s="28"/>
    </row>
    <row r="13025" spans="4:8" x14ac:dyDescent="0.25">
      <c r="D13025" s="28"/>
      <c r="F13025" s="28"/>
      <c r="H13025" s="28"/>
    </row>
    <row r="13026" spans="4:8" x14ac:dyDescent="0.25">
      <c r="D13026" s="28"/>
      <c r="F13026" s="28"/>
      <c r="H13026" s="28"/>
    </row>
    <row r="13027" spans="4:8" x14ac:dyDescent="0.25">
      <c r="D13027" s="28"/>
      <c r="F13027" s="28"/>
      <c r="H13027" s="28"/>
    </row>
    <row r="13028" spans="4:8" x14ac:dyDescent="0.25">
      <c r="D13028" s="28"/>
      <c r="F13028" s="28"/>
      <c r="H13028" s="28"/>
    </row>
    <row r="13029" spans="4:8" x14ac:dyDescent="0.25">
      <c r="D13029" s="28"/>
      <c r="F13029" s="28"/>
      <c r="H13029" s="28"/>
    </row>
    <row r="13030" spans="4:8" x14ac:dyDescent="0.25">
      <c r="D13030" s="28"/>
      <c r="F13030" s="28"/>
      <c r="H13030" s="28"/>
    </row>
    <row r="13031" spans="4:8" x14ac:dyDescent="0.25">
      <c r="D13031" s="28"/>
      <c r="F13031" s="28"/>
      <c r="H13031" s="28"/>
    </row>
    <row r="13032" spans="4:8" x14ac:dyDescent="0.25">
      <c r="D13032" s="28"/>
      <c r="F13032" s="28"/>
      <c r="H13032" s="28"/>
    </row>
    <row r="13033" spans="4:8" x14ac:dyDescent="0.25">
      <c r="D13033" s="28"/>
      <c r="F13033" s="28"/>
      <c r="H13033" s="28"/>
    </row>
    <row r="13034" spans="4:8" x14ac:dyDescent="0.25">
      <c r="D13034" s="28"/>
      <c r="F13034" s="28"/>
      <c r="H13034" s="28"/>
    </row>
    <row r="13035" spans="4:8" x14ac:dyDescent="0.25">
      <c r="D13035" s="28"/>
      <c r="F13035" s="28"/>
      <c r="H13035" s="28"/>
    </row>
    <row r="13036" spans="4:8" x14ac:dyDescent="0.25">
      <c r="D13036" s="28"/>
      <c r="F13036" s="28"/>
      <c r="H13036" s="28"/>
    </row>
    <row r="13037" spans="4:8" x14ac:dyDescent="0.25">
      <c r="D13037" s="28"/>
      <c r="F13037" s="28"/>
      <c r="H13037" s="28"/>
    </row>
    <row r="13038" spans="4:8" x14ac:dyDescent="0.25">
      <c r="D13038" s="28"/>
      <c r="F13038" s="28"/>
      <c r="H13038" s="28"/>
    </row>
    <row r="13039" spans="4:8" x14ac:dyDescent="0.25">
      <c r="D13039" s="28"/>
      <c r="F13039" s="28"/>
      <c r="H13039" s="28"/>
    </row>
    <row r="13040" spans="4:8" x14ac:dyDescent="0.25">
      <c r="D13040" s="28"/>
      <c r="F13040" s="28"/>
      <c r="H13040" s="28"/>
    </row>
    <row r="13041" spans="4:8" x14ac:dyDescent="0.25">
      <c r="D13041" s="28"/>
      <c r="F13041" s="28"/>
      <c r="H13041" s="28"/>
    </row>
    <row r="13042" spans="4:8" x14ac:dyDescent="0.25">
      <c r="D13042" s="28"/>
      <c r="F13042" s="28"/>
      <c r="H13042" s="28"/>
    </row>
    <row r="13043" spans="4:8" x14ac:dyDescent="0.25">
      <c r="D13043" s="28"/>
      <c r="F13043" s="28"/>
      <c r="H13043" s="28"/>
    </row>
    <row r="13044" spans="4:8" x14ac:dyDescent="0.25">
      <c r="D13044" s="28"/>
      <c r="F13044" s="28"/>
      <c r="H13044" s="28"/>
    </row>
    <row r="13045" spans="4:8" x14ac:dyDescent="0.25">
      <c r="D13045" s="28"/>
      <c r="F13045" s="28"/>
      <c r="H13045" s="28"/>
    </row>
    <row r="13046" spans="4:8" x14ac:dyDescent="0.25">
      <c r="D13046" s="28"/>
      <c r="F13046" s="28"/>
      <c r="H13046" s="28"/>
    </row>
    <row r="13047" spans="4:8" x14ac:dyDescent="0.25">
      <c r="D13047" s="28"/>
      <c r="F13047" s="28"/>
      <c r="H13047" s="28"/>
    </row>
    <row r="13048" spans="4:8" x14ac:dyDescent="0.25">
      <c r="D13048" s="28"/>
      <c r="F13048" s="28"/>
      <c r="H13048" s="28"/>
    </row>
    <row r="13049" spans="4:8" x14ac:dyDescent="0.25">
      <c r="D13049" s="28"/>
      <c r="F13049" s="28"/>
      <c r="H13049" s="28"/>
    </row>
    <row r="13050" spans="4:8" x14ac:dyDescent="0.25">
      <c r="D13050" s="28"/>
      <c r="F13050" s="28"/>
      <c r="H13050" s="28"/>
    </row>
    <row r="13051" spans="4:8" x14ac:dyDescent="0.25">
      <c r="D13051" s="28"/>
      <c r="F13051" s="28"/>
      <c r="H13051" s="28"/>
    </row>
    <row r="13052" spans="4:8" x14ac:dyDescent="0.25">
      <c r="D13052" s="28"/>
      <c r="F13052" s="28"/>
      <c r="H13052" s="28"/>
    </row>
    <row r="13053" spans="4:8" x14ac:dyDescent="0.25">
      <c r="D13053" s="28"/>
      <c r="F13053" s="28"/>
      <c r="H13053" s="28"/>
    </row>
    <row r="13054" spans="4:8" x14ac:dyDescent="0.25">
      <c r="D13054" s="28"/>
      <c r="F13054" s="28"/>
      <c r="H13054" s="28"/>
    </row>
    <row r="13055" spans="4:8" x14ac:dyDescent="0.25">
      <c r="D13055" s="28"/>
      <c r="F13055" s="28"/>
      <c r="H13055" s="28"/>
    </row>
    <row r="13056" spans="4:8" x14ac:dyDescent="0.25">
      <c r="D13056" s="28"/>
      <c r="F13056" s="28"/>
      <c r="H13056" s="28"/>
    </row>
    <row r="13057" spans="4:8" x14ac:dyDescent="0.25">
      <c r="D13057" s="28"/>
      <c r="F13057" s="28"/>
      <c r="H13057" s="28"/>
    </row>
    <row r="13058" spans="4:8" x14ac:dyDescent="0.25">
      <c r="D13058" s="28"/>
      <c r="F13058" s="28"/>
      <c r="H13058" s="28"/>
    </row>
    <row r="13059" spans="4:8" x14ac:dyDescent="0.25">
      <c r="D13059" s="28"/>
      <c r="F13059" s="28"/>
      <c r="H13059" s="28"/>
    </row>
    <row r="13060" spans="4:8" x14ac:dyDescent="0.25">
      <c r="D13060" s="28"/>
      <c r="F13060" s="28"/>
      <c r="H13060" s="28"/>
    </row>
    <row r="13061" spans="4:8" x14ac:dyDescent="0.25">
      <c r="D13061" s="28"/>
      <c r="F13061" s="28"/>
      <c r="H13061" s="28"/>
    </row>
    <row r="13062" spans="4:8" x14ac:dyDescent="0.25">
      <c r="D13062" s="28"/>
      <c r="F13062" s="28"/>
      <c r="H13062" s="28"/>
    </row>
    <row r="13063" spans="4:8" x14ac:dyDescent="0.25">
      <c r="D13063" s="28"/>
      <c r="F13063" s="28"/>
      <c r="H13063" s="28"/>
    </row>
    <row r="13064" spans="4:8" x14ac:dyDescent="0.25">
      <c r="D13064" s="28"/>
      <c r="F13064" s="28"/>
      <c r="H13064" s="28"/>
    </row>
    <row r="13065" spans="4:8" x14ac:dyDescent="0.25">
      <c r="D13065" s="28"/>
      <c r="F13065" s="28"/>
      <c r="H13065" s="28"/>
    </row>
    <row r="13066" spans="4:8" x14ac:dyDescent="0.25">
      <c r="D13066" s="28"/>
      <c r="F13066" s="28"/>
      <c r="H13066" s="28"/>
    </row>
    <row r="13067" spans="4:8" x14ac:dyDescent="0.25">
      <c r="D13067" s="28"/>
      <c r="F13067" s="28"/>
      <c r="H13067" s="28"/>
    </row>
    <row r="13068" spans="4:8" x14ac:dyDescent="0.25">
      <c r="D13068" s="28"/>
      <c r="F13068" s="28"/>
      <c r="H13068" s="28"/>
    </row>
    <row r="13069" spans="4:8" x14ac:dyDescent="0.25">
      <c r="D13069" s="28"/>
      <c r="F13069" s="28"/>
      <c r="H13069" s="28"/>
    </row>
    <row r="13070" spans="4:8" x14ac:dyDescent="0.25">
      <c r="D13070" s="28"/>
      <c r="F13070" s="28"/>
      <c r="H13070" s="28"/>
    </row>
    <row r="13071" spans="4:8" x14ac:dyDescent="0.25">
      <c r="D13071" s="28"/>
      <c r="F13071" s="28"/>
      <c r="H13071" s="28"/>
    </row>
    <row r="13072" spans="4:8" x14ac:dyDescent="0.25">
      <c r="D13072" s="28"/>
      <c r="F13072" s="28"/>
      <c r="H13072" s="28"/>
    </row>
    <row r="13073" spans="4:8" x14ac:dyDescent="0.25">
      <c r="D13073" s="28"/>
      <c r="F13073" s="28"/>
      <c r="H13073" s="28"/>
    </row>
    <row r="13074" spans="4:8" x14ac:dyDescent="0.25">
      <c r="D13074" s="28"/>
      <c r="F13074" s="28"/>
      <c r="H13074" s="28"/>
    </row>
    <row r="13075" spans="4:8" x14ac:dyDescent="0.25">
      <c r="D13075" s="28"/>
      <c r="F13075" s="28"/>
      <c r="H13075" s="28"/>
    </row>
    <row r="13076" spans="4:8" x14ac:dyDescent="0.25">
      <c r="D13076" s="28"/>
      <c r="F13076" s="28"/>
      <c r="H13076" s="28"/>
    </row>
    <row r="13077" spans="4:8" x14ac:dyDescent="0.25">
      <c r="D13077" s="28"/>
      <c r="F13077" s="28"/>
      <c r="H13077" s="28"/>
    </row>
    <row r="13078" spans="4:8" x14ac:dyDescent="0.25">
      <c r="D13078" s="28"/>
      <c r="F13078" s="28"/>
      <c r="H13078" s="28"/>
    </row>
    <row r="13079" spans="4:8" x14ac:dyDescent="0.25">
      <c r="D13079" s="28"/>
      <c r="F13079" s="28"/>
      <c r="H13079" s="28"/>
    </row>
    <row r="13080" spans="4:8" x14ac:dyDescent="0.25">
      <c r="D13080" s="28"/>
      <c r="F13080" s="28"/>
      <c r="H13080" s="28"/>
    </row>
    <row r="13081" spans="4:8" x14ac:dyDescent="0.25">
      <c r="D13081" s="28"/>
      <c r="F13081" s="28"/>
      <c r="H13081" s="28"/>
    </row>
    <row r="13082" spans="4:8" x14ac:dyDescent="0.25">
      <c r="D13082" s="28"/>
      <c r="F13082" s="28"/>
      <c r="H13082" s="28"/>
    </row>
    <row r="13083" spans="4:8" x14ac:dyDescent="0.25">
      <c r="D13083" s="28"/>
      <c r="F13083" s="28"/>
      <c r="H13083" s="28"/>
    </row>
    <row r="13084" spans="4:8" x14ac:dyDescent="0.25">
      <c r="D13084" s="28"/>
      <c r="F13084" s="28"/>
      <c r="H13084" s="28"/>
    </row>
    <row r="13085" spans="4:8" x14ac:dyDescent="0.25">
      <c r="D13085" s="28"/>
      <c r="F13085" s="28"/>
      <c r="H13085" s="28"/>
    </row>
    <row r="13086" spans="4:8" x14ac:dyDescent="0.25">
      <c r="D13086" s="28"/>
      <c r="F13086" s="28"/>
      <c r="H13086" s="28"/>
    </row>
    <row r="13087" spans="4:8" x14ac:dyDescent="0.25">
      <c r="D13087" s="28"/>
      <c r="F13087" s="28"/>
      <c r="H13087" s="28"/>
    </row>
    <row r="13088" spans="4:8" x14ac:dyDescent="0.25">
      <c r="D13088" s="28"/>
      <c r="F13088" s="28"/>
      <c r="H13088" s="28"/>
    </row>
    <row r="13089" spans="4:8" x14ac:dyDescent="0.25">
      <c r="D13089" s="28"/>
      <c r="F13089" s="28"/>
      <c r="H13089" s="28"/>
    </row>
    <row r="13090" spans="4:8" x14ac:dyDescent="0.25">
      <c r="D13090" s="28"/>
      <c r="F13090" s="28"/>
      <c r="H13090" s="28"/>
    </row>
    <row r="13091" spans="4:8" x14ac:dyDescent="0.25">
      <c r="D13091" s="28"/>
      <c r="F13091" s="28"/>
      <c r="H13091" s="28"/>
    </row>
    <row r="13092" spans="4:8" x14ac:dyDescent="0.25">
      <c r="D13092" s="28"/>
      <c r="F13092" s="28"/>
      <c r="H13092" s="28"/>
    </row>
    <row r="13093" spans="4:8" x14ac:dyDescent="0.25">
      <c r="D13093" s="28"/>
      <c r="F13093" s="28"/>
      <c r="H13093" s="28"/>
    </row>
    <row r="13094" spans="4:8" x14ac:dyDescent="0.25">
      <c r="D13094" s="28"/>
      <c r="F13094" s="28"/>
      <c r="H13094" s="28"/>
    </row>
    <row r="13095" spans="4:8" x14ac:dyDescent="0.25">
      <c r="D13095" s="28"/>
      <c r="F13095" s="28"/>
      <c r="H13095" s="28"/>
    </row>
    <row r="13096" spans="4:8" x14ac:dyDescent="0.25">
      <c r="D13096" s="28"/>
      <c r="F13096" s="28"/>
      <c r="H13096" s="28"/>
    </row>
    <row r="13097" spans="4:8" x14ac:dyDescent="0.25">
      <c r="D13097" s="28"/>
      <c r="F13097" s="28"/>
      <c r="H13097" s="28"/>
    </row>
    <row r="13098" spans="4:8" x14ac:dyDescent="0.25">
      <c r="D13098" s="28"/>
      <c r="F13098" s="28"/>
      <c r="H13098" s="28"/>
    </row>
    <row r="13099" spans="4:8" x14ac:dyDescent="0.25">
      <c r="D13099" s="28"/>
      <c r="F13099" s="28"/>
      <c r="H13099" s="28"/>
    </row>
    <row r="13100" spans="4:8" x14ac:dyDescent="0.25">
      <c r="D13100" s="28"/>
      <c r="F13100" s="28"/>
      <c r="H13100" s="28"/>
    </row>
    <row r="13101" spans="4:8" x14ac:dyDescent="0.25">
      <c r="D13101" s="28"/>
      <c r="F13101" s="28"/>
      <c r="H13101" s="28"/>
    </row>
    <row r="13102" spans="4:8" x14ac:dyDescent="0.25">
      <c r="D13102" s="28"/>
      <c r="F13102" s="28"/>
      <c r="H13102" s="28"/>
    </row>
    <row r="13103" spans="4:8" x14ac:dyDescent="0.25">
      <c r="D13103" s="28"/>
      <c r="F13103" s="28"/>
      <c r="H13103" s="28"/>
    </row>
    <row r="13104" spans="4:8" x14ac:dyDescent="0.25">
      <c r="D13104" s="28"/>
      <c r="F13104" s="28"/>
      <c r="H13104" s="28"/>
    </row>
    <row r="13105" spans="4:8" x14ac:dyDescent="0.25">
      <c r="D13105" s="28"/>
      <c r="F13105" s="28"/>
      <c r="H13105" s="28"/>
    </row>
    <row r="13106" spans="4:8" x14ac:dyDescent="0.25">
      <c r="D13106" s="28"/>
      <c r="F13106" s="28"/>
      <c r="H13106" s="28"/>
    </row>
    <row r="13107" spans="4:8" x14ac:dyDescent="0.25">
      <c r="D13107" s="28"/>
      <c r="F13107" s="28"/>
      <c r="H13107" s="28"/>
    </row>
    <row r="13108" spans="4:8" x14ac:dyDescent="0.25">
      <c r="D13108" s="28"/>
      <c r="F13108" s="28"/>
      <c r="H13108" s="28"/>
    </row>
    <row r="13109" spans="4:8" x14ac:dyDescent="0.25">
      <c r="D13109" s="28"/>
      <c r="F13109" s="28"/>
      <c r="H13109" s="28"/>
    </row>
    <row r="13110" spans="4:8" x14ac:dyDescent="0.25">
      <c r="D13110" s="28"/>
      <c r="F13110" s="28"/>
      <c r="H13110" s="28"/>
    </row>
    <row r="13111" spans="4:8" x14ac:dyDescent="0.25">
      <c r="D13111" s="28"/>
      <c r="F13111" s="28"/>
      <c r="H13111" s="28"/>
    </row>
    <row r="13112" spans="4:8" x14ac:dyDescent="0.25">
      <c r="D13112" s="28"/>
      <c r="F13112" s="28"/>
      <c r="H13112" s="28"/>
    </row>
    <row r="13113" spans="4:8" x14ac:dyDescent="0.25">
      <c r="D13113" s="28"/>
      <c r="F13113" s="28"/>
      <c r="H13113" s="28"/>
    </row>
    <row r="13114" spans="4:8" x14ac:dyDescent="0.25">
      <c r="D13114" s="28"/>
      <c r="F13114" s="28"/>
      <c r="H13114" s="28"/>
    </row>
    <row r="13115" spans="4:8" x14ac:dyDescent="0.25">
      <c r="D13115" s="28"/>
      <c r="F13115" s="28"/>
      <c r="H13115" s="28"/>
    </row>
    <row r="13116" spans="4:8" x14ac:dyDescent="0.25">
      <c r="D13116" s="28"/>
      <c r="F13116" s="28"/>
      <c r="H13116" s="28"/>
    </row>
    <row r="13117" spans="4:8" x14ac:dyDescent="0.25">
      <c r="D13117" s="28"/>
      <c r="F13117" s="28"/>
      <c r="H13117" s="28"/>
    </row>
    <row r="13118" spans="4:8" x14ac:dyDescent="0.25">
      <c r="D13118" s="28"/>
      <c r="F13118" s="28"/>
      <c r="H13118" s="28"/>
    </row>
    <row r="13119" spans="4:8" x14ac:dyDescent="0.25">
      <c r="D13119" s="28"/>
      <c r="F13119" s="28"/>
      <c r="H13119" s="28"/>
    </row>
    <row r="13120" spans="4:8" x14ac:dyDescent="0.25">
      <c r="D13120" s="28"/>
      <c r="F13120" s="28"/>
      <c r="H13120" s="28"/>
    </row>
    <row r="13121" spans="4:8" x14ac:dyDescent="0.25">
      <c r="D13121" s="28"/>
      <c r="F13121" s="28"/>
      <c r="H13121" s="28"/>
    </row>
    <row r="13122" spans="4:8" x14ac:dyDescent="0.25">
      <c r="D13122" s="28"/>
      <c r="F13122" s="28"/>
      <c r="H13122" s="28"/>
    </row>
    <row r="13123" spans="4:8" x14ac:dyDescent="0.25">
      <c r="D13123" s="28"/>
      <c r="F13123" s="28"/>
      <c r="H13123" s="28"/>
    </row>
    <row r="13124" spans="4:8" x14ac:dyDescent="0.25">
      <c r="D13124" s="28"/>
      <c r="F13124" s="28"/>
      <c r="H13124" s="28"/>
    </row>
    <row r="13125" spans="4:8" x14ac:dyDescent="0.25">
      <c r="D13125" s="28"/>
      <c r="F13125" s="28"/>
      <c r="H13125" s="28"/>
    </row>
    <row r="13126" spans="4:8" x14ac:dyDescent="0.25">
      <c r="D13126" s="28"/>
      <c r="F13126" s="28"/>
      <c r="H13126" s="28"/>
    </row>
    <row r="13127" spans="4:8" x14ac:dyDescent="0.25">
      <c r="D13127" s="28"/>
      <c r="F13127" s="28"/>
      <c r="H13127" s="28"/>
    </row>
    <row r="13128" spans="4:8" x14ac:dyDescent="0.25">
      <c r="D13128" s="28"/>
      <c r="F13128" s="28"/>
      <c r="H13128" s="28"/>
    </row>
    <row r="13129" spans="4:8" x14ac:dyDescent="0.25">
      <c r="D13129" s="28"/>
      <c r="F13129" s="28"/>
      <c r="H13129" s="28"/>
    </row>
    <row r="13130" spans="4:8" x14ac:dyDescent="0.25">
      <c r="D13130" s="28"/>
      <c r="F13130" s="28"/>
      <c r="H13130" s="28"/>
    </row>
    <row r="13131" spans="4:8" x14ac:dyDescent="0.25">
      <c r="D13131" s="28"/>
      <c r="F13131" s="28"/>
      <c r="H13131" s="28"/>
    </row>
    <row r="13132" spans="4:8" x14ac:dyDescent="0.25">
      <c r="D13132" s="28"/>
      <c r="F13132" s="28"/>
      <c r="H13132" s="28"/>
    </row>
    <row r="13133" spans="4:8" x14ac:dyDescent="0.25">
      <c r="D13133" s="28"/>
      <c r="F13133" s="28"/>
      <c r="H13133" s="28"/>
    </row>
    <row r="13134" spans="4:8" x14ac:dyDescent="0.25">
      <c r="D13134" s="28"/>
      <c r="F13134" s="28"/>
      <c r="H13134" s="28"/>
    </row>
    <row r="13135" spans="4:8" x14ac:dyDescent="0.25">
      <c r="D13135" s="28"/>
      <c r="F13135" s="28"/>
      <c r="H13135" s="28"/>
    </row>
    <row r="13136" spans="4:8" x14ac:dyDescent="0.25">
      <c r="D13136" s="28"/>
      <c r="F13136" s="28"/>
      <c r="H13136" s="28"/>
    </row>
    <row r="13137" spans="4:8" x14ac:dyDescent="0.25">
      <c r="D13137" s="28"/>
      <c r="F13137" s="28"/>
      <c r="H13137" s="28"/>
    </row>
    <row r="13138" spans="4:8" x14ac:dyDescent="0.25">
      <c r="D13138" s="28"/>
      <c r="F13138" s="28"/>
      <c r="H13138" s="28"/>
    </row>
    <row r="13139" spans="4:8" x14ac:dyDescent="0.25">
      <c r="D13139" s="28"/>
      <c r="F13139" s="28"/>
      <c r="H13139" s="28"/>
    </row>
    <row r="13140" spans="4:8" x14ac:dyDescent="0.25">
      <c r="D13140" s="28"/>
      <c r="F13140" s="28"/>
      <c r="H13140" s="28"/>
    </row>
    <row r="13141" spans="4:8" x14ac:dyDescent="0.25">
      <c r="D13141" s="28"/>
      <c r="F13141" s="28"/>
      <c r="H13141" s="28"/>
    </row>
    <row r="13142" spans="4:8" x14ac:dyDescent="0.25">
      <c r="D13142" s="28"/>
      <c r="F13142" s="28"/>
      <c r="H13142" s="28"/>
    </row>
    <row r="13143" spans="4:8" x14ac:dyDescent="0.25">
      <c r="D13143" s="28"/>
      <c r="F13143" s="28"/>
      <c r="H13143" s="28"/>
    </row>
    <row r="13144" spans="4:8" x14ac:dyDescent="0.25">
      <c r="D13144" s="28"/>
      <c r="F13144" s="28"/>
      <c r="H13144" s="28"/>
    </row>
    <row r="13145" spans="4:8" x14ac:dyDescent="0.25">
      <c r="D13145" s="28"/>
      <c r="F13145" s="28"/>
      <c r="H13145" s="28"/>
    </row>
    <row r="13146" spans="4:8" x14ac:dyDescent="0.25">
      <c r="D13146" s="28"/>
      <c r="F13146" s="28"/>
      <c r="H13146" s="28"/>
    </row>
    <row r="13147" spans="4:8" x14ac:dyDescent="0.25">
      <c r="D13147" s="28"/>
      <c r="F13147" s="28"/>
      <c r="H13147" s="28"/>
    </row>
    <row r="13148" spans="4:8" x14ac:dyDescent="0.25">
      <c r="D13148" s="28"/>
      <c r="F13148" s="28"/>
      <c r="H13148" s="28"/>
    </row>
    <row r="13149" spans="4:8" x14ac:dyDescent="0.25">
      <c r="D13149" s="28"/>
      <c r="F13149" s="28"/>
      <c r="H13149" s="28"/>
    </row>
    <row r="13150" spans="4:8" x14ac:dyDescent="0.25">
      <c r="D13150" s="28"/>
      <c r="F13150" s="28"/>
      <c r="H13150" s="28"/>
    </row>
    <row r="13151" spans="4:8" x14ac:dyDescent="0.25">
      <c r="D13151" s="28"/>
      <c r="F13151" s="28"/>
      <c r="H13151" s="28"/>
    </row>
    <row r="13152" spans="4:8" x14ac:dyDescent="0.25">
      <c r="D13152" s="28"/>
      <c r="F13152" s="28"/>
      <c r="H13152" s="28"/>
    </row>
    <row r="13153" spans="4:8" x14ac:dyDescent="0.25">
      <c r="D13153" s="28"/>
      <c r="F13153" s="28"/>
      <c r="H13153" s="28"/>
    </row>
    <row r="13154" spans="4:8" x14ac:dyDescent="0.25">
      <c r="D13154" s="28"/>
      <c r="F13154" s="28"/>
      <c r="H13154" s="28"/>
    </row>
    <row r="13155" spans="4:8" x14ac:dyDescent="0.25">
      <c r="D13155" s="28"/>
      <c r="F13155" s="28"/>
      <c r="H13155" s="28"/>
    </row>
    <row r="13156" spans="4:8" x14ac:dyDescent="0.25">
      <c r="D13156" s="28"/>
      <c r="F13156" s="28"/>
      <c r="H13156" s="28"/>
    </row>
    <row r="13157" spans="4:8" x14ac:dyDescent="0.25">
      <c r="D13157" s="28"/>
      <c r="F13157" s="28"/>
      <c r="H13157" s="28"/>
    </row>
    <row r="13158" spans="4:8" x14ac:dyDescent="0.25">
      <c r="D13158" s="28"/>
      <c r="F13158" s="28"/>
      <c r="H13158" s="28"/>
    </row>
    <row r="13159" spans="4:8" x14ac:dyDescent="0.25">
      <c r="D13159" s="28"/>
      <c r="F13159" s="28"/>
      <c r="H13159" s="28"/>
    </row>
    <row r="13160" spans="4:8" x14ac:dyDescent="0.25">
      <c r="D13160" s="28"/>
      <c r="F13160" s="28"/>
      <c r="H13160" s="28"/>
    </row>
    <row r="13161" spans="4:8" x14ac:dyDescent="0.25">
      <c r="D13161" s="28"/>
      <c r="F13161" s="28"/>
      <c r="H13161" s="28"/>
    </row>
    <row r="13162" spans="4:8" x14ac:dyDescent="0.25">
      <c r="D13162" s="28"/>
      <c r="F13162" s="28"/>
      <c r="H13162" s="28"/>
    </row>
    <row r="13163" spans="4:8" x14ac:dyDescent="0.25">
      <c r="D13163" s="28"/>
      <c r="F13163" s="28"/>
      <c r="H13163" s="28"/>
    </row>
    <row r="13164" spans="4:8" x14ac:dyDescent="0.25">
      <c r="D13164" s="28"/>
      <c r="F13164" s="28"/>
      <c r="H13164" s="28"/>
    </row>
    <row r="13165" spans="4:8" x14ac:dyDescent="0.25">
      <c r="D13165" s="28"/>
      <c r="F13165" s="28"/>
      <c r="H13165" s="28"/>
    </row>
    <row r="13166" spans="4:8" x14ac:dyDescent="0.25">
      <c r="D13166" s="28"/>
      <c r="F13166" s="28"/>
      <c r="H13166" s="28"/>
    </row>
    <row r="13167" spans="4:8" x14ac:dyDescent="0.25">
      <c r="D13167" s="28"/>
      <c r="F13167" s="28"/>
      <c r="H13167" s="28"/>
    </row>
    <row r="13168" spans="4:8" x14ac:dyDescent="0.25">
      <c r="D13168" s="28"/>
      <c r="F13168" s="28"/>
      <c r="H13168" s="28"/>
    </row>
    <row r="13169" spans="4:8" x14ac:dyDescent="0.25">
      <c r="D13169" s="28"/>
      <c r="F13169" s="28"/>
      <c r="H13169" s="28"/>
    </row>
    <row r="13170" spans="4:8" x14ac:dyDescent="0.25">
      <c r="D13170" s="28"/>
      <c r="F13170" s="28"/>
      <c r="H13170" s="28"/>
    </row>
    <row r="13171" spans="4:8" x14ac:dyDescent="0.25">
      <c r="D13171" s="28"/>
      <c r="F13171" s="28"/>
      <c r="H13171" s="28"/>
    </row>
    <row r="13172" spans="4:8" x14ac:dyDescent="0.25">
      <c r="D13172" s="28"/>
      <c r="F13172" s="28"/>
      <c r="H13172" s="28"/>
    </row>
    <row r="13173" spans="4:8" x14ac:dyDescent="0.25">
      <c r="D13173" s="28"/>
      <c r="F13173" s="28"/>
      <c r="H13173" s="28"/>
    </row>
    <row r="13174" spans="4:8" x14ac:dyDescent="0.25">
      <c r="D13174" s="28"/>
      <c r="F13174" s="28"/>
      <c r="H13174" s="28"/>
    </row>
    <row r="13175" spans="4:8" x14ac:dyDescent="0.25">
      <c r="D13175" s="28"/>
      <c r="F13175" s="28"/>
      <c r="H13175" s="28"/>
    </row>
    <row r="13176" spans="4:8" x14ac:dyDescent="0.25">
      <c r="D13176" s="28"/>
      <c r="F13176" s="28"/>
      <c r="H13176" s="28"/>
    </row>
    <row r="13177" spans="4:8" x14ac:dyDescent="0.25">
      <c r="D13177" s="28"/>
      <c r="F13177" s="28"/>
      <c r="H13177" s="28"/>
    </row>
    <row r="13178" spans="4:8" x14ac:dyDescent="0.25">
      <c r="D13178" s="28"/>
      <c r="F13178" s="28"/>
      <c r="H13178" s="28"/>
    </row>
    <row r="13179" spans="4:8" x14ac:dyDescent="0.25">
      <c r="D13179" s="28"/>
      <c r="F13179" s="28"/>
      <c r="H13179" s="28"/>
    </row>
    <row r="13180" spans="4:8" x14ac:dyDescent="0.25">
      <c r="D13180" s="28"/>
      <c r="F13180" s="28"/>
      <c r="H13180" s="28"/>
    </row>
    <row r="13181" spans="4:8" x14ac:dyDescent="0.25">
      <c r="D13181" s="28"/>
      <c r="F13181" s="28"/>
      <c r="H13181" s="28"/>
    </row>
    <row r="13182" spans="4:8" x14ac:dyDescent="0.25">
      <c r="D13182" s="28"/>
      <c r="F13182" s="28"/>
      <c r="H13182" s="28"/>
    </row>
    <row r="13183" spans="4:8" x14ac:dyDescent="0.25">
      <c r="D13183" s="28"/>
      <c r="F13183" s="28"/>
      <c r="H13183" s="28"/>
    </row>
    <row r="13184" spans="4:8" x14ac:dyDescent="0.25">
      <c r="D13184" s="28"/>
      <c r="F13184" s="28"/>
      <c r="H13184" s="28"/>
    </row>
    <row r="13185" spans="4:8" x14ac:dyDescent="0.25">
      <c r="D13185" s="28"/>
      <c r="F13185" s="28"/>
      <c r="H13185" s="28"/>
    </row>
    <row r="13186" spans="4:8" x14ac:dyDescent="0.25">
      <c r="D13186" s="28"/>
      <c r="F13186" s="28"/>
      <c r="H13186" s="28"/>
    </row>
    <row r="13187" spans="4:8" x14ac:dyDescent="0.25">
      <c r="D13187" s="28"/>
      <c r="F13187" s="28"/>
      <c r="H13187" s="28"/>
    </row>
    <row r="13188" spans="4:8" x14ac:dyDescent="0.25">
      <c r="D13188" s="28"/>
      <c r="F13188" s="28"/>
      <c r="H13188" s="28"/>
    </row>
    <row r="13189" spans="4:8" x14ac:dyDescent="0.25">
      <c r="D13189" s="28"/>
      <c r="F13189" s="28"/>
      <c r="H13189" s="28"/>
    </row>
    <row r="13190" spans="4:8" x14ac:dyDescent="0.25">
      <c r="D13190" s="28"/>
      <c r="F13190" s="28"/>
      <c r="H13190" s="28"/>
    </row>
    <row r="13191" spans="4:8" x14ac:dyDescent="0.25">
      <c r="D13191" s="28"/>
      <c r="F13191" s="28"/>
      <c r="H13191" s="28"/>
    </row>
    <row r="13192" spans="4:8" x14ac:dyDescent="0.25">
      <c r="D13192" s="28"/>
      <c r="F13192" s="28"/>
      <c r="H13192" s="28"/>
    </row>
    <row r="13193" spans="4:8" x14ac:dyDescent="0.25">
      <c r="D13193" s="28"/>
      <c r="F13193" s="28"/>
      <c r="H13193" s="28"/>
    </row>
    <row r="13194" spans="4:8" x14ac:dyDescent="0.25">
      <c r="D13194" s="28"/>
      <c r="F13194" s="28"/>
      <c r="H13194" s="28"/>
    </row>
    <row r="13195" spans="4:8" x14ac:dyDescent="0.25">
      <c r="D13195" s="28"/>
      <c r="F13195" s="28"/>
      <c r="H13195" s="28"/>
    </row>
    <row r="13196" spans="4:8" x14ac:dyDescent="0.25">
      <c r="D13196" s="28"/>
      <c r="F13196" s="28"/>
      <c r="H13196" s="28"/>
    </row>
    <row r="13197" spans="4:8" x14ac:dyDescent="0.25">
      <c r="D13197" s="28"/>
      <c r="F13197" s="28"/>
      <c r="H13197" s="28"/>
    </row>
    <row r="13198" spans="4:8" x14ac:dyDescent="0.25">
      <c r="D13198" s="28"/>
      <c r="F13198" s="28"/>
      <c r="H13198" s="28"/>
    </row>
    <row r="13199" spans="4:8" x14ac:dyDescent="0.25">
      <c r="D13199" s="28"/>
      <c r="F13199" s="28"/>
      <c r="H13199" s="28"/>
    </row>
    <row r="13200" spans="4:8" x14ac:dyDescent="0.25">
      <c r="D13200" s="28"/>
      <c r="F13200" s="28"/>
      <c r="H13200" s="28"/>
    </row>
    <row r="13201" spans="4:8" x14ac:dyDescent="0.25">
      <c r="D13201" s="28"/>
      <c r="F13201" s="28"/>
      <c r="H13201" s="28"/>
    </row>
    <row r="13202" spans="4:8" x14ac:dyDescent="0.25">
      <c r="D13202" s="28"/>
      <c r="F13202" s="28"/>
      <c r="H13202" s="28"/>
    </row>
    <row r="13203" spans="4:8" x14ac:dyDescent="0.25">
      <c r="D13203" s="28"/>
      <c r="F13203" s="28"/>
      <c r="H13203" s="28"/>
    </row>
    <row r="13204" spans="4:8" x14ac:dyDescent="0.25">
      <c r="D13204" s="28"/>
      <c r="F13204" s="28"/>
      <c r="H13204" s="28"/>
    </row>
    <row r="13205" spans="4:8" x14ac:dyDescent="0.25">
      <c r="D13205" s="28"/>
      <c r="F13205" s="28"/>
      <c r="H13205" s="28"/>
    </row>
    <row r="13206" spans="4:8" x14ac:dyDescent="0.25">
      <c r="D13206" s="28"/>
      <c r="F13206" s="28"/>
      <c r="H13206" s="28"/>
    </row>
    <row r="13207" spans="4:8" x14ac:dyDescent="0.25">
      <c r="D13207" s="28"/>
      <c r="F13207" s="28"/>
      <c r="H13207" s="28"/>
    </row>
    <row r="13208" spans="4:8" x14ac:dyDescent="0.25">
      <c r="D13208" s="28"/>
      <c r="F13208" s="28"/>
      <c r="H13208" s="28"/>
    </row>
    <row r="13209" spans="4:8" x14ac:dyDescent="0.25">
      <c r="D13209" s="28"/>
      <c r="F13209" s="28"/>
      <c r="H13209" s="28"/>
    </row>
    <row r="13210" spans="4:8" x14ac:dyDescent="0.25">
      <c r="D13210" s="28"/>
      <c r="F13210" s="28"/>
      <c r="H13210" s="28"/>
    </row>
    <row r="13211" spans="4:8" x14ac:dyDescent="0.25">
      <c r="D13211" s="28"/>
      <c r="F13211" s="28"/>
      <c r="H13211" s="28"/>
    </row>
    <row r="13212" spans="4:8" x14ac:dyDescent="0.25">
      <c r="D13212" s="28"/>
      <c r="F13212" s="28"/>
      <c r="H13212" s="28"/>
    </row>
    <row r="13213" spans="4:8" x14ac:dyDescent="0.25">
      <c r="D13213" s="28"/>
      <c r="F13213" s="28"/>
      <c r="H13213" s="28"/>
    </row>
    <row r="13214" spans="4:8" x14ac:dyDescent="0.25">
      <c r="D13214" s="28"/>
      <c r="F13214" s="28"/>
      <c r="H13214" s="28"/>
    </row>
    <row r="13215" spans="4:8" x14ac:dyDescent="0.25">
      <c r="D13215" s="28"/>
      <c r="F13215" s="28"/>
      <c r="H13215" s="28"/>
    </row>
    <row r="13216" spans="4:8" x14ac:dyDescent="0.25">
      <c r="D13216" s="28"/>
      <c r="F13216" s="28"/>
      <c r="H13216" s="28"/>
    </row>
    <row r="13217" spans="4:8" x14ac:dyDescent="0.25">
      <c r="D13217" s="28"/>
      <c r="F13217" s="28"/>
      <c r="H13217" s="28"/>
    </row>
    <row r="13218" spans="4:8" x14ac:dyDescent="0.25">
      <c r="D13218" s="28"/>
      <c r="F13218" s="28"/>
      <c r="H13218" s="28"/>
    </row>
    <row r="13219" spans="4:8" x14ac:dyDescent="0.25">
      <c r="D13219" s="28"/>
      <c r="F13219" s="28"/>
      <c r="H13219" s="28"/>
    </row>
    <row r="13220" spans="4:8" x14ac:dyDescent="0.25">
      <c r="D13220" s="28"/>
      <c r="F13220" s="28"/>
      <c r="H13220" s="28"/>
    </row>
    <row r="13221" spans="4:8" x14ac:dyDescent="0.25">
      <c r="D13221" s="28"/>
      <c r="F13221" s="28"/>
      <c r="H13221" s="28"/>
    </row>
    <row r="13222" spans="4:8" x14ac:dyDescent="0.25">
      <c r="D13222" s="28"/>
      <c r="F13222" s="28"/>
      <c r="H13222" s="28"/>
    </row>
    <row r="13223" spans="4:8" x14ac:dyDescent="0.25">
      <c r="D13223" s="28"/>
      <c r="F13223" s="28"/>
      <c r="H13223" s="28"/>
    </row>
    <row r="13224" spans="4:8" x14ac:dyDescent="0.25">
      <c r="D13224" s="28"/>
      <c r="F13224" s="28"/>
      <c r="H13224" s="28"/>
    </row>
    <row r="13225" spans="4:8" x14ac:dyDescent="0.25">
      <c r="D13225" s="28"/>
      <c r="F13225" s="28"/>
      <c r="H13225" s="28"/>
    </row>
    <row r="13226" spans="4:8" x14ac:dyDescent="0.25">
      <c r="D13226" s="28"/>
      <c r="F13226" s="28"/>
      <c r="H13226" s="28"/>
    </row>
    <row r="13227" spans="4:8" x14ac:dyDescent="0.25">
      <c r="D13227" s="28"/>
      <c r="F13227" s="28"/>
      <c r="H13227" s="28"/>
    </row>
    <row r="13228" spans="4:8" x14ac:dyDescent="0.25">
      <c r="D13228" s="28"/>
      <c r="F13228" s="28"/>
      <c r="H13228" s="28"/>
    </row>
    <row r="13229" spans="4:8" x14ac:dyDescent="0.25">
      <c r="D13229" s="28"/>
      <c r="F13229" s="28"/>
      <c r="H13229" s="28"/>
    </row>
    <row r="13230" spans="4:8" x14ac:dyDescent="0.25">
      <c r="D13230" s="28"/>
      <c r="F13230" s="28"/>
      <c r="H13230" s="28"/>
    </row>
    <row r="13231" spans="4:8" x14ac:dyDescent="0.25">
      <c r="D13231" s="28"/>
      <c r="F13231" s="28"/>
      <c r="H13231" s="28"/>
    </row>
    <row r="13232" spans="4:8" x14ac:dyDescent="0.25">
      <c r="D13232" s="28"/>
      <c r="F13232" s="28"/>
      <c r="H13232" s="28"/>
    </row>
    <row r="13233" spans="4:8" x14ac:dyDescent="0.25">
      <c r="D13233" s="28"/>
      <c r="F13233" s="28"/>
      <c r="H13233" s="28"/>
    </row>
    <row r="13234" spans="4:8" x14ac:dyDescent="0.25">
      <c r="D13234" s="28"/>
      <c r="F13234" s="28"/>
      <c r="H13234" s="28"/>
    </row>
    <row r="13235" spans="4:8" x14ac:dyDescent="0.25">
      <c r="D13235" s="28"/>
      <c r="F13235" s="28"/>
      <c r="H13235" s="28"/>
    </row>
    <row r="13236" spans="4:8" x14ac:dyDescent="0.25">
      <c r="D13236" s="28"/>
      <c r="F13236" s="28"/>
      <c r="H13236" s="28"/>
    </row>
    <row r="13237" spans="4:8" x14ac:dyDescent="0.25">
      <c r="D13237" s="28"/>
      <c r="F13237" s="28"/>
      <c r="H13237" s="28"/>
    </row>
    <row r="13238" spans="4:8" x14ac:dyDescent="0.25">
      <c r="D13238" s="28"/>
      <c r="F13238" s="28"/>
      <c r="H13238" s="28"/>
    </row>
    <row r="13239" spans="4:8" x14ac:dyDescent="0.25">
      <c r="D13239" s="28"/>
      <c r="F13239" s="28"/>
      <c r="H13239" s="28"/>
    </row>
    <row r="13240" spans="4:8" x14ac:dyDescent="0.25">
      <c r="D13240" s="28"/>
      <c r="F13240" s="28"/>
      <c r="H13240" s="28"/>
    </row>
    <row r="13241" spans="4:8" x14ac:dyDescent="0.25">
      <c r="D13241" s="28"/>
      <c r="F13241" s="28"/>
      <c r="H13241" s="28"/>
    </row>
    <row r="13242" spans="4:8" x14ac:dyDescent="0.25">
      <c r="D13242" s="28"/>
      <c r="F13242" s="28"/>
      <c r="H13242" s="28"/>
    </row>
    <row r="13243" spans="4:8" x14ac:dyDescent="0.25">
      <c r="D13243" s="28"/>
      <c r="F13243" s="28"/>
      <c r="H13243" s="28"/>
    </row>
    <row r="13244" spans="4:8" x14ac:dyDescent="0.25">
      <c r="D13244" s="28"/>
      <c r="F13244" s="28"/>
      <c r="H13244" s="28"/>
    </row>
    <row r="13245" spans="4:8" x14ac:dyDescent="0.25">
      <c r="D13245" s="28"/>
      <c r="F13245" s="28"/>
      <c r="H13245" s="28"/>
    </row>
    <row r="13246" spans="4:8" x14ac:dyDescent="0.25">
      <c r="D13246" s="28"/>
      <c r="F13246" s="28"/>
      <c r="H13246" s="28"/>
    </row>
    <row r="13247" spans="4:8" x14ac:dyDescent="0.25">
      <c r="D13247" s="28"/>
      <c r="F13247" s="28"/>
      <c r="H13247" s="28"/>
    </row>
    <row r="13248" spans="4:8" x14ac:dyDescent="0.25">
      <c r="D13248" s="28"/>
      <c r="F13248" s="28"/>
      <c r="H13248" s="28"/>
    </row>
    <row r="13249" spans="4:8" x14ac:dyDescent="0.25">
      <c r="D13249" s="28"/>
      <c r="F13249" s="28"/>
      <c r="H13249" s="28"/>
    </row>
    <row r="13250" spans="4:8" x14ac:dyDescent="0.25">
      <c r="D13250" s="28"/>
      <c r="F13250" s="28"/>
      <c r="H13250" s="28"/>
    </row>
    <row r="13251" spans="4:8" x14ac:dyDescent="0.25">
      <c r="D13251" s="28"/>
      <c r="F13251" s="28"/>
      <c r="H13251" s="28"/>
    </row>
    <row r="13252" spans="4:8" x14ac:dyDescent="0.25">
      <c r="D13252" s="28"/>
      <c r="F13252" s="28"/>
      <c r="H13252" s="28"/>
    </row>
    <row r="13253" spans="4:8" x14ac:dyDescent="0.25">
      <c r="D13253" s="28"/>
      <c r="F13253" s="28"/>
      <c r="H13253" s="28"/>
    </row>
    <row r="13254" spans="4:8" x14ac:dyDescent="0.25">
      <c r="D13254" s="28"/>
      <c r="F13254" s="28"/>
      <c r="H13254" s="28"/>
    </row>
    <row r="13255" spans="4:8" x14ac:dyDescent="0.25">
      <c r="D13255" s="28"/>
      <c r="F13255" s="28"/>
      <c r="H13255" s="28"/>
    </row>
    <row r="13256" spans="4:8" x14ac:dyDescent="0.25">
      <c r="D13256" s="28"/>
      <c r="F13256" s="28"/>
      <c r="H13256" s="28"/>
    </row>
    <row r="13257" spans="4:8" x14ac:dyDescent="0.25">
      <c r="D13257" s="28"/>
      <c r="F13257" s="28"/>
      <c r="H13257" s="28"/>
    </row>
    <row r="13258" spans="4:8" x14ac:dyDescent="0.25">
      <c r="D13258" s="28"/>
      <c r="F13258" s="28"/>
      <c r="H13258" s="28"/>
    </row>
    <row r="13259" spans="4:8" x14ac:dyDescent="0.25">
      <c r="D13259" s="28"/>
      <c r="F13259" s="28"/>
      <c r="H13259" s="28"/>
    </row>
    <row r="13260" spans="4:8" x14ac:dyDescent="0.25">
      <c r="D13260" s="28"/>
      <c r="F13260" s="28"/>
      <c r="H13260" s="28"/>
    </row>
    <row r="13261" spans="4:8" x14ac:dyDescent="0.25">
      <c r="D13261" s="28"/>
      <c r="F13261" s="28"/>
      <c r="H13261" s="28"/>
    </row>
    <row r="13262" spans="4:8" x14ac:dyDescent="0.25">
      <c r="D13262" s="28"/>
      <c r="F13262" s="28"/>
      <c r="H13262" s="28"/>
    </row>
    <row r="13263" spans="4:8" x14ac:dyDescent="0.25">
      <c r="D13263" s="28"/>
      <c r="F13263" s="28"/>
      <c r="H13263" s="28"/>
    </row>
    <row r="13264" spans="4:8" x14ac:dyDescent="0.25">
      <c r="D13264" s="28"/>
      <c r="F13264" s="28"/>
      <c r="H13264" s="28"/>
    </row>
    <row r="13265" spans="4:8" x14ac:dyDescent="0.25">
      <c r="D13265" s="28"/>
      <c r="F13265" s="28"/>
      <c r="H13265" s="28"/>
    </row>
    <row r="13266" spans="4:8" x14ac:dyDescent="0.25">
      <c r="D13266" s="28"/>
      <c r="F13266" s="28"/>
      <c r="H13266" s="28"/>
    </row>
    <row r="13267" spans="4:8" x14ac:dyDescent="0.25">
      <c r="D13267" s="28"/>
      <c r="F13267" s="28"/>
      <c r="H13267" s="28"/>
    </row>
    <row r="13268" spans="4:8" x14ac:dyDescent="0.25">
      <c r="D13268" s="28"/>
      <c r="F13268" s="28"/>
      <c r="H13268" s="28"/>
    </row>
    <row r="13269" spans="4:8" x14ac:dyDescent="0.25">
      <c r="D13269" s="28"/>
      <c r="F13269" s="28"/>
      <c r="H13269" s="28"/>
    </row>
    <row r="13270" spans="4:8" x14ac:dyDescent="0.25">
      <c r="D13270" s="28"/>
      <c r="F13270" s="28"/>
      <c r="H13270" s="28"/>
    </row>
    <row r="13271" spans="4:8" x14ac:dyDescent="0.25">
      <c r="D13271" s="28"/>
      <c r="F13271" s="28"/>
      <c r="H13271" s="28"/>
    </row>
    <row r="13272" spans="4:8" x14ac:dyDescent="0.25">
      <c r="D13272" s="28"/>
      <c r="F13272" s="28"/>
      <c r="H13272" s="28"/>
    </row>
    <row r="13273" spans="4:8" x14ac:dyDescent="0.25">
      <c r="D13273" s="28"/>
      <c r="F13273" s="28"/>
      <c r="H13273" s="28"/>
    </row>
    <row r="13274" spans="4:8" x14ac:dyDescent="0.25">
      <c r="D13274" s="28"/>
      <c r="F13274" s="28"/>
      <c r="H13274" s="28"/>
    </row>
    <row r="13275" spans="4:8" x14ac:dyDescent="0.25">
      <c r="D13275" s="28"/>
      <c r="F13275" s="28"/>
      <c r="H13275" s="28"/>
    </row>
    <row r="13276" spans="4:8" x14ac:dyDescent="0.25">
      <c r="D13276" s="28"/>
      <c r="F13276" s="28"/>
      <c r="H13276" s="28"/>
    </row>
    <row r="13277" spans="4:8" x14ac:dyDescent="0.25">
      <c r="D13277" s="28"/>
      <c r="F13277" s="28"/>
      <c r="H13277" s="28"/>
    </row>
    <row r="13278" spans="4:8" x14ac:dyDescent="0.25">
      <c r="D13278" s="28"/>
      <c r="F13278" s="28"/>
      <c r="H13278" s="28"/>
    </row>
    <row r="13279" spans="4:8" x14ac:dyDescent="0.25">
      <c r="D13279" s="28"/>
      <c r="F13279" s="28"/>
      <c r="H13279" s="28"/>
    </row>
    <row r="13280" spans="4:8" x14ac:dyDescent="0.25">
      <c r="D13280" s="28"/>
      <c r="F13280" s="28"/>
      <c r="H13280" s="28"/>
    </row>
    <row r="13281" spans="4:8" x14ac:dyDescent="0.25">
      <c r="D13281" s="28"/>
      <c r="F13281" s="28"/>
      <c r="H13281" s="28"/>
    </row>
    <row r="13282" spans="4:8" x14ac:dyDescent="0.25">
      <c r="D13282" s="28"/>
      <c r="F13282" s="28"/>
      <c r="H13282" s="28"/>
    </row>
    <row r="13283" spans="4:8" x14ac:dyDescent="0.25">
      <c r="D13283" s="28"/>
      <c r="F13283" s="28"/>
      <c r="H13283" s="28"/>
    </row>
    <row r="13284" spans="4:8" x14ac:dyDescent="0.25">
      <c r="D13284" s="28"/>
      <c r="F13284" s="28"/>
      <c r="H13284" s="28"/>
    </row>
    <row r="13285" spans="4:8" x14ac:dyDescent="0.25">
      <c r="D13285" s="28"/>
      <c r="F13285" s="28"/>
      <c r="H13285" s="28"/>
    </row>
    <row r="13286" spans="4:8" x14ac:dyDescent="0.25">
      <c r="D13286" s="28"/>
      <c r="F13286" s="28"/>
      <c r="H13286" s="28"/>
    </row>
    <row r="13287" spans="4:8" x14ac:dyDescent="0.25">
      <c r="D13287" s="28"/>
      <c r="F13287" s="28"/>
      <c r="H13287" s="28"/>
    </row>
    <row r="13288" spans="4:8" x14ac:dyDescent="0.25">
      <c r="D13288" s="28"/>
      <c r="F13288" s="28"/>
      <c r="H13288" s="28"/>
    </row>
    <row r="13289" spans="4:8" x14ac:dyDescent="0.25">
      <c r="D13289" s="28"/>
      <c r="F13289" s="28"/>
      <c r="H13289" s="28"/>
    </row>
    <row r="13290" spans="4:8" x14ac:dyDescent="0.25">
      <c r="D13290" s="28"/>
      <c r="F13290" s="28"/>
      <c r="H13290" s="28"/>
    </row>
    <row r="13291" spans="4:8" x14ac:dyDescent="0.25">
      <c r="D13291" s="28"/>
      <c r="F13291" s="28"/>
      <c r="H13291" s="28"/>
    </row>
    <row r="13292" spans="4:8" x14ac:dyDescent="0.25">
      <c r="D13292" s="28"/>
      <c r="F13292" s="28"/>
      <c r="H13292" s="28"/>
    </row>
    <row r="13293" spans="4:8" x14ac:dyDescent="0.25">
      <c r="D13293" s="28"/>
      <c r="F13293" s="28"/>
      <c r="H13293" s="28"/>
    </row>
    <row r="13294" spans="4:8" x14ac:dyDescent="0.25">
      <c r="D13294" s="28"/>
      <c r="F13294" s="28"/>
      <c r="H13294" s="28"/>
    </row>
    <row r="13295" spans="4:8" x14ac:dyDescent="0.25">
      <c r="D13295" s="28"/>
      <c r="F13295" s="28"/>
      <c r="H13295" s="28"/>
    </row>
    <row r="13296" spans="4:8" x14ac:dyDescent="0.25">
      <c r="D13296" s="28"/>
      <c r="F13296" s="28"/>
      <c r="H13296" s="28"/>
    </row>
    <row r="13297" spans="4:8" x14ac:dyDescent="0.25">
      <c r="D13297" s="28"/>
      <c r="F13297" s="28"/>
      <c r="H13297" s="28"/>
    </row>
    <row r="13298" spans="4:8" x14ac:dyDescent="0.25">
      <c r="D13298" s="28"/>
      <c r="F13298" s="28"/>
      <c r="H13298" s="28"/>
    </row>
    <row r="13299" spans="4:8" x14ac:dyDescent="0.25">
      <c r="D13299" s="28"/>
      <c r="F13299" s="28"/>
      <c r="H13299" s="28"/>
    </row>
    <row r="13300" spans="4:8" x14ac:dyDescent="0.25">
      <c r="D13300" s="28"/>
      <c r="F13300" s="28"/>
      <c r="H13300" s="28"/>
    </row>
    <row r="13301" spans="4:8" x14ac:dyDescent="0.25">
      <c r="D13301" s="28"/>
      <c r="F13301" s="28"/>
      <c r="H13301" s="28"/>
    </row>
    <row r="13302" spans="4:8" x14ac:dyDescent="0.25">
      <c r="D13302" s="28"/>
      <c r="F13302" s="28"/>
      <c r="H13302" s="28"/>
    </row>
    <row r="13303" spans="4:8" x14ac:dyDescent="0.25">
      <c r="D13303" s="28"/>
      <c r="F13303" s="28"/>
      <c r="H13303" s="28"/>
    </row>
    <row r="13304" spans="4:8" x14ac:dyDescent="0.25">
      <c r="D13304" s="28"/>
      <c r="F13304" s="28"/>
      <c r="H13304" s="28"/>
    </row>
    <row r="13305" spans="4:8" x14ac:dyDescent="0.25">
      <c r="D13305" s="28"/>
      <c r="F13305" s="28"/>
      <c r="H13305" s="28"/>
    </row>
    <row r="13306" spans="4:8" x14ac:dyDescent="0.25">
      <c r="D13306" s="28"/>
      <c r="F13306" s="28"/>
      <c r="H13306" s="28"/>
    </row>
    <row r="13307" spans="4:8" x14ac:dyDescent="0.25">
      <c r="D13307" s="28"/>
      <c r="F13307" s="28"/>
      <c r="H13307" s="28"/>
    </row>
    <row r="13308" spans="4:8" x14ac:dyDescent="0.25">
      <c r="D13308" s="28"/>
      <c r="F13308" s="28"/>
      <c r="H13308" s="28"/>
    </row>
    <row r="13309" spans="4:8" x14ac:dyDescent="0.25">
      <c r="D13309" s="28"/>
      <c r="F13309" s="28"/>
      <c r="H13309" s="28"/>
    </row>
    <row r="13310" spans="4:8" x14ac:dyDescent="0.25">
      <c r="D13310" s="28"/>
      <c r="F13310" s="28"/>
      <c r="H13310" s="28"/>
    </row>
    <row r="13311" spans="4:8" x14ac:dyDescent="0.25">
      <c r="D13311" s="28"/>
      <c r="F13311" s="28"/>
      <c r="H13311" s="28"/>
    </row>
    <row r="13312" spans="4:8" x14ac:dyDescent="0.25">
      <c r="D13312" s="28"/>
      <c r="F13312" s="28"/>
      <c r="H13312" s="28"/>
    </row>
    <row r="13313" spans="4:8" x14ac:dyDescent="0.25">
      <c r="D13313" s="28"/>
      <c r="F13313" s="28"/>
      <c r="H13313" s="28"/>
    </row>
    <row r="13314" spans="4:8" x14ac:dyDescent="0.25">
      <c r="D13314" s="28"/>
      <c r="F13314" s="28"/>
      <c r="H13314" s="28"/>
    </row>
    <row r="13315" spans="4:8" x14ac:dyDescent="0.25">
      <c r="D13315" s="28"/>
      <c r="F13315" s="28"/>
      <c r="H13315" s="28"/>
    </row>
    <row r="13316" spans="4:8" x14ac:dyDescent="0.25">
      <c r="D13316" s="28"/>
      <c r="F13316" s="28"/>
      <c r="H13316" s="28"/>
    </row>
    <row r="13317" spans="4:8" x14ac:dyDescent="0.25">
      <c r="D13317" s="28"/>
      <c r="F13317" s="28"/>
      <c r="H13317" s="28"/>
    </row>
    <row r="13318" spans="4:8" x14ac:dyDescent="0.25">
      <c r="D13318" s="28"/>
      <c r="F13318" s="28"/>
      <c r="H13318" s="28"/>
    </row>
    <row r="13319" spans="4:8" x14ac:dyDescent="0.25">
      <c r="D13319" s="28"/>
      <c r="F13319" s="28"/>
      <c r="H13319" s="28"/>
    </row>
    <row r="13320" spans="4:8" x14ac:dyDescent="0.25">
      <c r="D13320" s="28"/>
      <c r="F13320" s="28"/>
      <c r="H13320" s="28"/>
    </row>
    <row r="13321" spans="4:8" x14ac:dyDescent="0.25">
      <c r="D13321" s="28"/>
      <c r="F13321" s="28"/>
      <c r="H13321" s="28"/>
    </row>
    <row r="13322" spans="4:8" x14ac:dyDescent="0.25">
      <c r="D13322" s="28"/>
      <c r="F13322" s="28"/>
      <c r="H13322" s="28"/>
    </row>
    <row r="13323" spans="4:8" x14ac:dyDescent="0.25">
      <c r="D13323" s="28"/>
      <c r="F13323" s="28"/>
      <c r="H13323" s="28"/>
    </row>
    <row r="13324" spans="4:8" x14ac:dyDescent="0.25">
      <c r="D13324" s="28"/>
      <c r="F13324" s="28"/>
      <c r="H13324" s="28"/>
    </row>
    <row r="13325" spans="4:8" x14ac:dyDescent="0.25">
      <c r="D13325" s="28"/>
      <c r="F13325" s="28"/>
      <c r="H13325" s="28"/>
    </row>
    <row r="13326" spans="4:8" x14ac:dyDescent="0.25">
      <c r="D13326" s="28"/>
      <c r="F13326" s="28"/>
      <c r="H13326" s="28"/>
    </row>
    <row r="13327" spans="4:8" x14ac:dyDescent="0.25">
      <c r="D13327" s="28"/>
      <c r="F13327" s="28"/>
      <c r="H13327" s="28"/>
    </row>
    <row r="13328" spans="4:8" x14ac:dyDescent="0.25">
      <c r="D13328" s="28"/>
      <c r="F13328" s="28"/>
      <c r="H13328" s="28"/>
    </row>
    <row r="13329" spans="4:8" x14ac:dyDescent="0.25">
      <c r="D13329" s="28"/>
      <c r="F13329" s="28"/>
      <c r="H13329" s="28"/>
    </row>
    <row r="13330" spans="4:8" x14ac:dyDescent="0.25">
      <c r="D13330" s="28"/>
      <c r="F13330" s="28"/>
      <c r="H13330" s="28"/>
    </row>
    <row r="13331" spans="4:8" x14ac:dyDescent="0.25">
      <c r="D13331" s="28"/>
      <c r="F13331" s="28"/>
      <c r="H13331" s="28"/>
    </row>
    <row r="13332" spans="4:8" x14ac:dyDescent="0.25">
      <c r="D13332" s="28"/>
      <c r="F13332" s="28"/>
      <c r="H13332" s="28"/>
    </row>
    <row r="13333" spans="4:8" x14ac:dyDescent="0.25">
      <c r="D13333" s="28"/>
      <c r="F13333" s="28"/>
      <c r="H13333" s="28"/>
    </row>
    <row r="13334" spans="4:8" x14ac:dyDescent="0.25">
      <c r="D13334" s="28"/>
      <c r="F13334" s="28"/>
      <c r="H13334" s="28"/>
    </row>
    <row r="13335" spans="4:8" x14ac:dyDescent="0.25">
      <c r="D13335" s="28"/>
      <c r="F13335" s="28"/>
      <c r="H13335" s="28"/>
    </row>
    <row r="13336" spans="4:8" x14ac:dyDescent="0.25">
      <c r="D13336" s="28"/>
      <c r="F13336" s="28"/>
      <c r="H13336" s="28"/>
    </row>
    <row r="13337" spans="4:8" x14ac:dyDescent="0.25">
      <c r="D13337" s="28"/>
      <c r="F13337" s="28"/>
      <c r="H13337" s="28"/>
    </row>
    <row r="13338" spans="4:8" x14ac:dyDescent="0.25">
      <c r="D13338" s="28"/>
      <c r="F13338" s="28"/>
      <c r="H13338" s="28"/>
    </row>
    <row r="13339" spans="4:8" x14ac:dyDescent="0.25">
      <c r="D13339" s="28"/>
      <c r="F13339" s="28"/>
      <c r="H13339" s="28"/>
    </row>
    <row r="13340" spans="4:8" x14ac:dyDescent="0.25">
      <c r="D13340" s="28"/>
      <c r="F13340" s="28"/>
      <c r="H13340" s="28"/>
    </row>
    <row r="13341" spans="4:8" x14ac:dyDescent="0.25">
      <c r="D13341" s="28"/>
      <c r="F13341" s="28"/>
      <c r="H13341" s="28"/>
    </row>
    <row r="13342" spans="4:8" x14ac:dyDescent="0.25">
      <c r="D13342" s="28"/>
      <c r="F13342" s="28"/>
      <c r="H13342" s="28"/>
    </row>
    <row r="13343" spans="4:8" x14ac:dyDescent="0.25">
      <c r="D13343" s="28"/>
      <c r="F13343" s="28"/>
      <c r="H13343" s="28"/>
    </row>
    <row r="13344" spans="4:8" x14ac:dyDescent="0.25">
      <c r="D13344" s="28"/>
      <c r="F13344" s="28"/>
      <c r="H13344" s="28"/>
    </row>
    <row r="13345" spans="4:8" x14ac:dyDescent="0.25">
      <c r="D13345" s="28"/>
      <c r="F13345" s="28"/>
      <c r="H13345" s="28"/>
    </row>
    <row r="13346" spans="4:8" x14ac:dyDescent="0.25">
      <c r="D13346" s="28"/>
      <c r="F13346" s="28"/>
      <c r="H13346" s="28"/>
    </row>
    <row r="13347" spans="4:8" x14ac:dyDescent="0.25">
      <c r="D13347" s="28"/>
      <c r="F13347" s="28"/>
      <c r="H13347" s="28"/>
    </row>
    <row r="13348" spans="4:8" x14ac:dyDescent="0.25">
      <c r="D13348" s="28"/>
      <c r="F13348" s="28"/>
      <c r="H13348" s="28"/>
    </row>
    <row r="13349" spans="4:8" x14ac:dyDescent="0.25">
      <c r="D13349" s="28"/>
      <c r="F13349" s="28"/>
      <c r="H13349" s="28"/>
    </row>
    <row r="13350" spans="4:8" x14ac:dyDescent="0.25">
      <c r="D13350" s="28"/>
      <c r="F13350" s="28"/>
      <c r="H13350" s="28"/>
    </row>
    <row r="13351" spans="4:8" x14ac:dyDescent="0.25">
      <c r="D13351" s="28"/>
      <c r="F13351" s="28"/>
      <c r="H13351" s="28"/>
    </row>
    <row r="13352" spans="4:8" x14ac:dyDescent="0.25">
      <c r="D13352" s="28"/>
      <c r="F13352" s="28"/>
      <c r="H13352" s="28"/>
    </row>
    <row r="13353" spans="4:8" x14ac:dyDescent="0.25">
      <c r="D13353" s="28"/>
      <c r="F13353" s="28"/>
      <c r="H13353" s="28"/>
    </row>
    <row r="13354" spans="4:8" x14ac:dyDescent="0.25">
      <c r="D13354" s="28"/>
      <c r="F13354" s="28"/>
      <c r="H13354" s="28"/>
    </row>
    <row r="13355" spans="4:8" x14ac:dyDescent="0.25">
      <c r="D13355" s="28"/>
      <c r="F13355" s="28"/>
      <c r="H13355" s="28"/>
    </row>
    <row r="13356" spans="4:8" x14ac:dyDescent="0.25">
      <c r="D13356" s="28"/>
      <c r="F13356" s="28"/>
      <c r="H13356" s="28"/>
    </row>
    <row r="13357" spans="4:8" x14ac:dyDescent="0.25">
      <c r="D13357" s="28"/>
      <c r="F13357" s="28"/>
      <c r="H13357" s="28"/>
    </row>
    <row r="13358" spans="4:8" x14ac:dyDescent="0.25">
      <c r="D13358" s="28"/>
      <c r="F13358" s="28"/>
      <c r="H13358" s="28"/>
    </row>
    <row r="13359" spans="4:8" x14ac:dyDescent="0.25">
      <c r="D13359" s="28"/>
      <c r="F13359" s="28"/>
      <c r="H13359" s="28"/>
    </row>
    <row r="13360" spans="4:8" x14ac:dyDescent="0.25">
      <c r="D13360" s="28"/>
      <c r="F13360" s="28"/>
      <c r="H13360" s="28"/>
    </row>
    <row r="13361" spans="4:8" x14ac:dyDescent="0.25">
      <c r="D13361" s="28"/>
      <c r="F13361" s="28"/>
      <c r="H13361" s="28"/>
    </row>
    <row r="13362" spans="4:8" x14ac:dyDescent="0.25">
      <c r="D13362" s="28"/>
      <c r="F13362" s="28"/>
      <c r="H13362" s="28"/>
    </row>
    <row r="13363" spans="4:8" x14ac:dyDescent="0.25">
      <c r="D13363" s="28"/>
      <c r="F13363" s="28"/>
      <c r="H13363" s="28"/>
    </row>
    <row r="13364" spans="4:8" x14ac:dyDescent="0.25">
      <c r="D13364" s="28"/>
      <c r="F13364" s="28"/>
      <c r="H13364" s="28"/>
    </row>
    <row r="13365" spans="4:8" x14ac:dyDescent="0.25">
      <c r="D13365" s="28"/>
      <c r="F13365" s="28"/>
      <c r="H13365" s="28"/>
    </row>
    <row r="13366" spans="4:8" x14ac:dyDescent="0.25">
      <c r="D13366" s="28"/>
      <c r="F13366" s="28"/>
      <c r="H13366" s="28"/>
    </row>
    <row r="13367" spans="4:8" x14ac:dyDescent="0.25">
      <c r="D13367" s="28"/>
      <c r="F13367" s="28"/>
      <c r="H13367" s="28"/>
    </row>
    <row r="13368" spans="4:8" x14ac:dyDescent="0.25">
      <c r="D13368" s="28"/>
      <c r="F13368" s="28"/>
      <c r="H13368" s="28"/>
    </row>
    <row r="13369" spans="4:8" x14ac:dyDescent="0.25">
      <c r="D13369" s="28"/>
      <c r="F13369" s="28"/>
      <c r="H13369" s="28"/>
    </row>
    <row r="13370" spans="4:8" x14ac:dyDescent="0.25">
      <c r="D13370" s="28"/>
      <c r="F13370" s="28"/>
      <c r="H13370" s="28"/>
    </row>
    <row r="13371" spans="4:8" x14ac:dyDescent="0.25">
      <c r="D13371" s="28"/>
      <c r="F13371" s="28"/>
      <c r="H13371" s="28"/>
    </row>
    <row r="13372" spans="4:8" x14ac:dyDescent="0.25">
      <c r="D13372" s="28"/>
      <c r="F13372" s="28"/>
      <c r="H13372" s="28"/>
    </row>
    <row r="13373" spans="4:8" x14ac:dyDescent="0.25">
      <c r="D13373" s="28"/>
      <c r="F13373" s="28"/>
      <c r="H13373" s="28"/>
    </row>
    <row r="13374" spans="4:8" x14ac:dyDescent="0.25">
      <c r="D13374" s="28"/>
      <c r="F13374" s="28"/>
      <c r="H13374" s="28"/>
    </row>
    <row r="13375" spans="4:8" x14ac:dyDescent="0.25">
      <c r="D13375" s="28"/>
      <c r="F13375" s="28"/>
      <c r="H13375" s="28"/>
    </row>
    <row r="13376" spans="4:8" x14ac:dyDescent="0.25">
      <c r="D13376" s="28"/>
      <c r="F13376" s="28"/>
      <c r="H13376" s="28"/>
    </row>
    <row r="13377" spans="4:8" x14ac:dyDescent="0.25">
      <c r="D13377" s="28"/>
      <c r="F13377" s="28"/>
      <c r="H13377" s="28"/>
    </row>
    <row r="13378" spans="4:8" x14ac:dyDescent="0.25">
      <c r="D13378" s="28"/>
      <c r="F13378" s="28"/>
      <c r="H13378" s="28"/>
    </row>
    <row r="13379" spans="4:8" x14ac:dyDescent="0.25">
      <c r="D13379" s="28"/>
      <c r="F13379" s="28"/>
      <c r="H13379" s="28"/>
    </row>
    <row r="13380" spans="4:8" x14ac:dyDescent="0.25">
      <c r="D13380" s="28"/>
      <c r="F13380" s="28"/>
      <c r="H13380" s="28"/>
    </row>
    <row r="13381" spans="4:8" x14ac:dyDescent="0.25">
      <c r="D13381" s="28"/>
      <c r="F13381" s="28"/>
      <c r="H13381" s="28"/>
    </row>
    <row r="13382" spans="4:8" x14ac:dyDescent="0.25">
      <c r="D13382" s="28"/>
      <c r="F13382" s="28"/>
      <c r="H13382" s="28"/>
    </row>
    <row r="13383" spans="4:8" x14ac:dyDescent="0.25">
      <c r="D13383" s="28"/>
      <c r="F13383" s="28"/>
      <c r="H13383" s="28"/>
    </row>
    <row r="13384" spans="4:8" x14ac:dyDescent="0.25">
      <c r="D13384" s="28"/>
      <c r="F13384" s="28"/>
      <c r="H13384" s="28"/>
    </row>
    <row r="13385" spans="4:8" x14ac:dyDescent="0.25">
      <c r="D13385" s="28"/>
      <c r="F13385" s="28"/>
      <c r="H13385" s="28"/>
    </row>
    <row r="13386" spans="4:8" x14ac:dyDescent="0.25">
      <c r="D13386" s="28"/>
      <c r="F13386" s="28"/>
      <c r="H13386" s="28"/>
    </row>
    <row r="13387" spans="4:8" x14ac:dyDescent="0.25">
      <c r="D13387" s="28"/>
      <c r="F13387" s="28"/>
      <c r="H13387" s="28"/>
    </row>
    <row r="13388" spans="4:8" x14ac:dyDescent="0.25">
      <c r="D13388" s="28"/>
      <c r="F13388" s="28"/>
      <c r="H13388" s="28"/>
    </row>
    <row r="13389" spans="4:8" x14ac:dyDescent="0.25">
      <c r="D13389" s="28"/>
      <c r="F13389" s="28"/>
      <c r="H13389" s="28"/>
    </row>
    <row r="13390" spans="4:8" x14ac:dyDescent="0.25">
      <c r="D13390" s="28"/>
      <c r="F13390" s="28"/>
      <c r="H13390" s="28"/>
    </row>
    <row r="13391" spans="4:8" x14ac:dyDescent="0.25">
      <c r="D13391" s="28"/>
      <c r="F13391" s="28"/>
      <c r="H13391" s="28"/>
    </row>
    <row r="13392" spans="4:8" x14ac:dyDescent="0.25">
      <c r="D13392" s="28"/>
      <c r="F13392" s="28"/>
      <c r="H13392" s="28"/>
    </row>
    <row r="13393" spans="4:8" x14ac:dyDescent="0.25">
      <c r="D13393" s="28"/>
      <c r="F13393" s="28"/>
      <c r="H13393" s="28"/>
    </row>
    <row r="13394" spans="4:8" x14ac:dyDescent="0.25">
      <c r="D13394" s="28"/>
      <c r="F13394" s="28"/>
      <c r="H13394" s="28"/>
    </row>
    <row r="13395" spans="4:8" x14ac:dyDescent="0.25">
      <c r="D13395" s="28"/>
      <c r="F13395" s="28"/>
      <c r="H13395" s="28"/>
    </row>
    <row r="13396" spans="4:8" x14ac:dyDescent="0.25">
      <c r="D13396" s="28"/>
      <c r="F13396" s="28"/>
      <c r="H13396" s="28"/>
    </row>
    <row r="13397" spans="4:8" x14ac:dyDescent="0.25">
      <c r="D13397" s="28"/>
      <c r="F13397" s="28"/>
      <c r="H13397" s="28"/>
    </row>
    <row r="13398" spans="4:8" x14ac:dyDescent="0.25">
      <c r="D13398" s="28"/>
      <c r="F13398" s="28"/>
      <c r="H13398" s="28"/>
    </row>
    <row r="13399" spans="4:8" x14ac:dyDescent="0.25">
      <c r="D13399" s="28"/>
      <c r="F13399" s="28"/>
      <c r="H13399" s="28"/>
    </row>
    <row r="13400" spans="4:8" x14ac:dyDescent="0.25">
      <c r="D13400" s="28"/>
      <c r="F13400" s="28"/>
      <c r="H13400" s="28"/>
    </row>
    <row r="13401" spans="4:8" x14ac:dyDescent="0.25">
      <c r="D13401" s="28"/>
      <c r="F13401" s="28"/>
      <c r="H13401" s="28"/>
    </row>
    <row r="13402" spans="4:8" x14ac:dyDescent="0.25">
      <c r="D13402" s="28"/>
      <c r="F13402" s="28"/>
      <c r="H13402" s="28"/>
    </row>
    <row r="13403" spans="4:8" x14ac:dyDescent="0.25">
      <c r="D13403" s="28"/>
      <c r="F13403" s="28"/>
      <c r="H13403" s="28"/>
    </row>
    <row r="13404" spans="4:8" x14ac:dyDescent="0.25">
      <c r="D13404" s="28"/>
      <c r="F13404" s="28"/>
      <c r="H13404" s="28"/>
    </row>
    <row r="13405" spans="4:8" x14ac:dyDescent="0.25">
      <c r="D13405" s="28"/>
      <c r="F13405" s="28"/>
      <c r="H13405" s="28"/>
    </row>
    <row r="13406" spans="4:8" x14ac:dyDescent="0.25">
      <c r="D13406" s="28"/>
      <c r="F13406" s="28"/>
      <c r="H13406" s="28"/>
    </row>
    <row r="13407" spans="4:8" x14ac:dyDescent="0.25">
      <c r="D13407" s="28"/>
      <c r="F13407" s="28"/>
      <c r="H13407" s="28"/>
    </row>
    <row r="13408" spans="4:8" x14ac:dyDescent="0.25">
      <c r="D13408" s="28"/>
      <c r="F13408" s="28"/>
      <c r="H13408" s="28"/>
    </row>
    <row r="13409" spans="4:8" x14ac:dyDescent="0.25">
      <c r="D13409" s="28"/>
      <c r="F13409" s="28"/>
      <c r="H13409" s="28"/>
    </row>
    <row r="13410" spans="4:8" x14ac:dyDescent="0.25">
      <c r="D13410" s="28"/>
      <c r="F13410" s="28"/>
      <c r="H13410" s="28"/>
    </row>
    <row r="13411" spans="4:8" x14ac:dyDescent="0.25">
      <c r="D13411" s="28"/>
      <c r="F13411" s="28"/>
      <c r="H13411" s="28"/>
    </row>
    <row r="13412" spans="4:8" x14ac:dyDescent="0.25">
      <c r="D13412" s="28"/>
      <c r="F13412" s="28"/>
      <c r="H13412" s="28"/>
    </row>
    <row r="13413" spans="4:8" x14ac:dyDescent="0.25">
      <c r="D13413" s="28"/>
      <c r="F13413" s="28"/>
      <c r="H13413" s="28"/>
    </row>
    <row r="13414" spans="4:8" x14ac:dyDescent="0.25">
      <c r="D13414" s="28"/>
      <c r="F13414" s="28"/>
      <c r="H13414" s="28"/>
    </row>
    <row r="13415" spans="4:8" x14ac:dyDescent="0.25">
      <c r="D13415" s="28"/>
      <c r="F13415" s="28"/>
      <c r="H13415" s="28"/>
    </row>
    <row r="13416" spans="4:8" x14ac:dyDescent="0.25">
      <c r="D13416" s="28"/>
      <c r="F13416" s="28"/>
      <c r="H13416" s="28"/>
    </row>
    <row r="13417" spans="4:8" x14ac:dyDescent="0.25">
      <c r="D13417" s="28"/>
      <c r="F13417" s="28"/>
      <c r="H13417" s="28"/>
    </row>
    <row r="13418" spans="4:8" x14ac:dyDescent="0.25">
      <c r="D13418" s="28"/>
      <c r="F13418" s="28"/>
      <c r="H13418" s="28"/>
    </row>
    <row r="13419" spans="4:8" x14ac:dyDescent="0.25">
      <c r="D13419" s="28"/>
      <c r="F13419" s="28"/>
      <c r="H13419" s="28"/>
    </row>
    <row r="13420" spans="4:8" x14ac:dyDescent="0.25">
      <c r="D13420" s="28"/>
      <c r="F13420" s="28"/>
      <c r="H13420" s="28"/>
    </row>
    <row r="13421" spans="4:8" x14ac:dyDescent="0.25">
      <c r="D13421" s="28"/>
      <c r="F13421" s="28"/>
      <c r="H13421" s="28"/>
    </row>
    <row r="13422" spans="4:8" x14ac:dyDescent="0.25">
      <c r="D13422" s="28"/>
      <c r="F13422" s="28"/>
      <c r="H13422" s="28"/>
    </row>
    <row r="13423" spans="4:8" x14ac:dyDescent="0.25">
      <c r="D13423" s="28"/>
      <c r="F13423" s="28"/>
      <c r="H13423" s="28"/>
    </row>
    <row r="13424" spans="4:8" x14ac:dyDescent="0.25">
      <c r="D13424" s="28"/>
      <c r="F13424" s="28"/>
      <c r="H13424" s="28"/>
    </row>
    <row r="13425" spans="4:8" x14ac:dyDescent="0.25">
      <c r="D13425" s="28"/>
      <c r="F13425" s="28"/>
      <c r="H13425" s="28"/>
    </row>
    <row r="13426" spans="4:8" x14ac:dyDescent="0.25">
      <c r="D13426" s="28"/>
      <c r="F13426" s="28"/>
      <c r="H13426" s="28"/>
    </row>
    <row r="13427" spans="4:8" x14ac:dyDescent="0.25">
      <c r="D13427" s="28"/>
      <c r="F13427" s="28"/>
      <c r="H13427" s="28"/>
    </row>
    <row r="13428" spans="4:8" x14ac:dyDescent="0.25">
      <c r="D13428" s="28"/>
      <c r="F13428" s="28"/>
      <c r="H13428" s="28"/>
    </row>
    <row r="13429" spans="4:8" x14ac:dyDescent="0.25">
      <c r="D13429" s="28"/>
      <c r="F13429" s="28"/>
      <c r="H13429" s="28"/>
    </row>
    <row r="13430" spans="4:8" x14ac:dyDescent="0.25">
      <c r="D13430" s="28"/>
      <c r="F13430" s="28"/>
      <c r="H13430" s="28"/>
    </row>
    <row r="13431" spans="4:8" x14ac:dyDescent="0.25">
      <c r="D13431" s="28"/>
      <c r="F13431" s="28"/>
      <c r="H13431" s="28"/>
    </row>
    <row r="13432" spans="4:8" x14ac:dyDescent="0.25">
      <c r="D13432" s="28"/>
      <c r="F13432" s="28"/>
      <c r="H13432" s="28"/>
    </row>
    <row r="13433" spans="4:8" x14ac:dyDescent="0.25">
      <c r="D13433" s="28"/>
      <c r="F13433" s="28"/>
      <c r="H13433" s="28"/>
    </row>
    <row r="13434" spans="4:8" x14ac:dyDescent="0.25">
      <c r="D13434" s="28"/>
      <c r="F13434" s="28"/>
      <c r="H13434" s="28"/>
    </row>
    <row r="13435" spans="4:8" x14ac:dyDescent="0.25">
      <c r="D13435" s="28"/>
      <c r="F13435" s="28"/>
      <c r="H13435" s="28"/>
    </row>
    <row r="13436" spans="4:8" x14ac:dyDescent="0.25">
      <c r="D13436" s="28"/>
      <c r="F13436" s="28"/>
      <c r="H13436" s="28"/>
    </row>
    <row r="13437" spans="4:8" x14ac:dyDescent="0.25">
      <c r="D13437" s="28"/>
      <c r="F13437" s="28"/>
      <c r="H13437" s="28"/>
    </row>
    <row r="13438" spans="4:8" x14ac:dyDescent="0.25">
      <c r="D13438" s="28"/>
      <c r="F13438" s="28"/>
      <c r="H13438" s="28"/>
    </row>
    <row r="13439" spans="4:8" x14ac:dyDescent="0.25">
      <c r="D13439" s="28"/>
      <c r="F13439" s="28"/>
      <c r="H13439" s="28"/>
    </row>
    <row r="13440" spans="4:8" x14ac:dyDescent="0.25">
      <c r="D13440" s="28"/>
      <c r="F13440" s="28"/>
      <c r="H13440" s="28"/>
    </row>
    <row r="13441" spans="4:8" x14ac:dyDescent="0.25">
      <c r="D13441" s="28"/>
      <c r="F13441" s="28"/>
      <c r="H13441" s="28"/>
    </row>
    <row r="13442" spans="4:8" x14ac:dyDescent="0.25">
      <c r="D13442" s="28"/>
      <c r="F13442" s="28"/>
      <c r="H13442" s="28"/>
    </row>
    <row r="13443" spans="4:8" x14ac:dyDescent="0.25">
      <c r="D13443" s="28"/>
      <c r="F13443" s="28"/>
      <c r="H13443" s="28"/>
    </row>
    <row r="13444" spans="4:8" x14ac:dyDescent="0.25">
      <c r="D13444" s="28"/>
      <c r="F13444" s="28"/>
      <c r="H13444" s="28"/>
    </row>
    <row r="13445" spans="4:8" x14ac:dyDescent="0.25">
      <c r="D13445" s="28"/>
      <c r="F13445" s="28"/>
      <c r="H13445" s="28"/>
    </row>
    <row r="13446" spans="4:8" x14ac:dyDescent="0.25">
      <c r="D13446" s="28"/>
      <c r="F13446" s="28"/>
      <c r="H13446" s="28"/>
    </row>
    <row r="13447" spans="4:8" x14ac:dyDescent="0.25">
      <c r="D13447" s="28"/>
      <c r="F13447" s="28"/>
      <c r="H13447" s="28"/>
    </row>
    <row r="13448" spans="4:8" x14ac:dyDescent="0.25">
      <c r="D13448" s="28"/>
      <c r="F13448" s="28"/>
      <c r="H13448" s="28"/>
    </row>
    <row r="13449" spans="4:8" x14ac:dyDescent="0.25">
      <c r="D13449" s="28"/>
      <c r="F13449" s="28"/>
      <c r="H13449" s="28"/>
    </row>
    <row r="13450" spans="4:8" x14ac:dyDescent="0.25">
      <c r="D13450" s="28"/>
      <c r="F13450" s="28"/>
      <c r="H13450" s="28"/>
    </row>
    <row r="13451" spans="4:8" x14ac:dyDescent="0.25">
      <c r="D13451" s="28"/>
      <c r="F13451" s="28"/>
      <c r="H13451" s="28"/>
    </row>
    <row r="13452" spans="4:8" x14ac:dyDescent="0.25">
      <c r="D13452" s="28"/>
      <c r="F13452" s="28"/>
      <c r="H13452" s="28"/>
    </row>
    <row r="13453" spans="4:8" x14ac:dyDescent="0.25">
      <c r="D13453" s="28"/>
      <c r="F13453" s="28"/>
      <c r="H13453" s="28"/>
    </row>
    <row r="13454" spans="4:8" x14ac:dyDescent="0.25">
      <c r="D13454" s="28"/>
      <c r="F13454" s="28"/>
      <c r="H13454" s="28"/>
    </row>
    <row r="13455" spans="4:8" x14ac:dyDescent="0.25">
      <c r="D13455" s="28"/>
      <c r="F13455" s="28"/>
      <c r="H13455" s="28"/>
    </row>
    <row r="13456" spans="4:8" x14ac:dyDescent="0.25">
      <c r="D13456" s="28"/>
      <c r="F13456" s="28"/>
      <c r="H13456" s="28"/>
    </row>
    <row r="13457" spans="4:8" x14ac:dyDescent="0.25">
      <c r="D13457" s="28"/>
      <c r="F13457" s="28"/>
      <c r="H13457" s="28"/>
    </row>
    <row r="13458" spans="4:8" x14ac:dyDescent="0.25">
      <c r="D13458" s="28"/>
      <c r="F13458" s="28"/>
      <c r="H13458" s="28"/>
    </row>
    <row r="13459" spans="4:8" x14ac:dyDescent="0.25">
      <c r="D13459" s="28"/>
      <c r="F13459" s="28"/>
      <c r="H13459" s="28"/>
    </row>
    <row r="13460" spans="4:8" x14ac:dyDescent="0.25">
      <c r="D13460" s="28"/>
      <c r="F13460" s="28"/>
      <c r="H13460" s="28"/>
    </row>
    <row r="13461" spans="4:8" x14ac:dyDescent="0.25">
      <c r="D13461" s="28"/>
      <c r="F13461" s="28"/>
      <c r="H13461" s="28"/>
    </row>
    <row r="13462" spans="4:8" x14ac:dyDescent="0.25">
      <c r="D13462" s="28"/>
      <c r="F13462" s="28"/>
      <c r="H13462" s="28"/>
    </row>
    <row r="13463" spans="4:8" x14ac:dyDescent="0.25">
      <c r="D13463" s="28"/>
      <c r="F13463" s="28"/>
      <c r="H13463" s="28"/>
    </row>
    <row r="13464" spans="4:8" x14ac:dyDescent="0.25">
      <c r="D13464" s="28"/>
      <c r="F13464" s="28"/>
      <c r="H13464" s="28"/>
    </row>
    <row r="13465" spans="4:8" x14ac:dyDescent="0.25">
      <c r="D13465" s="28"/>
      <c r="F13465" s="28"/>
      <c r="H13465" s="28"/>
    </row>
    <row r="13466" spans="4:8" x14ac:dyDescent="0.25">
      <c r="D13466" s="28"/>
      <c r="F13466" s="28"/>
      <c r="H13466" s="28"/>
    </row>
    <row r="13467" spans="4:8" x14ac:dyDescent="0.25">
      <c r="D13467" s="28"/>
      <c r="F13467" s="28"/>
      <c r="H13467" s="28"/>
    </row>
    <row r="13468" spans="4:8" x14ac:dyDescent="0.25">
      <c r="D13468" s="28"/>
      <c r="F13468" s="28"/>
      <c r="H13468" s="28"/>
    </row>
    <row r="13469" spans="4:8" x14ac:dyDescent="0.25">
      <c r="D13469" s="28"/>
      <c r="F13469" s="28"/>
      <c r="H13469" s="28"/>
    </row>
    <row r="13470" spans="4:8" x14ac:dyDescent="0.25">
      <c r="D13470" s="28"/>
      <c r="F13470" s="28"/>
      <c r="H13470" s="28"/>
    </row>
    <row r="13471" spans="4:8" x14ac:dyDescent="0.25">
      <c r="D13471" s="28"/>
      <c r="F13471" s="28"/>
      <c r="H13471" s="28"/>
    </row>
    <row r="13472" spans="4:8" x14ac:dyDescent="0.25">
      <c r="D13472" s="28"/>
      <c r="F13472" s="28"/>
      <c r="H13472" s="28"/>
    </row>
    <row r="13473" spans="4:8" x14ac:dyDescent="0.25">
      <c r="D13473" s="28"/>
      <c r="F13473" s="28"/>
      <c r="H13473" s="28"/>
    </row>
    <row r="13474" spans="4:8" x14ac:dyDescent="0.25">
      <c r="D13474" s="28"/>
      <c r="F13474" s="28"/>
      <c r="H13474" s="28"/>
    </row>
    <row r="13475" spans="4:8" x14ac:dyDescent="0.25">
      <c r="D13475" s="28"/>
      <c r="F13475" s="28"/>
      <c r="H13475" s="28"/>
    </row>
    <row r="13476" spans="4:8" x14ac:dyDescent="0.25">
      <c r="D13476" s="28"/>
      <c r="F13476" s="28"/>
      <c r="H13476" s="28"/>
    </row>
    <row r="13477" spans="4:8" x14ac:dyDescent="0.25">
      <c r="D13477" s="28"/>
      <c r="F13477" s="28"/>
      <c r="H13477" s="28"/>
    </row>
    <row r="13478" spans="4:8" x14ac:dyDescent="0.25">
      <c r="D13478" s="28"/>
      <c r="F13478" s="28"/>
      <c r="H13478" s="28"/>
    </row>
    <row r="13479" spans="4:8" x14ac:dyDescent="0.25">
      <c r="D13479" s="28"/>
      <c r="F13479" s="28"/>
      <c r="H13479" s="28"/>
    </row>
    <row r="13480" spans="4:8" x14ac:dyDescent="0.25">
      <c r="D13480" s="28"/>
      <c r="F13480" s="28"/>
      <c r="H13480" s="28"/>
    </row>
    <row r="13481" spans="4:8" x14ac:dyDescent="0.25">
      <c r="D13481" s="28"/>
      <c r="F13481" s="28"/>
      <c r="H13481" s="28"/>
    </row>
    <row r="13482" spans="4:8" x14ac:dyDescent="0.25">
      <c r="D13482" s="28"/>
      <c r="F13482" s="28"/>
      <c r="H13482" s="28"/>
    </row>
    <row r="13483" spans="4:8" x14ac:dyDescent="0.25">
      <c r="D13483" s="28"/>
      <c r="F13483" s="28"/>
      <c r="H13483" s="28"/>
    </row>
    <row r="13484" spans="4:8" x14ac:dyDescent="0.25">
      <c r="D13484" s="28"/>
      <c r="F13484" s="28"/>
      <c r="H13484" s="28"/>
    </row>
    <row r="13485" spans="4:8" x14ac:dyDescent="0.25">
      <c r="D13485" s="28"/>
      <c r="F13485" s="28"/>
      <c r="H13485" s="28"/>
    </row>
    <row r="13486" spans="4:8" x14ac:dyDescent="0.25">
      <c r="D13486" s="28"/>
      <c r="F13486" s="28"/>
      <c r="H13486" s="28"/>
    </row>
    <row r="13487" spans="4:8" x14ac:dyDescent="0.25">
      <c r="D13487" s="28"/>
      <c r="F13487" s="28"/>
      <c r="H13487" s="28"/>
    </row>
    <row r="13488" spans="4:8" x14ac:dyDescent="0.25">
      <c r="D13488" s="28"/>
      <c r="F13488" s="28"/>
      <c r="H13488" s="28"/>
    </row>
    <row r="13489" spans="4:8" x14ac:dyDescent="0.25">
      <c r="D13489" s="28"/>
      <c r="F13489" s="28"/>
      <c r="H13489" s="28"/>
    </row>
    <row r="13490" spans="4:8" x14ac:dyDescent="0.25">
      <c r="D13490" s="28"/>
      <c r="F13490" s="28"/>
      <c r="H13490" s="28"/>
    </row>
    <row r="13491" spans="4:8" x14ac:dyDescent="0.25">
      <c r="D13491" s="28"/>
      <c r="F13491" s="28"/>
      <c r="H13491" s="28"/>
    </row>
    <row r="13492" spans="4:8" x14ac:dyDescent="0.25">
      <c r="D13492" s="28"/>
      <c r="F13492" s="28"/>
      <c r="H13492" s="28"/>
    </row>
    <row r="13493" spans="4:8" x14ac:dyDescent="0.25">
      <c r="D13493" s="28"/>
      <c r="F13493" s="28"/>
      <c r="H13493" s="28"/>
    </row>
    <row r="13494" spans="4:8" x14ac:dyDescent="0.25">
      <c r="D13494" s="28"/>
      <c r="F13494" s="28"/>
      <c r="H13494" s="28"/>
    </row>
    <row r="13495" spans="4:8" x14ac:dyDescent="0.25">
      <c r="D13495" s="28"/>
      <c r="F13495" s="28"/>
      <c r="H13495" s="28"/>
    </row>
    <row r="13496" spans="4:8" x14ac:dyDescent="0.25">
      <c r="D13496" s="28"/>
      <c r="F13496" s="28"/>
      <c r="H13496" s="28"/>
    </row>
    <row r="13497" spans="4:8" x14ac:dyDescent="0.25">
      <c r="D13497" s="28"/>
      <c r="F13497" s="28"/>
      <c r="H13497" s="28"/>
    </row>
    <row r="13498" spans="4:8" x14ac:dyDescent="0.25">
      <c r="D13498" s="28"/>
      <c r="F13498" s="28"/>
      <c r="H13498" s="28"/>
    </row>
    <row r="13499" spans="4:8" x14ac:dyDescent="0.25">
      <c r="D13499" s="28"/>
      <c r="F13499" s="28"/>
      <c r="H13499" s="28"/>
    </row>
    <row r="13500" spans="4:8" x14ac:dyDescent="0.25">
      <c r="D13500" s="28"/>
      <c r="F13500" s="28"/>
      <c r="H13500" s="28"/>
    </row>
    <row r="13501" spans="4:8" x14ac:dyDescent="0.25">
      <c r="D13501" s="28"/>
      <c r="F13501" s="28"/>
      <c r="H13501" s="28"/>
    </row>
    <row r="13502" spans="4:8" x14ac:dyDescent="0.25">
      <c r="D13502" s="28"/>
      <c r="F13502" s="28"/>
      <c r="H13502" s="28"/>
    </row>
    <row r="13503" spans="4:8" x14ac:dyDescent="0.25">
      <c r="D13503" s="28"/>
      <c r="F13503" s="28"/>
      <c r="H13503" s="28"/>
    </row>
    <row r="13504" spans="4:8" x14ac:dyDescent="0.25">
      <c r="D13504" s="28"/>
      <c r="F13504" s="28"/>
      <c r="H13504" s="28"/>
    </row>
    <row r="13505" spans="4:8" x14ac:dyDescent="0.25">
      <c r="D13505" s="28"/>
      <c r="F13505" s="28"/>
      <c r="H13505" s="28"/>
    </row>
    <row r="13506" spans="4:8" x14ac:dyDescent="0.25">
      <c r="D13506" s="28"/>
      <c r="F13506" s="28"/>
      <c r="H13506" s="28"/>
    </row>
    <row r="13507" spans="4:8" x14ac:dyDescent="0.25">
      <c r="D13507" s="28"/>
      <c r="F13507" s="28"/>
      <c r="H13507" s="28"/>
    </row>
    <row r="13508" spans="4:8" x14ac:dyDescent="0.25">
      <c r="D13508" s="28"/>
      <c r="F13508" s="28"/>
      <c r="H13508" s="28"/>
    </row>
    <row r="13509" spans="4:8" x14ac:dyDescent="0.25">
      <c r="D13509" s="28"/>
      <c r="F13509" s="28"/>
      <c r="H13509" s="28"/>
    </row>
    <row r="13510" spans="4:8" x14ac:dyDescent="0.25">
      <c r="D13510" s="28"/>
      <c r="F13510" s="28"/>
      <c r="H13510" s="28"/>
    </row>
    <row r="13511" spans="4:8" x14ac:dyDescent="0.25">
      <c r="D13511" s="28"/>
      <c r="F13511" s="28"/>
      <c r="H13511" s="28"/>
    </row>
    <row r="13512" spans="4:8" x14ac:dyDescent="0.25">
      <c r="D13512" s="28"/>
      <c r="F13512" s="28"/>
      <c r="H13512" s="28"/>
    </row>
    <row r="13513" spans="4:8" x14ac:dyDescent="0.25">
      <c r="D13513" s="28"/>
      <c r="F13513" s="28"/>
      <c r="H13513" s="28"/>
    </row>
    <row r="13514" spans="4:8" x14ac:dyDescent="0.25">
      <c r="D13514" s="28"/>
      <c r="F13514" s="28"/>
      <c r="H13514" s="28"/>
    </row>
    <row r="13515" spans="4:8" x14ac:dyDescent="0.25">
      <c r="D13515" s="28"/>
      <c r="F13515" s="28"/>
      <c r="H13515" s="28"/>
    </row>
    <row r="13516" spans="4:8" x14ac:dyDescent="0.25">
      <c r="D13516" s="28"/>
      <c r="F13516" s="28"/>
      <c r="H13516" s="28"/>
    </row>
    <row r="13517" spans="4:8" x14ac:dyDescent="0.25">
      <c r="D13517" s="28"/>
      <c r="F13517" s="28"/>
      <c r="H13517" s="28"/>
    </row>
    <row r="13518" spans="4:8" x14ac:dyDescent="0.25">
      <c r="D13518" s="28"/>
      <c r="F13518" s="28"/>
      <c r="H13518" s="28"/>
    </row>
    <row r="13519" spans="4:8" x14ac:dyDescent="0.25">
      <c r="D13519" s="28"/>
      <c r="F13519" s="28"/>
      <c r="H13519" s="28"/>
    </row>
    <row r="13520" spans="4:8" x14ac:dyDescent="0.25">
      <c r="D13520" s="28"/>
      <c r="F13520" s="28"/>
      <c r="H13520" s="28"/>
    </row>
    <row r="13521" spans="4:8" x14ac:dyDescent="0.25">
      <c r="D13521" s="28"/>
      <c r="F13521" s="28"/>
      <c r="H13521" s="28"/>
    </row>
    <row r="13522" spans="4:8" x14ac:dyDescent="0.25">
      <c r="D13522" s="28"/>
      <c r="F13522" s="28"/>
      <c r="H13522" s="28"/>
    </row>
    <row r="13523" spans="4:8" x14ac:dyDescent="0.25">
      <c r="D13523" s="28"/>
      <c r="F13523" s="28"/>
      <c r="H13523" s="28"/>
    </row>
    <row r="13524" spans="4:8" x14ac:dyDescent="0.25">
      <c r="D13524" s="28"/>
      <c r="F13524" s="28"/>
      <c r="H13524" s="28"/>
    </row>
    <row r="13525" spans="4:8" x14ac:dyDescent="0.25">
      <c r="D13525" s="28"/>
      <c r="F13525" s="28"/>
      <c r="H13525" s="28"/>
    </row>
    <row r="13526" spans="4:8" x14ac:dyDescent="0.25">
      <c r="D13526" s="28"/>
      <c r="F13526" s="28"/>
      <c r="H13526" s="28"/>
    </row>
    <row r="13527" spans="4:8" x14ac:dyDescent="0.25">
      <c r="D13527" s="28"/>
      <c r="F13527" s="28"/>
      <c r="H13527" s="28"/>
    </row>
    <row r="13528" spans="4:8" x14ac:dyDescent="0.25">
      <c r="D13528" s="28"/>
      <c r="F13528" s="28"/>
      <c r="H13528" s="28"/>
    </row>
    <row r="13529" spans="4:8" x14ac:dyDescent="0.25">
      <c r="D13529" s="28"/>
      <c r="F13529" s="28"/>
      <c r="H13529" s="28"/>
    </row>
    <row r="13530" spans="4:8" x14ac:dyDescent="0.25">
      <c r="D13530" s="28"/>
      <c r="F13530" s="28"/>
      <c r="H13530" s="28"/>
    </row>
    <row r="13531" spans="4:8" x14ac:dyDescent="0.25">
      <c r="D13531" s="28"/>
      <c r="F13531" s="28"/>
      <c r="H13531" s="28"/>
    </row>
    <row r="13532" spans="4:8" x14ac:dyDescent="0.25">
      <c r="D13532" s="28"/>
      <c r="F13532" s="28"/>
      <c r="H13532" s="28"/>
    </row>
    <row r="13533" spans="4:8" x14ac:dyDescent="0.25">
      <c r="D13533" s="28"/>
      <c r="F13533" s="28"/>
      <c r="H13533" s="28"/>
    </row>
    <row r="13534" spans="4:8" x14ac:dyDescent="0.25">
      <c r="D13534" s="28"/>
      <c r="F13534" s="28"/>
      <c r="H13534" s="28"/>
    </row>
    <row r="13535" spans="4:8" x14ac:dyDescent="0.25">
      <c r="D13535" s="28"/>
      <c r="F13535" s="28"/>
      <c r="H13535" s="28"/>
    </row>
    <row r="13536" spans="4:8" x14ac:dyDescent="0.25">
      <c r="D13536" s="28"/>
      <c r="F13536" s="28"/>
      <c r="H13536" s="28"/>
    </row>
    <row r="13537" spans="4:8" x14ac:dyDescent="0.25">
      <c r="D13537" s="28"/>
      <c r="F13537" s="28"/>
      <c r="H13537" s="28"/>
    </row>
    <row r="13538" spans="4:8" x14ac:dyDescent="0.25">
      <c r="D13538" s="28"/>
      <c r="F13538" s="28"/>
      <c r="H13538" s="28"/>
    </row>
    <row r="13539" spans="4:8" x14ac:dyDescent="0.25">
      <c r="D13539" s="28"/>
      <c r="F13539" s="28"/>
      <c r="H13539" s="28"/>
    </row>
    <row r="13540" spans="4:8" x14ac:dyDescent="0.25">
      <c r="D13540" s="28"/>
      <c r="F13540" s="28"/>
      <c r="H13540" s="28"/>
    </row>
    <row r="13541" spans="4:8" x14ac:dyDescent="0.25">
      <c r="D13541" s="28"/>
      <c r="F13541" s="28"/>
      <c r="H13541" s="28"/>
    </row>
    <row r="13542" spans="4:8" x14ac:dyDescent="0.25">
      <c r="D13542" s="28"/>
      <c r="F13542" s="28"/>
      <c r="H13542" s="28"/>
    </row>
    <row r="13543" spans="4:8" x14ac:dyDescent="0.25">
      <c r="D13543" s="28"/>
      <c r="F13543" s="28"/>
      <c r="H13543" s="28"/>
    </row>
    <row r="13544" spans="4:8" x14ac:dyDescent="0.25">
      <c r="D13544" s="28"/>
      <c r="F13544" s="28"/>
      <c r="H13544" s="28"/>
    </row>
    <row r="13545" spans="4:8" x14ac:dyDescent="0.25">
      <c r="D13545" s="28"/>
      <c r="F13545" s="28"/>
      <c r="H13545" s="28"/>
    </row>
    <row r="13546" spans="4:8" x14ac:dyDescent="0.25">
      <c r="D13546" s="28"/>
      <c r="F13546" s="28"/>
      <c r="H13546" s="28"/>
    </row>
    <row r="13547" spans="4:8" x14ac:dyDescent="0.25">
      <c r="D13547" s="28"/>
      <c r="F13547" s="28"/>
      <c r="H13547" s="28"/>
    </row>
    <row r="13548" spans="4:8" x14ac:dyDescent="0.25">
      <c r="D13548" s="28"/>
      <c r="F13548" s="28"/>
      <c r="H13548" s="28"/>
    </row>
    <row r="13549" spans="4:8" x14ac:dyDescent="0.25">
      <c r="D13549" s="28"/>
      <c r="F13549" s="28"/>
      <c r="H13549" s="28"/>
    </row>
    <row r="13550" spans="4:8" x14ac:dyDescent="0.25">
      <c r="D13550" s="28"/>
      <c r="F13550" s="28"/>
      <c r="H13550" s="28"/>
    </row>
    <row r="13551" spans="4:8" x14ac:dyDescent="0.25">
      <c r="D13551" s="28"/>
      <c r="F13551" s="28"/>
      <c r="H13551" s="28"/>
    </row>
    <row r="13552" spans="4:8" x14ac:dyDescent="0.25">
      <c r="D13552" s="28"/>
      <c r="F13552" s="28"/>
      <c r="H13552" s="28"/>
    </row>
    <row r="13553" spans="4:8" x14ac:dyDescent="0.25">
      <c r="D13553" s="28"/>
      <c r="F13553" s="28"/>
      <c r="H13553" s="28"/>
    </row>
    <row r="13554" spans="4:8" x14ac:dyDescent="0.25">
      <c r="D13554" s="28"/>
      <c r="F13554" s="28"/>
      <c r="H13554" s="28"/>
    </row>
    <row r="13555" spans="4:8" x14ac:dyDescent="0.25">
      <c r="D13555" s="28"/>
      <c r="F13555" s="28"/>
      <c r="H13555" s="28"/>
    </row>
    <row r="13556" spans="4:8" x14ac:dyDescent="0.25">
      <c r="D13556" s="28"/>
      <c r="F13556" s="28"/>
      <c r="H13556" s="28"/>
    </row>
    <row r="13557" spans="4:8" x14ac:dyDescent="0.25">
      <c r="D13557" s="28"/>
      <c r="F13557" s="28"/>
      <c r="H13557" s="28"/>
    </row>
    <row r="13558" spans="4:8" x14ac:dyDescent="0.25">
      <c r="D13558" s="28"/>
      <c r="F13558" s="28"/>
      <c r="H13558" s="28"/>
    </row>
    <row r="13559" spans="4:8" x14ac:dyDescent="0.25">
      <c r="D13559" s="28"/>
      <c r="F13559" s="28"/>
      <c r="H13559" s="28"/>
    </row>
    <row r="13560" spans="4:8" x14ac:dyDescent="0.25">
      <c r="D13560" s="28"/>
      <c r="F13560" s="28"/>
      <c r="H13560" s="28"/>
    </row>
    <row r="13561" spans="4:8" x14ac:dyDescent="0.25">
      <c r="D13561" s="28"/>
      <c r="F13561" s="28"/>
      <c r="H13561" s="28"/>
    </row>
    <row r="13562" spans="4:8" x14ac:dyDescent="0.25">
      <c r="D13562" s="28"/>
      <c r="F13562" s="28"/>
      <c r="H13562" s="28"/>
    </row>
    <row r="13563" spans="4:8" x14ac:dyDescent="0.25">
      <c r="D13563" s="28"/>
      <c r="F13563" s="28"/>
      <c r="H13563" s="28"/>
    </row>
    <row r="13564" spans="4:8" x14ac:dyDescent="0.25">
      <c r="D13564" s="28"/>
      <c r="F13564" s="28"/>
      <c r="H13564" s="28"/>
    </row>
    <row r="13565" spans="4:8" x14ac:dyDescent="0.25">
      <c r="D13565" s="28"/>
      <c r="F13565" s="28"/>
      <c r="H13565" s="28"/>
    </row>
    <row r="13566" spans="4:8" x14ac:dyDescent="0.25">
      <c r="D13566" s="28"/>
      <c r="F13566" s="28"/>
      <c r="H13566" s="28"/>
    </row>
    <row r="13567" spans="4:8" x14ac:dyDescent="0.25">
      <c r="D13567" s="28"/>
      <c r="F13567" s="28"/>
      <c r="H13567" s="28"/>
    </row>
    <row r="13568" spans="4:8" x14ac:dyDescent="0.25">
      <c r="D13568" s="28"/>
      <c r="F13568" s="28"/>
      <c r="H13568" s="28"/>
    </row>
    <row r="13569" spans="4:8" x14ac:dyDescent="0.25">
      <c r="D13569" s="28"/>
      <c r="F13569" s="28"/>
      <c r="H13569" s="28"/>
    </row>
    <row r="13570" spans="4:8" x14ac:dyDescent="0.25">
      <c r="D13570" s="28"/>
      <c r="F13570" s="28"/>
      <c r="H13570" s="28"/>
    </row>
    <row r="13571" spans="4:8" x14ac:dyDescent="0.25">
      <c r="D13571" s="28"/>
      <c r="F13571" s="28"/>
      <c r="H13571" s="28"/>
    </row>
    <row r="13572" spans="4:8" x14ac:dyDescent="0.25">
      <c r="D13572" s="28"/>
      <c r="F13572" s="28"/>
      <c r="H13572" s="28"/>
    </row>
    <row r="13573" spans="4:8" x14ac:dyDescent="0.25">
      <c r="D13573" s="28"/>
      <c r="F13573" s="28"/>
      <c r="H13573" s="28"/>
    </row>
    <row r="13574" spans="4:8" x14ac:dyDescent="0.25">
      <c r="D13574" s="28"/>
      <c r="F13574" s="28"/>
      <c r="H13574" s="28"/>
    </row>
    <row r="13575" spans="4:8" x14ac:dyDescent="0.25">
      <c r="D13575" s="28"/>
      <c r="F13575" s="28"/>
      <c r="H13575" s="28"/>
    </row>
    <row r="13576" spans="4:8" x14ac:dyDescent="0.25">
      <c r="D13576" s="28"/>
      <c r="F13576" s="28"/>
      <c r="H13576" s="28"/>
    </row>
    <row r="13577" spans="4:8" x14ac:dyDescent="0.25">
      <c r="D13577" s="28"/>
      <c r="F13577" s="28"/>
      <c r="H13577" s="28"/>
    </row>
    <row r="13578" spans="4:8" x14ac:dyDescent="0.25">
      <c r="D13578" s="28"/>
      <c r="F13578" s="28"/>
      <c r="H13578" s="28"/>
    </row>
    <row r="13579" spans="4:8" x14ac:dyDescent="0.25">
      <c r="D13579" s="28"/>
      <c r="F13579" s="28"/>
      <c r="H13579" s="28"/>
    </row>
    <row r="13580" spans="4:8" x14ac:dyDescent="0.25">
      <c r="D13580" s="28"/>
      <c r="F13580" s="28"/>
      <c r="H13580" s="28"/>
    </row>
    <row r="13581" spans="4:8" x14ac:dyDescent="0.25">
      <c r="D13581" s="28"/>
      <c r="F13581" s="28"/>
      <c r="H13581" s="28"/>
    </row>
    <row r="13582" spans="4:8" x14ac:dyDescent="0.25">
      <c r="D13582" s="28"/>
      <c r="F13582" s="28"/>
      <c r="H13582" s="28"/>
    </row>
    <row r="13583" spans="4:8" x14ac:dyDescent="0.25">
      <c r="D13583" s="28"/>
      <c r="F13583" s="28"/>
      <c r="H13583" s="28"/>
    </row>
    <row r="13584" spans="4:8" x14ac:dyDescent="0.25">
      <c r="D13584" s="28"/>
      <c r="F13584" s="28"/>
      <c r="H13584" s="28"/>
    </row>
    <row r="13585" spans="4:8" x14ac:dyDescent="0.25">
      <c r="D13585" s="28"/>
      <c r="F13585" s="28"/>
      <c r="H13585" s="28"/>
    </row>
    <row r="13586" spans="4:8" x14ac:dyDescent="0.25">
      <c r="D13586" s="28"/>
      <c r="F13586" s="28"/>
      <c r="H13586" s="28"/>
    </row>
    <row r="13587" spans="4:8" x14ac:dyDescent="0.25">
      <c r="D13587" s="28"/>
      <c r="F13587" s="28"/>
      <c r="H13587" s="28"/>
    </row>
    <row r="13588" spans="4:8" x14ac:dyDescent="0.25">
      <c r="D13588" s="28"/>
      <c r="F13588" s="28"/>
      <c r="H13588" s="28"/>
    </row>
    <row r="13589" spans="4:8" x14ac:dyDescent="0.25">
      <c r="D13589" s="28"/>
      <c r="F13589" s="28"/>
      <c r="H13589" s="28"/>
    </row>
    <row r="13590" spans="4:8" x14ac:dyDescent="0.25">
      <c r="D13590" s="28"/>
      <c r="F13590" s="28"/>
      <c r="H13590" s="28"/>
    </row>
    <row r="13591" spans="4:8" x14ac:dyDescent="0.25">
      <c r="D13591" s="28"/>
      <c r="F13591" s="28"/>
      <c r="H13591" s="28"/>
    </row>
    <row r="13592" spans="4:8" x14ac:dyDescent="0.25">
      <c r="D13592" s="28"/>
      <c r="F13592" s="28"/>
      <c r="H13592" s="28"/>
    </row>
    <row r="13593" spans="4:8" x14ac:dyDescent="0.25">
      <c r="D13593" s="28"/>
      <c r="F13593" s="28"/>
      <c r="H13593" s="28"/>
    </row>
    <row r="13594" spans="4:8" x14ac:dyDescent="0.25">
      <c r="D13594" s="28"/>
      <c r="F13594" s="28"/>
      <c r="H13594" s="28"/>
    </row>
    <row r="13595" spans="4:8" x14ac:dyDescent="0.25">
      <c r="D13595" s="28"/>
      <c r="F13595" s="28"/>
      <c r="H13595" s="28"/>
    </row>
    <row r="13596" spans="4:8" x14ac:dyDescent="0.25">
      <c r="D13596" s="28"/>
      <c r="F13596" s="28"/>
      <c r="H13596" s="28"/>
    </row>
    <row r="13597" spans="4:8" x14ac:dyDescent="0.25">
      <c r="D13597" s="28"/>
      <c r="F13597" s="28"/>
      <c r="H13597" s="28"/>
    </row>
    <row r="13598" spans="4:8" x14ac:dyDescent="0.25">
      <c r="D13598" s="28"/>
      <c r="F13598" s="28"/>
      <c r="H13598" s="28"/>
    </row>
    <row r="13599" spans="4:8" x14ac:dyDescent="0.25">
      <c r="D13599" s="28"/>
      <c r="F13599" s="28"/>
      <c r="H13599" s="28"/>
    </row>
    <row r="13600" spans="4:8" x14ac:dyDescent="0.25">
      <c r="D13600" s="28"/>
      <c r="F13600" s="28"/>
      <c r="H13600" s="28"/>
    </row>
    <row r="13601" spans="4:8" x14ac:dyDescent="0.25">
      <c r="D13601" s="28"/>
      <c r="F13601" s="28"/>
      <c r="H13601" s="28"/>
    </row>
    <row r="13602" spans="4:8" x14ac:dyDescent="0.25">
      <c r="D13602" s="28"/>
      <c r="F13602" s="28"/>
      <c r="H13602" s="28"/>
    </row>
    <row r="13603" spans="4:8" x14ac:dyDescent="0.25">
      <c r="D13603" s="28"/>
      <c r="F13603" s="28"/>
      <c r="H13603" s="28"/>
    </row>
    <row r="13604" spans="4:8" x14ac:dyDescent="0.25">
      <c r="D13604" s="28"/>
      <c r="F13604" s="28"/>
      <c r="H13604" s="28"/>
    </row>
    <row r="13605" spans="4:8" x14ac:dyDescent="0.25">
      <c r="D13605" s="28"/>
      <c r="F13605" s="28"/>
      <c r="H13605" s="28"/>
    </row>
    <row r="13606" spans="4:8" x14ac:dyDescent="0.25">
      <c r="D13606" s="28"/>
      <c r="F13606" s="28"/>
      <c r="H13606" s="28"/>
    </row>
    <row r="13607" spans="4:8" x14ac:dyDescent="0.25">
      <c r="D13607" s="28"/>
      <c r="F13607" s="28"/>
      <c r="H13607" s="28"/>
    </row>
    <row r="13608" spans="4:8" x14ac:dyDescent="0.25">
      <c r="D13608" s="28"/>
      <c r="F13608" s="28"/>
      <c r="H13608" s="28"/>
    </row>
    <row r="13609" spans="4:8" x14ac:dyDescent="0.25">
      <c r="D13609" s="28"/>
      <c r="F13609" s="28"/>
      <c r="H13609" s="28"/>
    </row>
    <row r="13610" spans="4:8" x14ac:dyDescent="0.25">
      <c r="D13610" s="28"/>
      <c r="F13610" s="28"/>
      <c r="H13610" s="28"/>
    </row>
    <row r="13611" spans="4:8" x14ac:dyDescent="0.25">
      <c r="D13611" s="28"/>
      <c r="F13611" s="28"/>
      <c r="H13611" s="28"/>
    </row>
    <row r="13612" spans="4:8" x14ac:dyDescent="0.25">
      <c r="D13612" s="28"/>
      <c r="F13612" s="28"/>
      <c r="H13612" s="28"/>
    </row>
    <row r="13613" spans="4:8" x14ac:dyDescent="0.25">
      <c r="D13613" s="28"/>
      <c r="F13613" s="28"/>
      <c r="H13613" s="28"/>
    </row>
    <row r="13614" spans="4:8" x14ac:dyDescent="0.25">
      <c r="D13614" s="28"/>
      <c r="F13614" s="28"/>
      <c r="H13614" s="28"/>
    </row>
    <row r="13615" spans="4:8" x14ac:dyDescent="0.25">
      <c r="D13615" s="28"/>
      <c r="F13615" s="28"/>
      <c r="H13615" s="28"/>
    </row>
    <row r="13616" spans="4:8" x14ac:dyDescent="0.25">
      <c r="D13616" s="28"/>
      <c r="F13616" s="28"/>
      <c r="H13616" s="28"/>
    </row>
    <row r="13617" spans="4:8" x14ac:dyDescent="0.25">
      <c r="D13617" s="28"/>
      <c r="F13617" s="28"/>
      <c r="H13617" s="28"/>
    </row>
    <row r="13618" spans="4:8" x14ac:dyDescent="0.25">
      <c r="D13618" s="28"/>
      <c r="F13618" s="28"/>
      <c r="H13618" s="28"/>
    </row>
    <row r="13619" spans="4:8" x14ac:dyDescent="0.25">
      <c r="D13619" s="28"/>
      <c r="F13619" s="28"/>
      <c r="H13619" s="28"/>
    </row>
    <row r="13620" spans="4:8" x14ac:dyDescent="0.25">
      <c r="D13620" s="28"/>
      <c r="F13620" s="28"/>
      <c r="H13620" s="28"/>
    </row>
    <row r="13621" spans="4:8" x14ac:dyDescent="0.25">
      <c r="D13621" s="28"/>
      <c r="F13621" s="28"/>
      <c r="H13621" s="28"/>
    </row>
    <row r="13622" spans="4:8" x14ac:dyDescent="0.25">
      <c r="D13622" s="28"/>
      <c r="F13622" s="28"/>
      <c r="H13622" s="28"/>
    </row>
    <row r="13623" spans="4:8" x14ac:dyDescent="0.25">
      <c r="D13623" s="28"/>
      <c r="F13623" s="28"/>
      <c r="H13623" s="28"/>
    </row>
    <row r="13624" spans="4:8" x14ac:dyDescent="0.25">
      <c r="D13624" s="28"/>
      <c r="F13624" s="28"/>
      <c r="H13624" s="28"/>
    </row>
    <row r="13625" spans="4:8" x14ac:dyDescent="0.25">
      <c r="D13625" s="28"/>
      <c r="F13625" s="28"/>
      <c r="H13625" s="28"/>
    </row>
    <row r="13626" spans="4:8" x14ac:dyDescent="0.25">
      <c r="D13626" s="28"/>
      <c r="F13626" s="28"/>
      <c r="H13626" s="28"/>
    </row>
    <row r="13627" spans="4:8" x14ac:dyDescent="0.25">
      <c r="D13627" s="28"/>
      <c r="F13627" s="28"/>
      <c r="H13627" s="28"/>
    </row>
    <row r="13628" spans="4:8" x14ac:dyDescent="0.25">
      <c r="D13628" s="28"/>
      <c r="F13628" s="28"/>
      <c r="H13628" s="28"/>
    </row>
    <row r="13629" spans="4:8" x14ac:dyDescent="0.25">
      <c r="D13629" s="28"/>
      <c r="F13629" s="28"/>
      <c r="H13629" s="28"/>
    </row>
    <row r="13630" spans="4:8" x14ac:dyDescent="0.25">
      <c r="D13630" s="28"/>
      <c r="F13630" s="28"/>
      <c r="H13630" s="28"/>
    </row>
    <row r="13631" spans="4:8" x14ac:dyDescent="0.25">
      <c r="D13631" s="28"/>
      <c r="F13631" s="28"/>
      <c r="H13631" s="28"/>
    </row>
    <row r="13632" spans="4:8" x14ac:dyDescent="0.25">
      <c r="D13632" s="28"/>
      <c r="F13632" s="28"/>
      <c r="H13632" s="28"/>
    </row>
    <row r="13633" spans="4:8" x14ac:dyDescent="0.25">
      <c r="D13633" s="28"/>
      <c r="F13633" s="28"/>
      <c r="H13633" s="28"/>
    </row>
    <row r="13634" spans="4:8" x14ac:dyDescent="0.25">
      <c r="D13634" s="28"/>
      <c r="F13634" s="28"/>
      <c r="H13634" s="28"/>
    </row>
    <row r="13635" spans="4:8" x14ac:dyDescent="0.25">
      <c r="D13635" s="28"/>
      <c r="F13635" s="28"/>
      <c r="H13635" s="28"/>
    </row>
    <row r="13636" spans="4:8" x14ac:dyDescent="0.25">
      <c r="D13636" s="28"/>
      <c r="F13636" s="28"/>
      <c r="H13636" s="28"/>
    </row>
    <row r="13637" spans="4:8" x14ac:dyDescent="0.25">
      <c r="D13637" s="28"/>
      <c r="F13637" s="28"/>
      <c r="H13637" s="28"/>
    </row>
    <row r="13638" spans="4:8" x14ac:dyDescent="0.25">
      <c r="D13638" s="28"/>
      <c r="F13638" s="28"/>
      <c r="H13638" s="28"/>
    </row>
    <row r="13639" spans="4:8" x14ac:dyDescent="0.25">
      <c r="D13639" s="28"/>
      <c r="F13639" s="28"/>
      <c r="H13639" s="28"/>
    </row>
    <row r="13640" spans="4:8" x14ac:dyDescent="0.25">
      <c r="D13640" s="28"/>
      <c r="F13640" s="28"/>
      <c r="H13640" s="28"/>
    </row>
    <row r="13641" spans="4:8" x14ac:dyDescent="0.25">
      <c r="D13641" s="28"/>
      <c r="F13641" s="28"/>
      <c r="H13641" s="28"/>
    </row>
    <row r="13642" spans="4:8" x14ac:dyDescent="0.25">
      <c r="D13642" s="28"/>
      <c r="F13642" s="28"/>
      <c r="H13642" s="28"/>
    </row>
    <row r="13643" spans="4:8" x14ac:dyDescent="0.25">
      <c r="D13643" s="28"/>
      <c r="F13643" s="28"/>
      <c r="H13643" s="28"/>
    </row>
    <row r="13644" spans="4:8" x14ac:dyDescent="0.25">
      <c r="D13644" s="28"/>
      <c r="F13644" s="28"/>
      <c r="H13644" s="28"/>
    </row>
    <row r="13645" spans="4:8" x14ac:dyDescent="0.25">
      <c r="D13645" s="28"/>
      <c r="F13645" s="28"/>
      <c r="H13645" s="28"/>
    </row>
    <row r="13646" spans="4:8" x14ac:dyDescent="0.25">
      <c r="D13646" s="28"/>
      <c r="F13646" s="28"/>
      <c r="H13646" s="28"/>
    </row>
    <row r="13647" spans="4:8" x14ac:dyDescent="0.25">
      <c r="D13647" s="28"/>
      <c r="F13647" s="28"/>
      <c r="H13647" s="28"/>
    </row>
    <row r="13648" spans="4:8" x14ac:dyDescent="0.25">
      <c r="D13648" s="28"/>
      <c r="F13648" s="28"/>
      <c r="H13648" s="28"/>
    </row>
    <row r="13649" spans="4:8" x14ac:dyDescent="0.25">
      <c r="D13649" s="28"/>
      <c r="F13649" s="28"/>
      <c r="H13649" s="28"/>
    </row>
    <row r="13650" spans="4:8" x14ac:dyDescent="0.25">
      <c r="D13650" s="28"/>
      <c r="F13650" s="28"/>
      <c r="H13650" s="28"/>
    </row>
    <row r="13651" spans="4:8" x14ac:dyDescent="0.25">
      <c r="D13651" s="28"/>
      <c r="F13651" s="28"/>
      <c r="H13651" s="28"/>
    </row>
    <row r="13652" spans="4:8" x14ac:dyDescent="0.25">
      <c r="D13652" s="28"/>
      <c r="F13652" s="28"/>
      <c r="H13652" s="28"/>
    </row>
    <row r="13653" spans="4:8" x14ac:dyDescent="0.25">
      <c r="D13653" s="28"/>
      <c r="F13653" s="28"/>
      <c r="H13653" s="28"/>
    </row>
    <row r="13654" spans="4:8" x14ac:dyDescent="0.25">
      <c r="D13654" s="28"/>
      <c r="F13654" s="28"/>
      <c r="H13654" s="28"/>
    </row>
    <row r="13655" spans="4:8" x14ac:dyDescent="0.25">
      <c r="D13655" s="28"/>
      <c r="F13655" s="28"/>
      <c r="H13655" s="28"/>
    </row>
    <row r="13656" spans="4:8" x14ac:dyDescent="0.25">
      <c r="D13656" s="28"/>
      <c r="F13656" s="28"/>
      <c r="H13656" s="28"/>
    </row>
    <row r="13657" spans="4:8" x14ac:dyDescent="0.25">
      <c r="D13657" s="28"/>
      <c r="F13657" s="28"/>
      <c r="H13657" s="28"/>
    </row>
    <row r="13658" spans="4:8" x14ac:dyDescent="0.25">
      <c r="D13658" s="28"/>
      <c r="F13658" s="28"/>
      <c r="H13658" s="28"/>
    </row>
    <row r="13659" spans="4:8" x14ac:dyDescent="0.25">
      <c r="D13659" s="28"/>
      <c r="F13659" s="28"/>
      <c r="H13659" s="28"/>
    </row>
    <row r="13660" spans="4:8" x14ac:dyDescent="0.25">
      <c r="D13660" s="28"/>
      <c r="F13660" s="28"/>
      <c r="H13660" s="28"/>
    </row>
    <row r="13661" spans="4:8" x14ac:dyDescent="0.25">
      <c r="D13661" s="28"/>
      <c r="F13661" s="28"/>
      <c r="H13661" s="28"/>
    </row>
    <row r="13662" spans="4:8" x14ac:dyDescent="0.25">
      <c r="D13662" s="28"/>
      <c r="F13662" s="28"/>
      <c r="H13662" s="28"/>
    </row>
    <row r="13663" spans="4:8" x14ac:dyDescent="0.25">
      <c r="D13663" s="28"/>
      <c r="F13663" s="28"/>
      <c r="H13663" s="28"/>
    </row>
    <row r="13664" spans="4:8" x14ac:dyDescent="0.25">
      <c r="D13664" s="28"/>
      <c r="F13664" s="28"/>
      <c r="H13664" s="28"/>
    </row>
    <row r="13665" spans="4:8" x14ac:dyDescent="0.25">
      <c r="D13665" s="28"/>
      <c r="F13665" s="28"/>
      <c r="H13665" s="28"/>
    </row>
    <row r="13666" spans="4:8" x14ac:dyDescent="0.25">
      <c r="D13666" s="28"/>
      <c r="F13666" s="28"/>
      <c r="H13666" s="28"/>
    </row>
    <row r="13667" spans="4:8" x14ac:dyDescent="0.25">
      <c r="D13667" s="28"/>
      <c r="F13667" s="28"/>
      <c r="H13667" s="28"/>
    </row>
    <row r="13668" spans="4:8" x14ac:dyDescent="0.25">
      <c r="D13668" s="28"/>
      <c r="F13668" s="28"/>
      <c r="H13668" s="28"/>
    </row>
    <row r="13669" spans="4:8" x14ac:dyDescent="0.25">
      <c r="D13669" s="28"/>
      <c r="F13669" s="28"/>
      <c r="H13669" s="28"/>
    </row>
    <row r="13670" spans="4:8" x14ac:dyDescent="0.25">
      <c r="D13670" s="28"/>
      <c r="F13670" s="28"/>
      <c r="H13670" s="28"/>
    </row>
    <row r="13671" spans="4:8" x14ac:dyDescent="0.25">
      <c r="D13671" s="28"/>
      <c r="F13671" s="28"/>
      <c r="H13671" s="28"/>
    </row>
    <row r="13672" spans="4:8" x14ac:dyDescent="0.25">
      <c r="D13672" s="28"/>
      <c r="F13672" s="28"/>
      <c r="H13672" s="28"/>
    </row>
    <row r="13673" spans="4:8" x14ac:dyDescent="0.25">
      <c r="D13673" s="28"/>
      <c r="F13673" s="28"/>
      <c r="H13673" s="28"/>
    </row>
    <row r="13674" spans="4:8" x14ac:dyDescent="0.25">
      <c r="D13674" s="28"/>
      <c r="F13674" s="28"/>
      <c r="H13674" s="28"/>
    </row>
    <row r="13675" spans="4:8" x14ac:dyDescent="0.25">
      <c r="D13675" s="28"/>
      <c r="F13675" s="28"/>
      <c r="H13675" s="28"/>
    </row>
    <row r="13676" spans="4:8" x14ac:dyDescent="0.25">
      <c r="D13676" s="28"/>
      <c r="F13676" s="28"/>
      <c r="H13676" s="28"/>
    </row>
    <row r="13677" spans="4:8" x14ac:dyDescent="0.25">
      <c r="D13677" s="28"/>
      <c r="F13677" s="28"/>
      <c r="H13677" s="28"/>
    </row>
    <row r="13678" spans="4:8" x14ac:dyDescent="0.25">
      <c r="D13678" s="28"/>
      <c r="F13678" s="28"/>
      <c r="H13678" s="28"/>
    </row>
    <row r="13679" spans="4:8" x14ac:dyDescent="0.25">
      <c r="D13679" s="28"/>
      <c r="F13679" s="28"/>
      <c r="H13679" s="28"/>
    </row>
    <row r="13680" spans="4:8" x14ac:dyDescent="0.25">
      <c r="D13680" s="28"/>
      <c r="F13680" s="28"/>
      <c r="H13680" s="28"/>
    </row>
    <row r="13681" spans="4:8" x14ac:dyDescent="0.25">
      <c r="D13681" s="28"/>
      <c r="F13681" s="28"/>
      <c r="H13681" s="28"/>
    </row>
    <row r="13682" spans="4:8" x14ac:dyDescent="0.25">
      <c r="D13682" s="28"/>
      <c r="F13682" s="28"/>
      <c r="H13682" s="28"/>
    </row>
    <row r="13683" spans="4:8" x14ac:dyDescent="0.25">
      <c r="D13683" s="28"/>
      <c r="F13683" s="28"/>
      <c r="H13683" s="28"/>
    </row>
    <row r="13684" spans="4:8" x14ac:dyDescent="0.25">
      <c r="D13684" s="28"/>
      <c r="F13684" s="28"/>
      <c r="H13684" s="28"/>
    </row>
    <row r="13685" spans="4:8" x14ac:dyDescent="0.25">
      <c r="D13685" s="28"/>
      <c r="F13685" s="28"/>
      <c r="H13685" s="28"/>
    </row>
    <row r="13686" spans="4:8" x14ac:dyDescent="0.25">
      <c r="D13686" s="28"/>
      <c r="F13686" s="28"/>
      <c r="H13686" s="28"/>
    </row>
    <row r="13687" spans="4:8" x14ac:dyDescent="0.25">
      <c r="D13687" s="28"/>
      <c r="F13687" s="28"/>
      <c r="H13687" s="28"/>
    </row>
    <row r="13688" spans="4:8" x14ac:dyDescent="0.25">
      <c r="D13688" s="28"/>
      <c r="F13688" s="28"/>
      <c r="H13688" s="28"/>
    </row>
    <row r="13689" spans="4:8" x14ac:dyDescent="0.25">
      <c r="D13689" s="28"/>
      <c r="F13689" s="28"/>
      <c r="H13689" s="28"/>
    </row>
    <row r="13690" spans="4:8" x14ac:dyDescent="0.25">
      <c r="D13690" s="28"/>
      <c r="F13690" s="28"/>
      <c r="H13690" s="28"/>
    </row>
    <row r="13691" spans="4:8" x14ac:dyDescent="0.25">
      <c r="D13691" s="28"/>
      <c r="F13691" s="28"/>
      <c r="H13691" s="28"/>
    </row>
    <row r="13692" spans="4:8" x14ac:dyDescent="0.25">
      <c r="D13692" s="28"/>
      <c r="F13692" s="28"/>
      <c r="H13692" s="28"/>
    </row>
    <row r="13693" spans="4:8" x14ac:dyDescent="0.25">
      <c r="D13693" s="28"/>
      <c r="F13693" s="28"/>
      <c r="H13693" s="28"/>
    </row>
    <row r="13694" spans="4:8" x14ac:dyDescent="0.25">
      <c r="D13694" s="28"/>
      <c r="F13694" s="28"/>
      <c r="H13694" s="28"/>
    </row>
    <row r="13695" spans="4:8" x14ac:dyDescent="0.25">
      <c r="D13695" s="28"/>
      <c r="F13695" s="28"/>
      <c r="H13695" s="28"/>
    </row>
    <row r="13696" spans="4:8" x14ac:dyDescent="0.25">
      <c r="D13696" s="28"/>
      <c r="F13696" s="28"/>
      <c r="H13696" s="28"/>
    </row>
    <row r="13697" spans="4:8" x14ac:dyDescent="0.25">
      <c r="D13697" s="28"/>
      <c r="F13697" s="28"/>
      <c r="H13697" s="28"/>
    </row>
    <row r="13698" spans="4:8" x14ac:dyDescent="0.25">
      <c r="D13698" s="28"/>
      <c r="F13698" s="28"/>
      <c r="H13698" s="28"/>
    </row>
    <row r="13699" spans="4:8" x14ac:dyDescent="0.25">
      <c r="D13699" s="28"/>
      <c r="F13699" s="28"/>
      <c r="H13699" s="28"/>
    </row>
    <row r="13700" spans="4:8" x14ac:dyDescent="0.25">
      <c r="D13700" s="28"/>
      <c r="F13700" s="28"/>
      <c r="H13700" s="28"/>
    </row>
    <row r="13701" spans="4:8" x14ac:dyDescent="0.25">
      <c r="D13701" s="28"/>
      <c r="F13701" s="28"/>
      <c r="H13701" s="28"/>
    </row>
    <row r="13702" spans="4:8" x14ac:dyDescent="0.25">
      <c r="D13702" s="28"/>
      <c r="F13702" s="28"/>
      <c r="H13702" s="28"/>
    </row>
    <row r="13703" spans="4:8" x14ac:dyDescent="0.25">
      <c r="D13703" s="28"/>
      <c r="F13703" s="28"/>
      <c r="H13703" s="28"/>
    </row>
    <row r="13704" spans="4:8" x14ac:dyDescent="0.25">
      <c r="D13704" s="28"/>
      <c r="F13704" s="28"/>
      <c r="H13704" s="28"/>
    </row>
    <row r="13705" spans="4:8" x14ac:dyDescent="0.25">
      <c r="D13705" s="28"/>
      <c r="F13705" s="28"/>
      <c r="H13705" s="28"/>
    </row>
    <row r="13706" spans="4:8" x14ac:dyDescent="0.25">
      <c r="D13706" s="28"/>
      <c r="F13706" s="28"/>
      <c r="H13706" s="28"/>
    </row>
    <row r="13707" spans="4:8" x14ac:dyDescent="0.25">
      <c r="D13707" s="28"/>
      <c r="F13707" s="28"/>
      <c r="H13707" s="28"/>
    </row>
    <row r="13708" spans="4:8" x14ac:dyDescent="0.25">
      <c r="D13708" s="28"/>
      <c r="F13708" s="28"/>
      <c r="H13708" s="28"/>
    </row>
    <row r="13709" spans="4:8" x14ac:dyDescent="0.25">
      <c r="D13709" s="28"/>
      <c r="F13709" s="28"/>
      <c r="H13709" s="28"/>
    </row>
    <row r="13710" spans="4:8" x14ac:dyDescent="0.25">
      <c r="D13710" s="28"/>
      <c r="F13710" s="28"/>
      <c r="H13710" s="28"/>
    </row>
    <row r="13711" spans="4:8" x14ac:dyDescent="0.25">
      <c r="D13711" s="28"/>
      <c r="F13711" s="28"/>
      <c r="H13711" s="28"/>
    </row>
    <row r="13712" spans="4:8" x14ac:dyDescent="0.25">
      <c r="D13712" s="28"/>
      <c r="F13712" s="28"/>
      <c r="H13712" s="28"/>
    </row>
    <row r="13713" spans="4:8" x14ac:dyDescent="0.25">
      <c r="D13713" s="28"/>
      <c r="F13713" s="28"/>
      <c r="H13713" s="28"/>
    </row>
    <row r="13714" spans="4:8" x14ac:dyDescent="0.25">
      <c r="D13714" s="28"/>
      <c r="F13714" s="28"/>
      <c r="H13714" s="28"/>
    </row>
    <row r="13715" spans="4:8" x14ac:dyDescent="0.25">
      <c r="D13715" s="28"/>
      <c r="F13715" s="28"/>
      <c r="H13715" s="28"/>
    </row>
    <row r="13716" spans="4:8" x14ac:dyDescent="0.25">
      <c r="D13716" s="28"/>
      <c r="F13716" s="28"/>
      <c r="H13716" s="28"/>
    </row>
    <row r="13717" spans="4:8" x14ac:dyDescent="0.25">
      <c r="D13717" s="28"/>
      <c r="F13717" s="28"/>
      <c r="H13717" s="28"/>
    </row>
    <row r="13718" spans="4:8" x14ac:dyDescent="0.25">
      <c r="D13718" s="28"/>
      <c r="F13718" s="28"/>
      <c r="H13718" s="28"/>
    </row>
    <row r="13719" spans="4:8" x14ac:dyDescent="0.25">
      <c r="D13719" s="28"/>
      <c r="F13719" s="28"/>
      <c r="H13719" s="28"/>
    </row>
    <row r="13720" spans="4:8" x14ac:dyDescent="0.25">
      <c r="D13720" s="28"/>
      <c r="F13720" s="28"/>
      <c r="H13720" s="28"/>
    </row>
    <row r="13721" spans="4:8" x14ac:dyDescent="0.25">
      <c r="D13721" s="28"/>
      <c r="F13721" s="28"/>
      <c r="H13721" s="28"/>
    </row>
    <row r="13722" spans="4:8" x14ac:dyDescent="0.25">
      <c r="D13722" s="28"/>
      <c r="F13722" s="28"/>
      <c r="H13722" s="28"/>
    </row>
    <row r="13723" spans="4:8" x14ac:dyDescent="0.25">
      <c r="D13723" s="28"/>
      <c r="F13723" s="28"/>
      <c r="H13723" s="28"/>
    </row>
    <row r="13724" spans="4:8" x14ac:dyDescent="0.25">
      <c r="D13724" s="28"/>
      <c r="F13724" s="28"/>
      <c r="H13724" s="28"/>
    </row>
    <row r="13725" spans="4:8" x14ac:dyDescent="0.25">
      <c r="D13725" s="28"/>
      <c r="F13725" s="28"/>
      <c r="H13725" s="28"/>
    </row>
    <row r="13726" spans="4:8" x14ac:dyDescent="0.25">
      <c r="D13726" s="28"/>
      <c r="F13726" s="28"/>
      <c r="H13726" s="28"/>
    </row>
    <row r="13727" spans="4:8" x14ac:dyDescent="0.25">
      <c r="D13727" s="28"/>
      <c r="F13727" s="28"/>
      <c r="H13727" s="28"/>
    </row>
    <row r="13728" spans="4:8" x14ac:dyDescent="0.25">
      <c r="D13728" s="28"/>
      <c r="F13728" s="28"/>
      <c r="H13728" s="28"/>
    </row>
    <row r="13729" spans="4:8" x14ac:dyDescent="0.25">
      <c r="D13729" s="28"/>
      <c r="F13729" s="28"/>
      <c r="H13729" s="28"/>
    </row>
    <row r="13730" spans="4:8" x14ac:dyDescent="0.25">
      <c r="D13730" s="28"/>
      <c r="F13730" s="28"/>
      <c r="H13730" s="28"/>
    </row>
    <row r="13731" spans="4:8" x14ac:dyDescent="0.25">
      <c r="D13731" s="28"/>
      <c r="F13731" s="28"/>
      <c r="H13731" s="28"/>
    </row>
    <row r="13732" spans="4:8" x14ac:dyDescent="0.25">
      <c r="D13732" s="28"/>
      <c r="F13732" s="28"/>
      <c r="H13732" s="28"/>
    </row>
    <row r="13733" spans="4:8" x14ac:dyDescent="0.25">
      <c r="D13733" s="28"/>
      <c r="F13733" s="28"/>
      <c r="H13733" s="28"/>
    </row>
    <row r="13734" spans="4:8" x14ac:dyDescent="0.25">
      <c r="D13734" s="28"/>
      <c r="F13734" s="28"/>
      <c r="H13734" s="28"/>
    </row>
    <row r="13735" spans="4:8" x14ac:dyDescent="0.25">
      <c r="D13735" s="28"/>
      <c r="F13735" s="28"/>
      <c r="H13735" s="28"/>
    </row>
    <row r="13736" spans="4:8" x14ac:dyDescent="0.25">
      <c r="D13736" s="28"/>
      <c r="F13736" s="28"/>
      <c r="H13736" s="28"/>
    </row>
    <row r="13737" spans="4:8" x14ac:dyDescent="0.25">
      <c r="D13737" s="28"/>
      <c r="F13737" s="28"/>
      <c r="H13737" s="28"/>
    </row>
    <row r="13738" spans="4:8" x14ac:dyDescent="0.25">
      <c r="D13738" s="28"/>
      <c r="F13738" s="28"/>
      <c r="H13738" s="28"/>
    </row>
    <row r="13739" spans="4:8" x14ac:dyDescent="0.25">
      <c r="D13739" s="28"/>
      <c r="F13739" s="28"/>
      <c r="H13739" s="28"/>
    </row>
    <row r="13740" spans="4:8" x14ac:dyDescent="0.25">
      <c r="D13740" s="28"/>
      <c r="F13740" s="28"/>
      <c r="H13740" s="28"/>
    </row>
    <row r="13741" spans="4:8" x14ac:dyDescent="0.25">
      <c r="D13741" s="28"/>
      <c r="F13741" s="28"/>
      <c r="H13741" s="28"/>
    </row>
    <row r="13742" spans="4:8" x14ac:dyDescent="0.25">
      <c r="D13742" s="28"/>
      <c r="F13742" s="28"/>
      <c r="H13742" s="28"/>
    </row>
    <row r="13743" spans="4:8" x14ac:dyDescent="0.25">
      <c r="D13743" s="28"/>
      <c r="F13743" s="28"/>
      <c r="H13743" s="28"/>
    </row>
    <row r="13744" spans="4:8" x14ac:dyDescent="0.25">
      <c r="D13744" s="28"/>
      <c r="F13744" s="28"/>
      <c r="H13744" s="28"/>
    </row>
    <row r="13745" spans="4:8" x14ac:dyDescent="0.25">
      <c r="D13745" s="28"/>
      <c r="F13745" s="28"/>
      <c r="H13745" s="28"/>
    </row>
    <row r="13746" spans="4:8" x14ac:dyDescent="0.25">
      <c r="D13746" s="28"/>
      <c r="F13746" s="28"/>
      <c r="H13746" s="28"/>
    </row>
    <row r="13747" spans="4:8" x14ac:dyDescent="0.25">
      <c r="D13747" s="28"/>
      <c r="F13747" s="28"/>
      <c r="H13747" s="28"/>
    </row>
    <row r="13748" spans="4:8" x14ac:dyDescent="0.25">
      <c r="D13748" s="28"/>
      <c r="F13748" s="28"/>
      <c r="H13748" s="28"/>
    </row>
    <row r="13749" spans="4:8" x14ac:dyDescent="0.25">
      <c r="D13749" s="28"/>
      <c r="F13749" s="28"/>
      <c r="H13749" s="28"/>
    </row>
    <row r="13750" spans="4:8" x14ac:dyDescent="0.25">
      <c r="D13750" s="28"/>
      <c r="F13750" s="28"/>
      <c r="H13750" s="28"/>
    </row>
    <row r="13751" spans="4:8" x14ac:dyDescent="0.25">
      <c r="D13751" s="28"/>
      <c r="F13751" s="28"/>
      <c r="H13751" s="28"/>
    </row>
    <row r="13752" spans="4:8" x14ac:dyDescent="0.25">
      <c r="D13752" s="28"/>
      <c r="F13752" s="28"/>
      <c r="H13752" s="28"/>
    </row>
    <row r="13753" spans="4:8" x14ac:dyDescent="0.25">
      <c r="D13753" s="28"/>
      <c r="F13753" s="28"/>
      <c r="H13753" s="28"/>
    </row>
    <row r="13754" spans="4:8" x14ac:dyDescent="0.25">
      <c r="D13754" s="28"/>
      <c r="F13754" s="28"/>
      <c r="H13754" s="28"/>
    </row>
    <row r="13755" spans="4:8" x14ac:dyDescent="0.25">
      <c r="D13755" s="28"/>
      <c r="F13755" s="28"/>
      <c r="H13755" s="28"/>
    </row>
    <row r="13756" spans="4:8" x14ac:dyDescent="0.25">
      <c r="D13756" s="28"/>
      <c r="F13756" s="28"/>
      <c r="H13756" s="28"/>
    </row>
    <row r="13757" spans="4:8" x14ac:dyDescent="0.25">
      <c r="D13757" s="28"/>
      <c r="F13757" s="28"/>
      <c r="H13757" s="28"/>
    </row>
    <row r="13758" spans="4:8" x14ac:dyDescent="0.25">
      <c r="D13758" s="28"/>
      <c r="F13758" s="28"/>
      <c r="H13758" s="28"/>
    </row>
    <row r="13759" spans="4:8" x14ac:dyDescent="0.25">
      <c r="D13759" s="28"/>
      <c r="F13759" s="28"/>
      <c r="H13759" s="28"/>
    </row>
    <row r="13760" spans="4:8" x14ac:dyDescent="0.25">
      <c r="D13760" s="28"/>
      <c r="F13760" s="28"/>
      <c r="H13760" s="28"/>
    </row>
    <row r="13761" spans="4:8" x14ac:dyDescent="0.25">
      <c r="D13761" s="28"/>
      <c r="F13761" s="28"/>
      <c r="H13761" s="28"/>
    </row>
    <row r="13762" spans="4:8" x14ac:dyDescent="0.25">
      <c r="D13762" s="28"/>
      <c r="F13762" s="28"/>
      <c r="H13762" s="28"/>
    </row>
    <row r="13763" spans="4:8" x14ac:dyDescent="0.25">
      <c r="D13763" s="28"/>
      <c r="F13763" s="28"/>
      <c r="H13763" s="28"/>
    </row>
    <row r="13764" spans="4:8" x14ac:dyDescent="0.25">
      <c r="D13764" s="28"/>
      <c r="F13764" s="28"/>
      <c r="H13764" s="28"/>
    </row>
    <row r="13765" spans="4:8" x14ac:dyDescent="0.25">
      <c r="D13765" s="28"/>
      <c r="F13765" s="28"/>
      <c r="H13765" s="28"/>
    </row>
    <row r="13766" spans="4:8" x14ac:dyDescent="0.25">
      <c r="D13766" s="28"/>
      <c r="F13766" s="28"/>
      <c r="H13766" s="28"/>
    </row>
    <row r="13767" spans="4:8" x14ac:dyDescent="0.25">
      <c r="D13767" s="28"/>
      <c r="F13767" s="28"/>
      <c r="H13767" s="28"/>
    </row>
    <row r="13768" spans="4:8" x14ac:dyDescent="0.25">
      <c r="D13768" s="28"/>
      <c r="F13768" s="28"/>
      <c r="H13768" s="28"/>
    </row>
    <row r="13769" spans="4:8" x14ac:dyDescent="0.25">
      <c r="D13769" s="28"/>
      <c r="F13769" s="28"/>
      <c r="H13769" s="28"/>
    </row>
    <row r="13770" spans="4:8" x14ac:dyDescent="0.25">
      <c r="D13770" s="28"/>
      <c r="F13770" s="28"/>
      <c r="H13770" s="28"/>
    </row>
    <row r="13771" spans="4:8" x14ac:dyDescent="0.25">
      <c r="D13771" s="28"/>
      <c r="F13771" s="28"/>
      <c r="H13771" s="28"/>
    </row>
    <row r="13772" spans="4:8" x14ac:dyDescent="0.25">
      <c r="D13772" s="28"/>
      <c r="F13772" s="28"/>
      <c r="H13772" s="28"/>
    </row>
    <row r="13773" spans="4:8" x14ac:dyDescent="0.25">
      <c r="D13773" s="28"/>
      <c r="F13773" s="28"/>
      <c r="H13773" s="28"/>
    </row>
    <row r="13774" spans="4:8" x14ac:dyDescent="0.25">
      <c r="D13774" s="28"/>
      <c r="F13774" s="28"/>
      <c r="H13774" s="28"/>
    </row>
    <row r="13775" spans="4:8" x14ac:dyDescent="0.25">
      <c r="D13775" s="28"/>
      <c r="F13775" s="28"/>
      <c r="H13775" s="28"/>
    </row>
    <row r="13776" spans="4:8" x14ac:dyDescent="0.25">
      <c r="D13776" s="28"/>
      <c r="F13776" s="28"/>
      <c r="H13776" s="28"/>
    </row>
    <row r="13777" spans="4:8" x14ac:dyDescent="0.25">
      <c r="D13777" s="28"/>
      <c r="F13777" s="28"/>
      <c r="H13777" s="28"/>
    </row>
    <row r="13778" spans="4:8" x14ac:dyDescent="0.25">
      <c r="D13778" s="28"/>
      <c r="F13778" s="28"/>
      <c r="H13778" s="28"/>
    </row>
    <row r="13779" spans="4:8" x14ac:dyDescent="0.25">
      <c r="D13779" s="28"/>
      <c r="F13779" s="28"/>
      <c r="H13779" s="28"/>
    </row>
    <row r="13780" spans="4:8" x14ac:dyDescent="0.25">
      <c r="D13780" s="28"/>
      <c r="F13780" s="28"/>
      <c r="H13780" s="28"/>
    </row>
    <row r="13781" spans="4:8" x14ac:dyDescent="0.25">
      <c r="D13781" s="28"/>
      <c r="F13781" s="28"/>
      <c r="H13781" s="28"/>
    </row>
    <row r="13782" spans="4:8" x14ac:dyDescent="0.25">
      <c r="D13782" s="28"/>
      <c r="F13782" s="28"/>
      <c r="H13782" s="28"/>
    </row>
    <row r="13783" spans="4:8" x14ac:dyDescent="0.25">
      <c r="D13783" s="28"/>
      <c r="F13783" s="28"/>
      <c r="H13783" s="28"/>
    </row>
    <row r="13784" spans="4:8" x14ac:dyDescent="0.25">
      <c r="D13784" s="28"/>
      <c r="F13784" s="28"/>
      <c r="H13784" s="28"/>
    </row>
    <row r="13785" spans="4:8" x14ac:dyDescent="0.25">
      <c r="D13785" s="28"/>
      <c r="F13785" s="28"/>
      <c r="H13785" s="28"/>
    </row>
    <row r="13786" spans="4:8" x14ac:dyDescent="0.25">
      <c r="D13786" s="28"/>
      <c r="F13786" s="28"/>
      <c r="H13786" s="28"/>
    </row>
    <row r="13787" spans="4:8" x14ac:dyDescent="0.25">
      <c r="D13787" s="28"/>
      <c r="F13787" s="28"/>
      <c r="H13787" s="28"/>
    </row>
    <row r="13788" spans="4:8" x14ac:dyDescent="0.25">
      <c r="D13788" s="28"/>
      <c r="F13788" s="28"/>
      <c r="H13788" s="28"/>
    </row>
    <row r="13789" spans="4:8" x14ac:dyDescent="0.25">
      <c r="D13789" s="28"/>
      <c r="F13789" s="28"/>
      <c r="H13789" s="28"/>
    </row>
    <row r="13790" spans="4:8" x14ac:dyDescent="0.25">
      <c r="D13790" s="28"/>
      <c r="F13790" s="28"/>
      <c r="H13790" s="28"/>
    </row>
    <row r="13791" spans="4:8" x14ac:dyDescent="0.25">
      <c r="D13791" s="28"/>
      <c r="F13791" s="28"/>
      <c r="H13791" s="28"/>
    </row>
    <row r="13792" spans="4:8" x14ac:dyDescent="0.25">
      <c r="D13792" s="28"/>
      <c r="F13792" s="28"/>
      <c r="H13792" s="28"/>
    </row>
    <row r="13793" spans="4:8" x14ac:dyDescent="0.25">
      <c r="D13793" s="28"/>
      <c r="F13793" s="28"/>
      <c r="H13793" s="28"/>
    </row>
    <row r="13794" spans="4:8" x14ac:dyDescent="0.25">
      <c r="D13794" s="28"/>
      <c r="F13794" s="28"/>
      <c r="H13794" s="28"/>
    </row>
    <row r="13795" spans="4:8" x14ac:dyDescent="0.25">
      <c r="D13795" s="28"/>
      <c r="F13795" s="28"/>
      <c r="H13795" s="28"/>
    </row>
    <row r="13796" spans="4:8" x14ac:dyDescent="0.25">
      <c r="D13796" s="28"/>
      <c r="F13796" s="28"/>
      <c r="H13796" s="28"/>
    </row>
    <row r="13797" spans="4:8" x14ac:dyDescent="0.25">
      <c r="D13797" s="28"/>
      <c r="F13797" s="28"/>
      <c r="H13797" s="28"/>
    </row>
    <row r="13798" spans="4:8" x14ac:dyDescent="0.25">
      <c r="D13798" s="28"/>
      <c r="F13798" s="28"/>
      <c r="H13798" s="28"/>
    </row>
    <row r="13799" spans="4:8" x14ac:dyDescent="0.25">
      <c r="D13799" s="28"/>
      <c r="F13799" s="28"/>
      <c r="H13799" s="28"/>
    </row>
    <row r="13800" spans="4:8" x14ac:dyDescent="0.25">
      <c r="D13800" s="28"/>
      <c r="F13800" s="28"/>
      <c r="H13800" s="28"/>
    </row>
    <row r="13801" spans="4:8" x14ac:dyDescent="0.25">
      <c r="D13801" s="28"/>
      <c r="F13801" s="28"/>
      <c r="H13801" s="28"/>
    </row>
    <row r="13802" spans="4:8" x14ac:dyDescent="0.25">
      <c r="D13802" s="28"/>
      <c r="F13802" s="28"/>
      <c r="H13802" s="28"/>
    </row>
    <row r="13803" spans="4:8" x14ac:dyDescent="0.25">
      <c r="D13803" s="28"/>
      <c r="F13803" s="28"/>
      <c r="H13803" s="28"/>
    </row>
    <row r="13804" spans="4:8" x14ac:dyDescent="0.25">
      <c r="D13804" s="28"/>
      <c r="F13804" s="28"/>
      <c r="H13804" s="28"/>
    </row>
    <row r="13805" spans="4:8" x14ac:dyDescent="0.25">
      <c r="D13805" s="28"/>
      <c r="F13805" s="28"/>
      <c r="H13805" s="28"/>
    </row>
    <row r="13806" spans="4:8" x14ac:dyDescent="0.25">
      <c r="D13806" s="28"/>
      <c r="F13806" s="28"/>
      <c r="H13806" s="28"/>
    </row>
    <row r="13807" spans="4:8" x14ac:dyDescent="0.25">
      <c r="D13807" s="28"/>
      <c r="F13807" s="28"/>
      <c r="H13807" s="28"/>
    </row>
    <row r="13808" spans="4:8" x14ac:dyDescent="0.25">
      <c r="D13808" s="28"/>
      <c r="F13808" s="28"/>
      <c r="H13808" s="28"/>
    </row>
    <row r="13809" spans="4:8" x14ac:dyDescent="0.25">
      <c r="D13809" s="28"/>
      <c r="F13809" s="28"/>
      <c r="H13809" s="28"/>
    </row>
    <row r="13810" spans="4:8" x14ac:dyDescent="0.25">
      <c r="D13810" s="28"/>
      <c r="F13810" s="28"/>
      <c r="H13810" s="28"/>
    </row>
    <row r="13811" spans="4:8" x14ac:dyDescent="0.25">
      <c r="D13811" s="28"/>
      <c r="F13811" s="28"/>
      <c r="H13811" s="28"/>
    </row>
    <row r="13812" spans="4:8" x14ac:dyDescent="0.25">
      <c r="D13812" s="28"/>
      <c r="F13812" s="28"/>
      <c r="H13812" s="28"/>
    </row>
    <row r="13813" spans="4:8" x14ac:dyDescent="0.25">
      <c r="D13813" s="28"/>
      <c r="F13813" s="28"/>
      <c r="H13813" s="28"/>
    </row>
    <row r="13814" spans="4:8" x14ac:dyDescent="0.25">
      <c r="D13814" s="28"/>
      <c r="F13814" s="28"/>
      <c r="H13814" s="28"/>
    </row>
    <row r="13815" spans="4:8" x14ac:dyDescent="0.25">
      <c r="D13815" s="28"/>
      <c r="F13815" s="28"/>
      <c r="H13815" s="28"/>
    </row>
    <row r="13816" spans="4:8" x14ac:dyDescent="0.25">
      <c r="D13816" s="28"/>
      <c r="F13816" s="28"/>
      <c r="H13816" s="28"/>
    </row>
    <row r="13817" spans="4:8" x14ac:dyDescent="0.25">
      <c r="D13817" s="28"/>
      <c r="F13817" s="28"/>
      <c r="H13817" s="28"/>
    </row>
    <row r="13818" spans="4:8" x14ac:dyDescent="0.25">
      <c r="D13818" s="28"/>
      <c r="F13818" s="28"/>
      <c r="H13818" s="28"/>
    </row>
    <row r="13819" spans="4:8" x14ac:dyDescent="0.25">
      <c r="D13819" s="28"/>
      <c r="F13819" s="28"/>
      <c r="H13819" s="28"/>
    </row>
    <row r="13820" spans="4:8" x14ac:dyDescent="0.25">
      <c r="D13820" s="28"/>
      <c r="F13820" s="28"/>
      <c r="H13820" s="28"/>
    </row>
    <row r="13821" spans="4:8" x14ac:dyDescent="0.25">
      <c r="D13821" s="28"/>
      <c r="F13821" s="28"/>
      <c r="H13821" s="28"/>
    </row>
    <row r="13822" spans="4:8" x14ac:dyDescent="0.25">
      <c r="D13822" s="28"/>
      <c r="F13822" s="28"/>
      <c r="H13822" s="28"/>
    </row>
    <row r="13823" spans="4:8" x14ac:dyDescent="0.25">
      <c r="D13823" s="28"/>
      <c r="F13823" s="28"/>
      <c r="H13823" s="28"/>
    </row>
    <row r="13824" spans="4:8" x14ac:dyDescent="0.25">
      <c r="D13824" s="28"/>
      <c r="F13824" s="28"/>
      <c r="H13824" s="28"/>
    </row>
    <row r="13825" spans="4:8" x14ac:dyDescent="0.25">
      <c r="D13825" s="28"/>
      <c r="F13825" s="28"/>
      <c r="H13825" s="28"/>
    </row>
    <row r="13826" spans="4:8" x14ac:dyDescent="0.25">
      <c r="D13826" s="28"/>
      <c r="F13826" s="28"/>
      <c r="H13826" s="28"/>
    </row>
    <row r="13827" spans="4:8" x14ac:dyDescent="0.25">
      <c r="D13827" s="28"/>
      <c r="F13827" s="28"/>
      <c r="H13827" s="28"/>
    </row>
    <row r="13828" spans="4:8" x14ac:dyDescent="0.25">
      <c r="D13828" s="28"/>
      <c r="F13828" s="28"/>
      <c r="H13828" s="28"/>
    </row>
    <row r="13829" spans="4:8" x14ac:dyDescent="0.25">
      <c r="D13829" s="28"/>
      <c r="F13829" s="28"/>
      <c r="H13829" s="28"/>
    </row>
    <row r="13830" spans="4:8" x14ac:dyDescent="0.25">
      <c r="D13830" s="28"/>
      <c r="F13830" s="28"/>
      <c r="H13830" s="28"/>
    </row>
    <row r="13831" spans="4:8" x14ac:dyDescent="0.25">
      <c r="D13831" s="28"/>
      <c r="F13831" s="28"/>
      <c r="H13831" s="28"/>
    </row>
    <row r="13832" spans="4:8" x14ac:dyDescent="0.25">
      <c r="D13832" s="28"/>
      <c r="F13832" s="28"/>
      <c r="H13832" s="28"/>
    </row>
    <row r="13833" spans="4:8" x14ac:dyDescent="0.25">
      <c r="D13833" s="28"/>
      <c r="F13833" s="28"/>
      <c r="H13833" s="28"/>
    </row>
    <row r="13834" spans="4:8" x14ac:dyDescent="0.25">
      <c r="D13834" s="28"/>
      <c r="F13834" s="28"/>
      <c r="H13834" s="28"/>
    </row>
    <row r="13835" spans="4:8" x14ac:dyDescent="0.25">
      <c r="D13835" s="28"/>
      <c r="F13835" s="28"/>
      <c r="H13835" s="28"/>
    </row>
    <row r="13836" spans="4:8" x14ac:dyDescent="0.25">
      <c r="D13836" s="28"/>
      <c r="F13836" s="28"/>
      <c r="H13836" s="28"/>
    </row>
    <row r="13837" spans="4:8" x14ac:dyDescent="0.25">
      <c r="D13837" s="28"/>
      <c r="F13837" s="28"/>
      <c r="H13837" s="28"/>
    </row>
    <row r="13838" spans="4:8" x14ac:dyDescent="0.25">
      <c r="D13838" s="28"/>
      <c r="F13838" s="28"/>
      <c r="H13838" s="28"/>
    </row>
    <row r="13839" spans="4:8" x14ac:dyDescent="0.25">
      <c r="D13839" s="28"/>
      <c r="F13839" s="28"/>
      <c r="H13839" s="28"/>
    </row>
    <row r="13840" spans="4:8" x14ac:dyDescent="0.25">
      <c r="D13840" s="28"/>
      <c r="F13840" s="28"/>
      <c r="H13840" s="28"/>
    </row>
    <row r="13841" spans="4:8" x14ac:dyDescent="0.25">
      <c r="D13841" s="28"/>
      <c r="F13841" s="28"/>
      <c r="H13841" s="28"/>
    </row>
    <row r="13842" spans="4:8" x14ac:dyDescent="0.25">
      <c r="D13842" s="28"/>
      <c r="F13842" s="28"/>
      <c r="H13842" s="28"/>
    </row>
    <row r="13843" spans="4:8" x14ac:dyDescent="0.25">
      <c r="D13843" s="28"/>
      <c r="F13843" s="28"/>
      <c r="H13843" s="28"/>
    </row>
    <row r="13844" spans="4:8" x14ac:dyDescent="0.25">
      <c r="D13844" s="28"/>
      <c r="F13844" s="28"/>
      <c r="H13844" s="28"/>
    </row>
    <row r="13845" spans="4:8" x14ac:dyDescent="0.25">
      <c r="D13845" s="28"/>
      <c r="F13845" s="28"/>
      <c r="H13845" s="28"/>
    </row>
    <row r="13846" spans="4:8" x14ac:dyDescent="0.25">
      <c r="D13846" s="28"/>
      <c r="F13846" s="28"/>
      <c r="H13846" s="28"/>
    </row>
    <row r="13847" spans="4:8" x14ac:dyDescent="0.25">
      <c r="D13847" s="28"/>
      <c r="F13847" s="28"/>
      <c r="H13847" s="28"/>
    </row>
    <row r="13848" spans="4:8" x14ac:dyDescent="0.25">
      <c r="D13848" s="28"/>
      <c r="F13848" s="28"/>
      <c r="H13848" s="28"/>
    </row>
    <row r="13849" spans="4:8" x14ac:dyDescent="0.25">
      <c r="D13849" s="28"/>
      <c r="F13849" s="28"/>
      <c r="H13849" s="28"/>
    </row>
    <row r="13850" spans="4:8" x14ac:dyDescent="0.25">
      <c r="D13850" s="28"/>
      <c r="F13850" s="28"/>
      <c r="H13850" s="28"/>
    </row>
    <row r="13851" spans="4:8" x14ac:dyDescent="0.25">
      <c r="D13851" s="28"/>
      <c r="F13851" s="28"/>
      <c r="H13851" s="28"/>
    </row>
    <row r="13852" spans="4:8" x14ac:dyDescent="0.25">
      <c r="D13852" s="28"/>
      <c r="F13852" s="28"/>
      <c r="H13852" s="28"/>
    </row>
    <row r="13853" spans="4:8" x14ac:dyDescent="0.25">
      <c r="D13853" s="28"/>
      <c r="F13853" s="28"/>
      <c r="H13853" s="28"/>
    </row>
    <row r="13854" spans="4:8" x14ac:dyDescent="0.25">
      <c r="D13854" s="28"/>
      <c r="F13854" s="28"/>
      <c r="H13854" s="28"/>
    </row>
    <row r="13855" spans="4:8" x14ac:dyDescent="0.25">
      <c r="D13855" s="28"/>
      <c r="F13855" s="28"/>
      <c r="H13855" s="28"/>
    </row>
    <row r="13856" spans="4:8" x14ac:dyDescent="0.25">
      <c r="D13856" s="28"/>
      <c r="F13856" s="28"/>
      <c r="H13856" s="28"/>
    </row>
    <row r="13857" spans="4:8" x14ac:dyDescent="0.25">
      <c r="D13857" s="28"/>
      <c r="F13857" s="28"/>
      <c r="H13857" s="28"/>
    </row>
    <row r="13858" spans="4:8" x14ac:dyDescent="0.25">
      <c r="D13858" s="28"/>
      <c r="F13858" s="28"/>
      <c r="H13858" s="28"/>
    </row>
    <row r="13859" spans="4:8" x14ac:dyDescent="0.25">
      <c r="D13859" s="28"/>
      <c r="F13859" s="28"/>
      <c r="H13859" s="28"/>
    </row>
    <row r="13860" spans="4:8" x14ac:dyDescent="0.25">
      <c r="D13860" s="28"/>
      <c r="F13860" s="28"/>
      <c r="H13860" s="28"/>
    </row>
    <row r="13861" spans="4:8" x14ac:dyDescent="0.25">
      <c r="D13861" s="28"/>
      <c r="F13861" s="28"/>
      <c r="H13861" s="28"/>
    </row>
    <row r="13862" spans="4:8" x14ac:dyDescent="0.25">
      <c r="D13862" s="28"/>
      <c r="F13862" s="28"/>
      <c r="H13862" s="28"/>
    </row>
    <row r="13863" spans="4:8" x14ac:dyDescent="0.25">
      <c r="D13863" s="28"/>
      <c r="F13863" s="28"/>
      <c r="H13863" s="28"/>
    </row>
    <row r="13864" spans="4:8" x14ac:dyDescent="0.25">
      <c r="D13864" s="28"/>
      <c r="F13864" s="28"/>
      <c r="H13864" s="28"/>
    </row>
    <row r="13865" spans="4:8" x14ac:dyDescent="0.25">
      <c r="D13865" s="28"/>
      <c r="F13865" s="28"/>
      <c r="H13865" s="28"/>
    </row>
    <row r="13866" spans="4:8" x14ac:dyDescent="0.25">
      <c r="D13866" s="28"/>
      <c r="F13866" s="28"/>
      <c r="H13866" s="28"/>
    </row>
    <row r="13867" spans="4:8" x14ac:dyDescent="0.25">
      <c r="D13867" s="28"/>
      <c r="F13867" s="28"/>
      <c r="H13867" s="28"/>
    </row>
    <row r="13868" spans="4:8" x14ac:dyDescent="0.25">
      <c r="D13868" s="28"/>
      <c r="F13868" s="28"/>
      <c r="H13868" s="28"/>
    </row>
    <row r="13869" spans="4:8" x14ac:dyDescent="0.25">
      <c r="D13869" s="28"/>
      <c r="F13869" s="28"/>
      <c r="H13869" s="28"/>
    </row>
    <row r="13870" spans="4:8" x14ac:dyDescent="0.25">
      <c r="D13870" s="28"/>
      <c r="F13870" s="28"/>
      <c r="H13870" s="28"/>
    </row>
    <row r="13871" spans="4:8" x14ac:dyDescent="0.25">
      <c r="D13871" s="28"/>
      <c r="F13871" s="28"/>
      <c r="H13871" s="28"/>
    </row>
    <row r="13872" spans="4:8" x14ac:dyDescent="0.25">
      <c r="D13872" s="28"/>
      <c r="F13872" s="28"/>
      <c r="H13872" s="28"/>
    </row>
    <row r="13873" spans="4:8" x14ac:dyDescent="0.25">
      <c r="D13873" s="28"/>
      <c r="F13873" s="28"/>
      <c r="H13873" s="28"/>
    </row>
    <row r="13874" spans="4:8" x14ac:dyDescent="0.25">
      <c r="D13874" s="28"/>
      <c r="F13874" s="28"/>
      <c r="H13874" s="28"/>
    </row>
    <row r="13875" spans="4:8" x14ac:dyDescent="0.25">
      <c r="D13875" s="28"/>
      <c r="F13875" s="28"/>
      <c r="H13875" s="28"/>
    </row>
    <row r="13876" spans="4:8" x14ac:dyDescent="0.25">
      <c r="D13876" s="28"/>
      <c r="F13876" s="28"/>
      <c r="H13876" s="28"/>
    </row>
    <row r="13877" spans="4:8" x14ac:dyDescent="0.25">
      <c r="D13877" s="28"/>
      <c r="F13877" s="28"/>
      <c r="H13877" s="28"/>
    </row>
    <row r="13878" spans="4:8" x14ac:dyDescent="0.25">
      <c r="D13878" s="28"/>
      <c r="F13878" s="28"/>
      <c r="H13878" s="28"/>
    </row>
    <row r="13879" spans="4:8" x14ac:dyDescent="0.25">
      <c r="D13879" s="28"/>
      <c r="F13879" s="28"/>
      <c r="H13879" s="28"/>
    </row>
    <row r="13880" spans="4:8" x14ac:dyDescent="0.25">
      <c r="D13880" s="28"/>
      <c r="F13880" s="28"/>
      <c r="H13880" s="28"/>
    </row>
    <row r="13881" spans="4:8" x14ac:dyDescent="0.25">
      <c r="D13881" s="28"/>
      <c r="F13881" s="28"/>
      <c r="H13881" s="28"/>
    </row>
    <row r="13882" spans="4:8" x14ac:dyDescent="0.25">
      <c r="D13882" s="28"/>
      <c r="F13882" s="28"/>
      <c r="H13882" s="28"/>
    </row>
    <row r="13883" spans="4:8" x14ac:dyDescent="0.25">
      <c r="D13883" s="28"/>
      <c r="F13883" s="28"/>
      <c r="H13883" s="28"/>
    </row>
    <row r="13884" spans="4:8" x14ac:dyDescent="0.25">
      <c r="D13884" s="28"/>
      <c r="F13884" s="28"/>
      <c r="H13884" s="28"/>
    </row>
    <row r="13885" spans="4:8" x14ac:dyDescent="0.25">
      <c r="D13885" s="28"/>
      <c r="F13885" s="28"/>
      <c r="H13885" s="28"/>
    </row>
    <row r="13886" spans="4:8" x14ac:dyDescent="0.25">
      <c r="D13886" s="28"/>
      <c r="F13886" s="28"/>
      <c r="H13886" s="28"/>
    </row>
    <row r="13887" spans="4:8" x14ac:dyDescent="0.25">
      <c r="D13887" s="28"/>
      <c r="F13887" s="28"/>
      <c r="H13887" s="28"/>
    </row>
    <row r="13888" spans="4:8" x14ac:dyDescent="0.25">
      <c r="D13888" s="28"/>
      <c r="F13888" s="28"/>
      <c r="H13888" s="28"/>
    </row>
    <row r="13889" spans="4:8" x14ac:dyDescent="0.25">
      <c r="D13889" s="28"/>
      <c r="F13889" s="28"/>
      <c r="H13889" s="28"/>
    </row>
    <row r="13890" spans="4:8" x14ac:dyDescent="0.25">
      <c r="D13890" s="28"/>
      <c r="F13890" s="28"/>
      <c r="H13890" s="28"/>
    </row>
    <row r="13891" spans="4:8" x14ac:dyDescent="0.25">
      <c r="D13891" s="28"/>
      <c r="F13891" s="28"/>
      <c r="H13891" s="28"/>
    </row>
    <row r="13892" spans="4:8" x14ac:dyDescent="0.25">
      <c r="D13892" s="28"/>
      <c r="F13892" s="28"/>
      <c r="H13892" s="28"/>
    </row>
    <row r="13893" spans="4:8" x14ac:dyDescent="0.25">
      <c r="D13893" s="28"/>
      <c r="F13893" s="28"/>
      <c r="H13893" s="28"/>
    </row>
    <row r="13894" spans="4:8" x14ac:dyDescent="0.25">
      <c r="D13894" s="28"/>
      <c r="F13894" s="28"/>
      <c r="H13894" s="28"/>
    </row>
    <row r="13895" spans="4:8" x14ac:dyDescent="0.25">
      <c r="D13895" s="28"/>
      <c r="F13895" s="28"/>
      <c r="H13895" s="28"/>
    </row>
    <row r="13896" spans="4:8" x14ac:dyDescent="0.25">
      <c r="D13896" s="28"/>
      <c r="F13896" s="28"/>
      <c r="H13896" s="28"/>
    </row>
    <row r="13897" spans="4:8" x14ac:dyDescent="0.25">
      <c r="D13897" s="28"/>
      <c r="F13897" s="28"/>
      <c r="H13897" s="28"/>
    </row>
    <row r="13898" spans="4:8" x14ac:dyDescent="0.25">
      <c r="D13898" s="28"/>
      <c r="F13898" s="28"/>
      <c r="H13898" s="28"/>
    </row>
    <row r="13899" spans="4:8" x14ac:dyDescent="0.25">
      <c r="D13899" s="28"/>
      <c r="F13899" s="28"/>
      <c r="H13899" s="28"/>
    </row>
    <row r="13900" spans="4:8" x14ac:dyDescent="0.25">
      <c r="D13900" s="28"/>
      <c r="F13900" s="28"/>
      <c r="H13900" s="28"/>
    </row>
    <row r="13901" spans="4:8" x14ac:dyDescent="0.25">
      <c r="D13901" s="28"/>
      <c r="F13901" s="28"/>
      <c r="H13901" s="28"/>
    </row>
    <row r="13902" spans="4:8" x14ac:dyDescent="0.25">
      <c r="D13902" s="28"/>
      <c r="F13902" s="28"/>
      <c r="H13902" s="28"/>
    </row>
    <row r="13903" spans="4:8" x14ac:dyDescent="0.25">
      <c r="D13903" s="28"/>
      <c r="F13903" s="28"/>
      <c r="H13903" s="28"/>
    </row>
    <row r="13904" spans="4:8" x14ac:dyDescent="0.25">
      <c r="D13904" s="28"/>
      <c r="F13904" s="28"/>
      <c r="H13904" s="28"/>
    </row>
    <row r="13905" spans="4:8" x14ac:dyDescent="0.25">
      <c r="D13905" s="28"/>
      <c r="F13905" s="28"/>
      <c r="H13905" s="28"/>
    </row>
    <row r="13906" spans="4:8" x14ac:dyDescent="0.25">
      <c r="D13906" s="28"/>
      <c r="F13906" s="28"/>
      <c r="H13906" s="28"/>
    </row>
    <row r="13907" spans="4:8" x14ac:dyDescent="0.25">
      <c r="D13907" s="28"/>
      <c r="F13907" s="28"/>
      <c r="H13907" s="28"/>
    </row>
    <row r="13908" spans="4:8" x14ac:dyDescent="0.25">
      <c r="D13908" s="28"/>
      <c r="F13908" s="28"/>
      <c r="H13908" s="28"/>
    </row>
    <row r="13909" spans="4:8" x14ac:dyDescent="0.25">
      <c r="D13909" s="28"/>
      <c r="F13909" s="28"/>
      <c r="H13909" s="28"/>
    </row>
    <row r="13910" spans="4:8" x14ac:dyDescent="0.25">
      <c r="D13910" s="28"/>
      <c r="F13910" s="28"/>
      <c r="H13910" s="28"/>
    </row>
    <row r="13911" spans="4:8" x14ac:dyDescent="0.25">
      <c r="D13911" s="28"/>
      <c r="F13911" s="28"/>
      <c r="H13911" s="28"/>
    </row>
    <row r="13912" spans="4:8" x14ac:dyDescent="0.25">
      <c r="D13912" s="28"/>
      <c r="F13912" s="28"/>
      <c r="H13912" s="28"/>
    </row>
    <row r="13913" spans="4:8" x14ac:dyDescent="0.25">
      <c r="D13913" s="28"/>
      <c r="F13913" s="28"/>
      <c r="H13913" s="28"/>
    </row>
    <row r="13914" spans="4:8" x14ac:dyDescent="0.25">
      <c r="D13914" s="28"/>
      <c r="F13914" s="28"/>
      <c r="H13914" s="28"/>
    </row>
    <row r="13915" spans="4:8" x14ac:dyDescent="0.25">
      <c r="D13915" s="28"/>
      <c r="F13915" s="28"/>
      <c r="H13915" s="28"/>
    </row>
    <row r="13916" spans="4:8" x14ac:dyDescent="0.25">
      <c r="D13916" s="28"/>
      <c r="F13916" s="28"/>
      <c r="H13916" s="28"/>
    </row>
    <row r="13917" spans="4:8" x14ac:dyDescent="0.25">
      <c r="D13917" s="28"/>
      <c r="F13917" s="28"/>
      <c r="H13917" s="28"/>
    </row>
    <row r="13918" spans="4:8" x14ac:dyDescent="0.25">
      <c r="D13918" s="28"/>
      <c r="F13918" s="28"/>
      <c r="H13918" s="28"/>
    </row>
    <row r="13919" spans="4:8" x14ac:dyDescent="0.25">
      <c r="D13919" s="28"/>
      <c r="F13919" s="28"/>
      <c r="H13919" s="28"/>
    </row>
    <row r="13920" spans="4:8" x14ac:dyDescent="0.25">
      <c r="D13920" s="28"/>
      <c r="F13920" s="28"/>
      <c r="H13920" s="28"/>
    </row>
    <row r="13921" spans="4:8" x14ac:dyDescent="0.25">
      <c r="D13921" s="28"/>
      <c r="F13921" s="28"/>
      <c r="H13921" s="28"/>
    </row>
    <row r="13922" spans="4:8" x14ac:dyDescent="0.25">
      <c r="D13922" s="28"/>
      <c r="F13922" s="28"/>
      <c r="H13922" s="28"/>
    </row>
    <row r="13923" spans="4:8" x14ac:dyDescent="0.25">
      <c r="D13923" s="28"/>
      <c r="F13923" s="28"/>
      <c r="H13923" s="28"/>
    </row>
    <row r="13924" spans="4:8" x14ac:dyDescent="0.25">
      <c r="D13924" s="28"/>
      <c r="F13924" s="28"/>
      <c r="H13924" s="28"/>
    </row>
    <row r="13925" spans="4:8" x14ac:dyDescent="0.25">
      <c r="D13925" s="28"/>
      <c r="F13925" s="28"/>
      <c r="H13925" s="28"/>
    </row>
    <row r="13926" spans="4:8" x14ac:dyDescent="0.25">
      <c r="D13926" s="28"/>
      <c r="F13926" s="28"/>
      <c r="H13926" s="28"/>
    </row>
    <row r="13927" spans="4:8" x14ac:dyDescent="0.25">
      <c r="D13927" s="28"/>
      <c r="F13927" s="28"/>
      <c r="H13927" s="28"/>
    </row>
    <row r="13928" spans="4:8" x14ac:dyDescent="0.25">
      <c r="D13928" s="28"/>
      <c r="F13928" s="28"/>
      <c r="H13928" s="28"/>
    </row>
    <row r="13929" spans="4:8" x14ac:dyDescent="0.25">
      <c r="D13929" s="28"/>
      <c r="F13929" s="28"/>
      <c r="H13929" s="28"/>
    </row>
    <row r="13930" spans="4:8" x14ac:dyDescent="0.25">
      <c r="D13930" s="28"/>
      <c r="F13930" s="28"/>
      <c r="H13930" s="28"/>
    </row>
    <row r="13931" spans="4:8" x14ac:dyDescent="0.25">
      <c r="D13931" s="28"/>
      <c r="F13931" s="28"/>
      <c r="H13931" s="28"/>
    </row>
    <row r="13932" spans="4:8" x14ac:dyDescent="0.25">
      <c r="D13932" s="28"/>
      <c r="F13932" s="28"/>
      <c r="H13932" s="28"/>
    </row>
    <row r="13933" spans="4:8" x14ac:dyDescent="0.25">
      <c r="D13933" s="28"/>
      <c r="F13933" s="28"/>
      <c r="H13933" s="28"/>
    </row>
    <row r="13934" spans="4:8" x14ac:dyDescent="0.25">
      <c r="D13934" s="28"/>
      <c r="F13934" s="28"/>
      <c r="H13934" s="28"/>
    </row>
    <row r="13935" spans="4:8" x14ac:dyDescent="0.25">
      <c r="D13935" s="28"/>
      <c r="F13935" s="28"/>
      <c r="H13935" s="28"/>
    </row>
    <row r="13936" spans="4:8" x14ac:dyDescent="0.25">
      <c r="D13936" s="28"/>
      <c r="F13936" s="28"/>
      <c r="H13936" s="28"/>
    </row>
    <row r="13937" spans="4:8" x14ac:dyDescent="0.25">
      <c r="D13937" s="28"/>
      <c r="F13937" s="28"/>
      <c r="H13937" s="28"/>
    </row>
    <row r="13938" spans="4:8" x14ac:dyDescent="0.25">
      <c r="D13938" s="28"/>
      <c r="F13938" s="28"/>
      <c r="H13938" s="28"/>
    </row>
    <row r="13939" spans="4:8" x14ac:dyDescent="0.25">
      <c r="D13939" s="28"/>
      <c r="F13939" s="28"/>
      <c r="H13939" s="28"/>
    </row>
    <row r="13940" spans="4:8" x14ac:dyDescent="0.25">
      <c r="D13940" s="28"/>
      <c r="F13940" s="28"/>
      <c r="H13940" s="28"/>
    </row>
    <row r="13941" spans="4:8" x14ac:dyDescent="0.25">
      <c r="D13941" s="28"/>
      <c r="F13941" s="28"/>
      <c r="H13941" s="28"/>
    </row>
    <row r="13942" spans="4:8" x14ac:dyDescent="0.25">
      <c r="D13942" s="28"/>
      <c r="F13942" s="28"/>
      <c r="H13942" s="28"/>
    </row>
    <row r="13943" spans="4:8" x14ac:dyDescent="0.25">
      <c r="D13943" s="28"/>
      <c r="F13943" s="28"/>
      <c r="H13943" s="28"/>
    </row>
    <row r="13944" spans="4:8" x14ac:dyDescent="0.25">
      <c r="D13944" s="28"/>
      <c r="F13944" s="28"/>
      <c r="H13944" s="28"/>
    </row>
    <row r="13945" spans="4:8" x14ac:dyDescent="0.25">
      <c r="D13945" s="28"/>
      <c r="F13945" s="28"/>
      <c r="H13945" s="28"/>
    </row>
    <row r="13946" spans="4:8" x14ac:dyDescent="0.25">
      <c r="D13946" s="28"/>
      <c r="F13946" s="28"/>
      <c r="H13946" s="28"/>
    </row>
    <row r="13947" spans="4:8" x14ac:dyDescent="0.25">
      <c r="D13947" s="28"/>
      <c r="F13947" s="28"/>
      <c r="H13947" s="28"/>
    </row>
    <row r="13948" spans="4:8" x14ac:dyDescent="0.25">
      <c r="D13948" s="28"/>
      <c r="F13948" s="28"/>
      <c r="H13948" s="28"/>
    </row>
    <row r="13949" spans="4:8" x14ac:dyDescent="0.25">
      <c r="D13949" s="28"/>
      <c r="F13949" s="28"/>
      <c r="H13949" s="28"/>
    </row>
    <row r="13950" spans="4:8" x14ac:dyDescent="0.25">
      <c r="D13950" s="28"/>
      <c r="F13950" s="28"/>
      <c r="H13950" s="28"/>
    </row>
    <row r="13951" spans="4:8" x14ac:dyDescent="0.25">
      <c r="D13951" s="28"/>
      <c r="F13951" s="28"/>
      <c r="H13951" s="28"/>
    </row>
    <row r="13952" spans="4:8" x14ac:dyDescent="0.25">
      <c r="D13952" s="28"/>
      <c r="F13952" s="28"/>
      <c r="H13952" s="28"/>
    </row>
    <row r="13953" spans="4:8" x14ac:dyDescent="0.25">
      <c r="D13953" s="28"/>
      <c r="F13953" s="28"/>
      <c r="H13953" s="28"/>
    </row>
    <row r="13954" spans="4:8" x14ac:dyDescent="0.25">
      <c r="D13954" s="28"/>
      <c r="F13954" s="28"/>
      <c r="H13954" s="28"/>
    </row>
    <row r="13955" spans="4:8" x14ac:dyDescent="0.25">
      <c r="D13955" s="28"/>
      <c r="F13955" s="28"/>
      <c r="H13955" s="28"/>
    </row>
    <row r="13956" spans="4:8" x14ac:dyDescent="0.25">
      <c r="D13956" s="28"/>
      <c r="F13956" s="28"/>
      <c r="H13956" s="28"/>
    </row>
    <row r="13957" spans="4:8" x14ac:dyDescent="0.25">
      <c r="D13957" s="28"/>
      <c r="F13957" s="28"/>
      <c r="H13957" s="28"/>
    </row>
    <row r="13958" spans="4:8" x14ac:dyDescent="0.25">
      <c r="D13958" s="28"/>
      <c r="F13958" s="28"/>
      <c r="H13958" s="28"/>
    </row>
    <row r="13959" spans="4:8" x14ac:dyDescent="0.25">
      <c r="D13959" s="28"/>
      <c r="F13959" s="28"/>
      <c r="H13959" s="28"/>
    </row>
    <row r="13960" spans="4:8" x14ac:dyDescent="0.25">
      <c r="D13960" s="28"/>
      <c r="F13960" s="28"/>
      <c r="H13960" s="28"/>
    </row>
    <row r="13961" spans="4:8" x14ac:dyDescent="0.25">
      <c r="D13961" s="28"/>
      <c r="F13961" s="28"/>
      <c r="H13961" s="28"/>
    </row>
    <row r="13962" spans="4:8" x14ac:dyDescent="0.25">
      <c r="D13962" s="28"/>
      <c r="F13962" s="28"/>
      <c r="H13962" s="28"/>
    </row>
    <row r="13963" spans="4:8" x14ac:dyDescent="0.25">
      <c r="D13963" s="28"/>
      <c r="F13963" s="28"/>
      <c r="H13963" s="28"/>
    </row>
    <row r="13964" spans="4:8" x14ac:dyDescent="0.25">
      <c r="D13964" s="28"/>
      <c r="F13964" s="28"/>
      <c r="H13964" s="28"/>
    </row>
    <row r="13965" spans="4:8" x14ac:dyDescent="0.25">
      <c r="D13965" s="28"/>
      <c r="F13965" s="28"/>
      <c r="H13965" s="28"/>
    </row>
    <row r="13966" spans="4:8" x14ac:dyDescent="0.25">
      <c r="D13966" s="28"/>
      <c r="F13966" s="28"/>
      <c r="H13966" s="28"/>
    </row>
    <row r="13967" spans="4:8" x14ac:dyDescent="0.25">
      <c r="D13967" s="28"/>
      <c r="F13967" s="28"/>
      <c r="H13967" s="28"/>
    </row>
    <row r="13968" spans="4:8" x14ac:dyDescent="0.25">
      <c r="D13968" s="28"/>
      <c r="F13968" s="28"/>
      <c r="H13968" s="28"/>
    </row>
    <row r="13969" spans="4:8" x14ac:dyDescent="0.25">
      <c r="D13969" s="28"/>
      <c r="F13969" s="28"/>
      <c r="H13969" s="28"/>
    </row>
    <row r="13970" spans="4:8" x14ac:dyDescent="0.25">
      <c r="D13970" s="28"/>
      <c r="F13970" s="28"/>
      <c r="H13970" s="28"/>
    </row>
    <row r="13971" spans="4:8" x14ac:dyDescent="0.25">
      <c r="D13971" s="28"/>
      <c r="F13971" s="28"/>
      <c r="H13971" s="28"/>
    </row>
    <row r="13972" spans="4:8" x14ac:dyDescent="0.25">
      <c r="D13972" s="28"/>
      <c r="F13972" s="28"/>
      <c r="H13972" s="28"/>
    </row>
    <row r="13973" spans="4:8" x14ac:dyDescent="0.25">
      <c r="D13973" s="28"/>
      <c r="F13973" s="28"/>
      <c r="H13973" s="28"/>
    </row>
    <row r="13974" spans="4:8" x14ac:dyDescent="0.25">
      <c r="D13974" s="28"/>
      <c r="F13974" s="28"/>
      <c r="H13974" s="28"/>
    </row>
    <row r="13975" spans="4:8" x14ac:dyDescent="0.25">
      <c r="D13975" s="28"/>
      <c r="F13975" s="28"/>
      <c r="H13975" s="28"/>
    </row>
    <row r="13976" spans="4:8" x14ac:dyDescent="0.25">
      <c r="D13976" s="28"/>
      <c r="F13976" s="28"/>
      <c r="H13976" s="28"/>
    </row>
    <row r="13977" spans="4:8" x14ac:dyDescent="0.25">
      <c r="D13977" s="28"/>
      <c r="F13977" s="28"/>
      <c r="H13977" s="28"/>
    </row>
    <row r="13978" spans="4:8" x14ac:dyDescent="0.25">
      <c r="D13978" s="28"/>
      <c r="F13978" s="28"/>
      <c r="H13978" s="28"/>
    </row>
    <row r="13979" spans="4:8" x14ac:dyDescent="0.25">
      <c r="D13979" s="28"/>
      <c r="F13979" s="28"/>
      <c r="H13979" s="28"/>
    </row>
    <row r="13980" spans="4:8" x14ac:dyDescent="0.25">
      <c r="D13980" s="28"/>
      <c r="F13980" s="28"/>
      <c r="H13980" s="28"/>
    </row>
    <row r="13981" spans="4:8" x14ac:dyDescent="0.25">
      <c r="D13981" s="28"/>
      <c r="F13981" s="28"/>
      <c r="H13981" s="28"/>
    </row>
    <row r="13982" spans="4:8" x14ac:dyDescent="0.25">
      <c r="D13982" s="28"/>
      <c r="F13982" s="28"/>
      <c r="H13982" s="28"/>
    </row>
    <row r="13983" spans="4:8" x14ac:dyDescent="0.25">
      <c r="D13983" s="28"/>
      <c r="F13983" s="28"/>
      <c r="H13983" s="28"/>
    </row>
    <row r="13984" spans="4:8" x14ac:dyDescent="0.25">
      <c r="D13984" s="28"/>
      <c r="F13984" s="28"/>
      <c r="H13984" s="28"/>
    </row>
    <row r="13985" spans="4:8" x14ac:dyDescent="0.25">
      <c r="D13985" s="28"/>
      <c r="F13985" s="28"/>
      <c r="H13985" s="28"/>
    </row>
    <row r="13986" spans="4:8" x14ac:dyDescent="0.25">
      <c r="D13986" s="28"/>
      <c r="F13986" s="28"/>
      <c r="H13986" s="28"/>
    </row>
    <row r="13987" spans="4:8" x14ac:dyDescent="0.25">
      <c r="D13987" s="28"/>
      <c r="F13987" s="28"/>
      <c r="H13987" s="28"/>
    </row>
    <row r="13988" spans="4:8" x14ac:dyDescent="0.25">
      <c r="D13988" s="28"/>
      <c r="F13988" s="28"/>
      <c r="H13988" s="28"/>
    </row>
    <row r="13989" spans="4:8" x14ac:dyDescent="0.25">
      <c r="D13989" s="28"/>
      <c r="F13989" s="28"/>
      <c r="H13989" s="28"/>
    </row>
    <row r="13990" spans="4:8" x14ac:dyDescent="0.25">
      <c r="D13990" s="28"/>
      <c r="F13990" s="28"/>
      <c r="H13990" s="28"/>
    </row>
    <row r="13991" spans="4:8" x14ac:dyDescent="0.25">
      <c r="D13991" s="28"/>
      <c r="F13991" s="28"/>
      <c r="H13991" s="28"/>
    </row>
    <row r="13992" spans="4:8" x14ac:dyDescent="0.25">
      <c r="D13992" s="28"/>
      <c r="F13992" s="28"/>
      <c r="H13992" s="28"/>
    </row>
    <row r="13993" spans="4:8" x14ac:dyDescent="0.25">
      <c r="D13993" s="28"/>
      <c r="F13993" s="28"/>
      <c r="H13993" s="28"/>
    </row>
    <row r="13994" spans="4:8" x14ac:dyDescent="0.25">
      <c r="D13994" s="28"/>
      <c r="F13994" s="28"/>
      <c r="H13994" s="28"/>
    </row>
    <row r="13995" spans="4:8" x14ac:dyDescent="0.25">
      <c r="D13995" s="28"/>
      <c r="F13995" s="28"/>
      <c r="H13995" s="28"/>
    </row>
    <row r="13996" spans="4:8" x14ac:dyDescent="0.25">
      <c r="D13996" s="28"/>
      <c r="F13996" s="28"/>
      <c r="H13996" s="28"/>
    </row>
    <row r="13997" spans="4:8" x14ac:dyDescent="0.25">
      <c r="D13997" s="28"/>
      <c r="F13997" s="28"/>
      <c r="H13997" s="28"/>
    </row>
    <row r="13998" spans="4:8" x14ac:dyDescent="0.25">
      <c r="D13998" s="28"/>
      <c r="F13998" s="28"/>
      <c r="H13998" s="28"/>
    </row>
    <row r="13999" spans="4:8" x14ac:dyDescent="0.25">
      <c r="D13999" s="28"/>
      <c r="F13999" s="28"/>
      <c r="H13999" s="28"/>
    </row>
    <row r="14000" spans="4:8" x14ac:dyDescent="0.25">
      <c r="D14000" s="28"/>
      <c r="F14000" s="28"/>
      <c r="H14000" s="28"/>
    </row>
    <row r="14001" spans="4:8" x14ac:dyDescent="0.25">
      <c r="D14001" s="28"/>
      <c r="F14001" s="28"/>
      <c r="H14001" s="28"/>
    </row>
    <row r="14002" spans="4:8" x14ac:dyDescent="0.25">
      <c r="D14002" s="28"/>
      <c r="F14002" s="28"/>
      <c r="H14002" s="28"/>
    </row>
    <row r="14003" spans="4:8" x14ac:dyDescent="0.25">
      <c r="D14003" s="28"/>
      <c r="F14003" s="28"/>
      <c r="H14003" s="28"/>
    </row>
    <row r="14004" spans="4:8" x14ac:dyDescent="0.25">
      <c r="D14004" s="28"/>
      <c r="F14004" s="28"/>
      <c r="H14004" s="28"/>
    </row>
    <row r="14005" spans="4:8" x14ac:dyDescent="0.25">
      <c r="D14005" s="28"/>
      <c r="F14005" s="28"/>
      <c r="H14005" s="28"/>
    </row>
    <row r="14006" spans="4:8" x14ac:dyDescent="0.25">
      <c r="D14006" s="28"/>
      <c r="F14006" s="28"/>
      <c r="H14006" s="28"/>
    </row>
    <row r="14007" spans="4:8" x14ac:dyDescent="0.25">
      <c r="D14007" s="28"/>
      <c r="F14007" s="28"/>
      <c r="H14007" s="28"/>
    </row>
    <row r="14008" spans="4:8" x14ac:dyDescent="0.25">
      <c r="D14008" s="28"/>
      <c r="F14008" s="28"/>
      <c r="H14008" s="28"/>
    </row>
    <row r="14009" spans="4:8" x14ac:dyDescent="0.25">
      <c r="D14009" s="28"/>
      <c r="F14009" s="28"/>
      <c r="H14009" s="28"/>
    </row>
    <row r="14010" spans="4:8" x14ac:dyDescent="0.25">
      <c r="D14010" s="28"/>
      <c r="F14010" s="28"/>
      <c r="H14010" s="28"/>
    </row>
    <row r="14011" spans="4:8" x14ac:dyDescent="0.25">
      <c r="D14011" s="28"/>
      <c r="F14011" s="28"/>
      <c r="H14011" s="28"/>
    </row>
    <row r="14012" spans="4:8" x14ac:dyDescent="0.25">
      <c r="D14012" s="28"/>
      <c r="F14012" s="28"/>
      <c r="H14012" s="28"/>
    </row>
    <row r="14013" spans="4:8" x14ac:dyDescent="0.25">
      <c r="D14013" s="28"/>
      <c r="F14013" s="28"/>
      <c r="H14013" s="28"/>
    </row>
    <row r="14014" spans="4:8" x14ac:dyDescent="0.25">
      <c r="D14014" s="28"/>
      <c r="F14014" s="28"/>
      <c r="H14014" s="28"/>
    </row>
    <row r="14015" spans="4:8" x14ac:dyDescent="0.25">
      <c r="D14015" s="28"/>
      <c r="F14015" s="28"/>
      <c r="H14015" s="28"/>
    </row>
    <row r="14016" spans="4:8" x14ac:dyDescent="0.25">
      <c r="D14016" s="28"/>
      <c r="F14016" s="28"/>
      <c r="H14016" s="28"/>
    </row>
    <row r="14017" spans="4:8" x14ac:dyDescent="0.25">
      <c r="D14017" s="28"/>
      <c r="F14017" s="28"/>
      <c r="H14017" s="28"/>
    </row>
    <row r="14018" spans="4:8" x14ac:dyDescent="0.25">
      <c r="D14018" s="28"/>
      <c r="F14018" s="28"/>
      <c r="H14018" s="28"/>
    </row>
    <row r="14019" spans="4:8" x14ac:dyDescent="0.25">
      <c r="D14019" s="28"/>
      <c r="F14019" s="28"/>
      <c r="H14019" s="28"/>
    </row>
    <row r="14020" spans="4:8" x14ac:dyDescent="0.25">
      <c r="D14020" s="28"/>
      <c r="F14020" s="28"/>
      <c r="H14020" s="28"/>
    </row>
    <row r="14021" spans="4:8" x14ac:dyDescent="0.25">
      <c r="D14021" s="28"/>
      <c r="F14021" s="28"/>
      <c r="H14021" s="28"/>
    </row>
    <row r="14022" spans="4:8" x14ac:dyDescent="0.25">
      <c r="D14022" s="28"/>
      <c r="F14022" s="28"/>
      <c r="H14022" s="28"/>
    </row>
    <row r="14023" spans="4:8" x14ac:dyDescent="0.25">
      <c r="D14023" s="28"/>
      <c r="F14023" s="28"/>
      <c r="H14023" s="28"/>
    </row>
    <row r="14024" spans="4:8" x14ac:dyDescent="0.25">
      <c r="D14024" s="28"/>
      <c r="F14024" s="28"/>
      <c r="H14024" s="28"/>
    </row>
    <row r="14025" spans="4:8" x14ac:dyDescent="0.25">
      <c r="D14025" s="28"/>
      <c r="F14025" s="28"/>
      <c r="H14025" s="28"/>
    </row>
    <row r="14026" spans="4:8" x14ac:dyDescent="0.25">
      <c r="D14026" s="28"/>
      <c r="F14026" s="28"/>
      <c r="H14026" s="28"/>
    </row>
    <row r="14027" spans="4:8" x14ac:dyDescent="0.25">
      <c r="D14027" s="28"/>
      <c r="F14027" s="28"/>
      <c r="H14027" s="28"/>
    </row>
    <row r="14028" spans="4:8" x14ac:dyDescent="0.25">
      <c r="D14028" s="28"/>
      <c r="F14028" s="28"/>
      <c r="H14028" s="28"/>
    </row>
    <row r="14029" spans="4:8" x14ac:dyDescent="0.25">
      <c r="D14029" s="28"/>
      <c r="F14029" s="28"/>
      <c r="H14029" s="28"/>
    </row>
    <row r="14030" spans="4:8" x14ac:dyDescent="0.25">
      <c r="D14030" s="28"/>
      <c r="F14030" s="28"/>
      <c r="H14030" s="28"/>
    </row>
    <row r="14031" spans="4:8" x14ac:dyDescent="0.25">
      <c r="D14031" s="28"/>
      <c r="F14031" s="28"/>
      <c r="H14031" s="28"/>
    </row>
    <row r="14032" spans="4:8" x14ac:dyDescent="0.25">
      <c r="D14032" s="28"/>
      <c r="F14032" s="28"/>
      <c r="H14032" s="28"/>
    </row>
    <row r="14033" spans="4:8" x14ac:dyDescent="0.25">
      <c r="D14033" s="28"/>
      <c r="F14033" s="28"/>
      <c r="H14033" s="28"/>
    </row>
    <row r="14034" spans="4:8" x14ac:dyDescent="0.25">
      <c r="D14034" s="28"/>
      <c r="F14034" s="28"/>
      <c r="H14034" s="28"/>
    </row>
    <row r="14035" spans="4:8" x14ac:dyDescent="0.25">
      <c r="D14035" s="28"/>
      <c r="F14035" s="28"/>
      <c r="H14035" s="28"/>
    </row>
    <row r="14036" spans="4:8" x14ac:dyDescent="0.25">
      <c r="D14036" s="28"/>
      <c r="F14036" s="28"/>
      <c r="H14036" s="28"/>
    </row>
    <row r="14037" spans="4:8" x14ac:dyDescent="0.25">
      <c r="D14037" s="28"/>
      <c r="F14037" s="28"/>
      <c r="H14037" s="28"/>
    </row>
    <row r="14038" spans="4:8" x14ac:dyDescent="0.25">
      <c r="D14038" s="28"/>
      <c r="F14038" s="28"/>
      <c r="H14038" s="28"/>
    </row>
    <row r="14039" spans="4:8" x14ac:dyDescent="0.25">
      <c r="D14039" s="28"/>
      <c r="F14039" s="28"/>
      <c r="H14039" s="28"/>
    </row>
    <row r="14040" spans="4:8" x14ac:dyDescent="0.25">
      <c r="D14040" s="28"/>
      <c r="F14040" s="28"/>
      <c r="H14040" s="28"/>
    </row>
    <row r="14041" spans="4:8" x14ac:dyDescent="0.25">
      <c r="D14041" s="28"/>
      <c r="F14041" s="28"/>
      <c r="H14041" s="28"/>
    </row>
    <row r="14042" spans="4:8" x14ac:dyDescent="0.25">
      <c r="D14042" s="28"/>
      <c r="F14042" s="28"/>
      <c r="H14042" s="28"/>
    </row>
    <row r="14043" spans="4:8" x14ac:dyDescent="0.25">
      <c r="D14043" s="28"/>
      <c r="F14043" s="28"/>
      <c r="H14043" s="28"/>
    </row>
    <row r="14044" spans="4:8" x14ac:dyDescent="0.25">
      <c r="D14044" s="28"/>
      <c r="F14044" s="28"/>
      <c r="H14044" s="28"/>
    </row>
    <row r="14045" spans="4:8" x14ac:dyDescent="0.25">
      <c r="D14045" s="28"/>
      <c r="F14045" s="28"/>
      <c r="H14045" s="28"/>
    </row>
    <row r="14046" spans="4:8" x14ac:dyDescent="0.25">
      <c r="D14046" s="28"/>
      <c r="F14046" s="28"/>
      <c r="H14046" s="28"/>
    </row>
    <row r="14047" spans="4:8" x14ac:dyDescent="0.25">
      <c r="D14047" s="28"/>
      <c r="F14047" s="28"/>
      <c r="H14047" s="28"/>
    </row>
    <row r="14048" spans="4:8" x14ac:dyDescent="0.25">
      <c r="D14048" s="28"/>
      <c r="F14048" s="28"/>
      <c r="H14048" s="28"/>
    </row>
    <row r="14049" spans="4:8" x14ac:dyDescent="0.25">
      <c r="D14049" s="28"/>
      <c r="F14049" s="28"/>
      <c r="H14049" s="28"/>
    </row>
    <row r="14050" spans="4:8" x14ac:dyDescent="0.25">
      <c r="D14050" s="28"/>
      <c r="F14050" s="28"/>
      <c r="H14050" s="28"/>
    </row>
    <row r="14051" spans="4:8" x14ac:dyDescent="0.25">
      <c r="D14051" s="28"/>
      <c r="F14051" s="28"/>
      <c r="H14051" s="28"/>
    </row>
    <row r="14052" spans="4:8" x14ac:dyDescent="0.25">
      <c r="D14052" s="28"/>
      <c r="F14052" s="28"/>
      <c r="H14052" s="28"/>
    </row>
    <row r="14053" spans="4:8" x14ac:dyDescent="0.25">
      <c r="D14053" s="28"/>
      <c r="F14053" s="28"/>
      <c r="H14053" s="28"/>
    </row>
    <row r="14054" spans="4:8" x14ac:dyDescent="0.25">
      <c r="D14054" s="28"/>
      <c r="F14054" s="28"/>
      <c r="H14054" s="28"/>
    </row>
    <row r="14055" spans="4:8" x14ac:dyDescent="0.25">
      <c r="D14055" s="28"/>
      <c r="F14055" s="28"/>
      <c r="H14055" s="28"/>
    </row>
    <row r="14056" spans="4:8" x14ac:dyDescent="0.25">
      <c r="D14056" s="28"/>
      <c r="F14056" s="28"/>
      <c r="H14056" s="28"/>
    </row>
    <row r="14057" spans="4:8" x14ac:dyDescent="0.25">
      <c r="D14057" s="28"/>
      <c r="F14057" s="28"/>
      <c r="H14057" s="28"/>
    </row>
    <row r="14058" spans="4:8" x14ac:dyDescent="0.25">
      <c r="D14058" s="28"/>
      <c r="F14058" s="28"/>
      <c r="H14058" s="28"/>
    </row>
    <row r="14059" spans="4:8" x14ac:dyDescent="0.25">
      <c r="D14059" s="28"/>
      <c r="F14059" s="28"/>
      <c r="H14059" s="28"/>
    </row>
    <row r="14060" spans="4:8" x14ac:dyDescent="0.25">
      <c r="D14060" s="28"/>
      <c r="F14060" s="28"/>
      <c r="H14060" s="28"/>
    </row>
    <row r="14061" spans="4:8" x14ac:dyDescent="0.25">
      <c r="D14061" s="28"/>
      <c r="F14061" s="28"/>
      <c r="H14061" s="28"/>
    </row>
    <row r="14062" spans="4:8" x14ac:dyDescent="0.25">
      <c r="D14062" s="28"/>
      <c r="F14062" s="28"/>
      <c r="H14062" s="28"/>
    </row>
    <row r="14063" spans="4:8" x14ac:dyDescent="0.25">
      <c r="D14063" s="28"/>
      <c r="F14063" s="28"/>
      <c r="H14063" s="28"/>
    </row>
    <row r="14064" spans="4:8" x14ac:dyDescent="0.25">
      <c r="D14064" s="28"/>
      <c r="F14064" s="28"/>
      <c r="H14064" s="28"/>
    </row>
    <row r="14065" spans="4:8" x14ac:dyDescent="0.25">
      <c r="D14065" s="28"/>
      <c r="F14065" s="28"/>
      <c r="H14065" s="28"/>
    </row>
    <row r="14066" spans="4:8" x14ac:dyDescent="0.25">
      <c r="D14066" s="28"/>
      <c r="F14066" s="28"/>
      <c r="H14066" s="28"/>
    </row>
    <row r="14067" spans="4:8" x14ac:dyDescent="0.25">
      <c r="D14067" s="28"/>
      <c r="F14067" s="28"/>
      <c r="H14067" s="28"/>
    </row>
    <row r="14068" spans="4:8" x14ac:dyDescent="0.25">
      <c r="D14068" s="28"/>
      <c r="F14068" s="28"/>
      <c r="H14068" s="28"/>
    </row>
    <row r="14069" spans="4:8" x14ac:dyDescent="0.25">
      <c r="D14069" s="28"/>
      <c r="F14069" s="28"/>
      <c r="H14069" s="28"/>
    </row>
    <row r="14070" spans="4:8" x14ac:dyDescent="0.25">
      <c r="D14070" s="28"/>
      <c r="F14070" s="28"/>
      <c r="H14070" s="28"/>
    </row>
    <row r="14071" spans="4:8" x14ac:dyDescent="0.25">
      <c r="D14071" s="28"/>
      <c r="F14071" s="28"/>
      <c r="H14071" s="28"/>
    </row>
    <row r="14072" spans="4:8" x14ac:dyDescent="0.25">
      <c r="D14072" s="28"/>
      <c r="F14072" s="28"/>
      <c r="H14072" s="28"/>
    </row>
    <row r="14073" spans="4:8" x14ac:dyDescent="0.25">
      <c r="D14073" s="28"/>
      <c r="F14073" s="28"/>
      <c r="H14073" s="28"/>
    </row>
    <row r="14074" spans="4:8" x14ac:dyDescent="0.25">
      <c r="D14074" s="28"/>
      <c r="F14074" s="28"/>
      <c r="H14074" s="28"/>
    </row>
    <row r="14075" spans="4:8" x14ac:dyDescent="0.25">
      <c r="D14075" s="28"/>
      <c r="F14075" s="28"/>
      <c r="H14075" s="28"/>
    </row>
    <row r="14076" spans="4:8" x14ac:dyDescent="0.25">
      <c r="D14076" s="28"/>
      <c r="F14076" s="28"/>
      <c r="H14076" s="28"/>
    </row>
    <row r="14077" spans="4:8" x14ac:dyDescent="0.25">
      <c r="D14077" s="28"/>
      <c r="F14077" s="28"/>
      <c r="H14077" s="28"/>
    </row>
    <row r="14078" spans="4:8" x14ac:dyDescent="0.25">
      <c r="D14078" s="28"/>
      <c r="F14078" s="28"/>
      <c r="H14078" s="28"/>
    </row>
    <row r="14079" spans="4:8" x14ac:dyDescent="0.25">
      <c r="D14079" s="28"/>
      <c r="F14079" s="28"/>
      <c r="H14079" s="28"/>
    </row>
    <row r="14080" spans="4:8" x14ac:dyDescent="0.25">
      <c r="D14080" s="28"/>
      <c r="F14080" s="28"/>
      <c r="H14080" s="28"/>
    </row>
    <row r="14081" spans="4:8" x14ac:dyDescent="0.25">
      <c r="D14081" s="28"/>
      <c r="F14081" s="28"/>
      <c r="H14081" s="28"/>
    </row>
    <row r="14082" spans="4:8" x14ac:dyDescent="0.25">
      <c r="D14082" s="28"/>
      <c r="F14082" s="28"/>
      <c r="H14082" s="28"/>
    </row>
    <row r="14083" spans="4:8" x14ac:dyDescent="0.25">
      <c r="D14083" s="28"/>
      <c r="F14083" s="28"/>
      <c r="H14083" s="28"/>
    </row>
    <row r="14084" spans="4:8" x14ac:dyDescent="0.25">
      <c r="D14084" s="28"/>
      <c r="F14084" s="28"/>
      <c r="H14084" s="28"/>
    </row>
    <row r="14085" spans="4:8" x14ac:dyDescent="0.25">
      <c r="D14085" s="28"/>
      <c r="F14085" s="28"/>
      <c r="H14085" s="28"/>
    </row>
    <row r="14086" spans="4:8" x14ac:dyDescent="0.25">
      <c r="D14086" s="28"/>
      <c r="F14086" s="28"/>
      <c r="H14086" s="28"/>
    </row>
    <row r="14087" spans="4:8" x14ac:dyDescent="0.25">
      <c r="D14087" s="28"/>
      <c r="F14087" s="28"/>
      <c r="H14087" s="28"/>
    </row>
    <row r="14088" spans="4:8" x14ac:dyDescent="0.25">
      <c r="D14088" s="28"/>
      <c r="F14088" s="28"/>
      <c r="H14088" s="28"/>
    </row>
    <row r="14089" spans="4:8" x14ac:dyDescent="0.25">
      <c r="D14089" s="28"/>
      <c r="F14089" s="28"/>
      <c r="H14089" s="28"/>
    </row>
    <row r="14090" spans="4:8" x14ac:dyDescent="0.25">
      <c r="D14090" s="28"/>
      <c r="F14090" s="28"/>
      <c r="H14090" s="28"/>
    </row>
    <row r="14091" spans="4:8" x14ac:dyDescent="0.25">
      <c r="D14091" s="28"/>
      <c r="F14091" s="28"/>
      <c r="H14091" s="28"/>
    </row>
    <row r="14092" spans="4:8" x14ac:dyDescent="0.25">
      <c r="D14092" s="28"/>
      <c r="F14092" s="28"/>
      <c r="H14092" s="28"/>
    </row>
    <row r="14093" spans="4:8" x14ac:dyDescent="0.25">
      <c r="D14093" s="28"/>
      <c r="F14093" s="28"/>
      <c r="H14093" s="28"/>
    </row>
    <row r="14094" spans="4:8" x14ac:dyDescent="0.25">
      <c r="D14094" s="28"/>
      <c r="F14094" s="28"/>
      <c r="H14094" s="28"/>
    </row>
    <row r="14095" spans="4:8" x14ac:dyDescent="0.25">
      <c r="D14095" s="28"/>
      <c r="F14095" s="28"/>
      <c r="H14095" s="28"/>
    </row>
    <row r="14096" spans="4:8" x14ac:dyDescent="0.25">
      <c r="D14096" s="28"/>
      <c r="F14096" s="28"/>
      <c r="H14096" s="28"/>
    </row>
    <row r="14097" spans="4:8" x14ac:dyDescent="0.25">
      <c r="D14097" s="28"/>
      <c r="F14097" s="28"/>
      <c r="H14097" s="28"/>
    </row>
    <row r="14098" spans="4:8" x14ac:dyDescent="0.25">
      <c r="D14098" s="28"/>
      <c r="F14098" s="28"/>
      <c r="H14098" s="28"/>
    </row>
    <row r="14099" spans="4:8" x14ac:dyDescent="0.25">
      <c r="D14099" s="28"/>
      <c r="F14099" s="28"/>
      <c r="H14099" s="28"/>
    </row>
    <row r="14100" spans="4:8" x14ac:dyDescent="0.25">
      <c r="D14100" s="28"/>
      <c r="F14100" s="28"/>
      <c r="H14100" s="28"/>
    </row>
    <row r="14101" spans="4:8" x14ac:dyDescent="0.25">
      <c r="D14101" s="28"/>
      <c r="F14101" s="28"/>
      <c r="H14101" s="28"/>
    </row>
    <row r="14102" spans="4:8" x14ac:dyDescent="0.25">
      <c r="D14102" s="28"/>
      <c r="F14102" s="28"/>
      <c r="H14102" s="28"/>
    </row>
    <row r="14103" spans="4:8" x14ac:dyDescent="0.25">
      <c r="D14103" s="28"/>
      <c r="F14103" s="28"/>
      <c r="H14103" s="28"/>
    </row>
    <row r="14104" spans="4:8" x14ac:dyDescent="0.25">
      <c r="D14104" s="28"/>
      <c r="F14104" s="28"/>
      <c r="H14104" s="28"/>
    </row>
    <row r="14105" spans="4:8" x14ac:dyDescent="0.25">
      <c r="D14105" s="28"/>
      <c r="F14105" s="28"/>
      <c r="H14105" s="28"/>
    </row>
    <row r="14106" spans="4:8" x14ac:dyDescent="0.25">
      <c r="D14106" s="28"/>
      <c r="F14106" s="28"/>
      <c r="H14106" s="28"/>
    </row>
    <row r="14107" spans="4:8" x14ac:dyDescent="0.25">
      <c r="D14107" s="28"/>
      <c r="F14107" s="28"/>
      <c r="H14107" s="28"/>
    </row>
    <row r="14108" spans="4:8" x14ac:dyDescent="0.25">
      <c r="D14108" s="28"/>
      <c r="F14108" s="28"/>
      <c r="H14108" s="28"/>
    </row>
    <row r="14109" spans="4:8" x14ac:dyDescent="0.25">
      <c r="D14109" s="28"/>
      <c r="F14109" s="28"/>
      <c r="H14109" s="28"/>
    </row>
    <row r="14110" spans="4:8" x14ac:dyDescent="0.25">
      <c r="D14110" s="28"/>
      <c r="F14110" s="28"/>
      <c r="H14110" s="28"/>
    </row>
    <row r="14111" spans="4:8" x14ac:dyDescent="0.25">
      <c r="D14111" s="28"/>
      <c r="F14111" s="28"/>
      <c r="H14111" s="28"/>
    </row>
    <row r="14112" spans="4:8" x14ac:dyDescent="0.25">
      <c r="D14112" s="28"/>
      <c r="F14112" s="28"/>
      <c r="H14112" s="28"/>
    </row>
    <row r="14113" spans="4:8" x14ac:dyDescent="0.25">
      <c r="D14113" s="28"/>
      <c r="F14113" s="28"/>
      <c r="H14113" s="28"/>
    </row>
    <row r="14114" spans="4:8" x14ac:dyDescent="0.25">
      <c r="D14114" s="28"/>
      <c r="F14114" s="28"/>
      <c r="H14114" s="28"/>
    </row>
    <row r="14115" spans="4:8" x14ac:dyDescent="0.25">
      <c r="D14115" s="28"/>
      <c r="F14115" s="28"/>
      <c r="H14115" s="28"/>
    </row>
    <row r="14116" spans="4:8" x14ac:dyDescent="0.25">
      <c r="D14116" s="28"/>
      <c r="F14116" s="28"/>
      <c r="H14116" s="28"/>
    </row>
    <row r="14117" spans="4:8" x14ac:dyDescent="0.25">
      <c r="D14117" s="28"/>
      <c r="F14117" s="28"/>
      <c r="H14117" s="28"/>
    </row>
    <row r="14118" spans="4:8" x14ac:dyDescent="0.25">
      <c r="D14118" s="28"/>
      <c r="F14118" s="28"/>
      <c r="H14118" s="28"/>
    </row>
    <row r="14119" spans="4:8" x14ac:dyDescent="0.25">
      <c r="D14119" s="28"/>
      <c r="F14119" s="28"/>
      <c r="H14119" s="28"/>
    </row>
    <row r="14120" spans="4:8" x14ac:dyDescent="0.25">
      <c r="D14120" s="28"/>
      <c r="F14120" s="28"/>
      <c r="H14120" s="28"/>
    </row>
    <row r="14121" spans="4:8" x14ac:dyDescent="0.25">
      <c r="D14121" s="28"/>
      <c r="F14121" s="28"/>
      <c r="H14121" s="28"/>
    </row>
    <row r="14122" spans="4:8" x14ac:dyDescent="0.25">
      <c r="D14122" s="28"/>
      <c r="F14122" s="28"/>
      <c r="H14122" s="28"/>
    </row>
    <row r="14123" spans="4:8" x14ac:dyDescent="0.25">
      <c r="D14123" s="28"/>
      <c r="F14123" s="28"/>
      <c r="H14123" s="28"/>
    </row>
    <row r="14124" spans="4:8" x14ac:dyDescent="0.25">
      <c r="D14124" s="28"/>
      <c r="F14124" s="28"/>
      <c r="H14124" s="28"/>
    </row>
    <row r="14125" spans="4:8" x14ac:dyDescent="0.25">
      <c r="D14125" s="28"/>
      <c r="F14125" s="28"/>
      <c r="H14125" s="28"/>
    </row>
    <row r="14126" spans="4:8" x14ac:dyDescent="0.25">
      <c r="D14126" s="28"/>
      <c r="F14126" s="28"/>
      <c r="H14126" s="28"/>
    </row>
    <row r="14127" spans="4:8" x14ac:dyDescent="0.25">
      <c r="D14127" s="28"/>
      <c r="F14127" s="28"/>
      <c r="H14127" s="28"/>
    </row>
    <row r="14128" spans="4:8" x14ac:dyDescent="0.25">
      <c r="D14128" s="28"/>
      <c r="F14128" s="28"/>
      <c r="H14128" s="28"/>
    </row>
    <row r="14129" spans="4:8" x14ac:dyDescent="0.25">
      <c r="D14129" s="28"/>
      <c r="F14129" s="28"/>
      <c r="H14129" s="28"/>
    </row>
    <row r="14130" spans="4:8" x14ac:dyDescent="0.25">
      <c r="D14130" s="28"/>
      <c r="F14130" s="28"/>
      <c r="H14130" s="28"/>
    </row>
    <row r="14131" spans="4:8" x14ac:dyDescent="0.25">
      <c r="D14131" s="28"/>
      <c r="F14131" s="28"/>
      <c r="H14131" s="28"/>
    </row>
    <row r="14132" spans="4:8" x14ac:dyDescent="0.25">
      <c r="D14132" s="28"/>
      <c r="F14132" s="28"/>
      <c r="H14132" s="28"/>
    </row>
    <row r="14133" spans="4:8" x14ac:dyDescent="0.25">
      <c r="D14133" s="28"/>
      <c r="F14133" s="28"/>
      <c r="H14133" s="28"/>
    </row>
    <row r="14134" spans="4:8" x14ac:dyDescent="0.25">
      <c r="D14134" s="28"/>
      <c r="F14134" s="28"/>
      <c r="H14134" s="28"/>
    </row>
    <row r="14135" spans="4:8" x14ac:dyDescent="0.25">
      <c r="D14135" s="28"/>
      <c r="F14135" s="28"/>
      <c r="H14135" s="28"/>
    </row>
    <row r="14136" spans="4:8" x14ac:dyDescent="0.25">
      <c r="D14136" s="28"/>
      <c r="F14136" s="28"/>
      <c r="H14136" s="28"/>
    </row>
    <row r="14137" spans="4:8" x14ac:dyDescent="0.25">
      <c r="D14137" s="28"/>
      <c r="F14137" s="28"/>
      <c r="H14137" s="28"/>
    </row>
    <row r="14138" spans="4:8" x14ac:dyDescent="0.25">
      <c r="D14138" s="28"/>
      <c r="F14138" s="28"/>
      <c r="H14138" s="28"/>
    </row>
    <row r="14139" spans="4:8" x14ac:dyDescent="0.25">
      <c r="D14139" s="28"/>
      <c r="F14139" s="28"/>
      <c r="H14139" s="28"/>
    </row>
    <row r="14140" spans="4:8" x14ac:dyDescent="0.25">
      <c r="D14140" s="28"/>
      <c r="F14140" s="28"/>
      <c r="H14140" s="28"/>
    </row>
    <row r="14141" spans="4:8" x14ac:dyDescent="0.25">
      <c r="D14141" s="28"/>
      <c r="F14141" s="28"/>
      <c r="H14141" s="28"/>
    </row>
    <row r="14142" spans="4:8" x14ac:dyDescent="0.25">
      <c r="D14142" s="28"/>
      <c r="F14142" s="28"/>
      <c r="H14142" s="28"/>
    </row>
    <row r="14143" spans="4:8" x14ac:dyDescent="0.25">
      <c r="D14143" s="28"/>
      <c r="F14143" s="28"/>
      <c r="H14143" s="28"/>
    </row>
    <row r="14144" spans="4:8" x14ac:dyDescent="0.25">
      <c r="D14144" s="28"/>
      <c r="F14144" s="28"/>
      <c r="H14144" s="28"/>
    </row>
    <row r="14145" spans="4:8" x14ac:dyDescent="0.25">
      <c r="D14145" s="28"/>
      <c r="F14145" s="28"/>
      <c r="H14145" s="28"/>
    </row>
    <row r="14146" spans="4:8" x14ac:dyDescent="0.25">
      <c r="D14146" s="28"/>
      <c r="F14146" s="28"/>
      <c r="H14146" s="28"/>
    </row>
    <row r="14147" spans="4:8" x14ac:dyDescent="0.25">
      <c r="D14147" s="28"/>
      <c r="F14147" s="28"/>
      <c r="H14147" s="28"/>
    </row>
    <row r="14148" spans="4:8" x14ac:dyDescent="0.25">
      <c r="D14148" s="28"/>
      <c r="F14148" s="28"/>
      <c r="H14148" s="28"/>
    </row>
    <row r="14149" spans="4:8" x14ac:dyDescent="0.25">
      <c r="D14149" s="28"/>
      <c r="F14149" s="28"/>
      <c r="H14149" s="28"/>
    </row>
    <row r="14150" spans="4:8" x14ac:dyDescent="0.25">
      <c r="D14150" s="28"/>
      <c r="F14150" s="28"/>
      <c r="H14150" s="28"/>
    </row>
    <row r="14151" spans="4:8" x14ac:dyDescent="0.25">
      <c r="D14151" s="28"/>
      <c r="F14151" s="28"/>
      <c r="H14151" s="28"/>
    </row>
    <row r="14152" spans="4:8" x14ac:dyDescent="0.25">
      <c r="D14152" s="28"/>
      <c r="F14152" s="28"/>
      <c r="H14152" s="28"/>
    </row>
    <row r="14153" spans="4:8" x14ac:dyDescent="0.25">
      <c r="D14153" s="28"/>
      <c r="F14153" s="28"/>
      <c r="H14153" s="28"/>
    </row>
    <row r="14154" spans="4:8" x14ac:dyDescent="0.25">
      <c r="D14154" s="28"/>
      <c r="F14154" s="28"/>
      <c r="H14154" s="28"/>
    </row>
    <row r="14155" spans="4:8" x14ac:dyDescent="0.25">
      <c r="D14155" s="28"/>
      <c r="F14155" s="28"/>
      <c r="H14155" s="28"/>
    </row>
    <row r="14156" spans="4:8" x14ac:dyDescent="0.25">
      <c r="D14156" s="28"/>
      <c r="F14156" s="28"/>
      <c r="H14156" s="28"/>
    </row>
    <row r="14157" spans="4:8" x14ac:dyDescent="0.25">
      <c r="D14157" s="28"/>
      <c r="F14157" s="28"/>
      <c r="H14157" s="28"/>
    </row>
    <row r="14158" spans="4:8" x14ac:dyDescent="0.25">
      <c r="D14158" s="28"/>
      <c r="F14158" s="28"/>
      <c r="H14158" s="28"/>
    </row>
    <row r="14159" spans="4:8" x14ac:dyDescent="0.25">
      <c r="D14159" s="28"/>
      <c r="F14159" s="28"/>
      <c r="H14159" s="28"/>
    </row>
    <row r="14160" spans="4:8" x14ac:dyDescent="0.25">
      <c r="D14160" s="28"/>
      <c r="F14160" s="28"/>
      <c r="H14160" s="28"/>
    </row>
    <row r="14161" spans="4:8" x14ac:dyDescent="0.25">
      <c r="D14161" s="28"/>
      <c r="F14161" s="28"/>
      <c r="H14161" s="28"/>
    </row>
    <row r="14162" spans="4:8" x14ac:dyDescent="0.25">
      <c r="D14162" s="28"/>
      <c r="F14162" s="28"/>
      <c r="H14162" s="28"/>
    </row>
    <row r="14163" spans="4:8" x14ac:dyDescent="0.25">
      <c r="D14163" s="28"/>
      <c r="F14163" s="28"/>
      <c r="H14163" s="28"/>
    </row>
    <row r="14164" spans="4:8" x14ac:dyDescent="0.25">
      <c r="D14164" s="28"/>
      <c r="F14164" s="28"/>
      <c r="H14164" s="28"/>
    </row>
    <row r="14165" spans="4:8" x14ac:dyDescent="0.25">
      <c r="D14165" s="28"/>
      <c r="F14165" s="28"/>
      <c r="H14165" s="28"/>
    </row>
    <row r="14166" spans="4:8" x14ac:dyDescent="0.25">
      <c r="D14166" s="28"/>
      <c r="F14166" s="28"/>
      <c r="H14166" s="28"/>
    </row>
    <row r="14167" spans="4:8" x14ac:dyDescent="0.25">
      <c r="D14167" s="28"/>
      <c r="F14167" s="28"/>
      <c r="H14167" s="28"/>
    </row>
    <row r="14168" spans="4:8" x14ac:dyDescent="0.25">
      <c r="D14168" s="28"/>
      <c r="F14168" s="28"/>
      <c r="H14168" s="28"/>
    </row>
    <row r="14169" spans="4:8" x14ac:dyDescent="0.25">
      <c r="D14169" s="28"/>
      <c r="F14169" s="28"/>
      <c r="H14169" s="28"/>
    </row>
    <row r="14170" spans="4:8" x14ac:dyDescent="0.25">
      <c r="D14170" s="28"/>
      <c r="F14170" s="28"/>
      <c r="H14170" s="28"/>
    </row>
    <row r="14171" spans="4:8" x14ac:dyDescent="0.25">
      <c r="D14171" s="28"/>
      <c r="F14171" s="28"/>
      <c r="H14171" s="28"/>
    </row>
    <row r="14172" spans="4:8" x14ac:dyDescent="0.25">
      <c r="D14172" s="28"/>
      <c r="F14172" s="28"/>
      <c r="H14172" s="28"/>
    </row>
    <row r="14173" spans="4:8" x14ac:dyDescent="0.25">
      <c r="D14173" s="28"/>
      <c r="F14173" s="28"/>
      <c r="H14173" s="28"/>
    </row>
    <row r="14174" spans="4:8" x14ac:dyDescent="0.25">
      <c r="D14174" s="28"/>
      <c r="F14174" s="28"/>
      <c r="H14174" s="28"/>
    </row>
    <row r="14175" spans="4:8" x14ac:dyDescent="0.25">
      <c r="D14175" s="28"/>
      <c r="F14175" s="28"/>
      <c r="H14175" s="28"/>
    </row>
    <row r="14176" spans="4:8" x14ac:dyDescent="0.25">
      <c r="D14176" s="28"/>
      <c r="F14176" s="28"/>
      <c r="H14176" s="28"/>
    </row>
    <row r="14177" spans="4:8" x14ac:dyDescent="0.25">
      <c r="D14177" s="28"/>
      <c r="F14177" s="28"/>
      <c r="H14177" s="28"/>
    </row>
    <row r="14178" spans="4:8" x14ac:dyDescent="0.25">
      <c r="D14178" s="28"/>
      <c r="F14178" s="28"/>
      <c r="H14178" s="28"/>
    </row>
    <row r="14179" spans="4:8" x14ac:dyDescent="0.25">
      <c r="D14179" s="28"/>
      <c r="F14179" s="28"/>
      <c r="H14179" s="28"/>
    </row>
    <row r="14180" spans="4:8" x14ac:dyDescent="0.25">
      <c r="D14180" s="28"/>
      <c r="F14180" s="28"/>
      <c r="H14180" s="28"/>
    </row>
    <row r="14181" spans="4:8" x14ac:dyDescent="0.25">
      <c r="D14181" s="28"/>
      <c r="F14181" s="28"/>
      <c r="H14181" s="28"/>
    </row>
    <row r="14182" spans="4:8" x14ac:dyDescent="0.25">
      <c r="D14182" s="28"/>
      <c r="F14182" s="28"/>
      <c r="H14182" s="28"/>
    </row>
    <row r="14183" spans="4:8" x14ac:dyDescent="0.25">
      <c r="D14183" s="28"/>
      <c r="F14183" s="28"/>
      <c r="H14183" s="28"/>
    </row>
    <row r="14184" spans="4:8" x14ac:dyDescent="0.25">
      <c r="D14184" s="28"/>
      <c r="F14184" s="28"/>
      <c r="H14184" s="28"/>
    </row>
    <row r="14185" spans="4:8" x14ac:dyDescent="0.25">
      <c r="D14185" s="28"/>
      <c r="F14185" s="28"/>
      <c r="H14185" s="28"/>
    </row>
    <row r="14186" spans="4:8" x14ac:dyDescent="0.25">
      <c r="D14186" s="28"/>
      <c r="F14186" s="28"/>
      <c r="H14186" s="28"/>
    </row>
    <row r="14187" spans="4:8" x14ac:dyDescent="0.25">
      <c r="D14187" s="28"/>
      <c r="F14187" s="28"/>
      <c r="H14187" s="28"/>
    </row>
    <row r="14188" spans="4:8" x14ac:dyDescent="0.25">
      <c r="D14188" s="28"/>
      <c r="F14188" s="28"/>
      <c r="H14188" s="28"/>
    </row>
    <row r="14189" spans="4:8" x14ac:dyDescent="0.25">
      <c r="D14189" s="28"/>
      <c r="F14189" s="28"/>
      <c r="H14189" s="28"/>
    </row>
    <row r="14190" spans="4:8" x14ac:dyDescent="0.25">
      <c r="D14190" s="28"/>
      <c r="F14190" s="28"/>
      <c r="H14190" s="28"/>
    </row>
    <row r="14191" spans="4:8" x14ac:dyDescent="0.25">
      <c r="D14191" s="28"/>
      <c r="F14191" s="28"/>
      <c r="H14191" s="28"/>
    </row>
    <row r="14192" spans="4:8" x14ac:dyDescent="0.25">
      <c r="D14192" s="28"/>
      <c r="F14192" s="28"/>
      <c r="H14192" s="28"/>
    </row>
    <row r="14193" spans="4:8" x14ac:dyDescent="0.25">
      <c r="D14193" s="28"/>
      <c r="F14193" s="28"/>
      <c r="H14193" s="28"/>
    </row>
    <row r="14194" spans="4:8" x14ac:dyDescent="0.25">
      <c r="D14194" s="28"/>
      <c r="F14194" s="28"/>
      <c r="H14194" s="28"/>
    </row>
    <row r="14195" spans="4:8" x14ac:dyDescent="0.25">
      <c r="D14195" s="28"/>
      <c r="F14195" s="28"/>
      <c r="H14195" s="28"/>
    </row>
    <row r="14196" spans="4:8" x14ac:dyDescent="0.25">
      <c r="D14196" s="28"/>
      <c r="F14196" s="28"/>
      <c r="H14196" s="28"/>
    </row>
    <row r="14197" spans="4:8" x14ac:dyDescent="0.25">
      <c r="D14197" s="28"/>
      <c r="F14197" s="28"/>
      <c r="H14197" s="28"/>
    </row>
    <row r="14198" spans="4:8" x14ac:dyDescent="0.25">
      <c r="D14198" s="28"/>
      <c r="F14198" s="28"/>
      <c r="H14198" s="28"/>
    </row>
    <row r="14199" spans="4:8" x14ac:dyDescent="0.25">
      <c r="D14199" s="28"/>
      <c r="F14199" s="28"/>
      <c r="H14199" s="28"/>
    </row>
    <row r="14200" spans="4:8" x14ac:dyDescent="0.25">
      <c r="D14200" s="28"/>
      <c r="F14200" s="28"/>
      <c r="H14200" s="28"/>
    </row>
    <row r="14201" spans="4:8" x14ac:dyDescent="0.25">
      <c r="D14201" s="28"/>
      <c r="F14201" s="28"/>
      <c r="H14201" s="28"/>
    </row>
    <row r="14202" spans="4:8" x14ac:dyDescent="0.25">
      <c r="D14202" s="28"/>
      <c r="F14202" s="28"/>
      <c r="H14202" s="28"/>
    </row>
    <row r="14203" spans="4:8" x14ac:dyDescent="0.25">
      <c r="D14203" s="28"/>
      <c r="F14203" s="28"/>
      <c r="H14203" s="28"/>
    </row>
    <row r="14204" spans="4:8" x14ac:dyDescent="0.25">
      <c r="D14204" s="28"/>
      <c r="F14204" s="28"/>
      <c r="H14204" s="28"/>
    </row>
    <row r="14205" spans="4:8" x14ac:dyDescent="0.25">
      <c r="D14205" s="28"/>
      <c r="F14205" s="28"/>
      <c r="H14205" s="28"/>
    </row>
    <row r="14206" spans="4:8" x14ac:dyDescent="0.25">
      <c r="D14206" s="28"/>
      <c r="F14206" s="28"/>
      <c r="H14206" s="28"/>
    </row>
    <row r="14207" spans="4:8" x14ac:dyDescent="0.25">
      <c r="D14207" s="28"/>
      <c r="F14207" s="28"/>
      <c r="H14207" s="28"/>
    </row>
    <row r="14208" spans="4:8" x14ac:dyDescent="0.25">
      <c r="D14208" s="28"/>
      <c r="F14208" s="28"/>
      <c r="H14208" s="28"/>
    </row>
    <row r="14209" spans="4:8" x14ac:dyDescent="0.25">
      <c r="D14209" s="28"/>
      <c r="F14209" s="28"/>
      <c r="H14209" s="28"/>
    </row>
    <row r="14210" spans="4:8" x14ac:dyDescent="0.25">
      <c r="D14210" s="28"/>
      <c r="F14210" s="28"/>
      <c r="H14210" s="28"/>
    </row>
    <row r="14211" spans="4:8" x14ac:dyDescent="0.25">
      <c r="D14211" s="28"/>
      <c r="F14211" s="28"/>
      <c r="H14211" s="28"/>
    </row>
    <row r="14212" spans="4:8" x14ac:dyDescent="0.25">
      <c r="D14212" s="28"/>
      <c r="F14212" s="28"/>
      <c r="H14212" s="28"/>
    </row>
    <row r="14213" spans="4:8" x14ac:dyDescent="0.25">
      <c r="D14213" s="28"/>
      <c r="F14213" s="28"/>
      <c r="H14213" s="28"/>
    </row>
    <row r="14214" spans="4:8" x14ac:dyDescent="0.25">
      <c r="D14214" s="28"/>
      <c r="F14214" s="28"/>
      <c r="H14214" s="28"/>
    </row>
    <row r="14215" spans="4:8" x14ac:dyDescent="0.25">
      <c r="D14215" s="28"/>
      <c r="F14215" s="28"/>
      <c r="H14215" s="28"/>
    </row>
    <row r="14216" spans="4:8" x14ac:dyDescent="0.25">
      <c r="D14216" s="28"/>
      <c r="F14216" s="28"/>
      <c r="H14216" s="28"/>
    </row>
    <row r="14217" spans="4:8" x14ac:dyDescent="0.25">
      <c r="D14217" s="28"/>
      <c r="F14217" s="28"/>
      <c r="H14217" s="28"/>
    </row>
    <row r="14218" spans="4:8" x14ac:dyDescent="0.25">
      <c r="D14218" s="28"/>
      <c r="F14218" s="28"/>
      <c r="H14218" s="28"/>
    </row>
    <row r="14219" spans="4:8" x14ac:dyDescent="0.25">
      <c r="D14219" s="28"/>
      <c r="F14219" s="28"/>
      <c r="H14219" s="28"/>
    </row>
    <row r="14220" spans="4:8" x14ac:dyDescent="0.25">
      <c r="D14220" s="28"/>
      <c r="F14220" s="28"/>
      <c r="H14220" s="28"/>
    </row>
    <row r="14221" spans="4:8" x14ac:dyDescent="0.25">
      <c r="D14221" s="28"/>
      <c r="F14221" s="28"/>
      <c r="H14221" s="28"/>
    </row>
    <row r="14222" spans="4:8" x14ac:dyDescent="0.25">
      <c r="D14222" s="28"/>
      <c r="F14222" s="28"/>
      <c r="H14222" s="28"/>
    </row>
    <row r="14223" spans="4:8" x14ac:dyDescent="0.25">
      <c r="D14223" s="28"/>
      <c r="F14223" s="28"/>
      <c r="H14223" s="28"/>
    </row>
    <row r="14224" spans="4:8" x14ac:dyDescent="0.25">
      <c r="D14224" s="28"/>
      <c r="F14224" s="28"/>
      <c r="H14224" s="28"/>
    </row>
    <row r="14225" spans="4:8" x14ac:dyDescent="0.25">
      <c r="D14225" s="28"/>
      <c r="F14225" s="28"/>
      <c r="H14225" s="28"/>
    </row>
    <row r="14226" spans="4:8" x14ac:dyDescent="0.25">
      <c r="D14226" s="28"/>
      <c r="F14226" s="28"/>
      <c r="H14226" s="28"/>
    </row>
    <row r="14227" spans="4:8" x14ac:dyDescent="0.25">
      <c r="D14227" s="28"/>
      <c r="F14227" s="28"/>
      <c r="H14227" s="28"/>
    </row>
    <row r="14228" spans="4:8" x14ac:dyDescent="0.25">
      <c r="D14228" s="28"/>
      <c r="F14228" s="28"/>
      <c r="H14228" s="28"/>
    </row>
    <row r="14229" spans="4:8" x14ac:dyDescent="0.25">
      <c r="D14229" s="28"/>
      <c r="F14229" s="28"/>
      <c r="H14229" s="28"/>
    </row>
    <row r="14230" spans="4:8" x14ac:dyDescent="0.25">
      <c r="D14230" s="28"/>
      <c r="F14230" s="28"/>
      <c r="H14230" s="28"/>
    </row>
    <row r="14231" spans="4:8" x14ac:dyDescent="0.25">
      <c r="D14231" s="28"/>
      <c r="F14231" s="28"/>
      <c r="H14231" s="28"/>
    </row>
    <row r="14232" spans="4:8" x14ac:dyDescent="0.25">
      <c r="D14232" s="28"/>
      <c r="F14232" s="28"/>
      <c r="H14232" s="28"/>
    </row>
    <row r="14233" spans="4:8" x14ac:dyDescent="0.25">
      <c r="D14233" s="28"/>
      <c r="F14233" s="28"/>
      <c r="H14233" s="28"/>
    </row>
    <row r="14234" spans="4:8" x14ac:dyDescent="0.25">
      <c r="D14234" s="28"/>
      <c r="F14234" s="28"/>
      <c r="H14234" s="28"/>
    </row>
    <row r="14235" spans="4:8" x14ac:dyDescent="0.25">
      <c r="D14235" s="28"/>
      <c r="F14235" s="28"/>
      <c r="H14235" s="28"/>
    </row>
    <row r="14236" spans="4:8" x14ac:dyDescent="0.25">
      <c r="D14236" s="28"/>
      <c r="F14236" s="28"/>
      <c r="H14236" s="28"/>
    </row>
    <row r="14237" spans="4:8" x14ac:dyDescent="0.25">
      <c r="D14237" s="28"/>
      <c r="F14237" s="28"/>
      <c r="H14237" s="28"/>
    </row>
    <row r="14238" spans="4:8" x14ac:dyDescent="0.25">
      <c r="D14238" s="28"/>
      <c r="F14238" s="28"/>
      <c r="H14238" s="28"/>
    </row>
    <row r="14239" spans="4:8" x14ac:dyDescent="0.25">
      <c r="D14239" s="28"/>
      <c r="F14239" s="28"/>
      <c r="H14239" s="28"/>
    </row>
    <row r="14240" spans="4:8" x14ac:dyDescent="0.25">
      <c r="D14240" s="28"/>
      <c r="F14240" s="28"/>
      <c r="H14240" s="28"/>
    </row>
    <row r="14241" spans="4:8" x14ac:dyDescent="0.25">
      <c r="D14241" s="28"/>
      <c r="F14241" s="28"/>
      <c r="H14241" s="28"/>
    </row>
    <row r="14242" spans="4:8" x14ac:dyDescent="0.25">
      <c r="D14242" s="28"/>
      <c r="F14242" s="28"/>
      <c r="H14242" s="28"/>
    </row>
    <row r="14243" spans="4:8" x14ac:dyDescent="0.25">
      <c r="D14243" s="28"/>
      <c r="F14243" s="28"/>
      <c r="H14243" s="28"/>
    </row>
    <row r="14244" spans="4:8" x14ac:dyDescent="0.25">
      <c r="D14244" s="28"/>
      <c r="F14244" s="28"/>
      <c r="H14244" s="28"/>
    </row>
    <row r="14245" spans="4:8" x14ac:dyDescent="0.25">
      <c r="D14245" s="28"/>
      <c r="F14245" s="28"/>
      <c r="H14245" s="28"/>
    </row>
    <row r="14246" spans="4:8" x14ac:dyDescent="0.25">
      <c r="D14246" s="28"/>
      <c r="F14246" s="28"/>
      <c r="H14246" s="28"/>
    </row>
    <row r="14247" spans="4:8" x14ac:dyDescent="0.25">
      <c r="D14247" s="28"/>
      <c r="F14247" s="28"/>
      <c r="H14247" s="28"/>
    </row>
    <row r="14248" spans="4:8" x14ac:dyDescent="0.25">
      <c r="D14248" s="28"/>
      <c r="F14248" s="28"/>
      <c r="H14248" s="28"/>
    </row>
    <row r="14249" spans="4:8" x14ac:dyDescent="0.25">
      <c r="D14249" s="28"/>
      <c r="F14249" s="28"/>
      <c r="H14249" s="28"/>
    </row>
    <row r="14250" spans="4:8" x14ac:dyDescent="0.25">
      <c r="D14250" s="28"/>
      <c r="F14250" s="28"/>
      <c r="H14250" s="28"/>
    </row>
    <row r="14251" spans="4:8" x14ac:dyDescent="0.25">
      <c r="D14251" s="28"/>
      <c r="F14251" s="28"/>
      <c r="H14251" s="28"/>
    </row>
    <row r="14252" spans="4:8" x14ac:dyDescent="0.25">
      <c r="D14252" s="28"/>
      <c r="F14252" s="28"/>
      <c r="H14252" s="28"/>
    </row>
    <row r="14253" spans="4:8" x14ac:dyDescent="0.25">
      <c r="D14253" s="28"/>
      <c r="F14253" s="28"/>
      <c r="H14253" s="28"/>
    </row>
    <row r="14254" spans="4:8" x14ac:dyDescent="0.25">
      <c r="D14254" s="28"/>
      <c r="F14254" s="28"/>
      <c r="H14254" s="28"/>
    </row>
    <row r="14255" spans="4:8" x14ac:dyDescent="0.25">
      <c r="D14255" s="28"/>
      <c r="F14255" s="28"/>
      <c r="H14255" s="28"/>
    </row>
    <row r="14256" spans="4:8" x14ac:dyDescent="0.25">
      <c r="D14256" s="28"/>
      <c r="F14256" s="28"/>
      <c r="H14256" s="28"/>
    </row>
    <row r="14257" spans="4:8" x14ac:dyDescent="0.25">
      <c r="D14257" s="28"/>
      <c r="F14257" s="28"/>
      <c r="H14257" s="28"/>
    </row>
    <row r="14258" spans="4:8" x14ac:dyDescent="0.25">
      <c r="D14258" s="28"/>
      <c r="F14258" s="28"/>
      <c r="H14258" s="28"/>
    </row>
    <row r="14259" spans="4:8" x14ac:dyDescent="0.25">
      <c r="D14259" s="28"/>
      <c r="F14259" s="28"/>
      <c r="H14259" s="28"/>
    </row>
    <row r="14260" spans="4:8" x14ac:dyDescent="0.25">
      <c r="D14260" s="28"/>
      <c r="F14260" s="28"/>
      <c r="H14260" s="28"/>
    </row>
    <row r="14261" spans="4:8" x14ac:dyDescent="0.25">
      <c r="D14261" s="28"/>
      <c r="F14261" s="28"/>
      <c r="H14261" s="28"/>
    </row>
    <row r="14262" spans="4:8" x14ac:dyDescent="0.25">
      <c r="D14262" s="28"/>
      <c r="F14262" s="28"/>
      <c r="H14262" s="28"/>
    </row>
    <row r="14263" spans="4:8" x14ac:dyDescent="0.25">
      <c r="D14263" s="28"/>
      <c r="F14263" s="28"/>
      <c r="H14263" s="28"/>
    </row>
    <row r="14264" spans="4:8" x14ac:dyDescent="0.25">
      <c r="D14264" s="28"/>
      <c r="F14264" s="28"/>
      <c r="H14264" s="28"/>
    </row>
    <row r="14265" spans="4:8" x14ac:dyDescent="0.25">
      <c r="D14265" s="28"/>
      <c r="F14265" s="28"/>
      <c r="H14265" s="28"/>
    </row>
    <row r="14266" spans="4:8" x14ac:dyDescent="0.25">
      <c r="D14266" s="28"/>
      <c r="F14266" s="28"/>
      <c r="H14266" s="28"/>
    </row>
    <row r="14267" spans="4:8" x14ac:dyDescent="0.25">
      <c r="D14267" s="28"/>
      <c r="F14267" s="28"/>
      <c r="H14267" s="28"/>
    </row>
    <row r="14268" spans="4:8" x14ac:dyDescent="0.25">
      <c r="D14268" s="28"/>
      <c r="F14268" s="28"/>
      <c r="H14268" s="28"/>
    </row>
    <row r="14269" spans="4:8" x14ac:dyDescent="0.25">
      <c r="D14269" s="28"/>
      <c r="F14269" s="28"/>
      <c r="H14269" s="28"/>
    </row>
    <row r="14270" spans="4:8" x14ac:dyDescent="0.25">
      <c r="D14270" s="28"/>
      <c r="F14270" s="28"/>
      <c r="H14270" s="28"/>
    </row>
    <row r="14271" spans="4:8" x14ac:dyDescent="0.25">
      <c r="D14271" s="28"/>
      <c r="F14271" s="28"/>
      <c r="H14271" s="28"/>
    </row>
    <row r="14272" spans="4:8" x14ac:dyDescent="0.25">
      <c r="D14272" s="28"/>
      <c r="F14272" s="28"/>
      <c r="H14272" s="28"/>
    </row>
    <row r="14273" spans="4:8" x14ac:dyDescent="0.25">
      <c r="D14273" s="28"/>
      <c r="F14273" s="28"/>
      <c r="H14273" s="28"/>
    </row>
    <row r="14274" spans="4:8" x14ac:dyDescent="0.25">
      <c r="D14274" s="28"/>
      <c r="F14274" s="28"/>
      <c r="H14274" s="28"/>
    </row>
    <row r="14275" spans="4:8" x14ac:dyDescent="0.25">
      <c r="D14275" s="28"/>
      <c r="F14275" s="28"/>
      <c r="H14275" s="28"/>
    </row>
    <row r="14276" spans="4:8" x14ac:dyDescent="0.25">
      <c r="D14276" s="28"/>
      <c r="F14276" s="28"/>
      <c r="H14276" s="28"/>
    </row>
    <row r="14277" spans="4:8" x14ac:dyDescent="0.25">
      <c r="D14277" s="28"/>
      <c r="F14277" s="28"/>
      <c r="H14277" s="28"/>
    </row>
    <row r="14278" spans="4:8" x14ac:dyDescent="0.25">
      <c r="D14278" s="28"/>
      <c r="F14278" s="28"/>
      <c r="H14278" s="28"/>
    </row>
    <row r="14279" spans="4:8" x14ac:dyDescent="0.25">
      <c r="D14279" s="28"/>
      <c r="F14279" s="28"/>
      <c r="H14279" s="28"/>
    </row>
    <row r="14280" spans="4:8" x14ac:dyDescent="0.25">
      <c r="D14280" s="28"/>
      <c r="F14280" s="28"/>
      <c r="H14280" s="28"/>
    </row>
    <row r="14281" spans="4:8" x14ac:dyDescent="0.25">
      <c r="D14281" s="28"/>
      <c r="F14281" s="28"/>
      <c r="H14281" s="28"/>
    </row>
    <row r="14282" spans="4:8" x14ac:dyDescent="0.25">
      <c r="D14282" s="28"/>
      <c r="F14282" s="28"/>
      <c r="H14282" s="28"/>
    </row>
    <row r="14283" spans="4:8" x14ac:dyDescent="0.25">
      <c r="D14283" s="28"/>
      <c r="F14283" s="28"/>
      <c r="H14283" s="28"/>
    </row>
    <row r="14284" spans="4:8" x14ac:dyDescent="0.25">
      <c r="D14284" s="28"/>
      <c r="F14284" s="28"/>
      <c r="H14284" s="28"/>
    </row>
    <row r="14285" spans="4:8" x14ac:dyDescent="0.25">
      <c r="D14285" s="28"/>
      <c r="F14285" s="28"/>
      <c r="H14285" s="28"/>
    </row>
    <row r="14286" spans="4:8" x14ac:dyDescent="0.25">
      <c r="D14286" s="28"/>
      <c r="F14286" s="28"/>
      <c r="H14286" s="28"/>
    </row>
    <row r="14287" spans="4:8" x14ac:dyDescent="0.25">
      <c r="D14287" s="28"/>
      <c r="F14287" s="28"/>
      <c r="H14287" s="28"/>
    </row>
    <row r="14288" spans="4:8" x14ac:dyDescent="0.25">
      <c r="D14288" s="28"/>
      <c r="F14288" s="28"/>
      <c r="H14288" s="28"/>
    </row>
    <row r="14289" spans="4:8" x14ac:dyDescent="0.25">
      <c r="D14289" s="28"/>
      <c r="F14289" s="28"/>
      <c r="H14289" s="28"/>
    </row>
    <row r="14290" spans="4:8" x14ac:dyDescent="0.25">
      <c r="D14290" s="28"/>
      <c r="F14290" s="28"/>
      <c r="H14290" s="28"/>
    </row>
    <row r="14291" spans="4:8" x14ac:dyDescent="0.25">
      <c r="D14291" s="28"/>
      <c r="F14291" s="28"/>
      <c r="H14291" s="28"/>
    </row>
    <row r="14292" spans="4:8" x14ac:dyDescent="0.25">
      <c r="D14292" s="28"/>
      <c r="F14292" s="28"/>
      <c r="H14292" s="28"/>
    </row>
    <row r="14293" spans="4:8" x14ac:dyDescent="0.25">
      <c r="D14293" s="28"/>
      <c r="F14293" s="28"/>
      <c r="H14293" s="28"/>
    </row>
    <row r="14294" spans="4:8" x14ac:dyDescent="0.25">
      <c r="D14294" s="28"/>
      <c r="F14294" s="28"/>
      <c r="H14294" s="28"/>
    </row>
    <row r="14295" spans="4:8" x14ac:dyDescent="0.25">
      <c r="D14295" s="28"/>
      <c r="F14295" s="28"/>
      <c r="H14295" s="28"/>
    </row>
    <row r="14296" spans="4:8" x14ac:dyDescent="0.25">
      <c r="D14296" s="28"/>
      <c r="F14296" s="28"/>
      <c r="H14296" s="28"/>
    </row>
    <row r="14297" spans="4:8" x14ac:dyDescent="0.25">
      <c r="D14297" s="28"/>
      <c r="F14297" s="28"/>
      <c r="H14297" s="28"/>
    </row>
    <row r="14298" spans="4:8" x14ac:dyDescent="0.25">
      <c r="D14298" s="28"/>
      <c r="F14298" s="28"/>
      <c r="H14298" s="28"/>
    </row>
    <row r="14299" spans="4:8" x14ac:dyDescent="0.25">
      <c r="D14299" s="28"/>
      <c r="F14299" s="28"/>
      <c r="H14299" s="28"/>
    </row>
    <row r="14300" spans="4:8" x14ac:dyDescent="0.25">
      <c r="D14300" s="28"/>
      <c r="F14300" s="28"/>
      <c r="H14300" s="28"/>
    </row>
    <row r="14301" spans="4:8" x14ac:dyDescent="0.25">
      <c r="D14301" s="28"/>
      <c r="F14301" s="28"/>
      <c r="H14301" s="28"/>
    </row>
    <row r="14302" spans="4:8" x14ac:dyDescent="0.25">
      <c r="D14302" s="28"/>
      <c r="F14302" s="28"/>
      <c r="H14302" s="28"/>
    </row>
    <row r="14303" spans="4:8" x14ac:dyDescent="0.25">
      <c r="D14303" s="28"/>
      <c r="F14303" s="28"/>
      <c r="H14303" s="28"/>
    </row>
    <row r="14304" spans="4:8" x14ac:dyDescent="0.25">
      <c r="D14304" s="28"/>
      <c r="F14304" s="28"/>
      <c r="H14304" s="28"/>
    </row>
    <row r="14305" spans="4:8" x14ac:dyDescent="0.25">
      <c r="D14305" s="28"/>
      <c r="F14305" s="28"/>
      <c r="H14305" s="28"/>
    </row>
    <row r="14306" spans="4:8" x14ac:dyDescent="0.25">
      <c r="D14306" s="28"/>
      <c r="F14306" s="28"/>
      <c r="H14306" s="28"/>
    </row>
    <row r="14307" spans="4:8" x14ac:dyDescent="0.25">
      <c r="D14307" s="28"/>
      <c r="F14307" s="28"/>
      <c r="H14307" s="28"/>
    </row>
    <row r="14308" spans="4:8" x14ac:dyDescent="0.25">
      <c r="D14308" s="28"/>
      <c r="F14308" s="28"/>
      <c r="H14308" s="28"/>
    </row>
    <row r="14309" spans="4:8" x14ac:dyDescent="0.25">
      <c r="D14309" s="28"/>
      <c r="F14309" s="28"/>
      <c r="H14309" s="28"/>
    </row>
    <row r="14310" spans="4:8" x14ac:dyDescent="0.25">
      <c r="D14310" s="28"/>
      <c r="F14310" s="28"/>
      <c r="H14310" s="28"/>
    </row>
    <row r="14311" spans="4:8" x14ac:dyDescent="0.25">
      <c r="D14311" s="28"/>
      <c r="F14311" s="28"/>
      <c r="H14311" s="28"/>
    </row>
    <row r="14312" spans="4:8" x14ac:dyDescent="0.25">
      <c r="D14312" s="28"/>
      <c r="F14312" s="28"/>
      <c r="H14312" s="28"/>
    </row>
    <row r="14313" spans="4:8" x14ac:dyDescent="0.25">
      <c r="D14313" s="28"/>
      <c r="F14313" s="28"/>
      <c r="H14313" s="28"/>
    </row>
    <row r="14314" spans="4:8" x14ac:dyDescent="0.25">
      <c r="D14314" s="28"/>
      <c r="F14314" s="28"/>
      <c r="H14314" s="28"/>
    </row>
    <row r="14315" spans="4:8" x14ac:dyDescent="0.25">
      <c r="D14315" s="28"/>
      <c r="F14315" s="28"/>
      <c r="H14315" s="28"/>
    </row>
    <row r="14316" spans="4:8" x14ac:dyDescent="0.25">
      <c r="D14316" s="28"/>
      <c r="F14316" s="28"/>
      <c r="H14316" s="28"/>
    </row>
    <row r="14317" spans="4:8" x14ac:dyDescent="0.25">
      <c r="D14317" s="28"/>
      <c r="F14317" s="28"/>
      <c r="H14317" s="28"/>
    </row>
    <row r="14318" spans="4:8" x14ac:dyDescent="0.25">
      <c r="D14318" s="28"/>
      <c r="F14318" s="28"/>
      <c r="H14318" s="28"/>
    </row>
    <row r="14319" spans="4:8" x14ac:dyDescent="0.25">
      <c r="D14319" s="28"/>
      <c r="F14319" s="28"/>
      <c r="H14319" s="28"/>
    </row>
    <row r="14320" spans="4:8" x14ac:dyDescent="0.25">
      <c r="D14320" s="28"/>
      <c r="F14320" s="28"/>
      <c r="H14320" s="28"/>
    </row>
    <row r="14321" spans="4:8" x14ac:dyDescent="0.25">
      <c r="D14321" s="28"/>
      <c r="F14321" s="28"/>
      <c r="H14321" s="28"/>
    </row>
    <row r="14322" spans="4:8" x14ac:dyDescent="0.25">
      <c r="D14322" s="28"/>
      <c r="F14322" s="28"/>
      <c r="H14322" s="28"/>
    </row>
    <row r="14323" spans="4:8" x14ac:dyDescent="0.25">
      <c r="D14323" s="28"/>
      <c r="F14323" s="28"/>
      <c r="H14323" s="28"/>
    </row>
    <row r="14324" spans="4:8" x14ac:dyDescent="0.25">
      <c r="D14324" s="28"/>
      <c r="F14324" s="28"/>
      <c r="H14324" s="28"/>
    </row>
    <row r="14325" spans="4:8" x14ac:dyDescent="0.25">
      <c r="D14325" s="28"/>
      <c r="F14325" s="28"/>
      <c r="H14325" s="28"/>
    </row>
    <row r="14326" spans="4:8" x14ac:dyDescent="0.25">
      <c r="D14326" s="28"/>
      <c r="F14326" s="28"/>
      <c r="H14326" s="28"/>
    </row>
    <row r="14327" spans="4:8" x14ac:dyDescent="0.25">
      <c r="D14327" s="28"/>
      <c r="F14327" s="28"/>
      <c r="H14327" s="28"/>
    </row>
    <row r="14328" spans="4:8" x14ac:dyDescent="0.25">
      <c r="D14328" s="28"/>
      <c r="F14328" s="28"/>
      <c r="H14328" s="28"/>
    </row>
    <row r="14329" spans="4:8" x14ac:dyDescent="0.25">
      <c r="D14329" s="28"/>
      <c r="F14329" s="28"/>
      <c r="H14329" s="28"/>
    </row>
    <row r="14330" spans="4:8" x14ac:dyDescent="0.25">
      <c r="D14330" s="28"/>
      <c r="F14330" s="28"/>
      <c r="H14330" s="28"/>
    </row>
    <row r="14331" spans="4:8" x14ac:dyDescent="0.25">
      <c r="D14331" s="28"/>
      <c r="F14331" s="28"/>
      <c r="H14331" s="28"/>
    </row>
    <row r="14332" spans="4:8" x14ac:dyDescent="0.25">
      <c r="D14332" s="28"/>
      <c r="F14332" s="28"/>
      <c r="H14332" s="28"/>
    </row>
    <row r="14333" spans="4:8" x14ac:dyDescent="0.25">
      <c r="D14333" s="28"/>
      <c r="F14333" s="28"/>
      <c r="H14333" s="28"/>
    </row>
    <row r="14334" spans="4:8" x14ac:dyDescent="0.25">
      <c r="D14334" s="28"/>
      <c r="F14334" s="28"/>
      <c r="H14334" s="28"/>
    </row>
    <row r="14335" spans="4:8" x14ac:dyDescent="0.25">
      <c r="D14335" s="28"/>
      <c r="F14335" s="28"/>
      <c r="H14335" s="28"/>
    </row>
    <row r="14336" spans="4:8" x14ac:dyDescent="0.25">
      <c r="D14336" s="28"/>
      <c r="F14336" s="28"/>
      <c r="H14336" s="28"/>
    </row>
    <row r="14337" spans="4:8" x14ac:dyDescent="0.25">
      <c r="D14337" s="28"/>
      <c r="F14337" s="28"/>
      <c r="H14337" s="28"/>
    </row>
    <row r="14338" spans="4:8" x14ac:dyDescent="0.25">
      <c r="D14338" s="28"/>
      <c r="F14338" s="28"/>
      <c r="H14338" s="28"/>
    </row>
    <row r="14339" spans="4:8" x14ac:dyDescent="0.25">
      <c r="D14339" s="28"/>
      <c r="F14339" s="28"/>
      <c r="H14339" s="28"/>
    </row>
    <row r="14340" spans="4:8" x14ac:dyDescent="0.25">
      <c r="D14340" s="28"/>
      <c r="F14340" s="28"/>
      <c r="H14340" s="28"/>
    </row>
    <row r="14341" spans="4:8" x14ac:dyDescent="0.25">
      <c r="D14341" s="28"/>
      <c r="F14341" s="28"/>
      <c r="H14341" s="28"/>
    </row>
    <row r="14342" spans="4:8" x14ac:dyDescent="0.25">
      <c r="D14342" s="28"/>
      <c r="F14342" s="28"/>
      <c r="H14342" s="28"/>
    </row>
    <row r="14343" spans="4:8" x14ac:dyDescent="0.25">
      <c r="D14343" s="28"/>
      <c r="F14343" s="28"/>
      <c r="H14343" s="28"/>
    </row>
    <row r="14344" spans="4:8" x14ac:dyDescent="0.25">
      <c r="D14344" s="28"/>
      <c r="F14344" s="28"/>
      <c r="H14344" s="28"/>
    </row>
    <row r="14345" spans="4:8" x14ac:dyDescent="0.25">
      <c r="D14345" s="28"/>
      <c r="F14345" s="28"/>
      <c r="H14345" s="28"/>
    </row>
    <row r="14346" spans="4:8" x14ac:dyDescent="0.25">
      <c r="D14346" s="28"/>
      <c r="F14346" s="28"/>
      <c r="H14346" s="28"/>
    </row>
    <row r="14347" spans="4:8" x14ac:dyDescent="0.25">
      <c r="D14347" s="28"/>
      <c r="F14347" s="28"/>
      <c r="H14347" s="28"/>
    </row>
    <row r="14348" spans="4:8" x14ac:dyDescent="0.25">
      <c r="D14348" s="28"/>
      <c r="F14348" s="28"/>
      <c r="H14348" s="28"/>
    </row>
    <row r="14349" spans="4:8" x14ac:dyDescent="0.25">
      <c r="D14349" s="28"/>
      <c r="F14349" s="28"/>
      <c r="H14349" s="28"/>
    </row>
    <row r="14350" spans="4:8" x14ac:dyDescent="0.25">
      <c r="D14350" s="28"/>
      <c r="F14350" s="28"/>
      <c r="H14350" s="28"/>
    </row>
    <row r="14351" spans="4:8" x14ac:dyDescent="0.25">
      <c r="D14351" s="28"/>
      <c r="F14351" s="28"/>
      <c r="H14351" s="28"/>
    </row>
    <row r="14352" spans="4:8" x14ac:dyDescent="0.25">
      <c r="D14352" s="28"/>
      <c r="F14352" s="28"/>
      <c r="H14352" s="28"/>
    </row>
    <row r="14353" spans="4:8" x14ac:dyDescent="0.25">
      <c r="D14353" s="28"/>
      <c r="F14353" s="28"/>
      <c r="H14353" s="28"/>
    </row>
    <row r="14354" spans="4:8" x14ac:dyDescent="0.25">
      <c r="D14354" s="28"/>
      <c r="F14354" s="28"/>
      <c r="H14354" s="28"/>
    </row>
    <row r="14355" spans="4:8" x14ac:dyDescent="0.25">
      <c r="D14355" s="28"/>
      <c r="F14355" s="28"/>
      <c r="H14355" s="28"/>
    </row>
    <row r="14356" spans="4:8" x14ac:dyDescent="0.25">
      <c r="D14356" s="28"/>
      <c r="F14356" s="28"/>
      <c r="H14356" s="28"/>
    </row>
    <row r="14357" spans="4:8" x14ac:dyDescent="0.25">
      <c r="D14357" s="28"/>
      <c r="F14357" s="28"/>
      <c r="H14357" s="28"/>
    </row>
    <row r="14358" spans="4:8" x14ac:dyDescent="0.25">
      <c r="D14358" s="28"/>
      <c r="F14358" s="28"/>
      <c r="H14358" s="28"/>
    </row>
    <row r="14359" spans="4:8" x14ac:dyDescent="0.25">
      <c r="D14359" s="28"/>
      <c r="F14359" s="28"/>
      <c r="H14359" s="28"/>
    </row>
    <row r="14360" spans="4:8" x14ac:dyDescent="0.25">
      <c r="D14360" s="28"/>
      <c r="F14360" s="28"/>
      <c r="H14360" s="28"/>
    </row>
    <row r="14361" spans="4:8" x14ac:dyDescent="0.25">
      <c r="D14361" s="28"/>
      <c r="F14361" s="28"/>
      <c r="H14361" s="28"/>
    </row>
    <row r="14362" spans="4:8" x14ac:dyDescent="0.25">
      <c r="D14362" s="28"/>
      <c r="F14362" s="28"/>
      <c r="H14362" s="28"/>
    </row>
    <row r="14363" spans="4:8" x14ac:dyDescent="0.25">
      <c r="D14363" s="28"/>
      <c r="F14363" s="28"/>
      <c r="H14363" s="28"/>
    </row>
    <row r="14364" spans="4:8" x14ac:dyDescent="0.25">
      <c r="D14364" s="28"/>
      <c r="F14364" s="28"/>
      <c r="H14364" s="28"/>
    </row>
    <row r="14365" spans="4:8" x14ac:dyDescent="0.25">
      <c r="D14365" s="28"/>
      <c r="F14365" s="28"/>
      <c r="H14365" s="28"/>
    </row>
    <row r="14366" spans="4:8" x14ac:dyDescent="0.25">
      <c r="D14366" s="28"/>
      <c r="F14366" s="28"/>
      <c r="H14366" s="28"/>
    </row>
    <row r="14367" spans="4:8" x14ac:dyDescent="0.25">
      <c r="D14367" s="28"/>
      <c r="F14367" s="28"/>
      <c r="H14367" s="28"/>
    </row>
    <row r="14368" spans="4:8" x14ac:dyDescent="0.25">
      <c r="D14368" s="28"/>
      <c r="F14368" s="28"/>
      <c r="H14368" s="28"/>
    </row>
    <row r="14369" spans="4:8" x14ac:dyDescent="0.25">
      <c r="D14369" s="28"/>
      <c r="F14369" s="28"/>
      <c r="H14369" s="28"/>
    </row>
    <row r="14370" spans="4:8" x14ac:dyDescent="0.25">
      <c r="D14370" s="28"/>
      <c r="F14370" s="28"/>
      <c r="H14370" s="28"/>
    </row>
    <row r="14371" spans="4:8" x14ac:dyDescent="0.25">
      <c r="D14371" s="28"/>
      <c r="F14371" s="28"/>
      <c r="H14371" s="28"/>
    </row>
    <row r="14372" spans="4:8" x14ac:dyDescent="0.25">
      <c r="D14372" s="28"/>
      <c r="F14372" s="28"/>
      <c r="H14372" s="28"/>
    </row>
    <row r="14373" spans="4:8" x14ac:dyDescent="0.25">
      <c r="D14373" s="28"/>
      <c r="F14373" s="28"/>
      <c r="H14373" s="28"/>
    </row>
    <row r="14374" spans="4:8" x14ac:dyDescent="0.25">
      <c r="D14374" s="28"/>
      <c r="F14374" s="28"/>
      <c r="H14374" s="28"/>
    </row>
    <row r="14375" spans="4:8" x14ac:dyDescent="0.25">
      <c r="D14375" s="28"/>
      <c r="F14375" s="28"/>
      <c r="H14375" s="28"/>
    </row>
    <row r="14376" spans="4:8" x14ac:dyDescent="0.25">
      <c r="D14376" s="28"/>
      <c r="F14376" s="28"/>
      <c r="H14376" s="28"/>
    </row>
    <row r="14377" spans="4:8" x14ac:dyDescent="0.25">
      <c r="D14377" s="28"/>
      <c r="F14377" s="28"/>
      <c r="H14377" s="28"/>
    </row>
    <row r="14378" spans="4:8" x14ac:dyDescent="0.25">
      <c r="D14378" s="28"/>
      <c r="F14378" s="28"/>
      <c r="H14378" s="28"/>
    </row>
    <row r="14379" spans="4:8" x14ac:dyDescent="0.25">
      <c r="D14379" s="28"/>
      <c r="F14379" s="28"/>
      <c r="H14379" s="28"/>
    </row>
    <row r="14380" spans="4:8" x14ac:dyDescent="0.25">
      <c r="D14380" s="28"/>
      <c r="F14380" s="28"/>
      <c r="H14380" s="28"/>
    </row>
    <row r="14381" spans="4:8" x14ac:dyDescent="0.25">
      <c r="D14381" s="28"/>
      <c r="F14381" s="28"/>
      <c r="H14381" s="28"/>
    </row>
    <row r="14382" spans="4:8" x14ac:dyDescent="0.25">
      <c r="D14382" s="28"/>
      <c r="F14382" s="28"/>
      <c r="H14382" s="28"/>
    </row>
    <row r="14383" spans="4:8" x14ac:dyDescent="0.25">
      <c r="D14383" s="28"/>
      <c r="F14383" s="28"/>
      <c r="H14383" s="28"/>
    </row>
    <row r="14384" spans="4:8" x14ac:dyDescent="0.25">
      <c r="D14384" s="28"/>
      <c r="F14384" s="28"/>
      <c r="H14384" s="28"/>
    </row>
    <row r="14385" spans="4:8" x14ac:dyDescent="0.25">
      <c r="D14385" s="28"/>
      <c r="F14385" s="28"/>
      <c r="H14385" s="28"/>
    </row>
    <row r="14386" spans="4:8" x14ac:dyDescent="0.25">
      <c r="D14386" s="28"/>
      <c r="F14386" s="28"/>
      <c r="H14386" s="28"/>
    </row>
    <row r="14387" spans="4:8" x14ac:dyDescent="0.25">
      <c r="D14387" s="28"/>
      <c r="F14387" s="28"/>
      <c r="H14387" s="28"/>
    </row>
    <row r="14388" spans="4:8" x14ac:dyDescent="0.25">
      <c r="D14388" s="28"/>
      <c r="F14388" s="28"/>
      <c r="H14388" s="28"/>
    </row>
    <row r="14389" spans="4:8" x14ac:dyDescent="0.25">
      <c r="D14389" s="28"/>
      <c r="F14389" s="28"/>
      <c r="H14389" s="28"/>
    </row>
    <row r="14390" spans="4:8" x14ac:dyDescent="0.25">
      <c r="D14390" s="28"/>
      <c r="F14390" s="28"/>
      <c r="H14390" s="28"/>
    </row>
    <row r="14391" spans="4:8" x14ac:dyDescent="0.25">
      <c r="D14391" s="28"/>
      <c r="F14391" s="28"/>
      <c r="H14391" s="28"/>
    </row>
    <row r="14392" spans="4:8" x14ac:dyDescent="0.25">
      <c r="D14392" s="28"/>
      <c r="F14392" s="28"/>
      <c r="H14392" s="28"/>
    </row>
    <row r="14393" spans="4:8" x14ac:dyDescent="0.25">
      <c r="D14393" s="28"/>
      <c r="F14393" s="28"/>
      <c r="H14393" s="28"/>
    </row>
    <row r="14394" spans="4:8" x14ac:dyDescent="0.25">
      <c r="D14394" s="28"/>
      <c r="F14394" s="28"/>
      <c r="H14394" s="28"/>
    </row>
    <row r="14395" spans="4:8" x14ac:dyDescent="0.25">
      <c r="D14395" s="28"/>
      <c r="F14395" s="28"/>
      <c r="H14395" s="28"/>
    </row>
    <row r="14396" spans="4:8" x14ac:dyDescent="0.25">
      <c r="D14396" s="28"/>
      <c r="F14396" s="28"/>
      <c r="H14396" s="28"/>
    </row>
    <row r="14397" spans="4:8" x14ac:dyDescent="0.25">
      <c r="D14397" s="28"/>
      <c r="F14397" s="28"/>
      <c r="H14397" s="28"/>
    </row>
    <row r="14398" spans="4:8" x14ac:dyDescent="0.25">
      <c r="D14398" s="28"/>
      <c r="F14398" s="28"/>
      <c r="H14398" s="28"/>
    </row>
    <row r="14399" spans="4:8" x14ac:dyDescent="0.25">
      <c r="D14399" s="28"/>
      <c r="F14399" s="28"/>
      <c r="H14399" s="28"/>
    </row>
    <row r="14400" spans="4:8" x14ac:dyDescent="0.25">
      <c r="D14400" s="28"/>
      <c r="F14400" s="28"/>
      <c r="H14400" s="28"/>
    </row>
    <row r="14401" spans="4:8" x14ac:dyDescent="0.25">
      <c r="D14401" s="28"/>
      <c r="F14401" s="28"/>
      <c r="H14401" s="28"/>
    </row>
    <row r="14402" spans="4:8" x14ac:dyDescent="0.25">
      <c r="D14402" s="28"/>
      <c r="F14402" s="28"/>
      <c r="H14402" s="28"/>
    </row>
    <row r="14403" spans="4:8" x14ac:dyDescent="0.25">
      <c r="D14403" s="28"/>
      <c r="F14403" s="28"/>
      <c r="H14403" s="28"/>
    </row>
    <row r="14404" spans="4:8" x14ac:dyDescent="0.25">
      <c r="D14404" s="28"/>
      <c r="F14404" s="28"/>
      <c r="H14404" s="28"/>
    </row>
    <row r="14405" spans="4:8" x14ac:dyDescent="0.25">
      <c r="D14405" s="28"/>
      <c r="F14405" s="28"/>
      <c r="H14405" s="28"/>
    </row>
    <row r="14406" spans="4:8" x14ac:dyDescent="0.25">
      <c r="D14406" s="28"/>
      <c r="F14406" s="28"/>
      <c r="H14406" s="28"/>
    </row>
    <row r="14407" spans="4:8" x14ac:dyDescent="0.25">
      <c r="D14407" s="28"/>
      <c r="F14407" s="28"/>
      <c r="H14407" s="28"/>
    </row>
    <row r="14408" spans="4:8" x14ac:dyDescent="0.25">
      <c r="D14408" s="28"/>
      <c r="F14408" s="28"/>
      <c r="H14408" s="28"/>
    </row>
    <row r="14409" spans="4:8" x14ac:dyDescent="0.25">
      <c r="D14409" s="28"/>
      <c r="F14409" s="28"/>
      <c r="H14409" s="28"/>
    </row>
    <row r="14410" spans="4:8" x14ac:dyDescent="0.25">
      <c r="D14410" s="28"/>
      <c r="F14410" s="28"/>
      <c r="H14410" s="28"/>
    </row>
    <row r="14411" spans="4:8" x14ac:dyDescent="0.25">
      <c r="D14411" s="28"/>
      <c r="F14411" s="28"/>
      <c r="H14411" s="28"/>
    </row>
    <row r="14412" spans="4:8" x14ac:dyDescent="0.25">
      <c r="D14412" s="28"/>
      <c r="F14412" s="28"/>
      <c r="H14412" s="28"/>
    </row>
    <row r="14413" spans="4:8" x14ac:dyDescent="0.25">
      <c r="D14413" s="28"/>
      <c r="F14413" s="28"/>
      <c r="H14413" s="28"/>
    </row>
    <row r="14414" spans="4:8" x14ac:dyDescent="0.25">
      <c r="D14414" s="28"/>
      <c r="F14414" s="28"/>
      <c r="H14414" s="28"/>
    </row>
    <row r="14415" spans="4:8" x14ac:dyDescent="0.25">
      <c r="D14415" s="28"/>
      <c r="F14415" s="28"/>
      <c r="H14415" s="28"/>
    </row>
    <row r="14416" spans="4:8" x14ac:dyDescent="0.25">
      <c r="D14416" s="28"/>
      <c r="F14416" s="28"/>
      <c r="H14416" s="28"/>
    </row>
    <row r="14417" spans="4:8" x14ac:dyDescent="0.25">
      <c r="D14417" s="28"/>
      <c r="F14417" s="28"/>
      <c r="H14417" s="28"/>
    </row>
    <row r="14418" spans="4:8" x14ac:dyDescent="0.25">
      <c r="D14418" s="28"/>
      <c r="F14418" s="28"/>
      <c r="H14418" s="28"/>
    </row>
    <row r="14419" spans="4:8" x14ac:dyDescent="0.25">
      <c r="D14419" s="28"/>
      <c r="F14419" s="28"/>
      <c r="H14419" s="28"/>
    </row>
    <row r="14420" spans="4:8" x14ac:dyDescent="0.25">
      <c r="D14420" s="28"/>
      <c r="F14420" s="28"/>
      <c r="H14420" s="28"/>
    </row>
    <row r="14421" spans="4:8" x14ac:dyDescent="0.25">
      <c r="D14421" s="28"/>
      <c r="F14421" s="28"/>
      <c r="H14421" s="28"/>
    </row>
    <row r="14422" spans="4:8" x14ac:dyDescent="0.25">
      <c r="D14422" s="28"/>
      <c r="F14422" s="28"/>
      <c r="H14422" s="28"/>
    </row>
    <row r="14423" spans="4:8" x14ac:dyDescent="0.25">
      <c r="D14423" s="28"/>
      <c r="F14423" s="28"/>
      <c r="H14423" s="28"/>
    </row>
    <row r="14424" spans="4:8" x14ac:dyDescent="0.25">
      <c r="D14424" s="28"/>
      <c r="F14424" s="28"/>
      <c r="H14424" s="28"/>
    </row>
    <row r="14425" spans="4:8" x14ac:dyDescent="0.25">
      <c r="D14425" s="28"/>
      <c r="F14425" s="28"/>
      <c r="H14425" s="28"/>
    </row>
    <row r="14426" spans="4:8" x14ac:dyDescent="0.25">
      <c r="D14426" s="28"/>
      <c r="F14426" s="28"/>
      <c r="H14426" s="28"/>
    </row>
    <row r="14427" spans="4:8" x14ac:dyDescent="0.25">
      <c r="D14427" s="28"/>
      <c r="F14427" s="28"/>
      <c r="H14427" s="28"/>
    </row>
    <row r="14428" spans="4:8" x14ac:dyDescent="0.25">
      <c r="D14428" s="28"/>
      <c r="F14428" s="28"/>
      <c r="H14428" s="28"/>
    </row>
    <row r="14429" spans="4:8" x14ac:dyDescent="0.25">
      <c r="D14429" s="28"/>
      <c r="F14429" s="28"/>
      <c r="H14429" s="28"/>
    </row>
    <row r="14430" spans="4:8" x14ac:dyDescent="0.25">
      <c r="D14430" s="28"/>
      <c r="F14430" s="28"/>
      <c r="H14430" s="28"/>
    </row>
    <row r="14431" spans="4:8" x14ac:dyDescent="0.25">
      <c r="D14431" s="28"/>
      <c r="F14431" s="28"/>
      <c r="H14431" s="28"/>
    </row>
    <row r="14432" spans="4:8" x14ac:dyDescent="0.25">
      <c r="D14432" s="28"/>
      <c r="F14432" s="28"/>
      <c r="H14432" s="28"/>
    </row>
    <row r="14433" spans="4:8" x14ac:dyDescent="0.25">
      <c r="D14433" s="28"/>
      <c r="F14433" s="28"/>
      <c r="H14433" s="28"/>
    </row>
    <row r="14434" spans="4:8" x14ac:dyDescent="0.25">
      <c r="D14434" s="28"/>
      <c r="F14434" s="28"/>
      <c r="H14434" s="28"/>
    </row>
    <row r="14435" spans="4:8" x14ac:dyDescent="0.25">
      <c r="D14435" s="28"/>
      <c r="F14435" s="28"/>
      <c r="H14435" s="28"/>
    </row>
    <row r="14436" spans="4:8" x14ac:dyDescent="0.25">
      <c r="D14436" s="28"/>
      <c r="F14436" s="28"/>
      <c r="H14436" s="28"/>
    </row>
    <row r="14437" spans="4:8" x14ac:dyDescent="0.25">
      <c r="D14437" s="28"/>
      <c r="F14437" s="28"/>
      <c r="H14437" s="28"/>
    </row>
    <row r="14438" spans="4:8" x14ac:dyDescent="0.25">
      <c r="D14438" s="28"/>
      <c r="F14438" s="28"/>
      <c r="H14438" s="28"/>
    </row>
    <row r="14439" spans="4:8" x14ac:dyDescent="0.25">
      <c r="D14439" s="28"/>
      <c r="F14439" s="28"/>
      <c r="H14439" s="28"/>
    </row>
    <row r="14440" spans="4:8" x14ac:dyDescent="0.25">
      <c r="D14440" s="28"/>
      <c r="F14440" s="28"/>
      <c r="H14440" s="28"/>
    </row>
    <row r="14441" spans="4:8" x14ac:dyDescent="0.25">
      <c r="D14441" s="28"/>
      <c r="F14441" s="28"/>
      <c r="H14441" s="28"/>
    </row>
    <row r="14442" spans="4:8" x14ac:dyDescent="0.25">
      <c r="D14442" s="28"/>
      <c r="F14442" s="28"/>
      <c r="H14442" s="28"/>
    </row>
    <row r="14443" spans="4:8" x14ac:dyDescent="0.25">
      <c r="D14443" s="28"/>
      <c r="F14443" s="28"/>
      <c r="H14443" s="28"/>
    </row>
    <row r="14444" spans="4:8" x14ac:dyDescent="0.25">
      <c r="D14444" s="28"/>
      <c r="F14444" s="28"/>
      <c r="H14444" s="28"/>
    </row>
    <row r="14445" spans="4:8" x14ac:dyDescent="0.25">
      <c r="D14445" s="28"/>
      <c r="F14445" s="28"/>
      <c r="H14445" s="28"/>
    </row>
    <row r="14446" spans="4:8" x14ac:dyDescent="0.25">
      <c r="D14446" s="28"/>
      <c r="F14446" s="28"/>
      <c r="H14446" s="28"/>
    </row>
    <row r="14447" spans="4:8" x14ac:dyDescent="0.25">
      <c r="D14447" s="28"/>
      <c r="F14447" s="28"/>
      <c r="H14447" s="28"/>
    </row>
    <row r="14448" spans="4:8" x14ac:dyDescent="0.25">
      <c r="D14448" s="28"/>
      <c r="F14448" s="28"/>
      <c r="H14448" s="28"/>
    </row>
    <row r="14449" spans="4:8" x14ac:dyDescent="0.25">
      <c r="D14449" s="28"/>
      <c r="F14449" s="28"/>
      <c r="H14449" s="28"/>
    </row>
    <row r="14450" spans="4:8" x14ac:dyDescent="0.25">
      <c r="D14450" s="28"/>
      <c r="F14450" s="28"/>
      <c r="H14450" s="28"/>
    </row>
    <row r="14451" spans="4:8" x14ac:dyDescent="0.25">
      <c r="D14451" s="28"/>
      <c r="F14451" s="28"/>
      <c r="H14451" s="28"/>
    </row>
    <row r="14452" spans="4:8" x14ac:dyDescent="0.25">
      <c r="D14452" s="28"/>
      <c r="F14452" s="28"/>
      <c r="H14452" s="28"/>
    </row>
    <row r="14453" spans="4:8" x14ac:dyDescent="0.25">
      <c r="D14453" s="28"/>
      <c r="F14453" s="28"/>
      <c r="H14453" s="28"/>
    </row>
    <row r="14454" spans="4:8" x14ac:dyDescent="0.25">
      <c r="D14454" s="28"/>
      <c r="F14454" s="28"/>
      <c r="H14454" s="28"/>
    </row>
    <row r="14455" spans="4:8" x14ac:dyDescent="0.25">
      <c r="D14455" s="28"/>
      <c r="F14455" s="28"/>
      <c r="H14455" s="28"/>
    </row>
    <row r="14456" spans="4:8" x14ac:dyDescent="0.25">
      <c r="D14456" s="28"/>
      <c r="F14456" s="28"/>
      <c r="H14456" s="28"/>
    </row>
    <row r="14457" spans="4:8" x14ac:dyDescent="0.25">
      <c r="D14457" s="28"/>
      <c r="F14457" s="28"/>
      <c r="H14457" s="28"/>
    </row>
    <row r="14458" spans="4:8" x14ac:dyDescent="0.25">
      <c r="D14458" s="28"/>
      <c r="F14458" s="28"/>
      <c r="H14458" s="28"/>
    </row>
    <row r="14459" spans="4:8" x14ac:dyDescent="0.25">
      <c r="D14459" s="28"/>
      <c r="F14459" s="28"/>
      <c r="H14459" s="28"/>
    </row>
    <row r="14460" spans="4:8" x14ac:dyDescent="0.25">
      <c r="D14460" s="28"/>
      <c r="F14460" s="28"/>
      <c r="H14460" s="28"/>
    </row>
    <row r="14461" spans="4:8" x14ac:dyDescent="0.25">
      <c r="D14461" s="28"/>
      <c r="F14461" s="28"/>
      <c r="H14461" s="28"/>
    </row>
    <row r="14462" spans="4:8" x14ac:dyDescent="0.25">
      <c r="D14462" s="28"/>
      <c r="F14462" s="28"/>
      <c r="H14462" s="28"/>
    </row>
    <row r="14463" spans="4:8" x14ac:dyDescent="0.25">
      <c r="D14463" s="28"/>
      <c r="F14463" s="28"/>
      <c r="H14463" s="28"/>
    </row>
    <row r="14464" spans="4:8" x14ac:dyDescent="0.25">
      <c r="D14464" s="28"/>
      <c r="F14464" s="28"/>
      <c r="H14464" s="28"/>
    </row>
    <row r="14465" spans="4:8" x14ac:dyDescent="0.25">
      <c r="D14465" s="28"/>
      <c r="F14465" s="28"/>
      <c r="H14465" s="28"/>
    </row>
    <row r="14466" spans="4:8" x14ac:dyDescent="0.25">
      <c r="D14466" s="28"/>
      <c r="F14466" s="28"/>
      <c r="H14466" s="28"/>
    </row>
    <row r="14467" spans="4:8" x14ac:dyDescent="0.25">
      <c r="D14467" s="28"/>
      <c r="F14467" s="28"/>
      <c r="H14467" s="28"/>
    </row>
    <row r="14468" spans="4:8" x14ac:dyDescent="0.25">
      <c r="D14468" s="28"/>
      <c r="F14468" s="28"/>
      <c r="H14468" s="28"/>
    </row>
    <row r="14469" spans="4:8" x14ac:dyDescent="0.25">
      <c r="D14469" s="28"/>
      <c r="F14469" s="28"/>
      <c r="H14469" s="28"/>
    </row>
    <row r="14470" spans="4:8" x14ac:dyDescent="0.25">
      <c r="D14470" s="28"/>
      <c r="F14470" s="28"/>
      <c r="H14470" s="28"/>
    </row>
    <row r="14471" spans="4:8" x14ac:dyDescent="0.25">
      <c r="D14471" s="28"/>
      <c r="F14471" s="28"/>
      <c r="H14471" s="28"/>
    </row>
    <row r="14472" spans="4:8" x14ac:dyDescent="0.25">
      <c r="D14472" s="28"/>
      <c r="F14472" s="28"/>
      <c r="H14472" s="28"/>
    </row>
    <row r="14473" spans="4:8" x14ac:dyDescent="0.25">
      <c r="D14473" s="28"/>
      <c r="F14473" s="28"/>
      <c r="H14473" s="28"/>
    </row>
    <row r="14474" spans="4:8" x14ac:dyDescent="0.25">
      <c r="D14474" s="28"/>
      <c r="F14474" s="28"/>
      <c r="H14474" s="28"/>
    </row>
    <row r="14475" spans="4:8" x14ac:dyDescent="0.25">
      <c r="D14475" s="28"/>
      <c r="F14475" s="28"/>
      <c r="H14475" s="28"/>
    </row>
    <row r="14476" spans="4:8" x14ac:dyDescent="0.25">
      <c r="D14476" s="28"/>
      <c r="F14476" s="28"/>
      <c r="H14476" s="28"/>
    </row>
    <row r="14477" spans="4:8" x14ac:dyDescent="0.25">
      <c r="D14477" s="28"/>
      <c r="F14477" s="28"/>
      <c r="H14477" s="28"/>
    </row>
    <row r="14478" spans="4:8" x14ac:dyDescent="0.25">
      <c r="D14478" s="28"/>
      <c r="F14478" s="28"/>
      <c r="H14478" s="28"/>
    </row>
    <row r="14479" spans="4:8" x14ac:dyDescent="0.25">
      <c r="D14479" s="28"/>
      <c r="F14479" s="28"/>
      <c r="H14479" s="28"/>
    </row>
    <row r="14480" spans="4:8" x14ac:dyDescent="0.25">
      <c r="D14480" s="28"/>
      <c r="F14480" s="28"/>
      <c r="H14480" s="28"/>
    </row>
    <row r="14481" spans="4:8" x14ac:dyDescent="0.25">
      <c r="D14481" s="28"/>
      <c r="F14481" s="28"/>
      <c r="H14481" s="28"/>
    </row>
    <row r="14482" spans="4:8" x14ac:dyDescent="0.25">
      <c r="D14482" s="28"/>
      <c r="F14482" s="28"/>
      <c r="H14482" s="28"/>
    </row>
    <row r="14483" spans="4:8" x14ac:dyDescent="0.25">
      <c r="D14483" s="28"/>
      <c r="F14483" s="28"/>
      <c r="H14483" s="28"/>
    </row>
    <row r="14484" spans="4:8" x14ac:dyDescent="0.25">
      <c r="D14484" s="28"/>
      <c r="F14484" s="28"/>
      <c r="H14484" s="28"/>
    </row>
    <row r="14485" spans="4:8" x14ac:dyDescent="0.25">
      <c r="D14485" s="28"/>
      <c r="F14485" s="28"/>
      <c r="H14485" s="28"/>
    </row>
    <row r="14486" spans="4:8" x14ac:dyDescent="0.25">
      <c r="D14486" s="28"/>
      <c r="F14486" s="28"/>
      <c r="H14486" s="28"/>
    </row>
    <row r="14487" spans="4:8" x14ac:dyDescent="0.25">
      <c r="D14487" s="28"/>
      <c r="F14487" s="28"/>
      <c r="H14487" s="28"/>
    </row>
    <row r="14488" spans="4:8" x14ac:dyDescent="0.25">
      <c r="D14488" s="28"/>
      <c r="F14488" s="28"/>
      <c r="H14488" s="28"/>
    </row>
    <row r="14489" spans="4:8" x14ac:dyDescent="0.25">
      <c r="D14489" s="28"/>
      <c r="F14489" s="28"/>
      <c r="H14489" s="28"/>
    </row>
    <row r="14490" spans="4:8" x14ac:dyDescent="0.25">
      <c r="D14490" s="28"/>
      <c r="F14490" s="28"/>
      <c r="H14490" s="28"/>
    </row>
    <row r="14491" spans="4:8" x14ac:dyDescent="0.25">
      <c r="D14491" s="28"/>
      <c r="F14491" s="28"/>
      <c r="H14491" s="28"/>
    </row>
    <row r="14492" spans="4:8" x14ac:dyDescent="0.25">
      <c r="D14492" s="28"/>
      <c r="F14492" s="28"/>
      <c r="H14492" s="28"/>
    </row>
    <row r="14493" spans="4:8" x14ac:dyDescent="0.25">
      <c r="D14493" s="28"/>
      <c r="F14493" s="28"/>
      <c r="H14493" s="28"/>
    </row>
    <row r="14494" spans="4:8" x14ac:dyDescent="0.25">
      <c r="D14494" s="28"/>
      <c r="F14494" s="28"/>
      <c r="H14494" s="28"/>
    </row>
    <row r="14495" spans="4:8" x14ac:dyDescent="0.25">
      <c r="D14495" s="28"/>
      <c r="F14495" s="28"/>
      <c r="H14495" s="28"/>
    </row>
    <row r="14496" spans="4:8" x14ac:dyDescent="0.25">
      <c r="D14496" s="28"/>
      <c r="F14496" s="28"/>
      <c r="H14496" s="28"/>
    </row>
    <row r="14497" spans="4:8" x14ac:dyDescent="0.25">
      <c r="D14497" s="28"/>
      <c r="F14497" s="28"/>
      <c r="H14497" s="28"/>
    </row>
    <row r="14498" spans="4:8" x14ac:dyDescent="0.25">
      <c r="D14498" s="28"/>
      <c r="F14498" s="28"/>
      <c r="H14498" s="28"/>
    </row>
    <row r="14499" spans="4:8" x14ac:dyDescent="0.25">
      <c r="D14499" s="28"/>
      <c r="F14499" s="28"/>
      <c r="H14499" s="28"/>
    </row>
    <row r="14500" spans="4:8" x14ac:dyDescent="0.25">
      <c r="D14500" s="28"/>
      <c r="F14500" s="28"/>
      <c r="H14500" s="28"/>
    </row>
    <row r="14501" spans="4:8" x14ac:dyDescent="0.25">
      <c r="D14501" s="28"/>
      <c r="F14501" s="28"/>
      <c r="H14501" s="28"/>
    </row>
    <row r="14502" spans="4:8" x14ac:dyDescent="0.25">
      <c r="D14502" s="28"/>
      <c r="F14502" s="28"/>
      <c r="H14502" s="28"/>
    </row>
    <row r="14503" spans="4:8" x14ac:dyDescent="0.25">
      <c r="D14503" s="28"/>
      <c r="F14503" s="28"/>
      <c r="H14503" s="28"/>
    </row>
    <row r="14504" spans="4:8" x14ac:dyDescent="0.25">
      <c r="D14504" s="28"/>
      <c r="F14504" s="28"/>
      <c r="H14504" s="28"/>
    </row>
    <row r="14505" spans="4:8" x14ac:dyDescent="0.25">
      <c r="D14505" s="28"/>
      <c r="F14505" s="28"/>
      <c r="H14505" s="28"/>
    </row>
    <row r="14506" spans="4:8" x14ac:dyDescent="0.25">
      <c r="D14506" s="28"/>
      <c r="F14506" s="28"/>
      <c r="H14506" s="28"/>
    </row>
    <row r="14507" spans="4:8" x14ac:dyDescent="0.25">
      <c r="D14507" s="28"/>
      <c r="F14507" s="28"/>
      <c r="H14507" s="28"/>
    </row>
    <row r="14508" spans="4:8" x14ac:dyDescent="0.25">
      <c r="D14508" s="28"/>
      <c r="F14508" s="28"/>
      <c r="H14508" s="28"/>
    </row>
    <row r="14509" spans="4:8" x14ac:dyDescent="0.25">
      <c r="D14509" s="28"/>
      <c r="F14509" s="28"/>
      <c r="H14509" s="28"/>
    </row>
    <row r="14510" spans="4:8" x14ac:dyDescent="0.25">
      <c r="D14510" s="28"/>
      <c r="F14510" s="28"/>
      <c r="H14510" s="28"/>
    </row>
    <row r="14511" spans="4:8" x14ac:dyDescent="0.25">
      <c r="D14511" s="28"/>
      <c r="F14511" s="28"/>
      <c r="H14511" s="28"/>
    </row>
    <row r="14512" spans="4:8" x14ac:dyDescent="0.25">
      <c r="D14512" s="28"/>
      <c r="F14512" s="28"/>
      <c r="H14512" s="28"/>
    </row>
    <row r="14513" spans="4:8" x14ac:dyDescent="0.25">
      <c r="D14513" s="28"/>
      <c r="F14513" s="28"/>
      <c r="H14513" s="28"/>
    </row>
    <row r="14514" spans="4:8" x14ac:dyDescent="0.25">
      <c r="D14514" s="28"/>
      <c r="F14514" s="28"/>
      <c r="H14514" s="28"/>
    </row>
    <row r="14515" spans="4:8" x14ac:dyDescent="0.25">
      <c r="D14515" s="28"/>
      <c r="F14515" s="28"/>
      <c r="H14515" s="28"/>
    </row>
    <row r="14516" spans="4:8" x14ac:dyDescent="0.25">
      <c r="D14516" s="28"/>
      <c r="F14516" s="28"/>
      <c r="H14516" s="28"/>
    </row>
    <row r="14517" spans="4:8" x14ac:dyDescent="0.25">
      <c r="D14517" s="28"/>
      <c r="F14517" s="28"/>
      <c r="H14517" s="28"/>
    </row>
    <row r="14518" spans="4:8" x14ac:dyDescent="0.25">
      <c r="D14518" s="28"/>
      <c r="F14518" s="28"/>
      <c r="H14518" s="28"/>
    </row>
    <row r="14519" spans="4:8" x14ac:dyDescent="0.25">
      <c r="D14519" s="28"/>
      <c r="F14519" s="28"/>
      <c r="H14519" s="28"/>
    </row>
    <row r="14520" spans="4:8" x14ac:dyDescent="0.25">
      <c r="D14520" s="28"/>
      <c r="F14520" s="28"/>
      <c r="H14520" s="28"/>
    </row>
    <row r="14521" spans="4:8" x14ac:dyDescent="0.25">
      <c r="D14521" s="28"/>
      <c r="F14521" s="28"/>
      <c r="H14521" s="28"/>
    </row>
    <row r="14522" spans="4:8" x14ac:dyDescent="0.25">
      <c r="D14522" s="28"/>
      <c r="F14522" s="28"/>
      <c r="H14522" s="28"/>
    </row>
    <row r="14523" spans="4:8" x14ac:dyDescent="0.25">
      <c r="D14523" s="28"/>
      <c r="F14523" s="28"/>
      <c r="H14523" s="28"/>
    </row>
    <row r="14524" spans="4:8" x14ac:dyDescent="0.25">
      <c r="D14524" s="28"/>
      <c r="F14524" s="28"/>
      <c r="H14524" s="28"/>
    </row>
    <row r="14525" spans="4:8" x14ac:dyDescent="0.25">
      <c r="D14525" s="28"/>
      <c r="F14525" s="28"/>
      <c r="H14525" s="28"/>
    </row>
    <row r="14526" spans="4:8" x14ac:dyDescent="0.25">
      <c r="D14526" s="28"/>
      <c r="F14526" s="28"/>
      <c r="H14526" s="28"/>
    </row>
    <row r="14527" spans="4:8" x14ac:dyDescent="0.25">
      <c r="D14527" s="28"/>
      <c r="F14527" s="28"/>
      <c r="H14527" s="28"/>
    </row>
    <row r="14528" spans="4:8" x14ac:dyDescent="0.25">
      <c r="D14528" s="28"/>
      <c r="F14528" s="28"/>
      <c r="H14528" s="28"/>
    </row>
    <row r="14529" spans="4:8" x14ac:dyDescent="0.25">
      <c r="D14529" s="28"/>
      <c r="F14529" s="28"/>
      <c r="H14529" s="28"/>
    </row>
    <row r="14530" spans="4:8" x14ac:dyDescent="0.25">
      <c r="D14530" s="28"/>
      <c r="F14530" s="28"/>
      <c r="H14530" s="28"/>
    </row>
    <row r="14531" spans="4:8" x14ac:dyDescent="0.25">
      <c r="D14531" s="28"/>
      <c r="F14531" s="28"/>
      <c r="H14531" s="28"/>
    </row>
    <row r="14532" spans="4:8" x14ac:dyDescent="0.25">
      <c r="D14532" s="28"/>
      <c r="F14532" s="28"/>
      <c r="H14532" s="28"/>
    </row>
    <row r="14533" spans="4:8" x14ac:dyDescent="0.25">
      <c r="D14533" s="28"/>
      <c r="F14533" s="28"/>
      <c r="H14533" s="28"/>
    </row>
    <row r="14534" spans="4:8" x14ac:dyDescent="0.25">
      <c r="D14534" s="28"/>
      <c r="F14534" s="28"/>
      <c r="H14534" s="28"/>
    </row>
    <row r="14535" spans="4:8" x14ac:dyDescent="0.25">
      <c r="D14535" s="28"/>
      <c r="F14535" s="28"/>
      <c r="H14535" s="28"/>
    </row>
    <row r="14536" spans="4:8" x14ac:dyDescent="0.25">
      <c r="D14536" s="28"/>
      <c r="F14536" s="28"/>
      <c r="H14536" s="28"/>
    </row>
    <row r="14537" spans="4:8" x14ac:dyDescent="0.25">
      <c r="D14537" s="28"/>
      <c r="F14537" s="28"/>
      <c r="H14537" s="28"/>
    </row>
    <row r="14538" spans="4:8" x14ac:dyDescent="0.25">
      <c r="D14538" s="28"/>
      <c r="F14538" s="28"/>
      <c r="H14538" s="28"/>
    </row>
    <row r="14539" spans="4:8" x14ac:dyDescent="0.25">
      <c r="D14539" s="28"/>
      <c r="F14539" s="28"/>
      <c r="H14539" s="28"/>
    </row>
    <row r="14540" spans="4:8" x14ac:dyDescent="0.25">
      <c r="D14540" s="28"/>
      <c r="F14540" s="28"/>
      <c r="H14540" s="28"/>
    </row>
    <row r="14541" spans="4:8" x14ac:dyDescent="0.25">
      <c r="D14541" s="28"/>
      <c r="F14541" s="28"/>
      <c r="H14541" s="28"/>
    </row>
    <row r="14542" spans="4:8" x14ac:dyDescent="0.25">
      <c r="D14542" s="28"/>
      <c r="F14542" s="28"/>
      <c r="H14542" s="28"/>
    </row>
    <row r="14543" spans="4:8" x14ac:dyDescent="0.25">
      <c r="D14543" s="28"/>
      <c r="F14543" s="28"/>
      <c r="H14543" s="28"/>
    </row>
    <row r="14544" spans="4:8" x14ac:dyDescent="0.25">
      <c r="D14544" s="28"/>
      <c r="F14544" s="28"/>
      <c r="H14544" s="28"/>
    </row>
    <row r="14545" spans="4:8" x14ac:dyDescent="0.25">
      <c r="D14545" s="28"/>
      <c r="F14545" s="28"/>
      <c r="H14545" s="28"/>
    </row>
    <row r="14546" spans="4:8" x14ac:dyDescent="0.25">
      <c r="D14546" s="28"/>
      <c r="F14546" s="28"/>
      <c r="H14546" s="28"/>
    </row>
    <row r="14547" spans="4:8" x14ac:dyDescent="0.25">
      <c r="D14547" s="28"/>
      <c r="F14547" s="28"/>
      <c r="H14547" s="28"/>
    </row>
    <row r="14548" spans="4:8" x14ac:dyDescent="0.25">
      <c r="D14548" s="28"/>
      <c r="F14548" s="28"/>
      <c r="H14548" s="28"/>
    </row>
    <row r="14549" spans="4:8" x14ac:dyDescent="0.25">
      <c r="D14549" s="28"/>
      <c r="F14549" s="28"/>
      <c r="H14549" s="28"/>
    </row>
    <row r="14550" spans="4:8" x14ac:dyDescent="0.25">
      <c r="D14550" s="28"/>
      <c r="F14550" s="28"/>
      <c r="H14550" s="28"/>
    </row>
    <row r="14551" spans="4:8" x14ac:dyDescent="0.25">
      <c r="D14551" s="28"/>
      <c r="F14551" s="28"/>
      <c r="H14551" s="28"/>
    </row>
    <row r="14552" spans="4:8" x14ac:dyDescent="0.25">
      <c r="D14552" s="28"/>
      <c r="F14552" s="28"/>
      <c r="H14552" s="28"/>
    </row>
    <row r="14553" spans="4:8" x14ac:dyDescent="0.25">
      <c r="D14553" s="28"/>
      <c r="F14553" s="28"/>
      <c r="H14553" s="28"/>
    </row>
    <row r="14554" spans="4:8" x14ac:dyDescent="0.25">
      <c r="D14554" s="28"/>
      <c r="F14554" s="28"/>
      <c r="H14554" s="28"/>
    </row>
    <row r="14555" spans="4:8" x14ac:dyDescent="0.25">
      <c r="D14555" s="28"/>
      <c r="F14555" s="28"/>
      <c r="H14555" s="28"/>
    </row>
    <row r="14556" spans="4:8" x14ac:dyDescent="0.25">
      <c r="D14556" s="28"/>
      <c r="F14556" s="28"/>
      <c r="H14556" s="28"/>
    </row>
    <row r="14557" spans="4:8" x14ac:dyDescent="0.25">
      <c r="D14557" s="28"/>
      <c r="F14557" s="28"/>
      <c r="H14557" s="28"/>
    </row>
    <row r="14558" spans="4:8" x14ac:dyDescent="0.25">
      <c r="D14558" s="28"/>
      <c r="F14558" s="28"/>
      <c r="H14558" s="28"/>
    </row>
    <row r="14559" spans="4:8" x14ac:dyDescent="0.25">
      <c r="D14559" s="28"/>
      <c r="F14559" s="28"/>
      <c r="H14559" s="28"/>
    </row>
    <row r="14560" spans="4:8" x14ac:dyDescent="0.25">
      <c r="D14560" s="28"/>
      <c r="F14560" s="28"/>
      <c r="H14560" s="28"/>
    </row>
    <row r="14561" spans="4:8" x14ac:dyDescent="0.25">
      <c r="D14561" s="28"/>
      <c r="F14561" s="28"/>
      <c r="H14561" s="28"/>
    </row>
    <row r="14562" spans="4:8" x14ac:dyDescent="0.25">
      <c r="D14562" s="28"/>
      <c r="F14562" s="28"/>
      <c r="H14562" s="28"/>
    </row>
    <row r="14563" spans="4:8" x14ac:dyDescent="0.25">
      <c r="D14563" s="28"/>
      <c r="F14563" s="28"/>
      <c r="H14563" s="28"/>
    </row>
    <row r="14564" spans="4:8" x14ac:dyDescent="0.25">
      <c r="D14564" s="28"/>
      <c r="F14564" s="28"/>
      <c r="H14564" s="28"/>
    </row>
    <row r="14565" spans="4:8" x14ac:dyDescent="0.25">
      <c r="D14565" s="28"/>
      <c r="F14565" s="28"/>
      <c r="H14565" s="28"/>
    </row>
    <row r="14566" spans="4:8" x14ac:dyDescent="0.25">
      <c r="D14566" s="28"/>
      <c r="F14566" s="28"/>
      <c r="H14566" s="28"/>
    </row>
    <row r="14567" spans="4:8" x14ac:dyDescent="0.25">
      <c r="D14567" s="28"/>
      <c r="F14567" s="28"/>
      <c r="H14567" s="28"/>
    </row>
    <row r="14568" spans="4:8" x14ac:dyDescent="0.25">
      <c r="D14568" s="28"/>
      <c r="F14568" s="28"/>
      <c r="H14568" s="28"/>
    </row>
    <row r="14569" spans="4:8" x14ac:dyDescent="0.25">
      <c r="D14569" s="28"/>
      <c r="F14569" s="28"/>
      <c r="H14569" s="28"/>
    </row>
    <row r="14570" spans="4:8" x14ac:dyDescent="0.25">
      <c r="D14570" s="28"/>
      <c r="F14570" s="28"/>
      <c r="H14570" s="28"/>
    </row>
    <row r="14571" spans="4:8" x14ac:dyDescent="0.25">
      <c r="D14571" s="28"/>
      <c r="F14571" s="28"/>
      <c r="H14571" s="28"/>
    </row>
    <row r="14572" spans="4:8" x14ac:dyDescent="0.25">
      <c r="D14572" s="28"/>
      <c r="F14572" s="28"/>
      <c r="H14572" s="28"/>
    </row>
    <row r="14573" spans="4:8" x14ac:dyDescent="0.25">
      <c r="D14573" s="28"/>
      <c r="F14573" s="28"/>
      <c r="H14573" s="28"/>
    </row>
    <row r="14574" spans="4:8" x14ac:dyDescent="0.25">
      <c r="D14574" s="28"/>
      <c r="F14574" s="28"/>
      <c r="H14574" s="28"/>
    </row>
    <row r="14575" spans="4:8" x14ac:dyDescent="0.25">
      <c r="D14575" s="28"/>
      <c r="F14575" s="28"/>
      <c r="H14575" s="28"/>
    </row>
    <row r="14576" spans="4:8" x14ac:dyDescent="0.25">
      <c r="D14576" s="28"/>
      <c r="F14576" s="28"/>
      <c r="H14576" s="28"/>
    </row>
    <row r="14577" spans="4:8" x14ac:dyDescent="0.25">
      <c r="D14577" s="28"/>
      <c r="F14577" s="28"/>
      <c r="H14577" s="28"/>
    </row>
    <row r="14578" spans="4:8" x14ac:dyDescent="0.25">
      <c r="D14578" s="28"/>
      <c r="F14578" s="28"/>
      <c r="H14578" s="28"/>
    </row>
    <row r="14579" spans="4:8" x14ac:dyDescent="0.25">
      <c r="D14579" s="28"/>
      <c r="F14579" s="28"/>
      <c r="H14579" s="28"/>
    </row>
    <row r="14580" spans="4:8" x14ac:dyDescent="0.25">
      <c r="D14580" s="28"/>
      <c r="F14580" s="28"/>
      <c r="H14580" s="28"/>
    </row>
    <row r="14581" spans="4:8" x14ac:dyDescent="0.25">
      <c r="D14581" s="28"/>
      <c r="F14581" s="28"/>
      <c r="H14581" s="28"/>
    </row>
    <row r="14582" spans="4:8" x14ac:dyDescent="0.25">
      <c r="D14582" s="28"/>
      <c r="F14582" s="28"/>
      <c r="H14582" s="28"/>
    </row>
    <row r="14583" spans="4:8" x14ac:dyDescent="0.25">
      <c r="D14583" s="28"/>
      <c r="F14583" s="28"/>
      <c r="H14583" s="28"/>
    </row>
    <row r="14584" spans="4:8" x14ac:dyDescent="0.25">
      <c r="D14584" s="28"/>
      <c r="F14584" s="28"/>
      <c r="H14584" s="28"/>
    </row>
    <row r="14585" spans="4:8" x14ac:dyDescent="0.25">
      <c r="D14585" s="28"/>
      <c r="F14585" s="28"/>
      <c r="H14585" s="28"/>
    </row>
    <row r="14586" spans="4:8" x14ac:dyDescent="0.25">
      <c r="D14586" s="28"/>
      <c r="F14586" s="28"/>
      <c r="H14586" s="28"/>
    </row>
    <row r="14587" spans="4:8" x14ac:dyDescent="0.25">
      <c r="D14587" s="28"/>
      <c r="F14587" s="28"/>
      <c r="H14587" s="28"/>
    </row>
    <row r="14588" spans="4:8" x14ac:dyDescent="0.25">
      <c r="D14588" s="28"/>
      <c r="F14588" s="28"/>
      <c r="H14588" s="28"/>
    </row>
    <row r="14589" spans="4:8" x14ac:dyDescent="0.25">
      <c r="D14589" s="28"/>
      <c r="F14589" s="28"/>
      <c r="H14589" s="28"/>
    </row>
    <row r="14590" spans="4:8" x14ac:dyDescent="0.25">
      <c r="D14590" s="28"/>
      <c r="F14590" s="28"/>
      <c r="H14590" s="28"/>
    </row>
    <row r="14591" spans="4:8" x14ac:dyDescent="0.25">
      <c r="D14591" s="28"/>
      <c r="F14591" s="28"/>
      <c r="H14591" s="28"/>
    </row>
    <row r="14592" spans="4:8" x14ac:dyDescent="0.25">
      <c r="D14592" s="28"/>
      <c r="F14592" s="28"/>
      <c r="H14592" s="28"/>
    </row>
    <row r="14593" spans="4:8" x14ac:dyDescent="0.25">
      <c r="D14593" s="28"/>
      <c r="F14593" s="28"/>
      <c r="H14593" s="28"/>
    </row>
    <row r="14594" spans="4:8" x14ac:dyDescent="0.25">
      <c r="D14594" s="28"/>
      <c r="F14594" s="28"/>
      <c r="H14594" s="28"/>
    </row>
    <row r="14595" spans="4:8" x14ac:dyDescent="0.25">
      <c r="D14595" s="28"/>
      <c r="F14595" s="28"/>
      <c r="H14595" s="28"/>
    </row>
    <row r="14596" spans="4:8" x14ac:dyDescent="0.25">
      <c r="D14596" s="28"/>
      <c r="F14596" s="28"/>
      <c r="H14596" s="28"/>
    </row>
    <row r="14597" spans="4:8" x14ac:dyDescent="0.25">
      <c r="D14597" s="28"/>
      <c r="F14597" s="28"/>
      <c r="H14597" s="28"/>
    </row>
    <row r="14598" spans="4:8" x14ac:dyDescent="0.25">
      <c r="D14598" s="28"/>
      <c r="F14598" s="28"/>
      <c r="H14598" s="28"/>
    </row>
    <row r="14599" spans="4:8" x14ac:dyDescent="0.25">
      <c r="D14599" s="28"/>
      <c r="F14599" s="28"/>
      <c r="H14599" s="28"/>
    </row>
    <row r="14600" spans="4:8" x14ac:dyDescent="0.25">
      <c r="D14600" s="28"/>
      <c r="F14600" s="28"/>
      <c r="H14600" s="28"/>
    </row>
    <row r="14601" spans="4:8" x14ac:dyDescent="0.25">
      <c r="D14601" s="28"/>
      <c r="F14601" s="28"/>
      <c r="H14601" s="28"/>
    </row>
    <row r="14602" spans="4:8" x14ac:dyDescent="0.25">
      <c r="D14602" s="28"/>
      <c r="F14602" s="28"/>
      <c r="H14602" s="28"/>
    </row>
    <row r="14603" spans="4:8" x14ac:dyDescent="0.25">
      <c r="D14603" s="28"/>
      <c r="F14603" s="28"/>
      <c r="H14603" s="28"/>
    </row>
    <row r="14604" spans="4:8" x14ac:dyDescent="0.25">
      <c r="D14604" s="28"/>
      <c r="F14604" s="28"/>
      <c r="H14604" s="28"/>
    </row>
    <row r="14605" spans="4:8" x14ac:dyDescent="0.25">
      <c r="D14605" s="28"/>
      <c r="F14605" s="28"/>
      <c r="H14605" s="28"/>
    </row>
    <row r="14606" spans="4:8" x14ac:dyDescent="0.25">
      <c r="D14606" s="28"/>
      <c r="F14606" s="28"/>
      <c r="H14606" s="28"/>
    </row>
    <row r="14607" spans="4:8" x14ac:dyDescent="0.25">
      <c r="D14607" s="28"/>
      <c r="F14607" s="28"/>
      <c r="H14607" s="28"/>
    </row>
    <row r="14608" spans="4:8" x14ac:dyDescent="0.25">
      <c r="D14608" s="28"/>
      <c r="F14608" s="28"/>
      <c r="H14608" s="28"/>
    </row>
    <row r="14609" spans="4:8" x14ac:dyDescent="0.25">
      <c r="D14609" s="28"/>
      <c r="F14609" s="28"/>
      <c r="H14609" s="28"/>
    </row>
    <row r="14610" spans="4:8" x14ac:dyDescent="0.25">
      <c r="D14610" s="28"/>
      <c r="F14610" s="28"/>
      <c r="H14610" s="28"/>
    </row>
    <row r="14611" spans="4:8" x14ac:dyDescent="0.25">
      <c r="D14611" s="28"/>
      <c r="F14611" s="28"/>
      <c r="H14611" s="28"/>
    </row>
    <row r="14612" spans="4:8" x14ac:dyDescent="0.25">
      <c r="D14612" s="28"/>
      <c r="F14612" s="28"/>
      <c r="H14612" s="28"/>
    </row>
    <row r="14613" spans="4:8" x14ac:dyDescent="0.25">
      <c r="D14613" s="28"/>
      <c r="F14613" s="28"/>
      <c r="H14613" s="28"/>
    </row>
    <row r="14614" spans="4:8" x14ac:dyDescent="0.25">
      <c r="D14614" s="28"/>
      <c r="F14614" s="28"/>
      <c r="H14614" s="28"/>
    </row>
    <row r="14615" spans="4:8" x14ac:dyDescent="0.25">
      <c r="D14615" s="28"/>
      <c r="F14615" s="28"/>
      <c r="H14615" s="28"/>
    </row>
    <row r="14616" spans="4:8" x14ac:dyDescent="0.25">
      <c r="D14616" s="28"/>
      <c r="F14616" s="28"/>
      <c r="H14616" s="28"/>
    </row>
    <row r="14617" spans="4:8" x14ac:dyDescent="0.25">
      <c r="D14617" s="28"/>
      <c r="F14617" s="28"/>
      <c r="H14617" s="28"/>
    </row>
    <row r="14618" spans="4:8" x14ac:dyDescent="0.25">
      <c r="D14618" s="28"/>
      <c r="F14618" s="28"/>
      <c r="H14618" s="28"/>
    </row>
    <row r="14619" spans="4:8" x14ac:dyDescent="0.25">
      <c r="D14619" s="28"/>
      <c r="F14619" s="28"/>
      <c r="H14619" s="28"/>
    </row>
    <row r="14620" spans="4:8" x14ac:dyDescent="0.25">
      <c r="D14620" s="28"/>
      <c r="F14620" s="28"/>
      <c r="H14620" s="28"/>
    </row>
    <row r="14621" spans="4:8" x14ac:dyDescent="0.25">
      <c r="D14621" s="28"/>
      <c r="F14621" s="28"/>
      <c r="H14621" s="28"/>
    </row>
    <row r="14622" spans="4:8" x14ac:dyDescent="0.25">
      <c r="D14622" s="28"/>
      <c r="F14622" s="28"/>
      <c r="H14622" s="28"/>
    </row>
    <row r="14623" spans="4:8" x14ac:dyDescent="0.25">
      <c r="D14623" s="28"/>
      <c r="F14623" s="28"/>
      <c r="H14623" s="28"/>
    </row>
    <row r="14624" spans="4:8" x14ac:dyDescent="0.25">
      <c r="D14624" s="28"/>
      <c r="F14624" s="28"/>
      <c r="H14624" s="28"/>
    </row>
    <row r="14625" spans="4:8" x14ac:dyDescent="0.25">
      <c r="D14625" s="28"/>
      <c r="F14625" s="28"/>
      <c r="H14625" s="28"/>
    </row>
    <row r="14626" spans="4:8" x14ac:dyDescent="0.25">
      <c r="D14626" s="28"/>
      <c r="F14626" s="28"/>
      <c r="H14626" s="28"/>
    </row>
    <row r="14627" spans="4:8" x14ac:dyDescent="0.25">
      <c r="D14627" s="28"/>
      <c r="F14627" s="28"/>
      <c r="H14627" s="28"/>
    </row>
    <row r="14628" spans="4:8" x14ac:dyDescent="0.25">
      <c r="D14628" s="28"/>
      <c r="F14628" s="28"/>
      <c r="H14628" s="28"/>
    </row>
    <row r="14629" spans="4:8" x14ac:dyDescent="0.25">
      <c r="D14629" s="28"/>
      <c r="F14629" s="28"/>
      <c r="H14629" s="28"/>
    </row>
    <row r="14630" spans="4:8" x14ac:dyDescent="0.25">
      <c r="D14630" s="28"/>
      <c r="F14630" s="28"/>
      <c r="H14630" s="28"/>
    </row>
    <row r="14631" spans="4:8" x14ac:dyDescent="0.25">
      <c r="D14631" s="28"/>
      <c r="F14631" s="28"/>
      <c r="H14631" s="28"/>
    </row>
    <row r="14632" spans="4:8" x14ac:dyDescent="0.25">
      <c r="D14632" s="28"/>
      <c r="F14632" s="28"/>
      <c r="H14632" s="28"/>
    </row>
    <row r="14633" spans="4:8" x14ac:dyDescent="0.25">
      <c r="D14633" s="28"/>
      <c r="F14633" s="28"/>
      <c r="H14633" s="28"/>
    </row>
    <row r="14634" spans="4:8" x14ac:dyDescent="0.25">
      <c r="D14634" s="28"/>
      <c r="F14634" s="28"/>
      <c r="H14634" s="28"/>
    </row>
    <row r="14635" spans="4:8" x14ac:dyDescent="0.25">
      <c r="D14635" s="28"/>
      <c r="F14635" s="28"/>
      <c r="H14635" s="28"/>
    </row>
    <row r="14636" spans="4:8" x14ac:dyDescent="0.25">
      <c r="D14636" s="28"/>
      <c r="F14636" s="28"/>
      <c r="H14636" s="28"/>
    </row>
    <row r="14637" spans="4:8" x14ac:dyDescent="0.25">
      <c r="D14637" s="28"/>
      <c r="F14637" s="28"/>
      <c r="H14637" s="28"/>
    </row>
    <row r="14638" spans="4:8" x14ac:dyDescent="0.25">
      <c r="D14638" s="28"/>
      <c r="F14638" s="28"/>
      <c r="H14638" s="28"/>
    </row>
    <row r="14639" spans="4:8" x14ac:dyDescent="0.25">
      <c r="D14639" s="28"/>
      <c r="F14639" s="28"/>
      <c r="H14639" s="28"/>
    </row>
    <row r="14640" spans="4:8" x14ac:dyDescent="0.25">
      <c r="D14640" s="28"/>
      <c r="F14640" s="28"/>
      <c r="H14640" s="28"/>
    </row>
    <row r="14641" spans="4:8" x14ac:dyDescent="0.25">
      <c r="D14641" s="28"/>
      <c r="F14641" s="28"/>
      <c r="H14641" s="28"/>
    </row>
    <row r="14642" spans="4:8" x14ac:dyDescent="0.25">
      <c r="D14642" s="28"/>
      <c r="F14642" s="28"/>
      <c r="H14642" s="28"/>
    </row>
    <row r="14643" spans="4:8" x14ac:dyDescent="0.25">
      <c r="D14643" s="28"/>
      <c r="F14643" s="28"/>
      <c r="H14643" s="28"/>
    </row>
    <row r="14644" spans="4:8" x14ac:dyDescent="0.25">
      <c r="D14644" s="28"/>
      <c r="F14644" s="28"/>
      <c r="H14644" s="28"/>
    </row>
    <row r="14645" spans="4:8" x14ac:dyDescent="0.25">
      <c r="D14645" s="28"/>
      <c r="F14645" s="28"/>
      <c r="H14645" s="28"/>
    </row>
    <row r="14646" spans="4:8" x14ac:dyDescent="0.25">
      <c r="D14646" s="28"/>
      <c r="F14646" s="28"/>
      <c r="H14646" s="28"/>
    </row>
    <row r="14647" spans="4:8" x14ac:dyDescent="0.25">
      <c r="D14647" s="28"/>
      <c r="F14647" s="28"/>
      <c r="H14647" s="28"/>
    </row>
    <row r="14648" spans="4:8" x14ac:dyDescent="0.25">
      <c r="D14648" s="28"/>
      <c r="F14648" s="28"/>
      <c r="H14648" s="28"/>
    </row>
    <row r="14649" spans="4:8" x14ac:dyDescent="0.25">
      <c r="D14649" s="28"/>
      <c r="F14649" s="28"/>
      <c r="H14649" s="28"/>
    </row>
    <row r="14650" spans="4:8" x14ac:dyDescent="0.25">
      <c r="D14650" s="28"/>
      <c r="F14650" s="28"/>
      <c r="H14650" s="28"/>
    </row>
    <row r="14651" spans="4:8" x14ac:dyDescent="0.25">
      <c r="D14651" s="28"/>
      <c r="F14651" s="28"/>
      <c r="H14651" s="28"/>
    </row>
    <row r="14652" spans="4:8" x14ac:dyDescent="0.25">
      <c r="D14652" s="28"/>
      <c r="F14652" s="28"/>
      <c r="H14652" s="28"/>
    </row>
    <row r="14653" spans="4:8" x14ac:dyDescent="0.25">
      <c r="D14653" s="28"/>
      <c r="F14653" s="28"/>
      <c r="H14653" s="28"/>
    </row>
    <row r="14654" spans="4:8" x14ac:dyDescent="0.25">
      <c r="D14654" s="28"/>
      <c r="F14654" s="28"/>
      <c r="H14654" s="28"/>
    </row>
    <row r="14655" spans="4:8" x14ac:dyDescent="0.25">
      <c r="D14655" s="28"/>
      <c r="F14655" s="28"/>
      <c r="H14655" s="28"/>
    </row>
    <row r="14656" spans="4:8" x14ac:dyDescent="0.25">
      <c r="D14656" s="28"/>
      <c r="F14656" s="28"/>
      <c r="H14656" s="28"/>
    </row>
    <row r="14657" spans="4:8" x14ac:dyDescent="0.25">
      <c r="D14657" s="28"/>
      <c r="F14657" s="28"/>
      <c r="H14657" s="28"/>
    </row>
    <row r="14658" spans="4:8" x14ac:dyDescent="0.25">
      <c r="D14658" s="28"/>
      <c r="F14658" s="28"/>
      <c r="H14658" s="28"/>
    </row>
    <row r="14659" spans="4:8" x14ac:dyDescent="0.25">
      <c r="D14659" s="28"/>
      <c r="F14659" s="28"/>
      <c r="H14659" s="28"/>
    </row>
    <row r="14660" spans="4:8" x14ac:dyDescent="0.25">
      <c r="D14660" s="28"/>
      <c r="F14660" s="28"/>
      <c r="H14660" s="28"/>
    </row>
    <row r="14661" spans="4:8" x14ac:dyDescent="0.25">
      <c r="D14661" s="28"/>
      <c r="F14661" s="28"/>
      <c r="H14661" s="28"/>
    </row>
    <row r="14662" spans="4:8" x14ac:dyDescent="0.25">
      <c r="D14662" s="28"/>
      <c r="F14662" s="28"/>
      <c r="H14662" s="28"/>
    </row>
    <row r="14663" spans="4:8" x14ac:dyDescent="0.25">
      <c r="D14663" s="28"/>
      <c r="F14663" s="28"/>
      <c r="H14663" s="28"/>
    </row>
    <row r="14664" spans="4:8" x14ac:dyDescent="0.25">
      <c r="D14664" s="28"/>
      <c r="F14664" s="28"/>
      <c r="H14664" s="28"/>
    </row>
    <row r="14665" spans="4:8" x14ac:dyDescent="0.25">
      <c r="D14665" s="28"/>
      <c r="F14665" s="28"/>
      <c r="H14665" s="28"/>
    </row>
    <row r="14666" spans="4:8" x14ac:dyDescent="0.25">
      <c r="D14666" s="28"/>
      <c r="F14666" s="28"/>
      <c r="H14666" s="28"/>
    </row>
    <row r="14667" spans="4:8" x14ac:dyDescent="0.25">
      <c r="D14667" s="28"/>
      <c r="F14667" s="28"/>
      <c r="H14667" s="28"/>
    </row>
    <row r="14668" spans="4:8" x14ac:dyDescent="0.25">
      <c r="D14668" s="28"/>
      <c r="F14668" s="28"/>
      <c r="H14668" s="28"/>
    </row>
    <row r="14669" spans="4:8" x14ac:dyDescent="0.25">
      <c r="D14669" s="28"/>
      <c r="F14669" s="28"/>
      <c r="H14669" s="28"/>
    </row>
    <row r="14670" spans="4:8" x14ac:dyDescent="0.25">
      <c r="D14670" s="28"/>
      <c r="F14670" s="28"/>
      <c r="H14670" s="28"/>
    </row>
    <row r="14671" spans="4:8" x14ac:dyDescent="0.25">
      <c r="D14671" s="28"/>
      <c r="F14671" s="28"/>
      <c r="H14671" s="28"/>
    </row>
    <row r="14672" spans="4:8" x14ac:dyDescent="0.25">
      <c r="D14672" s="28"/>
      <c r="F14672" s="28"/>
      <c r="H14672" s="28"/>
    </row>
    <row r="14673" spans="4:8" x14ac:dyDescent="0.25">
      <c r="D14673" s="28"/>
      <c r="F14673" s="28"/>
      <c r="H14673" s="28"/>
    </row>
    <row r="14674" spans="4:8" x14ac:dyDescent="0.25">
      <c r="D14674" s="28"/>
      <c r="F14674" s="28"/>
      <c r="H14674" s="28"/>
    </row>
    <row r="14675" spans="4:8" x14ac:dyDescent="0.25">
      <c r="D14675" s="28"/>
      <c r="F14675" s="28"/>
      <c r="H14675" s="28"/>
    </row>
    <row r="14676" spans="4:8" x14ac:dyDescent="0.25">
      <c r="D14676" s="28"/>
      <c r="F14676" s="28"/>
      <c r="H14676" s="28"/>
    </row>
    <row r="14677" spans="4:8" x14ac:dyDescent="0.25">
      <c r="D14677" s="28"/>
      <c r="F14677" s="28"/>
      <c r="H14677" s="28"/>
    </row>
    <row r="14678" spans="4:8" x14ac:dyDescent="0.25">
      <c r="D14678" s="28"/>
      <c r="F14678" s="28"/>
      <c r="H14678" s="28"/>
    </row>
    <row r="14679" spans="4:8" x14ac:dyDescent="0.25">
      <c r="D14679" s="28"/>
      <c r="F14679" s="28"/>
      <c r="H14679" s="28"/>
    </row>
    <row r="14680" spans="4:8" x14ac:dyDescent="0.25">
      <c r="D14680" s="28"/>
      <c r="F14680" s="28"/>
      <c r="H14680" s="28"/>
    </row>
    <row r="14681" spans="4:8" x14ac:dyDescent="0.25">
      <c r="D14681" s="28"/>
      <c r="F14681" s="28"/>
      <c r="H14681" s="28"/>
    </row>
    <row r="14682" spans="4:8" x14ac:dyDescent="0.25">
      <c r="D14682" s="28"/>
      <c r="F14682" s="28"/>
      <c r="H14682" s="28"/>
    </row>
    <row r="14683" spans="4:8" x14ac:dyDescent="0.25">
      <c r="D14683" s="28"/>
      <c r="F14683" s="28"/>
      <c r="H14683" s="28"/>
    </row>
    <row r="14684" spans="4:8" x14ac:dyDescent="0.25">
      <c r="D14684" s="28"/>
      <c r="F14684" s="28"/>
      <c r="H14684" s="28"/>
    </row>
    <row r="14685" spans="4:8" x14ac:dyDescent="0.25">
      <c r="D14685" s="28"/>
      <c r="F14685" s="28"/>
      <c r="H14685" s="28"/>
    </row>
    <row r="14686" spans="4:8" x14ac:dyDescent="0.25">
      <c r="D14686" s="28"/>
      <c r="F14686" s="28"/>
      <c r="H14686" s="28"/>
    </row>
    <row r="14687" spans="4:8" x14ac:dyDescent="0.25">
      <c r="D14687" s="28"/>
      <c r="F14687" s="28"/>
      <c r="H14687" s="28"/>
    </row>
    <row r="14688" spans="4:8" x14ac:dyDescent="0.25">
      <c r="D14688" s="28"/>
      <c r="F14688" s="28"/>
      <c r="H14688" s="28"/>
    </row>
    <row r="14689" spans="4:8" x14ac:dyDescent="0.25">
      <c r="D14689" s="28"/>
      <c r="F14689" s="28"/>
      <c r="H14689" s="28"/>
    </row>
    <row r="14690" spans="4:8" x14ac:dyDescent="0.25">
      <c r="D14690" s="28"/>
      <c r="F14690" s="28"/>
      <c r="H14690" s="28"/>
    </row>
    <row r="14691" spans="4:8" x14ac:dyDescent="0.25">
      <c r="D14691" s="28"/>
      <c r="F14691" s="28"/>
      <c r="H14691" s="28"/>
    </row>
    <row r="14692" spans="4:8" x14ac:dyDescent="0.25">
      <c r="D14692" s="28"/>
      <c r="F14692" s="28"/>
      <c r="H14692" s="28"/>
    </row>
    <row r="14693" spans="4:8" x14ac:dyDescent="0.25">
      <c r="D14693" s="28"/>
      <c r="F14693" s="28"/>
      <c r="H14693" s="28"/>
    </row>
    <row r="14694" spans="4:8" x14ac:dyDescent="0.25">
      <c r="D14694" s="28"/>
      <c r="F14694" s="28"/>
      <c r="H14694" s="28"/>
    </row>
    <row r="14695" spans="4:8" x14ac:dyDescent="0.25">
      <c r="D14695" s="28"/>
      <c r="F14695" s="28"/>
      <c r="H14695" s="28"/>
    </row>
    <row r="14696" spans="4:8" x14ac:dyDescent="0.25">
      <c r="D14696" s="28"/>
      <c r="F14696" s="28"/>
      <c r="H14696" s="28"/>
    </row>
    <row r="14697" spans="4:8" x14ac:dyDescent="0.25">
      <c r="D14697" s="28"/>
      <c r="F14697" s="28"/>
      <c r="H14697" s="28"/>
    </row>
    <row r="14698" spans="4:8" x14ac:dyDescent="0.25">
      <c r="D14698" s="28"/>
      <c r="F14698" s="28"/>
      <c r="H14698" s="28"/>
    </row>
    <row r="14699" spans="4:8" x14ac:dyDescent="0.25">
      <c r="D14699" s="28"/>
      <c r="F14699" s="28"/>
      <c r="H14699" s="28"/>
    </row>
    <row r="14700" spans="4:8" x14ac:dyDescent="0.25">
      <c r="D14700" s="28"/>
      <c r="F14700" s="28"/>
      <c r="H14700" s="28"/>
    </row>
    <row r="14701" spans="4:8" x14ac:dyDescent="0.25">
      <c r="D14701" s="28"/>
      <c r="F14701" s="28"/>
      <c r="H14701" s="28"/>
    </row>
    <row r="14702" spans="4:8" x14ac:dyDescent="0.25">
      <c r="D14702" s="28"/>
      <c r="F14702" s="28"/>
      <c r="H14702" s="28"/>
    </row>
    <row r="14703" spans="4:8" x14ac:dyDescent="0.25">
      <c r="D14703" s="28"/>
      <c r="F14703" s="28"/>
      <c r="H14703" s="28"/>
    </row>
    <row r="14704" spans="4:8" x14ac:dyDescent="0.25">
      <c r="D14704" s="28"/>
      <c r="F14704" s="28"/>
      <c r="H14704" s="28"/>
    </row>
    <row r="14705" spans="4:8" x14ac:dyDescent="0.25">
      <c r="D14705" s="28"/>
      <c r="F14705" s="28"/>
      <c r="H14705" s="28"/>
    </row>
    <row r="14706" spans="4:8" x14ac:dyDescent="0.25">
      <c r="D14706" s="28"/>
      <c r="F14706" s="28"/>
      <c r="H14706" s="28"/>
    </row>
    <row r="14707" spans="4:8" x14ac:dyDescent="0.25">
      <c r="D14707" s="28"/>
      <c r="F14707" s="28"/>
      <c r="H14707" s="28"/>
    </row>
    <row r="14708" spans="4:8" x14ac:dyDescent="0.25">
      <c r="D14708" s="28"/>
      <c r="F14708" s="28"/>
      <c r="H14708" s="28"/>
    </row>
    <row r="14709" spans="4:8" x14ac:dyDescent="0.25">
      <c r="D14709" s="28"/>
      <c r="F14709" s="28"/>
      <c r="H14709" s="28"/>
    </row>
    <row r="14710" spans="4:8" x14ac:dyDescent="0.25">
      <c r="D14710" s="28"/>
      <c r="F14710" s="28"/>
      <c r="H14710" s="28"/>
    </row>
    <row r="14711" spans="4:8" x14ac:dyDescent="0.25">
      <c r="D14711" s="28"/>
      <c r="F14711" s="28"/>
      <c r="H14711" s="28"/>
    </row>
    <row r="14712" spans="4:8" x14ac:dyDescent="0.25">
      <c r="D14712" s="28"/>
      <c r="F14712" s="28"/>
      <c r="H14712" s="28"/>
    </row>
    <row r="14713" spans="4:8" x14ac:dyDescent="0.25">
      <c r="D14713" s="28"/>
      <c r="F14713" s="28"/>
      <c r="H14713" s="28"/>
    </row>
    <row r="14714" spans="4:8" x14ac:dyDescent="0.25">
      <c r="D14714" s="28"/>
      <c r="F14714" s="28"/>
      <c r="H14714" s="28"/>
    </row>
    <row r="14715" spans="4:8" x14ac:dyDescent="0.25">
      <c r="D14715" s="28"/>
      <c r="F14715" s="28"/>
      <c r="H14715" s="28"/>
    </row>
    <row r="14716" spans="4:8" x14ac:dyDescent="0.25">
      <c r="D14716" s="28"/>
      <c r="F14716" s="28"/>
      <c r="H14716" s="28"/>
    </row>
    <row r="14717" spans="4:8" x14ac:dyDescent="0.25">
      <c r="D14717" s="28"/>
      <c r="F14717" s="28"/>
      <c r="H14717" s="28"/>
    </row>
    <row r="14718" spans="4:8" x14ac:dyDescent="0.25">
      <c r="D14718" s="28"/>
      <c r="F14718" s="28"/>
      <c r="H14718" s="28"/>
    </row>
    <row r="14719" spans="4:8" x14ac:dyDescent="0.25">
      <c r="D14719" s="28"/>
      <c r="F14719" s="28"/>
      <c r="H14719" s="28"/>
    </row>
    <row r="14720" spans="4:8" x14ac:dyDescent="0.25">
      <c r="D14720" s="28"/>
      <c r="F14720" s="28"/>
      <c r="H14720" s="28"/>
    </row>
    <row r="14721" spans="4:8" x14ac:dyDescent="0.25">
      <c r="D14721" s="28"/>
      <c r="F14721" s="28"/>
      <c r="H14721" s="28"/>
    </row>
    <row r="14722" spans="4:8" x14ac:dyDescent="0.25">
      <c r="D14722" s="28"/>
      <c r="F14722" s="28"/>
      <c r="H14722" s="28"/>
    </row>
    <row r="14723" spans="4:8" x14ac:dyDescent="0.25">
      <c r="D14723" s="28"/>
      <c r="F14723" s="28"/>
      <c r="H14723" s="28"/>
    </row>
    <row r="14724" spans="4:8" x14ac:dyDescent="0.25">
      <c r="D14724" s="28"/>
      <c r="F14724" s="28"/>
      <c r="H14724" s="28"/>
    </row>
    <row r="14725" spans="4:8" x14ac:dyDescent="0.25">
      <c r="D14725" s="28"/>
      <c r="F14725" s="28"/>
      <c r="H14725" s="28"/>
    </row>
    <row r="14726" spans="4:8" x14ac:dyDescent="0.25">
      <c r="D14726" s="28"/>
      <c r="F14726" s="28"/>
      <c r="H14726" s="28"/>
    </row>
    <row r="14727" spans="4:8" x14ac:dyDescent="0.25">
      <c r="D14727" s="28"/>
      <c r="F14727" s="28"/>
      <c r="H14727" s="28"/>
    </row>
    <row r="14728" spans="4:8" x14ac:dyDescent="0.25">
      <c r="D14728" s="28"/>
      <c r="F14728" s="28"/>
      <c r="H14728" s="28"/>
    </row>
    <row r="14729" spans="4:8" x14ac:dyDescent="0.25">
      <c r="D14729" s="28"/>
      <c r="F14729" s="28"/>
      <c r="H14729" s="28"/>
    </row>
    <row r="14730" spans="4:8" x14ac:dyDescent="0.25">
      <c r="D14730" s="28"/>
      <c r="F14730" s="28"/>
      <c r="H14730" s="28"/>
    </row>
    <row r="14731" spans="4:8" x14ac:dyDescent="0.25">
      <c r="D14731" s="28"/>
      <c r="F14731" s="28"/>
      <c r="H14731" s="28"/>
    </row>
    <row r="14732" spans="4:8" x14ac:dyDescent="0.25">
      <c r="D14732" s="28"/>
      <c r="F14732" s="28"/>
      <c r="H14732" s="28"/>
    </row>
    <row r="14733" spans="4:8" x14ac:dyDescent="0.25">
      <c r="D14733" s="28"/>
      <c r="F14733" s="28"/>
      <c r="H14733" s="28"/>
    </row>
    <row r="14734" spans="4:8" x14ac:dyDescent="0.25">
      <c r="D14734" s="28"/>
      <c r="F14734" s="28"/>
      <c r="H14734" s="28"/>
    </row>
    <row r="14735" spans="4:8" x14ac:dyDescent="0.25">
      <c r="D14735" s="28"/>
      <c r="F14735" s="28"/>
      <c r="H14735" s="28"/>
    </row>
    <row r="14736" spans="4:8" x14ac:dyDescent="0.25">
      <c r="D14736" s="28"/>
      <c r="F14736" s="28"/>
      <c r="H14736" s="28"/>
    </row>
    <row r="14737" spans="4:8" x14ac:dyDescent="0.25">
      <c r="D14737" s="28"/>
      <c r="F14737" s="28"/>
      <c r="H14737" s="28"/>
    </row>
    <row r="14738" spans="4:8" x14ac:dyDescent="0.25">
      <c r="D14738" s="28"/>
      <c r="F14738" s="28"/>
      <c r="H14738" s="28"/>
    </row>
    <row r="14739" spans="4:8" x14ac:dyDescent="0.25">
      <c r="D14739" s="28"/>
      <c r="F14739" s="28"/>
      <c r="H14739" s="28"/>
    </row>
    <row r="14740" spans="4:8" x14ac:dyDescent="0.25">
      <c r="D14740" s="28"/>
      <c r="F14740" s="28"/>
      <c r="H14740" s="28"/>
    </row>
    <row r="14741" spans="4:8" x14ac:dyDescent="0.25">
      <c r="D14741" s="28"/>
      <c r="F14741" s="28"/>
      <c r="H14741" s="28"/>
    </row>
    <row r="14742" spans="4:8" x14ac:dyDescent="0.25">
      <c r="D14742" s="28"/>
      <c r="F14742" s="28"/>
      <c r="H14742" s="28"/>
    </row>
    <row r="14743" spans="4:8" x14ac:dyDescent="0.25">
      <c r="D14743" s="28"/>
      <c r="F14743" s="28"/>
      <c r="H14743" s="28"/>
    </row>
    <row r="14744" spans="4:8" x14ac:dyDescent="0.25">
      <c r="D14744" s="28"/>
      <c r="F14744" s="28"/>
      <c r="H14744" s="28"/>
    </row>
    <row r="14745" spans="4:8" x14ac:dyDescent="0.25">
      <c r="D14745" s="28"/>
      <c r="F14745" s="28"/>
      <c r="H14745" s="28"/>
    </row>
    <row r="14746" spans="4:8" x14ac:dyDescent="0.25">
      <c r="D14746" s="28"/>
      <c r="F14746" s="28"/>
      <c r="H14746" s="28"/>
    </row>
    <row r="14747" spans="4:8" x14ac:dyDescent="0.25">
      <c r="D14747" s="28"/>
      <c r="F14747" s="28"/>
      <c r="H14747" s="28"/>
    </row>
    <row r="14748" spans="4:8" x14ac:dyDescent="0.25">
      <c r="D14748" s="28"/>
      <c r="F14748" s="28"/>
      <c r="H14748" s="28"/>
    </row>
    <row r="14749" spans="4:8" x14ac:dyDescent="0.25">
      <c r="D14749" s="28"/>
      <c r="F14749" s="28"/>
      <c r="H14749" s="28"/>
    </row>
    <row r="14750" spans="4:8" x14ac:dyDescent="0.25">
      <c r="D14750" s="28"/>
      <c r="F14750" s="28"/>
      <c r="H14750" s="28"/>
    </row>
    <row r="14751" spans="4:8" x14ac:dyDescent="0.25">
      <c r="D14751" s="28"/>
      <c r="F14751" s="28"/>
      <c r="H14751" s="28"/>
    </row>
    <row r="14752" spans="4:8" x14ac:dyDescent="0.25">
      <c r="D14752" s="28"/>
      <c r="F14752" s="28"/>
      <c r="H14752" s="28"/>
    </row>
    <row r="14753" spans="4:8" x14ac:dyDescent="0.25">
      <c r="D14753" s="28"/>
      <c r="F14753" s="28"/>
      <c r="H14753" s="28"/>
    </row>
    <row r="14754" spans="4:8" x14ac:dyDescent="0.25">
      <c r="D14754" s="28"/>
      <c r="F14754" s="28"/>
      <c r="H14754" s="28"/>
    </row>
    <row r="14755" spans="4:8" x14ac:dyDescent="0.25">
      <c r="D14755" s="28"/>
      <c r="F14755" s="28"/>
      <c r="H14755" s="28"/>
    </row>
    <row r="14756" spans="4:8" x14ac:dyDescent="0.25">
      <c r="D14756" s="28"/>
      <c r="F14756" s="28"/>
      <c r="H14756" s="28"/>
    </row>
    <row r="14757" spans="4:8" x14ac:dyDescent="0.25">
      <c r="D14757" s="28"/>
      <c r="F14757" s="28"/>
      <c r="H14757" s="28"/>
    </row>
    <row r="14758" spans="4:8" x14ac:dyDescent="0.25">
      <c r="D14758" s="28"/>
      <c r="F14758" s="28"/>
      <c r="H14758" s="28"/>
    </row>
    <row r="14759" spans="4:8" x14ac:dyDescent="0.25">
      <c r="D14759" s="28"/>
      <c r="F14759" s="28"/>
      <c r="H14759" s="28"/>
    </row>
    <row r="14760" spans="4:8" x14ac:dyDescent="0.25">
      <c r="D14760" s="28"/>
      <c r="F14760" s="28"/>
      <c r="H14760" s="28"/>
    </row>
    <row r="14761" spans="4:8" x14ac:dyDescent="0.25">
      <c r="D14761" s="28"/>
      <c r="F14761" s="28"/>
      <c r="H14761" s="28"/>
    </row>
    <row r="14762" spans="4:8" x14ac:dyDescent="0.25">
      <c r="D14762" s="28"/>
      <c r="F14762" s="28"/>
      <c r="H14762" s="28"/>
    </row>
    <row r="14763" spans="4:8" x14ac:dyDescent="0.25">
      <c r="D14763" s="28"/>
      <c r="F14763" s="28"/>
      <c r="H14763" s="28"/>
    </row>
    <row r="14764" spans="4:8" x14ac:dyDescent="0.25">
      <c r="D14764" s="28"/>
      <c r="F14764" s="28"/>
      <c r="H14764" s="28"/>
    </row>
    <row r="14765" spans="4:8" x14ac:dyDescent="0.25">
      <c r="D14765" s="28"/>
      <c r="F14765" s="28"/>
      <c r="H14765" s="28"/>
    </row>
    <row r="14766" spans="4:8" x14ac:dyDescent="0.25">
      <c r="D14766" s="28"/>
      <c r="F14766" s="28"/>
      <c r="H14766" s="28"/>
    </row>
    <row r="14767" spans="4:8" x14ac:dyDescent="0.25">
      <c r="D14767" s="28"/>
      <c r="F14767" s="28"/>
      <c r="H14767" s="28"/>
    </row>
    <row r="14768" spans="4:8" x14ac:dyDescent="0.25">
      <c r="D14768" s="28"/>
      <c r="F14768" s="28"/>
      <c r="H14768" s="28"/>
    </row>
    <row r="14769" spans="4:8" x14ac:dyDescent="0.25">
      <c r="D14769" s="28"/>
      <c r="F14769" s="28"/>
      <c r="H14769" s="28"/>
    </row>
    <row r="14770" spans="4:8" x14ac:dyDescent="0.25">
      <c r="D14770" s="28"/>
      <c r="F14770" s="28"/>
      <c r="H14770" s="28"/>
    </row>
    <row r="14771" spans="4:8" x14ac:dyDescent="0.25">
      <c r="D14771" s="28"/>
      <c r="F14771" s="28"/>
      <c r="H14771" s="28"/>
    </row>
    <row r="14772" spans="4:8" x14ac:dyDescent="0.25">
      <c r="D14772" s="28"/>
      <c r="F14772" s="28"/>
      <c r="H14772" s="28"/>
    </row>
    <row r="14773" spans="4:8" x14ac:dyDescent="0.25">
      <c r="D14773" s="28"/>
      <c r="F14773" s="28"/>
      <c r="H14773" s="28"/>
    </row>
    <row r="14774" spans="4:8" x14ac:dyDescent="0.25">
      <c r="D14774" s="28"/>
      <c r="F14774" s="28"/>
      <c r="H14774" s="28"/>
    </row>
    <row r="14775" spans="4:8" x14ac:dyDescent="0.25">
      <c r="D14775" s="28"/>
      <c r="F14775" s="28"/>
      <c r="H14775" s="28"/>
    </row>
    <row r="14776" spans="4:8" x14ac:dyDescent="0.25">
      <c r="D14776" s="28"/>
      <c r="F14776" s="28"/>
      <c r="H14776" s="28"/>
    </row>
    <row r="14777" spans="4:8" x14ac:dyDescent="0.25">
      <c r="D14777" s="28"/>
      <c r="F14777" s="28"/>
      <c r="H14777" s="28"/>
    </row>
    <row r="14778" spans="4:8" x14ac:dyDescent="0.25">
      <c r="D14778" s="28"/>
      <c r="F14778" s="28"/>
      <c r="H14778" s="28"/>
    </row>
    <row r="14779" spans="4:8" x14ac:dyDescent="0.25">
      <c r="D14779" s="28"/>
      <c r="F14779" s="28"/>
      <c r="H14779" s="28"/>
    </row>
    <row r="14780" spans="4:8" x14ac:dyDescent="0.25">
      <c r="D14780" s="28"/>
      <c r="F14780" s="28"/>
      <c r="H14780" s="28"/>
    </row>
    <row r="14781" spans="4:8" x14ac:dyDescent="0.25">
      <c r="D14781" s="28"/>
      <c r="F14781" s="28"/>
      <c r="H14781" s="28"/>
    </row>
    <row r="14782" spans="4:8" x14ac:dyDescent="0.25">
      <c r="D14782" s="28"/>
      <c r="F14782" s="28"/>
      <c r="H14782" s="28"/>
    </row>
    <row r="14783" spans="4:8" x14ac:dyDescent="0.25">
      <c r="D14783" s="28"/>
      <c r="F14783" s="28"/>
      <c r="H14783" s="28"/>
    </row>
    <row r="14784" spans="4:8" x14ac:dyDescent="0.25">
      <c r="D14784" s="28"/>
      <c r="F14784" s="28"/>
      <c r="H14784" s="28"/>
    </row>
    <row r="14785" spans="4:8" x14ac:dyDescent="0.25">
      <c r="D14785" s="28"/>
      <c r="F14785" s="28"/>
      <c r="H14785" s="28"/>
    </row>
    <row r="14786" spans="4:8" x14ac:dyDescent="0.25">
      <c r="D14786" s="28"/>
      <c r="F14786" s="28"/>
      <c r="H14786" s="28"/>
    </row>
    <row r="14787" spans="4:8" x14ac:dyDescent="0.25">
      <c r="D14787" s="28"/>
      <c r="F14787" s="28"/>
      <c r="H14787" s="28"/>
    </row>
    <row r="14788" spans="4:8" x14ac:dyDescent="0.25">
      <c r="D14788" s="28"/>
      <c r="F14788" s="28"/>
      <c r="H14788" s="28"/>
    </row>
    <row r="14789" spans="4:8" x14ac:dyDescent="0.25">
      <c r="D14789" s="28"/>
      <c r="F14789" s="28"/>
      <c r="H14789" s="28"/>
    </row>
    <row r="14790" spans="4:8" x14ac:dyDescent="0.25">
      <c r="D14790" s="28"/>
      <c r="F14790" s="28"/>
      <c r="H14790" s="28"/>
    </row>
    <row r="14791" spans="4:8" x14ac:dyDescent="0.25">
      <c r="D14791" s="28"/>
      <c r="F14791" s="28"/>
      <c r="H14791" s="28"/>
    </row>
    <row r="14792" spans="4:8" x14ac:dyDescent="0.25">
      <c r="D14792" s="28"/>
      <c r="F14792" s="28"/>
      <c r="H14792" s="28"/>
    </row>
    <row r="14793" spans="4:8" x14ac:dyDescent="0.25">
      <c r="D14793" s="28"/>
      <c r="F14793" s="28"/>
      <c r="H14793" s="28"/>
    </row>
    <row r="14794" spans="4:8" x14ac:dyDescent="0.25">
      <c r="D14794" s="28"/>
      <c r="F14794" s="28"/>
      <c r="H14794" s="28"/>
    </row>
    <row r="14795" spans="4:8" x14ac:dyDescent="0.25">
      <c r="D14795" s="28"/>
      <c r="F14795" s="28"/>
      <c r="H14795" s="28"/>
    </row>
    <row r="14796" spans="4:8" x14ac:dyDescent="0.25">
      <c r="D14796" s="28"/>
      <c r="F14796" s="28"/>
      <c r="H14796" s="28"/>
    </row>
    <row r="14797" spans="4:8" x14ac:dyDescent="0.25">
      <c r="D14797" s="28"/>
      <c r="F14797" s="28"/>
      <c r="H14797" s="28"/>
    </row>
    <row r="14798" spans="4:8" x14ac:dyDescent="0.25">
      <c r="D14798" s="28"/>
      <c r="F14798" s="28"/>
      <c r="H14798" s="28"/>
    </row>
    <row r="14799" spans="4:8" x14ac:dyDescent="0.25">
      <c r="D14799" s="28"/>
      <c r="F14799" s="28"/>
      <c r="H14799" s="28"/>
    </row>
    <row r="14800" spans="4:8" x14ac:dyDescent="0.25">
      <c r="D14800" s="28"/>
      <c r="F14800" s="28"/>
      <c r="H14800" s="28"/>
    </row>
    <row r="14801" spans="4:8" x14ac:dyDescent="0.25">
      <c r="D14801" s="28"/>
      <c r="F14801" s="28"/>
      <c r="H14801" s="28"/>
    </row>
    <row r="14802" spans="4:8" x14ac:dyDescent="0.25">
      <c r="D14802" s="28"/>
      <c r="F14802" s="28"/>
      <c r="H14802" s="28"/>
    </row>
    <row r="14803" spans="4:8" x14ac:dyDescent="0.25">
      <c r="D14803" s="28"/>
      <c r="F14803" s="28"/>
      <c r="H14803" s="28"/>
    </row>
    <row r="14804" spans="4:8" x14ac:dyDescent="0.25">
      <c r="D14804" s="28"/>
      <c r="F14804" s="28"/>
      <c r="H14804" s="28"/>
    </row>
    <row r="14805" spans="4:8" x14ac:dyDescent="0.25">
      <c r="D14805" s="28"/>
      <c r="F14805" s="28"/>
      <c r="H14805" s="28"/>
    </row>
    <row r="14806" spans="4:8" x14ac:dyDescent="0.25">
      <c r="D14806" s="28"/>
      <c r="F14806" s="28"/>
      <c r="H14806" s="28"/>
    </row>
    <row r="14807" spans="4:8" x14ac:dyDescent="0.25">
      <c r="D14807" s="28"/>
      <c r="F14807" s="28"/>
      <c r="H14807" s="28"/>
    </row>
    <row r="14808" spans="4:8" x14ac:dyDescent="0.25">
      <c r="D14808" s="28"/>
      <c r="F14808" s="28"/>
      <c r="H14808" s="28"/>
    </row>
    <row r="14809" spans="4:8" x14ac:dyDescent="0.25">
      <c r="D14809" s="28"/>
      <c r="F14809" s="28"/>
      <c r="H14809" s="28"/>
    </row>
    <row r="14810" spans="4:8" x14ac:dyDescent="0.25">
      <c r="D14810" s="28"/>
      <c r="F14810" s="28"/>
      <c r="H14810" s="28"/>
    </row>
    <row r="14811" spans="4:8" x14ac:dyDescent="0.25">
      <c r="D14811" s="28"/>
      <c r="F14811" s="28"/>
      <c r="H14811" s="28"/>
    </row>
    <row r="14812" spans="4:8" x14ac:dyDescent="0.25">
      <c r="D14812" s="28"/>
      <c r="F14812" s="28"/>
      <c r="H14812" s="28"/>
    </row>
    <row r="14813" spans="4:8" x14ac:dyDescent="0.25">
      <c r="D14813" s="28"/>
      <c r="F14813" s="28"/>
      <c r="H14813" s="28"/>
    </row>
    <row r="14814" spans="4:8" x14ac:dyDescent="0.25">
      <c r="D14814" s="28"/>
      <c r="F14814" s="28"/>
      <c r="H14814" s="28"/>
    </row>
    <row r="14815" spans="4:8" x14ac:dyDescent="0.25">
      <c r="D14815" s="28"/>
      <c r="F14815" s="28"/>
      <c r="H14815" s="28"/>
    </row>
    <row r="14816" spans="4:8" x14ac:dyDescent="0.25">
      <c r="D14816" s="28"/>
      <c r="F14816" s="28"/>
      <c r="H14816" s="28"/>
    </row>
    <row r="14817" spans="4:8" x14ac:dyDescent="0.25">
      <c r="D14817" s="28"/>
      <c r="F14817" s="28"/>
      <c r="H14817" s="28"/>
    </row>
    <row r="14818" spans="4:8" x14ac:dyDescent="0.25">
      <c r="D14818" s="28"/>
      <c r="F14818" s="28"/>
      <c r="H14818" s="28"/>
    </row>
    <row r="14819" spans="4:8" x14ac:dyDescent="0.25">
      <c r="D14819" s="28"/>
      <c r="F14819" s="28"/>
      <c r="H14819" s="28"/>
    </row>
    <row r="14820" spans="4:8" x14ac:dyDescent="0.25">
      <c r="D14820" s="28"/>
      <c r="F14820" s="28"/>
      <c r="H14820" s="28"/>
    </row>
    <row r="14821" spans="4:8" x14ac:dyDescent="0.25">
      <c r="D14821" s="28"/>
      <c r="F14821" s="28"/>
      <c r="H14821" s="28"/>
    </row>
    <row r="14822" spans="4:8" x14ac:dyDescent="0.25">
      <c r="D14822" s="28"/>
      <c r="F14822" s="28"/>
      <c r="H14822" s="28"/>
    </row>
    <row r="14823" spans="4:8" x14ac:dyDescent="0.25">
      <c r="D14823" s="28"/>
      <c r="F14823" s="28"/>
      <c r="H14823" s="28"/>
    </row>
    <row r="14824" spans="4:8" x14ac:dyDescent="0.25">
      <c r="D14824" s="28"/>
      <c r="F14824" s="28"/>
      <c r="H14824" s="28"/>
    </row>
    <row r="14825" spans="4:8" x14ac:dyDescent="0.25">
      <c r="D14825" s="28"/>
      <c r="F14825" s="28"/>
      <c r="H14825" s="28"/>
    </row>
    <row r="14826" spans="4:8" x14ac:dyDescent="0.25">
      <c r="D14826" s="28"/>
      <c r="F14826" s="28"/>
      <c r="H14826" s="28"/>
    </row>
    <row r="14827" spans="4:8" x14ac:dyDescent="0.25">
      <c r="D14827" s="28"/>
      <c r="F14827" s="28"/>
      <c r="H14827" s="28"/>
    </row>
    <row r="14828" spans="4:8" x14ac:dyDescent="0.25">
      <c r="D14828" s="28"/>
      <c r="F14828" s="28"/>
      <c r="H14828" s="28"/>
    </row>
    <row r="14829" spans="4:8" x14ac:dyDescent="0.25">
      <c r="D14829" s="28"/>
      <c r="F14829" s="28"/>
      <c r="H14829" s="28"/>
    </row>
    <row r="14830" spans="4:8" x14ac:dyDescent="0.25">
      <c r="D14830" s="28"/>
      <c r="F14830" s="28"/>
      <c r="H14830" s="28"/>
    </row>
    <row r="14831" spans="4:8" x14ac:dyDescent="0.25">
      <c r="D14831" s="28"/>
      <c r="F14831" s="28"/>
      <c r="H14831" s="28"/>
    </row>
    <row r="14832" spans="4:8" x14ac:dyDescent="0.25">
      <c r="D14832" s="28"/>
      <c r="F14832" s="28"/>
      <c r="H14832" s="28"/>
    </row>
    <row r="14833" spans="4:8" x14ac:dyDescent="0.25">
      <c r="D14833" s="28"/>
      <c r="F14833" s="28"/>
      <c r="H14833" s="28"/>
    </row>
    <row r="14834" spans="4:8" x14ac:dyDescent="0.25">
      <c r="D14834" s="28"/>
      <c r="F14834" s="28"/>
      <c r="H14834" s="28"/>
    </row>
    <row r="14835" spans="4:8" x14ac:dyDescent="0.25">
      <c r="D14835" s="28"/>
      <c r="F14835" s="28"/>
      <c r="H14835" s="28"/>
    </row>
    <row r="14836" spans="4:8" x14ac:dyDescent="0.25">
      <c r="D14836" s="28"/>
      <c r="F14836" s="28"/>
      <c r="H14836" s="28"/>
    </row>
    <row r="14837" spans="4:8" x14ac:dyDescent="0.25">
      <c r="D14837" s="28"/>
      <c r="F14837" s="28"/>
      <c r="H14837" s="28"/>
    </row>
    <row r="14838" spans="4:8" x14ac:dyDescent="0.25">
      <c r="D14838" s="28"/>
      <c r="F14838" s="28"/>
      <c r="H14838" s="28"/>
    </row>
    <row r="14839" spans="4:8" x14ac:dyDescent="0.25">
      <c r="D14839" s="28"/>
      <c r="F14839" s="28"/>
      <c r="H14839" s="28"/>
    </row>
    <row r="14840" spans="4:8" x14ac:dyDescent="0.25">
      <c r="D14840" s="28"/>
      <c r="F14840" s="28"/>
      <c r="H14840" s="28"/>
    </row>
    <row r="14841" spans="4:8" x14ac:dyDescent="0.25">
      <c r="D14841" s="28"/>
      <c r="F14841" s="28"/>
      <c r="H14841" s="28"/>
    </row>
    <row r="14842" spans="4:8" x14ac:dyDescent="0.25">
      <c r="D14842" s="28"/>
      <c r="F14842" s="28"/>
      <c r="H14842" s="28"/>
    </row>
    <row r="14843" spans="4:8" x14ac:dyDescent="0.25">
      <c r="D14843" s="28"/>
      <c r="F14843" s="28"/>
      <c r="H14843" s="28"/>
    </row>
    <row r="14844" spans="4:8" x14ac:dyDescent="0.25">
      <c r="D14844" s="28"/>
      <c r="F14844" s="28"/>
      <c r="H14844" s="28"/>
    </row>
    <row r="14845" spans="4:8" x14ac:dyDescent="0.25">
      <c r="D14845" s="28"/>
      <c r="F14845" s="28"/>
      <c r="H14845" s="28"/>
    </row>
    <row r="14846" spans="4:8" x14ac:dyDescent="0.25">
      <c r="D14846" s="28"/>
      <c r="F14846" s="28"/>
      <c r="H14846" s="28"/>
    </row>
    <row r="14847" spans="4:8" x14ac:dyDescent="0.25">
      <c r="D14847" s="28"/>
      <c r="F14847" s="28"/>
      <c r="H14847" s="28"/>
    </row>
    <row r="14848" spans="4:8" x14ac:dyDescent="0.25">
      <c r="D14848" s="28"/>
      <c r="F14848" s="28"/>
      <c r="H14848" s="28"/>
    </row>
    <row r="14849" spans="4:8" x14ac:dyDescent="0.25">
      <c r="D14849" s="28"/>
      <c r="F14849" s="28"/>
      <c r="H14849" s="28"/>
    </row>
    <row r="14850" spans="4:8" x14ac:dyDescent="0.25">
      <c r="D14850" s="28"/>
      <c r="F14850" s="28"/>
      <c r="H14850" s="28"/>
    </row>
    <row r="14851" spans="4:8" x14ac:dyDescent="0.25">
      <c r="D14851" s="28"/>
      <c r="F14851" s="28"/>
      <c r="H14851" s="28"/>
    </row>
    <row r="14852" spans="4:8" x14ac:dyDescent="0.25">
      <c r="D14852" s="28"/>
      <c r="F14852" s="28"/>
      <c r="H14852" s="28"/>
    </row>
    <row r="14853" spans="4:8" x14ac:dyDescent="0.25">
      <c r="D14853" s="28"/>
      <c r="F14853" s="28"/>
      <c r="H14853" s="28"/>
    </row>
    <row r="14854" spans="4:8" x14ac:dyDescent="0.25">
      <c r="D14854" s="28"/>
      <c r="F14854" s="28"/>
      <c r="H14854" s="28"/>
    </row>
    <row r="14855" spans="4:8" x14ac:dyDescent="0.25">
      <c r="D14855" s="28"/>
      <c r="F14855" s="28"/>
      <c r="H14855" s="28"/>
    </row>
    <row r="14856" spans="4:8" x14ac:dyDescent="0.25">
      <c r="D14856" s="28"/>
      <c r="F14856" s="28"/>
      <c r="H14856" s="28"/>
    </row>
    <row r="14857" spans="4:8" x14ac:dyDescent="0.25">
      <c r="D14857" s="28"/>
      <c r="F14857" s="28"/>
      <c r="H14857" s="28"/>
    </row>
    <row r="14858" spans="4:8" x14ac:dyDescent="0.25">
      <c r="D14858" s="28"/>
      <c r="F14858" s="28"/>
      <c r="H14858" s="28"/>
    </row>
    <row r="14859" spans="4:8" x14ac:dyDescent="0.25">
      <c r="D14859" s="28"/>
      <c r="F14859" s="28"/>
      <c r="H14859" s="28"/>
    </row>
    <row r="14860" spans="4:8" x14ac:dyDescent="0.25">
      <c r="D14860" s="28"/>
      <c r="F14860" s="28"/>
      <c r="H14860" s="28"/>
    </row>
    <row r="14861" spans="4:8" x14ac:dyDescent="0.25">
      <c r="D14861" s="28"/>
      <c r="F14861" s="28"/>
      <c r="H14861" s="28"/>
    </row>
    <row r="14862" spans="4:8" x14ac:dyDescent="0.25">
      <c r="D14862" s="28"/>
      <c r="F14862" s="28"/>
      <c r="H14862" s="28"/>
    </row>
    <row r="14863" spans="4:8" x14ac:dyDescent="0.25">
      <c r="D14863" s="28"/>
      <c r="F14863" s="28"/>
      <c r="H14863" s="28"/>
    </row>
    <row r="14864" spans="4:8" x14ac:dyDescent="0.25">
      <c r="D14864" s="28"/>
      <c r="F14864" s="28"/>
      <c r="H14864" s="28"/>
    </row>
    <row r="14865" spans="4:8" x14ac:dyDescent="0.25">
      <c r="D14865" s="28"/>
      <c r="F14865" s="28"/>
      <c r="H14865" s="28"/>
    </row>
    <row r="14866" spans="4:8" x14ac:dyDescent="0.25">
      <c r="D14866" s="28"/>
      <c r="F14866" s="28"/>
      <c r="H14866" s="28"/>
    </row>
    <row r="14867" spans="4:8" x14ac:dyDescent="0.25">
      <c r="D14867" s="28"/>
      <c r="F14867" s="28"/>
      <c r="H14867" s="28"/>
    </row>
    <row r="14868" spans="4:8" x14ac:dyDescent="0.25">
      <c r="D14868" s="28"/>
      <c r="F14868" s="28"/>
      <c r="H14868" s="28"/>
    </row>
    <row r="14869" spans="4:8" x14ac:dyDescent="0.25">
      <c r="D14869" s="28"/>
      <c r="F14869" s="28"/>
      <c r="H14869" s="28"/>
    </row>
    <row r="14870" spans="4:8" x14ac:dyDescent="0.25">
      <c r="D14870" s="28"/>
      <c r="F14870" s="28"/>
      <c r="H14870" s="28"/>
    </row>
    <row r="14871" spans="4:8" x14ac:dyDescent="0.25">
      <c r="D14871" s="28"/>
      <c r="F14871" s="28"/>
      <c r="H14871" s="28"/>
    </row>
    <row r="14872" spans="4:8" x14ac:dyDescent="0.25">
      <c r="D14872" s="28"/>
      <c r="F14872" s="28"/>
      <c r="H14872" s="28"/>
    </row>
    <row r="14873" spans="4:8" x14ac:dyDescent="0.25">
      <c r="D14873" s="28"/>
      <c r="F14873" s="28"/>
      <c r="H14873" s="28"/>
    </row>
    <row r="14874" spans="4:8" x14ac:dyDescent="0.25">
      <c r="D14874" s="28"/>
      <c r="F14874" s="28"/>
      <c r="H14874" s="28"/>
    </row>
    <row r="14875" spans="4:8" x14ac:dyDescent="0.25">
      <c r="D14875" s="28"/>
      <c r="F14875" s="28"/>
      <c r="H14875" s="28"/>
    </row>
    <row r="14876" spans="4:8" x14ac:dyDescent="0.25">
      <c r="D14876" s="28"/>
      <c r="F14876" s="28"/>
      <c r="H14876" s="28"/>
    </row>
    <row r="14877" spans="4:8" x14ac:dyDescent="0.25">
      <c r="D14877" s="28"/>
      <c r="F14877" s="28"/>
      <c r="H14877" s="28"/>
    </row>
    <row r="14878" spans="4:8" x14ac:dyDescent="0.25">
      <c r="D14878" s="28"/>
      <c r="F14878" s="28"/>
      <c r="H14878" s="28"/>
    </row>
    <row r="14879" spans="4:8" x14ac:dyDescent="0.25">
      <c r="D14879" s="28"/>
      <c r="F14879" s="28"/>
      <c r="H14879" s="28"/>
    </row>
    <row r="14880" spans="4:8" x14ac:dyDescent="0.25">
      <c r="D14880" s="28"/>
      <c r="F14880" s="28"/>
      <c r="H14880" s="28"/>
    </row>
    <row r="14881" spans="4:8" x14ac:dyDescent="0.25">
      <c r="D14881" s="28"/>
      <c r="F14881" s="28"/>
      <c r="H14881" s="28"/>
    </row>
    <row r="14882" spans="4:8" x14ac:dyDescent="0.25">
      <c r="D14882" s="28"/>
      <c r="F14882" s="28"/>
      <c r="H14882" s="28"/>
    </row>
    <row r="14883" spans="4:8" x14ac:dyDescent="0.25">
      <c r="D14883" s="28"/>
      <c r="F14883" s="28"/>
      <c r="H14883" s="28"/>
    </row>
    <row r="14884" spans="4:8" x14ac:dyDescent="0.25">
      <c r="D14884" s="28"/>
      <c r="F14884" s="28"/>
      <c r="H14884" s="28"/>
    </row>
    <row r="14885" spans="4:8" x14ac:dyDescent="0.25">
      <c r="D14885" s="28"/>
      <c r="F14885" s="28"/>
      <c r="H14885" s="28"/>
    </row>
    <row r="14886" spans="4:8" x14ac:dyDescent="0.25">
      <c r="D14886" s="28"/>
      <c r="F14886" s="28"/>
      <c r="H14886" s="28"/>
    </row>
    <row r="14887" spans="4:8" x14ac:dyDescent="0.25">
      <c r="D14887" s="28"/>
      <c r="F14887" s="28"/>
      <c r="H14887" s="28"/>
    </row>
    <row r="14888" spans="4:8" x14ac:dyDescent="0.25">
      <c r="D14888" s="28"/>
      <c r="F14888" s="28"/>
      <c r="H14888" s="28"/>
    </row>
    <row r="14889" spans="4:8" x14ac:dyDescent="0.25">
      <c r="D14889" s="28"/>
      <c r="F14889" s="28"/>
      <c r="H14889" s="28"/>
    </row>
    <row r="14890" spans="4:8" x14ac:dyDescent="0.25">
      <c r="D14890" s="28"/>
      <c r="F14890" s="28"/>
      <c r="H14890" s="28"/>
    </row>
    <row r="14891" spans="4:8" x14ac:dyDescent="0.25">
      <c r="D14891" s="28"/>
      <c r="F14891" s="28"/>
      <c r="H14891" s="28"/>
    </row>
    <row r="14892" spans="4:8" x14ac:dyDescent="0.25">
      <c r="D14892" s="28"/>
      <c r="F14892" s="28"/>
      <c r="H14892" s="28"/>
    </row>
    <row r="14893" spans="4:8" x14ac:dyDescent="0.25">
      <c r="D14893" s="28"/>
      <c r="F14893" s="28"/>
      <c r="H14893" s="28"/>
    </row>
    <row r="14894" spans="4:8" x14ac:dyDescent="0.25">
      <c r="D14894" s="28"/>
      <c r="F14894" s="28"/>
      <c r="H14894" s="28"/>
    </row>
    <row r="14895" spans="4:8" x14ac:dyDescent="0.25">
      <c r="D14895" s="28"/>
      <c r="F14895" s="28"/>
      <c r="H14895" s="28"/>
    </row>
    <row r="14896" spans="4:8" x14ac:dyDescent="0.25">
      <c r="D14896" s="28"/>
      <c r="F14896" s="28"/>
      <c r="H14896" s="28"/>
    </row>
    <row r="14897" spans="4:8" x14ac:dyDescent="0.25">
      <c r="D14897" s="28"/>
      <c r="F14897" s="28"/>
      <c r="H14897" s="28"/>
    </row>
    <row r="14898" spans="4:8" x14ac:dyDescent="0.25">
      <c r="D14898" s="28"/>
      <c r="F14898" s="28"/>
      <c r="H14898" s="28"/>
    </row>
    <row r="14899" spans="4:8" x14ac:dyDescent="0.25">
      <c r="D14899" s="28"/>
      <c r="F14899" s="28"/>
      <c r="H14899" s="28"/>
    </row>
    <row r="14900" spans="4:8" x14ac:dyDescent="0.25">
      <c r="D14900" s="28"/>
      <c r="F14900" s="28"/>
      <c r="H14900" s="28"/>
    </row>
    <row r="14901" spans="4:8" x14ac:dyDescent="0.25">
      <c r="D14901" s="28"/>
      <c r="F14901" s="28"/>
      <c r="H14901" s="28"/>
    </row>
    <row r="14902" spans="4:8" x14ac:dyDescent="0.25">
      <c r="D14902" s="28"/>
      <c r="F14902" s="28"/>
      <c r="H14902" s="28"/>
    </row>
    <row r="14903" spans="4:8" x14ac:dyDescent="0.25">
      <c r="D14903" s="28"/>
      <c r="F14903" s="28"/>
      <c r="H14903" s="28"/>
    </row>
    <row r="14904" spans="4:8" x14ac:dyDescent="0.25">
      <c r="D14904" s="28"/>
      <c r="F14904" s="28"/>
      <c r="H14904" s="28"/>
    </row>
    <row r="14905" spans="4:8" x14ac:dyDescent="0.25">
      <c r="D14905" s="28"/>
      <c r="F14905" s="28"/>
      <c r="H14905" s="28"/>
    </row>
    <row r="14906" spans="4:8" x14ac:dyDescent="0.25">
      <c r="D14906" s="28"/>
      <c r="F14906" s="28"/>
      <c r="H14906" s="28"/>
    </row>
    <row r="14907" spans="4:8" x14ac:dyDescent="0.25">
      <c r="D14907" s="28"/>
      <c r="F14907" s="28"/>
      <c r="H14907" s="28"/>
    </row>
    <row r="14908" spans="4:8" x14ac:dyDescent="0.25">
      <c r="D14908" s="28"/>
      <c r="F14908" s="28"/>
      <c r="H14908" s="28"/>
    </row>
    <row r="14909" spans="4:8" x14ac:dyDescent="0.25">
      <c r="D14909" s="28"/>
      <c r="F14909" s="28"/>
      <c r="H14909" s="28"/>
    </row>
    <row r="14910" spans="4:8" x14ac:dyDescent="0.25">
      <c r="D14910" s="28"/>
      <c r="F14910" s="28"/>
      <c r="H14910" s="28"/>
    </row>
    <row r="14911" spans="4:8" x14ac:dyDescent="0.25">
      <c r="D14911" s="28"/>
      <c r="F14911" s="28"/>
      <c r="H14911" s="28"/>
    </row>
    <row r="14912" spans="4:8" x14ac:dyDescent="0.25">
      <c r="D14912" s="28"/>
      <c r="F14912" s="28"/>
      <c r="H14912" s="28"/>
    </row>
    <row r="14913" spans="4:8" x14ac:dyDescent="0.25">
      <c r="D14913" s="28"/>
      <c r="F14913" s="28"/>
      <c r="H14913" s="28"/>
    </row>
    <row r="14914" spans="4:8" x14ac:dyDescent="0.25">
      <c r="D14914" s="28"/>
      <c r="F14914" s="28"/>
      <c r="H14914" s="28"/>
    </row>
    <row r="14915" spans="4:8" x14ac:dyDescent="0.25">
      <c r="D14915" s="28"/>
      <c r="F14915" s="28"/>
      <c r="H14915" s="28"/>
    </row>
    <row r="14916" spans="4:8" x14ac:dyDescent="0.25">
      <c r="D14916" s="28"/>
      <c r="F14916" s="28"/>
      <c r="H14916" s="28"/>
    </row>
    <row r="14917" spans="4:8" x14ac:dyDescent="0.25">
      <c r="D14917" s="28"/>
      <c r="F14917" s="28"/>
      <c r="H14917" s="28"/>
    </row>
    <row r="14918" spans="4:8" x14ac:dyDescent="0.25">
      <c r="D14918" s="28"/>
      <c r="F14918" s="28"/>
      <c r="H14918" s="28"/>
    </row>
    <row r="14919" spans="4:8" x14ac:dyDescent="0.25">
      <c r="D14919" s="28"/>
      <c r="F14919" s="28"/>
      <c r="H14919" s="28"/>
    </row>
    <row r="14920" spans="4:8" x14ac:dyDescent="0.25">
      <c r="D14920" s="28"/>
      <c r="F14920" s="28"/>
      <c r="H14920" s="28"/>
    </row>
    <row r="14921" spans="4:8" x14ac:dyDescent="0.25">
      <c r="D14921" s="28"/>
      <c r="F14921" s="28"/>
      <c r="H14921" s="28"/>
    </row>
    <row r="14922" spans="4:8" x14ac:dyDescent="0.25">
      <c r="D14922" s="28"/>
      <c r="F14922" s="28"/>
      <c r="H14922" s="28"/>
    </row>
    <row r="14923" spans="4:8" x14ac:dyDescent="0.25">
      <c r="D14923" s="28"/>
      <c r="F14923" s="28"/>
      <c r="H14923" s="28"/>
    </row>
    <row r="14924" spans="4:8" x14ac:dyDescent="0.25">
      <c r="D14924" s="28"/>
      <c r="F14924" s="28"/>
      <c r="H14924" s="28"/>
    </row>
    <row r="14925" spans="4:8" x14ac:dyDescent="0.25">
      <c r="D14925" s="28"/>
      <c r="F14925" s="28"/>
      <c r="H14925" s="28"/>
    </row>
    <row r="14926" spans="4:8" x14ac:dyDescent="0.25">
      <c r="D14926" s="28"/>
      <c r="F14926" s="28"/>
      <c r="H14926" s="28"/>
    </row>
    <row r="14927" spans="4:8" x14ac:dyDescent="0.25">
      <c r="D14927" s="28"/>
      <c r="F14927" s="28"/>
      <c r="H14927" s="28"/>
    </row>
    <row r="14928" spans="4:8" x14ac:dyDescent="0.25">
      <c r="D14928" s="28"/>
      <c r="F14928" s="28"/>
      <c r="H14928" s="28"/>
    </row>
    <row r="14929" spans="4:8" x14ac:dyDescent="0.25">
      <c r="D14929" s="28"/>
      <c r="F14929" s="28"/>
      <c r="H14929" s="28"/>
    </row>
    <row r="14930" spans="4:8" x14ac:dyDescent="0.25">
      <c r="D14930" s="28"/>
      <c r="F14930" s="28"/>
      <c r="H14930" s="28"/>
    </row>
    <row r="14931" spans="4:8" x14ac:dyDescent="0.25">
      <c r="D14931" s="28"/>
      <c r="F14931" s="28"/>
      <c r="H14931" s="28"/>
    </row>
    <row r="14932" spans="4:8" x14ac:dyDescent="0.25">
      <c r="D14932" s="28"/>
      <c r="F14932" s="28"/>
      <c r="H14932" s="28"/>
    </row>
    <row r="14933" spans="4:8" x14ac:dyDescent="0.25">
      <c r="D14933" s="28"/>
      <c r="F14933" s="28"/>
      <c r="H14933" s="28"/>
    </row>
    <row r="14934" spans="4:8" x14ac:dyDescent="0.25">
      <c r="D14934" s="28"/>
      <c r="F14934" s="28"/>
      <c r="H14934" s="28"/>
    </row>
    <row r="14935" spans="4:8" x14ac:dyDescent="0.25">
      <c r="D14935" s="28"/>
      <c r="F14935" s="28"/>
      <c r="H14935" s="28"/>
    </row>
    <row r="14936" spans="4:8" x14ac:dyDescent="0.25">
      <c r="D14936" s="28"/>
      <c r="F14936" s="28"/>
      <c r="H14936" s="28"/>
    </row>
    <row r="14937" spans="4:8" x14ac:dyDescent="0.25">
      <c r="D14937" s="28"/>
      <c r="F14937" s="28"/>
      <c r="H14937" s="28"/>
    </row>
    <row r="14938" spans="4:8" x14ac:dyDescent="0.25">
      <c r="D14938" s="28"/>
      <c r="F14938" s="28"/>
      <c r="H14938" s="28"/>
    </row>
    <row r="14939" spans="4:8" x14ac:dyDescent="0.25">
      <c r="D14939" s="28"/>
      <c r="F14939" s="28"/>
      <c r="H14939" s="28"/>
    </row>
    <row r="14940" spans="4:8" x14ac:dyDescent="0.25">
      <c r="D14940" s="28"/>
      <c r="F14940" s="28"/>
      <c r="H14940" s="28"/>
    </row>
    <row r="14941" spans="4:8" x14ac:dyDescent="0.25">
      <c r="D14941" s="28"/>
      <c r="F14941" s="28"/>
      <c r="H14941" s="28"/>
    </row>
    <row r="14942" spans="4:8" x14ac:dyDescent="0.25">
      <c r="D14942" s="28"/>
      <c r="F14942" s="28"/>
      <c r="H14942" s="28"/>
    </row>
    <row r="14943" spans="4:8" x14ac:dyDescent="0.25">
      <c r="D14943" s="28"/>
      <c r="F14943" s="28"/>
      <c r="H14943" s="28"/>
    </row>
    <row r="14944" spans="4:8" x14ac:dyDescent="0.25">
      <c r="D14944" s="28"/>
      <c r="F14944" s="28"/>
      <c r="H14944" s="28"/>
    </row>
    <row r="14945" spans="4:8" x14ac:dyDescent="0.25">
      <c r="D14945" s="28"/>
      <c r="F14945" s="28"/>
      <c r="H14945" s="28"/>
    </row>
    <row r="14946" spans="4:8" x14ac:dyDescent="0.25">
      <c r="D14946" s="28"/>
      <c r="F14946" s="28"/>
      <c r="H14946" s="28"/>
    </row>
    <row r="14947" spans="4:8" x14ac:dyDescent="0.25">
      <c r="D14947" s="28"/>
      <c r="F14947" s="28"/>
      <c r="H14947" s="28"/>
    </row>
    <row r="14948" spans="4:8" x14ac:dyDescent="0.25">
      <c r="D14948" s="28"/>
      <c r="F14948" s="28"/>
      <c r="H14948" s="28"/>
    </row>
    <row r="14949" spans="4:8" x14ac:dyDescent="0.25">
      <c r="D14949" s="28"/>
      <c r="F14949" s="28"/>
      <c r="H14949" s="28"/>
    </row>
    <row r="14950" spans="4:8" x14ac:dyDescent="0.25">
      <c r="D14950" s="28"/>
      <c r="F14950" s="28"/>
      <c r="H14950" s="28"/>
    </row>
    <row r="14951" spans="4:8" x14ac:dyDescent="0.25">
      <c r="D14951" s="28"/>
      <c r="F14951" s="28"/>
      <c r="H14951" s="28"/>
    </row>
    <row r="14952" spans="4:8" x14ac:dyDescent="0.25">
      <c r="D14952" s="28"/>
      <c r="F14952" s="28"/>
      <c r="H14952" s="28"/>
    </row>
    <row r="14953" spans="4:8" x14ac:dyDescent="0.25">
      <c r="D14953" s="28"/>
      <c r="F14953" s="28"/>
      <c r="H14953" s="28"/>
    </row>
    <row r="14954" spans="4:8" x14ac:dyDescent="0.25">
      <c r="D14954" s="28"/>
      <c r="F14954" s="28"/>
      <c r="H14954" s="28"/>
    </row>
    <row r="14955" spans="4:8" x14ac:dyDescent="0.25">
      <c r="D14955" s="28"/>
      <c r="F14955" s="28"/>
      <c r="H14955" s="28"/>
    </row>
    <row r="14956" spans="4:8" x14ac:dyDescent="0.25">
      <c r="D14956" s="28"/>
      <c r="F14956" s="28"/>
      <c r="H14956" s="28"/>
    </row>
    <row r="14957" spans="4:8" x14ac:dyDescent="0.25">
      <c r="D14957" s="28"/>
      <c r="F14957" s="28"/>
      <c r="H14957" s="28"/>
    </row>
    <row r="14958" spans="4:8" x14ac:dyDescent="0.25">
      <c r="D14958" s="28"/>
      <c r="F14958" s="28"/>
      <c r="H14958" s="28"/>
    </row>
    <row r="14959" spans="4:8" x14ac:dyDescent="0.25">
      <c r="D14959" s="28"/>
      <c r="F14959" s="28"/>
      <c r="H14959" s="28"/>
    </row>
    <row r="14960" spans="4:8" x14ac:dyDescent="0.25">
      <c r="D14960" s="28"/>
      <c r="F14960" s="28"/>
      <c r="H14960" s="28"/>
    </row>
    <row r="14961" spans="4:8" x14ac:dyDescent="0.25">
      <c r="D14961" s="28"/>
      <c r="F14961" s="28"/>
      <c r="H14961" s="28"/>
    </row>
    <row r="14962" spans="4:8" x14ac:dyDescent="0.25">
      <c r="D14962" s="28"/>
      <c r="F14962" s="28"/>
      <c r="H14962" s="28"/>
    </row>
    <row r="14963" spans="4:8" x14ac:dyDescent="0.25">
      <c r="D14963" s="28"/>
      <c r="F14963" s="28"/>
      <c r="H14963" s="28"/>
    </row>
    <row r="14964" spans="4:8" x14ac:dyDescent="0.25">
      <c r="D14964" s="28"/>
      <c r="F14964" s="28"/>
      <c r="H14964" s="28"/>
    </row>
    <row r="14965" spans="4:8" x14ac:dyDescent="0.25">
      <c r="D14965" s="28"/>
      <c r="F14965" s="28"/>
      <c r="H14965" s="28"/>
    </row>
    <row r="14966" spans="4:8" x14ac:dyDescent="0.25">
      <c r="D14966" s="28"/>
      <c r="F14966" s="28"/>
      <c r="H14966" s="28"/>
    </row>
    <row r="14967" spans="4:8" x14ac:dyDescent="0.25">
      <c r="D14967" s="28"/>
      <c r="F14967" s="28"/>
      <c r="H14967" s="28"/>
    </row>
    <row r="14968" spans="4:8" x14ac:dyDescent="0.25">
      <c r="D14968" s="28"/>
      <c r="F14968" s="28"/>
      <c r="H14968" s="28"/>
    </row>
    <row r="14969" spans="4:8" x14ac:dyDescent="0.25">
      <c r="D14969" s="28"/>
      <c r="F14969" s="28"/>
      <c r="H14969" s="28"/>
    </row>
    <row r="14970" spans="4:8" x14ac:dyDescent="0.25">
      <c r="D14970" s="28"/>
      <c r="F14970" s="28"/>
      <c r="H14970" s="28"/>
    </row>
    <row r="14971" spans="4:8" x14ac:dyDescent="0.25">
      <c r="D14971" s="28"/>
      <c r="F14971" s="28"/>
      <c r="H14971" s="28"/>
    </row>
    <row r="14972" spans="4:8" x14ac:dyDescent="0.25">
      <c r="D14972" s="28"/>
      <c r="F14972" s="28"/>
      <c r="H14972" s="28"/>
    </row>
    <row r="14973" spans="4:8" x14ac:dyDescent="0.25">
      <c r="D14973" s="28"/>
      <c r="F14973" s="28"/>
      <c r="H14973" s="28"/>
    </row>
    <row r="14974" spans="4:8" x14ac:dyDescent="0.25">
      <c r="D14974" s="28"/>
      <c r="F14974" s="28"/>
      <c r="H14974" s="28"/>
    </row>
    <row r="14975" spans="4:8" x14ac:dyDescent="0.25">
      <c r="D14975" s="28"/>
      <c r="F14975" s="28"/>
      <c r="H14975" s="28"/>
    </row>
    <row r="14976" spans="4:8" x14ac:dyDescent="0.25">
      <c r="D14976" s="28"/>
      <c r="F14976" s="28"/>
      <c r="H14976" s="28"/>
    </row>
    <row r="14977" spans="4:8" x14ac:dyDescent="0.25">
      <c r="D14977" s="28"/>
      <c r="F14977" s="28"/>
      <c r="H14977" s="28"/>
    </row>
    <row r="14978" spans="4:8" x14ac:dyDescent="0.25">
      <c r="D14978" s="28"/>
      <c r="F14978" s="28"/>
      <c r="H14978" s="28"/>
    </row>
    <row r="14979" spans="4:8" x14ac:dyDescent="0.25">
      <c r="D14979" s="28"/>
      <c r="F14979" s="28"/>
      <c r="H14979" s="28"/>
    </row>
    <row r="14980" spans="4:8" x14ac:dyDescent="0.25">
      <c r="D14980" s="28"/>
      <c r="F14980" s="28"/>
      <c r="H14980" s="28"/>
    </row>
    <row r="14981" spans="4:8" x14ac:dyDescent="0.25">
      <c r="D14981" s="28"/>
      <c r="F14981" s="28"/>
      <c r="H14981" s="28"/>
    </row>
    <row r="14982" spans="4:8" x14ac:dyDescent="0.25">
      <c r="D14982" s="28"/>
      <c r="F14982" s="28"/>
      <c r="H14982" s="28"/>
    </row>
    <row r="14983" spans="4:8" x14ac:dyDescent="0.25">
      <c r="D14983" s="28"/>
      <c r="F14983" s="28"/>
      <c r="H14983" s="28"/>
    </row>
    <row r="14984" spans="4:8" x14ac:dyDescent="0.25">
      <c r="D14984" s="28"/>
      <c r="F14984" s="28"/>
      <c r="H14984" s="28"/>
    </row>
    <row r="14985" spans="4:8" x14ac:dyDescent="0.25">
      <c r="D14985" s="28"/>
      <c r="F14985" s="28"/>
      <c r="H14985" s="28"/>
    </row>
    <row r="14986" spans="4:8" x14ac:dyDescent="0.25">
      <c r="D14986" s="28"/>
      <c r="F14986" s="28"/>
      <c r="H14986" s="28"/>
    </row>
    <row r="14987" spans="4:8" x14ac:dyDescent="0.25">
      <c r="D14987" s="28"/>
      <c r="F14987" s="28"/>
      <c r="H14987" s="28"/>
    </row>
    <row r="14988" spans="4:8" x14ac:dyDescent="0.25">
      <c r="D14988" s="28"/>
      <c r="F14988" s="28"/>
      <c r="H14988" s="28"/>
    </row>
    <row r="14989" spans="4:8" x14ac:dyDescent="0.25">
      <c r="D14989" s="28"/>
      <c r="F14989" s="28"/>
      <c r="H14989" s="28"/>
    </row>
    <row r="14990" spans="4:8" x14ac:dyDescent="0.25">
      <c r="D14990" s="28"/>
      <c r="F14990" s="28"/>
      <c r="H14990" s="28"/>
    </row>
    <row r="14991" spans="4:8" x14ac:dyDescent="0.25">
      <c r="D14991" s="28"/>
      <c r="F14991" s="28"/>
      <c r="H14991" s="28"/>
    </row>
    <row r="14992" spans="4:8" x14ac:dyDescent="0.25">
      <c r="D14992" s="28"/>
      <c r="F14992" s="28"/>
      <c r="H14992" s="28"/>
    </row>
    <row r="14993" spans="4:8" x14ac:dyDescent="0.25">
      <c r="D14993" s="28"/>
      <c r="F14993" s="28"/>
      <c r="H14993" s="28"/>
    </row>
    <row r="14994" spans="4:8" x14ac:dyDescent="0.25">
      <c r="D14994" s="28"/>
      <c r="F14994" s="28"/>
      <c r="H14994" s="28"/>
    </row>
    <row r="14995" spans="4:8" x14ac:dyDescent="0.25">
      <c r="D14995" s="28"/>
      <c r="F14995" s="28"/>
      <c r="H14995" s="28"/>
    </row>
    <row r="14996" spans="4:8" x14ac:dyDescent="0.25">
      <c r="D14996" s="28"/>
      <c r="F14996" s="28"/>
      <c r="H14996" s="28"/>
    </row>
    <row r="14997" spans="4:8" x14ac:dyDescent="0.25">
      <c r="D14997" s="28"/>
      <c r="F14997" s="28"/>
      <c r="H14997" s="28"/>
    </row>
    <row r="14998" spans="4:8" x14ac:dyDescent="0.25">
      <c r="D14998" s="28"/>
      <c r="F14998" s="28"/>
      <c r="H14998" s="28"/>
    </row>
    <row r="14999" spans="4:8" x14ac:dyDescent="0.25">
      <c r="D14999" s="28"/>
      <c r="F14999" s="28"/>
      <c r="H14999" s="28"/>
    </row>
    <row r="15000" spans="4:8" x14ac:dyDescent="0.25">
      <c r="D15000" s="28"/>
      <c r="F15000" s="28"/>
      <c r="H15000" s="28"/>
    </row>
    <row r="15001" spans="4:8" x14ac:dyDescent="0.25">
      <c r="D15001" s="28"/>
      <c r="F15001" s="28"/>
      <c r="H15001" s="28"/>
    </row>
    <row r="15002" spans="4:8" x14ac:dyDescent="0.25">
      <c r="D15002" s="28"/>
      <c r="F15002" s="28"/>
      <c r="H15002" s="28"/>
    </row>
    <row r="15003" spans="4:8" x14ac:dyDescent="0.25">
      <c r="D15003" s="28"/>
      <c r="F15003" s="28"/>
      <c r="H15003" s="28"/>
    </row>
    <row r="15004" spans="4:8" x14ac:dyDescent="0.25">
      <c r="D15004" s="28"/>
      <c r="F15004" s="28"/>
      <c r="H15004" s="28"/>
    </row>
    <row r="15005" spans="4:8" x14ac:dyDescent="0.25">
      <c r="D15005" s="28"/>
      <c r="F15005" s="28"/>
      <c r="H15005" s="28"/>
    </row>
    <row r="15006" spans="4:8" x14ac:dyDescent="0.25">
      <c r="D15006" s="28"/>
      <c r="F15006" s="28"/>
      <c r="H15006" s="28"/>
    </row>
    <row r="15007" spans="4:8" x14ac:dyDescent="0.25">
      <c r="D15007" s="28"/>
      <c r="F15007" s="28"/>
      <c r="H15007" s="28"/>
    </row>
    <row r="15008" spans="4:8" x14ac:dyDescent="0.25">
      <c r="D15008" s="28"/>
      <c r="F15008" s="28"/>
      <c r="H15008" s="28"/>
    </row>
    <row r="15009" spans="4:8" x14ac:dyDescent="0.25">
      <c r="D15009" s="28"/>
      <c r="F15009" s="28"/>
      <c r="H15009" s="28"/>
    </row>
    <row r="15010" spans="4:8" x14ac:dyDescent="0.25">
      <c r="D15010" s="28"/>
      <c r="F15010" s="28"/>
      <c r="H15010" s="28"/>
    </row>
    <row r="15011" spans="4:8" x14ac:dyDescent="0.25">
      <c r="D15011" s="28"/>
      <c r="F15011" s="28"/>
      <c r="H15011" s="28"/>
    </row>
    <row r="15012" spans="4:8" x14ac:dyDescent="0.25">
      <c r="D15012" s="28"/>
      <c r="F15012" s="28"/>
      <c r="H15012" s="28"/>
    </row>
    <row r="15013" spans="4:8" x14ac:dyDescent="0.25">
      <c r="D15013" s="28"/>
      <c r="F15013" s="28"/>
      <c r="H15013" s="28"/>
    </row>
    <row r="15014" spans="4:8" x14ac:dyDescent="0.25">
      <c r="D15014" s="28"/>
      <c r="F15014" s="28"/>
      <c r="H15014" s="28"/>
    </row>
    <row r="15015" spans="4:8" x14ac:dyDescent="0.25">
      <c r="D15015" s="28"/>
      <c r="F15015" s="28"/>
      <c r="H15015" s="28"/>
    </row>
    <row r="15016" spans="4:8" x14ac:dyDescent="0.25">
      <c r="D15016" s="28"/>
      <c r="F15016" s="28"/>
      <c r="H15016" s="28"/>
    </row>
    <row r="15017" spans="4:8" x14ac:dyDescent="0.25">
      <c r="D15017" s="28"/>
      <c r="F15017" s="28"/>
      <c r="H15017" s="28"/>
    </row>
    <row r="15018" spans="4:8" x14ac:dyDescent="0.25">
      <c r="D15018" s="28"/>
      <c r="F15018" s="28"/>
      <c r="H15018" s="28"/>
    </row>
    <row r="15019" spans="4:8" x14ac:dyDescent="0.25">
      <c r="D15019" s="28"/>
      <c r="F15019" s="28"/>
      <c r="H15019" s="28"/>
    </row>
    <row r="15020" spans="4:8" x14ac:dyDescent="0.25">
      <c r="D15020" s="28"/>
      <c r="F15020" s="28"/>
      <c r="H15020" s="28"/>
    </row>
    <row r="15021" spans="4:8" x14ac:dyDescent="0.25">
      <c r="D15021" s="28"/>
      <c r="F15021" s="28"/>
      <c r="H15021" s="28"/>
    </row>
    <row r="15022" spans="4:8" x14ac:dyDescent="0.25">
      <c r="D15022" s="28"/>
      <c r="F15022" s="28"/>
      <c r="H15022" s="28"/>
    </row>
    <row r="15023" spans="4:8" x14ac:dyDescent="0.25">
      <c r="D15023" s="28"/>
      <c r="F15023" s="28"/>
      <c r="H15023" s="28"/>
    </row>
    <row r="15024" spans="4:8" x14ac:dyDescent="0.25">
      <c r="D15024" s="28"/>
      <c r="F15024" s="28"/>
      <c r="H15024" s="28"/>
    </row>
    <row r="15025" spans="4:8" x14ac:dyDescent="0.25">
      <c r="D15025" s="28"/>
      <c r="F15025" s="28"/>
      <c r="H15025" s="28"/>
    </row>
    <row r="15026" spans="4:8" x14ac:dyDescent="0.25">
      <c r="D15026" s="28"/>
      <c r="F15026" s="28"/>
      <c r="H15026" s="28"/>
    </row>
    <row r="15027" spans="4:8" x14ac:dyDescent="0.25">
      <c r="D15027" s="28"/>
      <c r="F15027" s="28"/>
      <c r="H15027" s="28"/>
    </row>
    <row r="15028" spans="4:8" x14ac:dyDescent="0.25">
      <c r="D15028" s="28"/>
      <c r="F15028" s="28"/>
      <c r="H15028" s="28"/>
    </row>
    <row r="15029" spans="4:8" x14ac:dyDescent="0.25">
      <c r="D15029" s="28"/>
      <c r="F15029" s="28"/>
      <c r="H15029" s="28"/>
    </row>
    <row r="15030" spans="4:8" x14ac:dyDescent="0.25">
      <c r="D15030" s="28"/>
      <c r="F15030" s="28"/>
      <c r="H15030" s="28"/>
    </row>
    <row r="15031" spans="4:8" x14ac:dyDescent="0.25">
      <c r="D15031" s="28"/>
      <c r="F15031" s="28"/>
      <c r="H15031" s="28"/>
    </row>
    <row r="15032" spans="4:8" x14ac:dyDescent="0.25">
      <c r="D15032" s="28"/>
      <c r="F15032" s="28"/>
      <c r="H15032" s="28"/>
    </row>
    <row r="15033" spans="4:8" x14ac:dyDescent="0.25">
      <c r="D15033" s="28"/>
      <c r="F15033" s="28"/>
      <c r="H15033" s="28"/>
    </row>
    <row r="15034" spans="4:8" x14ac:dyDescent="0.25">
      <c r="D15034" s="28"/>
      <c r="F15034" s="28"/>
      <c r="H15034" s="28"/>
    </row>
    <row r="15035" spans="4:8" x14ac:dyDescent="0.25">
      <c r="D15035" s="28"/>
      <c r="F15035" s="28"/>
      <c r="H15035" s="28"/>
    </row>
    <row r="15036" spans="4:8" x14ac:dyDescent="0.25">
      <c r="D15036" s="28"/>
      <c r="F15036" s="28"/>
      <c r="H15036" s="28"/>
    </row>
    <row r="15037" spans="4:8" x14ac:dyDescent="0.25">
      <c r="D15037" s="28"/>
      <c r="F15037" s="28"/>
      <c r="H15037" s="28"/>
    </row>
    <row r="15038" spans="4:8" x14ac:dyDescent="0.25">
      <c r="D15038" s="28"/>
      <c r="F15038" s="28"/>
      <c r="H15038" s="28"/>
    </row>
    <row r="15039" spans="4:8" x14ac:dyDescent="0.25">
      <c r="D15039" s="28"/>
      <c r="F15039" s="28"/>
      <c r="H15039" s="28"/>
    </row>
    <row r="15040" spans="4:8" x14ac:dyDescent="0.25">
      <c r="D15040" s="28"/>
      <c r="F15040" s="28"/>
      <c r="H15040" s="28"/>
    </row>
    <row r="15041" spans="4:8" x14ac:dyDescent="0.25">
      <c r="D15041" s="28"/>
      <c r="F15041" s="28"/>
      <c r="H15041" s="28"/>
    </row>
    <row r="15042" spans="4:8" x14ac:dyDescent="0.25">
      <c r="D15042" s="28"/>
      <c r="F15042" s="28"/>
      <c r="H15042" s="28"/>
    </row>
    <row r="15043" spans="4:8" x14ac:dyDescent="0.25">
      <c r="D15043" s="28"/>
      <c r="F15043" s="28"/>
      <c r="H15043" s="28"/>
    </row>
    <row r="15044" spans="4:8" x14ac:dyDescent="0.25">
      <c r="D15044" s="28"/>
      <c r="F15044" s="28"/>
      <c r="H15044" s="28"/>
    </row>
    <row r="15045" spans="4:8" x14ac:dyDescent="0.25">
      <c r="D15045" s="28"/>
      <c r="F15045" s="28"/>
      <c r="H15045" s="28"/>
    </row>
    <row r="15046" spans="4:8" x14ac:dyDescent="0.25">
      <c r="D15046" s="28"/>
      <c r="F15046" s="28"/>
      <c r="H15046" s="28"/>
    </row>
    <row r="15047" spans="4:8" x14ac:dyDescent="0.25">
      <c r="D15047" s="28"/>
      <c r="F15047" s="28"/>
      <c r="H15047" s="28"/>
    </row>
    <row r="15048" spans="4:8" x14ac:dyDescent="0.25">
      <c r="D15048" s="28"/>
      <c r="F15048" s="28"/>
      <c r="H15048" s="28"/>
    </row>
    <row r="15049" spans="4:8" x14ac:dyDescent="0.25">
      <c r="D15049" s="28"/>
      <c r="F15049" s="28"/>
      <c r="H15049" s="28"/>
    </row>
    <row r="15050" spans="4:8" x14ac:dyDescent="0.25">
      <c r="D15050" s="28"/>
      <c r="F15050" s="28"/>
      <c r="H15050" s="28"/>
    </row>
    <row r="15051" spans="4:8" x14ac:dyDescent="0.25">
      <c r="D15051" s="28"/>
      <c r="F15051" s="28"/>
      <c r="H15051" s="28"/>
    </row>
    <row r="15052" spans="4:8" x14ac:dyDescent="0.25">
      <c r="D15052" s="28"/>
      <c r="F15052" s="28"/>
      <c r="H15052" s="28"/>
    </row>
    <row r="15053" spans="4:8" x14ac:dyDescent="0.25">
      <c r="D15053" s="28"/>
      <c r="F15053" s="28"/>
      <c r="H15053" s="28"/>
    </row>
    <row r="15054" spans="4:8" x14ac:dyDescent="0.25">
      <c r="D15054" s="28"/>
      <c r="F15054" s="28"/>
      <c r="H15054" s="28"/>
    </row>
    <row r="15055" spans="4:8" x14ac:dyDescent="0.25">
      <c r="D15055" s="28"/>
      <c r="F15055" s="28"/>
      <c r="H15055" s="28"/>
    </row>
    <row r="15056" spans="4:8" x14ac:dyDescent="0.25">
      <c r="D15056" s="28"/>
      <c r="F15056" s="28"/>
      <c r="H15056" s="28"/>
    </row>
    <row r="15057" spans="4:8" x14ac:dyDescent="0.25">
      <c r="D15057" s="28"/>
      <c r="F15057" s="28"/>
      <c r="H15057" s="28"/>
    </row>
    <row r="15058" spans="4:8" x14ac:dyDescent="0.25">
      <c r="D15058" s="28"/>
      <c r="F15058" s="28"/>
      <c r="H15058" s="28"/>
    </row>
    <row r="15059" spans="4:8" x14ac:dyDescent="0.25">
      <c r="D15059" s="28"/>
      <c r="F15059" s="28"/>
      <c r="H15059" s="28"/>
    </row>
    <row r="15060" spans="4:8" x14ac:dyDescent="0.25">
      <c r="D15060" s="28"/>
      <c r="F15060" s="28"/>
      <c r="H15060" s="28"/>
    </row>
    <row r="15061" spans="4:8" x14ac:dyDescent="0.25">
      <c r="D15061" s="28"/>
      <c r="F15061" s="28"/>
      <c r="H15061" s="28"/>
    </row>
    <row r="15062" spans="4:8" x14ac:dyDescent="0.25">
      <c r="D15062" s="28"/>
      <c r="F15062" s="28"/>
      <c r="H15062" s="28"/>
    </row>
    <row r="15063" spans="4:8" x14ac:dyDescent="0.25">
      <c r="D15063" s="28"/>
      <c r="F15063" s="28"/>
      <c r="H15063" s="28"/>
    </row>
    <row r="15064" spans="4:8" x14ac:dyDescent="0.25">
      <c r="D15064" s="28"/>
      <c r="F15064" s="28"/>
      <c r="H15064" s="28"/>
    </row>
    <row r="15065" spans="4:8" x14ac:dyDescent="0.25">
      <c r="D15065" s="28"/>
      <c r="F15065" s="28"/>
      <c r="H15065" s="28"/>
    </row>
    <row r="15066" spans="4:8" x14ac:dyDescent="0.25">
      <c r="D15066" s="28"/>
      <c r="F15066" s="28"/>
      <c r="H15066" s="28"/>
    </row>
    <row r="15067" spans="4:8" x14ac:dyDescent="0.25">
      <c r="D15067" s="28"/>
      <c r="F15067" s="28"/>
      <c r="H15067" s="28"/>
    </row>
    <row r="15068" spans="4:8" x14ac:dyDescent="0.25">
      <c r="D15068" s="28"/>
      <c r="F15068" s="28"/>
      <c r="H15068" s="28"/>
    </row>
    <row r="15069" spans="4:8" x14ac:dyDescent="0.25">
      <c r="D15069" s="28"/>
      <c r="F15069" s="28"/>
      <c r="H15069" s="28"/>
    </row>
    <row r="15070" spans="4:8" x14ac:dyDescent="0.25">
      <c r="D15070" s="28"/>
      <c r="F15070" s="28"/>
      <c r="H15070" s="28"/>
    </row>
    <row r="15071" spans="4:8" x14ac:dyDescent="0.25">
      <c r="D15071" s="28"/>
      <c r="F15071" s="28"/>
      <c r="H15071" s="28"/>
    </row>
    <row r="15072" spans="4:8" x14ac:dyDescent="0.25">
      <c r="D15072" s="28"/>
      <c r="F15072" s="28"/>
      <c r="H15072" s="28"/>
    </row>
    <row r="15073" spans="4:8" x14ac:dyDescent="0.25">
      <c r="D15073" s="28"/>
      <c r="F15073" s="28"/>
      <c r="H15073" s="28"/>
    </row>
    <row r="15074" spans="4:8" x14ac:dyDescent="0.25">
      <c r="D15074" s="28"/>
      <c r="F15074" s="28"/>
      <c r="H15074" s="28"/>
    </row>
    <row r="15075" spans="4:8" x14ac:dyDescent="0.25">
      <c r="D15075" s="28"/>
      <c r="F15075" s="28"/>
      <c r="H15075" s="28"/>
    </row>
    <row r="15076" spans="4:8" x14ac:dyDescent="0.25">
      <c r="D15076" s="28"/>
      <c r="F15076" s="28"/>
      <c r="H15076" s="28"/>
    </row>
    <row r="15077" spans="4:8" x14ac:dyDescent="0.25">
      <c r="D15077" s="28"/>
      <c r="F15077" s="28"/>
      <c r="H15077" s="28"/>
    </row>
    <row r="15078" spans="4:8" x14ac:dyDescent="0.25">
      <c r="D15078" s="28"/>
      <c r="F15078" s="28"/>
      <c r="H15078" s="28"/>
    </row>
    <row r="15079" spans="4:8" x14ac:dyDescent="0.25">
      <c r="D15079" s="28"/>
      <c r="F15079" s="28"/>
      <c r="H15079" s="28"/>
    </row>
    <row r="15080" spans="4:8" x14ac:dyDescent="0.25">
      <c r="D15080" s="28"/>
      <c r="F15080" s="28"/>
      <c r="H15080" s="28"/>
    </row>
    <row r="15081" spans="4:8" x14ac:dyDescent="0.25">
      <c r="D15081" s="28"/>
      <c r="F15081" s="28"/>
      <c r="H15081" s="28"/>
    </row>
    <row r="15082" spans="4:8" x14ac:dyDescent="0.25">
      <c r="D15082" s="28"/>
      <c r="F15082" s="28"/>
      <c r="H15082" s="28"/>
    </row>
    <row r="15083" spans="4:8" x14ac:dyDescent="0.25">
      <c r="D15083" s="28"/>
      <c r="F15083" s="28"/>
      <c r="H15083" s="28"/>
    </row>
    <row r="15084" spans="4:8" x14ac:dyDescent="0.25">
      <c r="D15084" s="28"/>
      <c r="F15084" s="28"/>
      <c r="H15084" s="28"/>
    </row>
    <row r="15085" spans="4:8" x14ac:dyDescent="0.25">
      <c r="D15085" s="28"/>
      <c r="F15085" s="28"/>
      <c r="H15085" s="28"/>
    </row>
    <row r="15086" spans="4:8" x14ac:dyDescent="0.25">
      <c r="D15086" s="28"/>
      <c r="F15086" s="28"/>
      <c r="H15086" s="28"/>
    </row>
    <row r="15087" spans="4:8" x14ac:dyDescent="0.25">
      <c r="D15087" s="28"/>
      <c r="F15087" s="28"/>
      <c r="H15087" s="28"/>
    </row>
    <row r="15088" spans="4:8" x14ac:dyDescent="0.25">
      <c r="D15088" s="28"/>
      <c r="F15088" s="28"/>
      <c r="H15088" s="28"/>
    </row>
    <row r="15089" spans="4:8" x14ac:dyDescent="0.25">
      <c r="D15089" s="28"/>
      <c r="F15089" s="28"/>
      <c r="H15089" s="28"/>
    </row>
    <row r="15090" spans="4:8" x14ac:dyDescent="0.25">
      <c r="D15090" s="28"/>
      <c r="F15090" s="28"/>
      <c r="H15090" s="28"/>
    </row>
    <row r="15091" spans="4:8" x14ac:dyDescent="0.25">
      <c r="D15091" s="28"/>
      <c r="F15091" s="28"/>
      <c r="H15091" s="28"/>
    </row>
    <row r="15092" spans="4:8" x14ac:dyDescent="0.25">
      <c r="D15092" s="28"/>
      <c r="F15092" s="28"/>
      <c r="H15092" s="28"/>
    </row>
    <row r="15093" spans="4:8" x14ac:dyDescent="0.25">
      <c r="D15093" s="28"/>
      <c r="F15093" s="28"/>
      <c r="H15093" s="28"/>
    </row>
    <row r="15094" spans="4:8" x14ac:dyDescent="0.25">
      <c r="D15094" s="28"/>
      <c r="F15094" s="28"/>
      <c r="H15094" s="28"/>
    </row>
    <row r="15095" spans="4:8" x14ac:dyDescent="0.25">
      <c r="D15095" s="28"/>
      <c r="F15095" s="28"/>
      <c r="H15095" s="28"/>
    </row>
    <row r="15096" spans="4:8" x14ac:dyDescent="0.25">
      <c r="D15096" s="28"/>
      <c r="F15096" s="28"/>
      <c r="H15096" s="28"/>
    </row>
    <row r="15097" spans="4:8" x14ac:dyDescent="0.25">
      <c r="D15097" s="28"/>
      <c r="F15097" s="28"/>
      <c r="H15097" s="28"/>
    </row>
    <row r="15098" spans="4:8" x14ac:dyDescent="0.25">
      <c r="D15098" s="28"/>
      <c r="F15098" s="28"/>
      <c r="H15098" s="28"/>
    </row>
    <row r="15099" spans="4:8" x14ac:dyDescent="0.25">
      <c r="D15099" s="28"/>
      <c r="F15099" s="28"/>
      <c r="H15099" s="28"/>
    </row>
    <row r="15100" spans="4:8" x14ac:dyDescent="0.25">
      <c r="D15100" s="28"/>
      <c r="F15100" s="28"/>
      <c r="H15100" s="28"/>
    </row>
    <row r="15101" spans="4:8" x14ac:dyDescent="0.25">
      <c r="D15101" s="28"/>
      <c r="F15101" s="28"/>
      <c r="H15101" s="28"/>
    </row>
    <row r="15102" spans="4:8" x14ac:dyDescent="0.25">
      <c r="D15102" s="28"/>
      <c r="F15102" s="28"/>
      <c r="H15102" s="28"/>
    </row>
    <row r="15103" spans="4:8" x14ac:dyDescent="0.25">
      <c r="D15103" s="28"/>
      <c r="F15103" s="28"/>
      <c r="H15103" s="28"/>
    </row>
    <row r="15104" spans="4:8" x14ac:dyDescent="0.25">
      <c r="D15104" s="28"/>
      <c r="F15104" s="28"/>
      <c r="H15104" s="28"/>
    </row>
    <row r="15105" spans="4:8" x14ac:dyDescent="0.25">
      <c r="D15105" s="28"/>
      <c r="F15105" s="28"/>
      <c r="H15105" s="28"/>
    </row>
    <row r="15106" spans="4:8" x14ac:dyDescent="0.25">
      <c r="D15106" s="28"/>
      <c r="F15106" s="28"/>
      <c r="H15106" s="28"/>
    </row>
    <row r="15107" spans="4:8" x14ac:dyDescent="0.25">
      <c r="D15107" s="28"/>
      <c r="F15107" s="28"/>
      <c r="H15107" s="28"/>
    </row>
    <row r="15108" spans="4:8" x14ac:dyDescent="0.25">
      <c r="D15108" s="28"/>
      <c r="F15108" s="28"/>
      <c r="H15108" s="28"/>
    </row>
    <row r="15109" spans="4:8" x14ac:dyDescent="0.25">
      <c r="D15109" s="28"/>
      <c r="F15109" s="28"/>
      <c r="H15109" s="28"/>
    </row>
    <row r="15110" spans="4:8" x14ac:dyDescent="0.25">
      <c r="D15110" s="28"/>
      <c r="F15110" s="28"/>
      <c r="H15110" s="28"/>
    </row>
    <row r="15111" spans="4:8" x14ac:dyDescent="0.25">
      <c r="D15111" s="28"/>
      <c r="F15111" s="28"/>
      <c r="H15111" s="28"/>
    </row>
    <row r="15112" spans="4:8" x14ac:dyDescent="0.25">
      <c r="D15112" s="28"/>
      <c r="F15112" s="28"/>
      <c r="H15112" s="28"/>
    </row>
    <row r="15113" spans="4:8" x14ac:dyDescent="0.25">
      <c r="D15113" s="28"/>
      <c r="F15113" s="28"/>
      <c r="H15113" s="28"/>
    </row>
    <row r="15114" spans="4:8" x14ac:dyDescent="0.25">
      <c r="D15114" s="28"/>
      <c r="F15114" s="28"/>
      <c r="H15114" s="28"/>
    </row>
    <row r="15115" spans="4:8" x14ac:dyDescent="0.25">
      <c r="D15115" s="28"/>
      <c r="F15115" s="28"/>
      <c r="H15115" s="28"/>
    </row>
    <row r="15116" spans="4:8" x14ac:dyDescent="0.25">
      <c r="D15116" s="28"/>
      <c r="F15116" s="28"/>
      <c r="H15116" s="28"/>
    </row>
    <row r="15117" spans="4:8" x14ac:dyDescent="0.25">
      <c r="D15117" s="28"/>
      <c r="F15117" s="28"/>
      <c r="H15117" s="28"/>
    </row>
    <row r="15118" spans="4:8" x14ac:dyDescent="0.25">
      <c r="D15118" s="28"/>
      <c r="F15118" s="28"/>
      <c r="H15118" s="28"/>
    </row>
    <row r="15119" spans="4:8" x14ac:dyDescent="0.25">
      <c r="D15119" s="28"/>
      <c r="F15119" s="28"/>
      <c r="H15119" s="28"/>
    </row>
    <row r="15120" spans="4:8" x14ac:dyDescent="0.25">
      <c r="D15120" s="28"/>
      <c r="F15120" s="28"/>
      <c r="H15120" s="28"/>
    </row>
    <row r="15121" spans="4:8" x14ac:dyDescent="0.25">
      <c r="D15121" s="28"/>
      <c r="F15121" s="28"/>
      <c r="H15121" s="28"/>
    </row>
    <row r="15122" spans="4:8" x14ac:dyDescent="0.25">
      <c r="D15122" s="28"/>
      <c r="F15122" s="28"/>
      <c r="H15122" s="28"/>
    </row>
    <row r="15123" spans="4:8" x14ac:dyDescent="0.25">
      <c r="D15123" s="28"/>
      <c r="F15123" s="28"/>
      <c r="H15123" s="28"/>
    </row>
    <row r="15124" spans="4:8" x14ac:dyDescent="0.25">
      <c r="D15124" s="28"/>
      <c r="F15124" s="28"/>
      <c r="H15124" s="28"/>
    </row>
    <row r="15125" spans="4:8" x14ac:dyDescent="0.25">
      <c r="D15125" s="28"/>
      <c r="F15125" s="28"/>
      <c r="H15125" s="28"/>
    </row>
    <row r="15126" spans="4:8" x14ac:dyDescent="0.25">
      <c r="D15126" s="28"/>
      <c r="F15126" s="28"/>
      <c r="H15126" s="28"/>
    </row>
    <row r="15127" spans="4:8" x14ac:dyDescent="0.25">
      <c r="D15127" s="28"/>
      <c r="F15127" s="28"/>
      <c r="H15127" s="28"/>
    </row>
    <row r="15128" spans="4:8" x14ac:dyDescent="0.25">
      <c r="D15128" s="28"/>
      <c r="F15128" s="28"/>
      <c r="H15128" s="28"/>
    </row>
    <row r="15129" spans="4:8" x14ac:dyDescent="0.25">
      <c r="D15129" s="28"/>
      <c r="F15129" s="28"/>
      <c r="H15129" s="28"/>
    </row>
    <row r="15130" spans="4:8" x14ac:dyDescent="0.25">
      <c r="D15130" s="28"/>
      <c r="F15130" s="28"/>
      <c r="H15130" s="28"/>
    </row>
    <row r="15131" spans="4:8" x14ac:dyDescent="0.25">
      <c r="D15131" s="28"/>
      <c r="F15131" s="28"/>
      <c r="H15131" s="28"/>
    </row>
    <row r="15132" spans="4:8" x14ac:dyDescent="0.25">
      <c r="D15132" s="28"/>
      <c r="F15132" s="28"/>
      <c r="H15132" s="28"/>
    </row>
    <row r="15133" spans="4:8" x14ac:dyDescent="0.25">
      <c r="D15133" s="28"/>
      <c r="F15133" s="28"/>
      <c r="H15133" s="28"/>
    </row>
    <row r="15134" spans="4:8" x14ac:dyDescent="0.25">
      <c r="D15134" s="28"/>
      <c r="F15134" s="28"/>
      <c r="H15134" s="28"/>
    </row>
    <row r="15135" spans="4:8" x14ac:dyDescent="0.25">
      <c r="D15135" s="28"/>
      <c r="F15135" s="28"/>
      <c r="H15135" s="28"/>
    </row>
    <row r="15136" spans="4:8" x14ac:dyDescent="0.25">
      <c r="D15136" s="28"/>
      <c r="F15136" s="28"/>
      <c r="H15136" s="28"/>
    </row>
    <row r="15137" spans="4:8" x14ac:dyDescent="0.25">
      <c r="D15137" s="28"/>
      <c r="F15137" s="28"/>
      <c r="H15137" s="28"/>
    </row>
    <row r="15138" spans="4:8" x14ac:dyDescent="0.25">
      <c r="D15138" s="28"/>
      <c r="F15138" s="28"/>
      <c r="H15138" s="28"/>
    </row>
    <row r="15139" spans="4:8" x14ac:dyDescent="0.25">
      <c r="D15139" s="28"/>
      <c r="F15139" s="28"/>
      <c r="H15139" s="28"/>
    </row>
    <row r="15140" spans="4:8" x14ac:dyDescent="0.25">
      <c r="D15140" s="28"/>
      <c r="F15140" s="28"/>
      <c r="H15140" s="28"/>
    </row>
    <row r="15141" spans="4:8" x14ac:dyDescent="0.25">
      <c r="D15141" s="28"/>
      <c r="F15141" s="28"/>
      <c r="H15141" s="28"/>
    </row>
    <row r="15142" spans="4:8" x14ac:dyDescent="0.25">
      <c r="D15142" s="28"/>
      <c r="F15142" s="28"/>
      <c r="H15142" s="28"/>
    </row>
    <row r="15143" spans="4:8" x14ac:dyDescent="0.25">
      <c r="D15143" s="28"/>
      <c r="F15143" s="28"/>
      <c r="H15143" s="28"/>
    </row>
    <row r="15144" spans="4:8" x14ac:dyDescent="0.25">
      <c r="D15144" s="28"/>
      <c r="F15144" s="28"/>
      <c r="H15144" s="28"/>
    </row>
    <row r="15145" spans="4:8" x14ac:dyDescent="0.25">
      <c r="D15145" s="28"/>
      <c r="F15145" s="28"/>
      <c r="H15145" s="28"/>
    </row>
    <row r="15146" spans="4:8" x14ac:dyDescent="0.25">
      <c r="D15146" s="28"/>
      <c r="F15146" s="28"/>
      <c r="H15146" s="28"/>
    </row>
    <row r="15147" spans="4:8" x14ac:dyDescent="0.25">
      <c r="D15147" s="28"/>
      <c r="F15147" s="28"/>
      <c r="H15147" s="28"/>
    </row>
    <row r="15148" spans="4:8" x14ac:dyDescent="0.25">
      <c r="D15148" s="28"/>
      <c r="F15148" s="28"/>
      <c r="H15148" s="28"/>
    </row>
    <row r="15149" spans="4:8" x14ac:dyDescent="0.25">
      <c r="D15149" s="28"/>
      <c r="F15149" s="28"/>
      <c r="H15149" s="28"/>
    </row>
    <row r="15150" spans="4:8" x14ac:dyDescent="0.25">
      <c r="D15150" s="28"/>
      <c r="F15150" s="28"/>
      <c r="H15150" s="28"/>
    </row>
    <row r="15151" spans="4:8" x14ac:dyDescent="0.25">
      <c r="D15151" s="28"/>
      <c r="F15151" s="28"/>
      <c r="H15151" s="28"/>
    </row>
    <row r="15152" spans="4:8" x14ac:dyDescent="0.25">
      <c r="D15152" s="28"/>
      <c r="F15152" s="28"/>
      <c r="H15152" s="28"/>
    </row>
    <row r="15153" spans="4:8" x14ac:dyDescent="0.25">
      <c r="D15153" s="28"/>
      <c r="F15153" s="28"/>
      <c r="H15153" s="28"/>
    </row>
    <row r="15154" spans="4:8" x14ac:dyDescent="0.25">
      <c r="D15154" s="28"/>
      <c r="F15154" s="28"/>
      <c r="H15154" s="28"/>
    </row>
    <row r="15155" spans="4:8" x14ac:dyDescent="0.25">
      <c r="D15155" s="28"/>
      <c r="F15155" s="28"/>
      <c r="H15155" s="28"/>
    </row>
    <row r="15156" spans="4:8" x14ac:dyDescent="0.25">
      <c r="D15156" s="28"/>
      <c r="F15156" s="28"/>
      <c r="H15156" s="28"/>
    </row>
    <row r="15157" spans="4:8" x14ac:dyDescent="0.25">
      <c r="D15157" s="28"/>
      <c r="F15157" s="28"/>
      <c r="H15157" s="28"/>
    </row>
    <row r="15158" spans="4:8" x14ac:dyDescent="0.25">
      <c r="D15158" s="28"/>
      <c r="F15158" s="28"/>
      <c r="H15158" s="28"/>
    </row>
    <row r="15159" spans="4:8" x14ac:dyDescent="0.25">
      <c r="D15159" s="28"/>
      <c r="F15159" s="28"/>
      <c r="H15159" s="28"/>
    </row>
    <row r="15160" spans="4:8" x14ac:dyDescent="0.25">
      <c r="D15160" s="28"/>
      <c r="F15160" s="28"/>
      <c r="H15160" s="28"/>
    </row>
    <row r="15161" spans="4:8" x14ac:dyDescent="0.25">
      <c r="D15161" s="28"/>
      <c r="F15161" s="28"/>
      <c r="H15161" s="28"/>
    </row>
    <row r="15162" spans="4:8" x14ac:dyDescent="0.25">
      <c r="D15162" s="28"/>
      <c r="F15162" s="28"/>
      <c r="H15162" s="28"/>
    </row>
    <row r="15163" spans="4:8" x14ac:dyDescent="0.25">
      <c r="D15163" s="28"/>
      <c r="F15163" s="28"/>
      <c r="H15163" s="28"/>
    </row>
    <row r="15164" spans="4:8" x14ac:dyDescent="0.25">
      <c r="D15164" s="28"/>
      <c r="F15164" s="28"/>
      <c r="H15164" s="28"/>
    </row>
    <row r="15165" spans="4:8" x14ac:dyDescent="0.25">
      <c r="D15165" s="28"/>
      <c r="F15165" s="28"/>
      <c r="H15165" s="28"/>
    </row>
    <row r="15166" spans="4:8" x14ac:dyDescent="0.25">
      <c r="D15166" s="28"/>
      <c r="F15166" s="28"/>
      <c r="H15166" s="28"/>
    </row>
    <row r="15167" spans="4:8" x14ac:dyDescent="0.25">
      <c r="D15167" s="28"/>
      <c r="F15167" s="28"/>
      <c r="H15167" s="28"/>
    </row>
    <row r="15168" spans="4:8" x14ac:dyDescent="0.25">
      <c r="D15168" s="28"/>
      <c r="F15168" s="28"/>
      <c r="H15168" s="28"/>
    </row>
    <row r="15169" spans="4:8" x14ac:dyDescent="0.25">
      <c r="D15169" s="28"/>
      <c r="F15169" s="28"/>
      <c r="H15169" s="28"/>
    </row>
    <row r="15170" spans="4:8" x14ac:dyDescent="0.25">
      <c r="D15170" s="28"/>
      <c r="F15170" s="28"/>
      <c r="H15170" s="28"/>
    </row>
    <row r="15171" spans="4:8" x14ac:dyDescent="0.25">
      <c r="D15171" s="28"/>
      <c r="F15171" s="28"/>
      <c r="H15171" s="28"/>
    </row>
    <row r="15172" spans="4:8" x14ac:dyDescent="0.25">
      <c r="D15172" s="28"/>
      <c r="F15172" s="28"/>
      <c r="H15172" s="28"/>
    </row>
    <row r="15173" spans="4:8" x14ac:dyDescent="0.25">
      <c r="D15173" s="28"/>
      <c r="F15173" s="28"/>
      <c r="H15173" s="28"/>
    </row>
    <row r="15174" spans="4:8" x14ac:dyDescent="0.25">
      <c r="D15174" s="28"/>
      <c r="F15174" s="28"/>
      <c r="H15174" s="28"/>
    </row>
    <row r="15175" spans="4:8" x14ac:dyDescent="0.25">
      <c r="D15175" s="28"/>
      <c r="F15175" s="28"/>
      <c r="H15175" s="28"/>
    </row>
    <row r="15176" spans="4:8" x14ac:dyDescent="0.25">
      <c r="D15176" s="28"/>
      <c r="F15176" s="28"/>
      <c r="H15176" s="28"/>
    </row>
    <row r="15177" spans="4:8" x14ac:dyDescent="0.25">
      <c r="D15177" s="28"/>
      <c r="F15177" s="28"/>
      <c r="H15177" s="28"/>
    </row>
    <row r="15178" spans="4:8" x14ac:dyDescent="0.25">
      <c r="D15178" s="28"/>
      <c r="F15178" s="28"/>
      <c r="H15178" s="28"/>
    </row>
    <row r="15179" spans="4:8" x14ac:dyDescent="0.25">
      <c r="D15179" s="28"/>
      <c r="F15179" s="28"/>
      <c r="H15179" s="28"/>
    </row>
    <row r="15180" spans="4:8" x14ac:dyDescent="0.25">
      <c r="D15180" s="28"/>
      <c r="F15180" s="28"/>
      <c r="H15180" s="28"/>
    </row>
    <row r="15181" spans="4:8" x14ac:dyDescent="0.25">
      <c r="D15181" s="28"/>
      <c r="F15181" s="28"/>
      <c r="H15181" s="28"/>
    </row>
    <row r="15182" spans="4:8" x14ac:dyDescent="0.25">
      <c r="D15182" s="28"/>
      <c r="F15182" s="28"/>
      <c r="H15182" s="28"/>
    </row>
    <row r="15183" spans="4:8" x14ac:dyDescent="0.25">
      <c r="D15183" s="28"/>
      <c r="F15183" s="28"/>
      <c r="H15183" s="28"/>
    </row>
    <row r="15184" spans="4:8" x14ac:dyDescent="0.25">
      <c r="D15184" s="28"/>
      <c r="F15184" s="28"/>
      <c r="H15184" s="28"/>
    </row>
    <row r="15185" spans="4:8" x14ac:dyDescent="0.25">
      <c r="D15185" s="28"/>
      <c r="F15185" s="28"/>
      <c r="H15185" s="28"/>
    </row>
    <row r="15186" spans="4:8" x14ac:dyDescent="0.25">
      <c r="D15186" s="28"/>
      <c r="F15186" s="28"/>
      <c r="H15186" s="28"/>
    </row>
    <row r="15187" spans="4:8" x14ac:dyDescent="0.25">
      <c r="D15187" s="28"/>
      <c r="F15187" s="28"/>
      <c r="H15187" s="28"/>
    </row>
    <row r="15188" spans="4:8" x14ac:dyDescent="0.25">
      <c r="D15188" s="28"/>
      <c r="F15188" s="28"/>
      <c r="H15188" s="28"/>
    </row>
    <row r="15189" spans="4:8" x14ac:dyDescent="0.25">
      <c r="D15189" s="28"/>
      <c r="F15189" s="28"/>
      <c r="H15189" s="28"/>
    </row>
    <row r="15190" spans="4:8" x14ac:dyDescent="0.25">
      <c r="D15190" s="28"/>
      <c r="F15190" s="28"/>
      <c r="H15190" s="28"/>
    </row>
    <row r="15191" spans="4:8" x14ac:dyDescent="0.25">
      <c r="D15191" s="28"/>
      <c r="F15191" s="28"/>
      <c r="H15191" s="28"/>
    </row>
    <row r="15192" spans="4:8" x14ac:dyDescent="0.25">
      <c r="D15192" s="28"/>
      <c r="F15192" s="28"/>
      <c r="H15192" s="28"/>
    </row>
    <row r="15193" spans="4:8" x14ac:dyDescent="0.25">
      <c r="D15193" s="28"/>
      <c r="F15193" s="28"/>
      <c r="H15193" s="28"/>
    </row>
    <row r="15194" spans="4:8" x14ac:dyDescent="0.25">
      <c r="D15194" s="28"/>
      <c r="F15194" s="28"/>
      <c r="H15194" s="28"/>
    </row>
    <row r="15195" spans="4:8" x14ac:dyDescent="0.25">
      <c r="D15195" s="28"/>
      <c r="F15195" s="28"/>
      <c r="H15195" s="28"/>
    </row>
    <row r="15196" spans="4:8" x14ac:dyDescent="0.25">
      <c r="D15196" s="28"/>
      <c r="F15196" s="28"/>
      <c r="H15196" s="28"/>
    </row>
    <row r="15197" spans="4:8" x14ac:dyDescent="0.25">
      <c r="D15197" s="28"/>
      <c r="F15197" s="28"/>
      <c r="H15197" s="28"/>
    </row>
    <row r="15198" spans="4:8" x14ac:dyDescent="0.25">
      <c r="D15198" s="28"/>
      <c r="F15198" s="28"/>
      <c r="H15198" s="28"/>
    </row>
    <row r="15199" spans="4:8" x14ac:dyDescent="0.25">
      <c r="D15199" s="28"/>
      <c r="F15199" s="28"/>
      <c r="H15199" s="28"/>
    </row>
    <row r="15200" spans="4:8" x14ac:dyDescent="0.25">
      <c r="D15200" s="28"/>
      <c r="F15200" s="28"/>
      <c r="H15200" s="28"/>
    </row>
    <row r="15201" spans="4:8" x14ac:dyDescent="0.25">
      <c r="D15201" s="28"/>
      <c r="F15201" s="28"/>
      <c r="H15201" s="28"/>
    </row>
    <row r="15202" spans="4:8" x14ac:dyDescent="0.25">
      <c r="D15202" s="28"/>
      <c r="F15202" s="28"/>
      <c r="H15202" s="28"/>
    </row>
    <row r="15203" spans="4:8" x14ac:dyDescent="0.25">
      <c r="D15203" s="28"/>
      <c r="F15203" s="28"/>
      <c r="H15203" s="28"/>
    </row>
    <row r="15204" spans="4:8" x14ac:dyDescent="0.25">
      <c r="D15204" s="28"/>
      <c r="F15204" s="28"/>
      <c r="H15204" s="28"/>
    </row>
    <row r="15205" spans="4:8" x14ac:dyDescent="0.25">
      <c r="D15205" s="28"/>
      <c r="F15205" s="28"/>
      <c r="H15205" s="28"/>
    </row>
    <row r="15206" spans="4:8" x14ac:dyDescent="0.25">
      <c r="D15206" s="28"/>
      <c r="F15206" s="28"/>
      <c r="H15206" s="28"/>
    </row>
    <row r="15207" spans="4:8" x14ac:dyDescent="0.25">
      <c r="D15207" s="28"/>
      <c r="F15207" s="28"/>
      <c r="H15207" s="28"/>
    </row>
    <row r="15208" spans="4:8" x14ac:dyDescent="0.25">
      <c r="D15208" s="28"/>
      <c r="F15208" s="28"/>
      <c r="H15208" s="28"/>
    </row>
    <row r="15209" spans="4:8" x14ac:dyDescent="0.25">
      <c r="D15209" s="28"/>
      <c r="F15209" s="28"/>
      <c r="H15209" s="28"/>
    </row>
    <row r="15210" spans="4:8" x14ac:dyDescent="0.25">
      <c r="D15210" s="28"/>
      <c r="F15210" s="28"/>
      <c r="H15210" s="28"/>
    </row>
    <row r="15211" spans="4:8" x14ac:dyDescent="0.25">
      <c r="D15211" s="28"/>
      <c r="F15211" s="28"/>
      <c r="H15211" s="28"/>
    </row>
    <row r="15212" spans="4:8" x14ac:dyDescent="0.25">
      <c r="D15212" s="28"/>
      <c r="F15212" s="28"/>
      <c r="H15212" s="28"/>
    </row>
    <row r="15213" spans="4:8" x14ac:dyDescent="0.25">
      <c r="D15213" s="28"/>
      <c r="F15213" s="28"/>
      <c r="H15213" s="28"/>
    </row>
    <row r="15214" spans="4:8" x14ac:dyDescent="0.25">
      <c r="D15214" s="28"/>
      <c r="F15214" s="28"/>
      <c r="H15214" s="28"/>
    </row>
    <row r="15215" spans="4:8" x14ac:dyDescent="0.25">
      <c r="D15215" s="28"/>
      <c r="F15215" s="28"/>
      <c r="H15215" s="28"/>
    </row>
    <row r="15216" spans="4:8" x14ac:dyDescent="0.25">
      <c r="D15216" s="28"/>
      <c r="F15216" s="28"/>
      <c r="H15216" s="28"/>
    </row>
    <row r="15217" spans="4:8" x14ac:dyDescent="0.25">
      <c r="D15217" s="28"/>
      <c r="F15217" s="28"/>
      <c r="H15217" s="28"/>
    </row>
    <row r="15218" spans="4:8" x14ac:dyDescent="0.25">
      <c r="D15218" s="28"/>
      <c r="F15218" s="28"/>
      <c r="H15218" s="28"/>
    </row>
    <row r="15219" spans="4:8" x14ac:dyDescent="0.25">
      <c r="D15219" s="28"/>
      <c r="F15219" s="28"/>
      <c r="H15219" s="28"/>
    </row>
    <row r="15220" spans="4:8" x14ac:dyDescent="0.25">
      <c r="D15220" s="28"/>
      <c r="F15220" s="28"/>
      <c r="H15220" s="28"/>
    </row>
    <row r="15221" spans="4:8" x14ac:dyDescent="0.25">
      <c r="D15221" s="28"/>
      <c r="F15221" s="28"/>
      <c r="H15221" s="28"/>
    </row>
    <row r="15222" spans="4:8" x14ac:dyDescent="0.25">
      <c r="D15222" s="28"/>
      <c r="F15222" s="28"/>
      <c r="H15222" s="28"/>
    </row>
    <row r="15223" spans="4:8" x14ac:dyDescent="0.25">
      <c r="D15223" s="28"/>
      <c r="F15223" s="28"/>
      <c r="H15223" s="28"/>
    </row>
    <row r="15224" spans="4:8" x14ac:dyDescent="0.25">
      <c r="D15224" s="28"/>
      <c r="F15224" s="28"/>
      <c r="H15224" s="28"/>
    </row>
    <row r="15225" spans="4:8" x14ac:dyDescent="0.25">
      <c r="D15225" s="28"/>
      <c r="F15225" s="28"/>
      <c r="H15225" s="28"/>
    </row>
    <row r="15226" spans="4:8" x14ac:dyDescent="0.25">
      <c r="D15226" s="28"/>
      <c r="F15226" s="28"/>
      <c r="H15226" s="28"/>
    </row>
    <row r="15227" spans="4:8" x14ac:dyDescent="0.25">
      <c r="D15227" s="28"/>
      <c r="F15227" s="28"/>
      <c r="H15227" s="28"/>
    </row>
    <row r="15228" spans="4:8" x14ac:dyDescent="0.25">
      <c r="D15228" s="28"/>
      <c r="F15228" s="28"/>
      <c r="H15228" s="28"/>
    </row>
    <row r="15229" spans="4:8" x14ac:dyDescent="0.25">
      <c r="D15229" s="28"/>
      <c r="F15229" s="28"/>
      <c r="H15229" s="28"/>
    </row>
    <row r="15230" spans="4:8" x14ac:dyDescent="0.25">
      <c r="D15230" s="28"/>
      <c r="F15230" s="28"/>
      <c r="H15230" s="28"/>
    </row>
    <row r="15231" spans="4:8" x14ac:dyDescent="0.25">
      <c r="D15231" s="28"/>
      <c r="F15231" s="28"/>
      <c r="H15231" s="28"/>
    </row>
    <row r="15232" spans="4:8" x14ac:dyDescent="0.25">
      <c r="D15232" s="28"/>
      <c r="F15232" s="28"/>
      <c r="H15232" s="28"/>
    </row>
    <row r="15233" spans="4:8" x14ac:dyDescent="0.25">
      <c r="D15233" s="28"/>
      <c r="F15233" s="28"/>
      <c r="H15233" s="28"/>
    </row>
    <row r="15234" spans="4:8" x14ac:dyDescent="0.25">
      <c r="D15234" s="28"/>
      <c r="F15234" s="28"/>
      <c r="H15234" s="28"/>
    </row>
    <row r="15235" spans="4:8" x14ac:dyDescent="0.25">
      <c r="D15235" s="28"/>
      <c r="F15235" s="28"/>
      <c r="H15235" s="28"/>
    </row>
    <row r="15236" spans="4:8" x14ac:dyDescent="0.25">
      <c r="D15236" s="28"/>
      <c r="F15236" s="28"/>
      <c r="H15236" s="28"/>
    </row>
    <row r="15237" spans="4:8" x14ac:dyDescent="0.25">
      <c r="D15237" s="28"/>
      <c r="F15237" s="28"/>
      <c r="H15237" s="28"/>
    </row>
    <row r="15238" spans="4:8" x14ac:dyDescent="0.25">
      <c r="D15238" s="28"/>
      <c r="F15238" s="28"/>
      <c r="H15238" s="28"/>
    </row>
    <row r="15239" spans="4:8" x14ac:dyDescent="0.25">
      <c r="D15239" s="28"/>
      <c r="F15239" s="28"/>
      <c r="H15239" s="28"/>
    </row>
    <row r="15240" spans="4:8" x14ac:dyDescent="0.25">
      <c r="D15240" s="28"/>
      <c r="F15240" s="28"/>
      <c r="H15240" s="28"/>
    </row>
    <row r="15241" spans="4:8" x14ac:dyDescent="0.25">
      <c r="D15241" s="28"/>
      <c r="F15241" s="28"/>
      <c r="H15241" s="28"/>
    </row>
    <row r="15242" spans="4:8" x14ac:dyDescent="0.25">
      <c r="D15242" s="28"/>
      <c r="F15242" s="28"/>
      <c r="H15242" s="28"/>
    </row>
    <row r="15243" spans="4:8" x14ac:dyDescent="0.25">
      <c r="D15243" s="28"/>
      <c r="F15243" s="28"/>
      <c r="H15243" s="28"/>
    </row>
    <row r="15244" spans="4:8" x14ac:dyDescent="0.25">
      <c r="D15244" s="28"/>
      <c r="F15244" s="28"/>
      <c r="H15244" s="28"/>
    </row>
    <row r="15245" spans="4:8" x14ac:dyDescent="0.25">
      <c r="D15245" s="28"/>
      <c r="F15245" s="28"/>
      <c r="H15245" s="28"/>
    </row>
    <row r="15246" spans="4:8" x14ac:dyDescent="0.25">
      <c r="D15246" s="28"/>
      <c r="F15246" s="28"/>
      <c r="H15246" s="28"/>
    </row>
    <row r="15247" spans="4:8" x14ac:dyDescent="0.25">
      <c r="D15247" s="28"/>
      <c r="F15247" s="28"/>
      <c r="H15247" s="28"/>
    </row>
    <row r="15248" spans="4:8" x14ac:dyDescent="0.25">
      <c r="D15248" s="28"/>
      <c r="F15248" s="28"/>
      <c r="H15248" s="28"/>
    </row>
    <row r="15249" spans="4:8" x14ac:dyDescent="0.25">
      <c r="D15249" s="28"/>
      <c r="F15249" s="28"/>
      <c r="H15249" s="28"/>
    </row>
    <row r="15250" spans="4:8" x14ac:dyDescent="0.25">
      <c r="D15250" s="28"/>
      <c r="F15250" s="28"/>
      <c r="H15250" s="28"/>
    </row>
    <row r="15251" spans="4:8" x14ac:dyDescent="0.25">
      <c r="D15251" s="28"/>
      <c r="F15251" s="28"/>
      <c r="H15251" s="28"/>
    </row>
    <row r="15252" spans="4:8" x14ac:dyDescent="0.25">
      <c r="D15252" s="28"/>
      <c r="F15252" s="28"/>
      <c r="H15252" s="28"/>
    </row>
    <row r="15253" spans="4:8" x14ac:dyDescent="0.25">
      <c r="D15253" s="28"/>
      <c r="F15253" s="28"/>
      <c r="H15253" s="28"/>
    </row>
    <row r="15254" spans="4:8" x14ac:dyDescent="0.25">
      <c r="D15254" s="28"/>
      <c r="F15254" s="28"/>
      <c r="H15254" s="28"/>
    </row>
    <row r="15255" spans="4:8" x14ac:dyDescent="0.25">
      <c r="D15255" s="28"/>
      <c r="F15255" s="28"/>
      <c r="H15255" s="28"/>
    </row>
    <row r="15256" spans="4:8" x14ac:dyDescent="0.25">
      <c r="D15256" s="28"/>
      <c r="F15256" s="28"/>
      <c r="H15256" s="28"/>
    </row>
    <row r="15257" spans="4:8" x14ac:dyDescent="0.25">
      <c r="D15257" s="28"/>
      <c r="F15257" s="28"/>
      <c r="H15257" s="28"/>
    </row>
    <row r="15258" spans="4:8" x14ac:dyDescent="0.25">
      <c r="D15258" s="28"/>
      <c r="F15258" s="28"/>
      <c r="H15258" s="28"/>
    </row>
    <row r="15259" spans="4:8" x14ac:dyDescent="0.25">
      <c r="D15259" s="28"/>
      <c r="F15259" s="28"/>
      <c r="H15259" s="28"/>
    </row>
    <row r="15260" spans="4:8" x14ac:dyDescent="0.25">
      <c r="D15260" s="28"/>
      <c r="F15260" s="28"/>
      <c r="H15260" s="28"/>
    </row>
    <row r="15261" spans="4:8" x14ac:dyDescent="0.25">
      <c r="D15261" s="28"/>
      <c r="F15261" s="28"/>
      <c r="H15261" s="28"/>
    </row>
    <row r="15262" spans="4:8" x14ac:dyDescent="0.25">
      <c r="D15262" s="28"/>
      <c r="F15262" s="28"/>
      <c r="H15262" s="28"/>
    </row>
    <row r="15263" spans="4:8" x14ac:dyDescent="0.25">
      <c r="D15263" s="28"/>
      <c r="F15263" s="28"/>
      <c r="H15263" s="28"/>
    </row>
    <row r="15264" spans="4:8" x14ac:dyDescent="0.25">
      <c r="D15264" s="28"/>
      <c r="F15264" s="28"/>
      <c r="H15264" s="28"/>
    </row>
    <row r="15265" spans="4:8" x14ac:dyDescent="0.25">
      <c r="D15265" s="28"/>
      <c r="F15265" s="28"/>
      <c r="H15265" s="28"/>
    </row>
    <row r="15266" spans="4:8" x14ac:dyDescent="0.25">
      <c r="D15266" s="28"/>
      <c r="F15266" s="28"/>
      <c r="H15266" s="28"/>
    </row>
    <row r="15267" spans="4:8" x14ac:dyDescent="0.25">
      <c r="D15267" s="28"/>
      <c r="F15267" s="28"/>
      <c r="H15267" s="28"/>
    </row>
    <row r="15268" spans="4:8" x14ac:dyDescent="0.25">
      <c r="D15268" s="28"/>
      <c r="F15268" s="28"/>
      <c r="H15268" s="28"/>
    </row>
    <row r="15269" spans="4:8" x14ac:dyDescent="0.25">
      <c r="D15269" s="28"/>
      <c r="F15269" s="28"/>
      <c r="H15269" s="28"/>
    </row>
    <row r="15270" spans="4:8" x14ac:dyDescent="0.25">
      <c r="D15270" s="28"/>
      <c r="F15270" s="28"/>
      <c r="H15270" s="28"/>
    </row>
    <row r="15271" spans="4:8" x14ac:dyDescent="0.25">
      <c r="D15271" s="28"/>
      <c r="F15271" s="28"/>
      <c r="H15271" s="28"/>
    </row>
    <row r="15272" spans="4:8" x14ac:dyDescent="0.25">
      <c r="D15272" s="28"/>
      <c r="F15272" s="28"/>
      <c r="H15272" s="28"/>
    </row>
    <row r="15273" spans="4:8" x14ac:dyDescent="0.25">
      <c r="D15273" s="28"/>
      <c r="F15273" s="28"/>
      <c r="H15273" s="28"/>
    </row>
    <row r="15274" spans="4:8" x14ac:dyDescent="0.25">
      <c r="D15274" s="28"/>
      <c r="F15274" s="28"/>
      <c r="H15274" s="28"/>
    </row>
    <row r="15275" spans="4:8" x14ac:dyDescent="0.25">
      <c r="D15275" s="28"/>
      <c r="F15275" s="28"/>
      <c r="H15275" s="28"/>
    </row>
    <row r="15276" spans="4:8" x14ac:dyDescent="0.25">
      <c r="D15276" s="28"/>
      <c r="F15276" s="28"/>
      <c r="H15276" s="28"/>
    </row>
    <row r="15277" spans="4:8" x14ac:dyDescent="0.25">
      <c r="D15277" s="28"/>
      <c r="F15277" s="28"/>
      <c r="H15277" s="28"/>
    </row>
    <row r="15278" spans="4:8" x14ac:dyDescent="0.25">
      <c r="D15278" s="28"/>
      <c r="F15278" s="28"/>
      <c r="H15278" s="28"/>
    </row>
    <row r="15279" spans="4:8" x14ac:dyDescent="0.25">
      <c r="D15279" s="28"/>
      <c r="F15279" s="28"/>
      <c r="H15279" s="28"/>
    </row>
    <row r="15280" spans="4:8" x14ac:dyDescent="0.25">
      <c r="D15280" s="28"/>
      <c r="F15280" s="28"/>
      <c r="H15280" s="28"/>
    </row>
    <row r="15281" spans="4:8" x14ac:dyDescent="0.25">
      <c r="D15281" s="28"/>
      <c r="F15281" s="28"/>
      <c r="H15281" s="28"/>
    </row>
    <row r="15282" spans="4:8" x14ac:dyDescent="0.25">
      <c r="D15282" s="28"/>
      <c r="F15282" s="28"/>
      <c r="H15282" s="28"/>
    </row>
    <row r="15283" spans="4:8" x14ac:dyDescent="0.25">
      <c r="D15283" s="28"/>
      <c r="F15283" s="28"/>
      <c r="H15283" s="28"/>
    </row>
    <row r="15284" spans="4:8" x14ac:dyDescent="0.25">
      <c r="D15284" s="28"/>
      <c r="F15284" s="28"/>
      <c r="H15284" s="28"/>
    </row>
    <row r="15285" spans="4:8" x14ac:dyDescent="0.25">
      <c r="D15285" s="28"/>
      <c r="F15285" s="28"/>
      <c r="H15285" s="28"/>
    </row>
    <row r="15286" spans="4:8" x14ac:dyDescent="0.25">
      <c r="D15286" s="28"/>
      <c r="F15286" s="28"/>
      <c r="H15286" s="28"/>
    </row>
    <row r="15287" spans="4:8" x14ac:dyDescent="0.25">
      <c r="D15287" s="28"/>
      <c r="F15287" s="28"/>
      <c r="H15287" s="28"/>
    </row>
    <row r="15288" spans="4:8" x14ac:dyDescent="0.25">
      <c r="D15288" s="28"/>
      <c r="F15288" s="28"/>
      <c r="H15288" s="28"/>
    </row>
    <row r="15289" spans="4:8" x14ac:dyDescent="0.25">
      <c r="D15289" s="28"/>
      <c r="F15289" s="28"/>
      <c r="H15289" s="28"/>
    </row>
    <row r="15290" spans="4:8" x14ac:dyDescent="0.25">
      <c r="D15290" s="28"/>
      <c r="F15290" s="28"/>
      <c r="H15290" s="28"/>
    </row>
    <row r="15291" spans="4:8" x14ac:dyDescent="0.25">
      <c r="D15291" s="28"/>
      <c r="F15291" s="28"/>
      <c r="H15291" s="28"/>
    </row>
    <row r="15292" spans="4:8" x14ac:dyDescent="0.25">
      <c r="D15292" s="28"/>
      <c r="F15292" s="28"/>
      <c r="H15292" s="28"/>
    </row>
    <row r="15293" spans="4:8" x14ac:dyDescent="0.25">
      <c r="D15293" s="28"/>
      <c r="F15293" s="28"/>
      <c r="H15293" s="28"/>
    </row>
    <row r="15294" spans="4:8" x14ac:dyDescent="0.25">
      <c r="D15294" s="28"/>
      <c r="F15294" s="28"/>
      <c r="H15294" s="28"/>
    </row>
    <row r="15295" spans="4:8" x14ac:dyDescent="0.25">
      <c r="D15295" s="28"/>
      <c r="F15295" s="28"/>
      <c r="H15295" s="28"/>
    </row>
    <row r="15296" spans="4:8" x14ac:dyDescent="0.25">
      <c r="D15296" s="28"/>
      <c r="F15296" s="28"/>
      <c r="H15296" s="28"/>
    </row>
    <row r="15297" spans="4:8" x14ac:dyDescent="0.25">
      <c r="D15297" s="28"/>
      <c r="F15297" s="28"/>
      <c r="H15297" s="28"/>
    </row>
    <row r="15298" spans="4:8" x14ac:dyDescent="0.25">
      <c r="D15298" s="28"/>
      <c r="F15298" s="28"/>
      <c r="H15298" s="28"/>
    </row>
    <row r="15299" spans="4:8" x14ac:dyDescent="0.25">
      <c r="D15299" s="28"/>
      <c r="F15299" s="28"/>
      <c r="H15299" s="28"/>
    </row>
    <row r="15300" spans="4:8" x14ac:dyDescent="0.25">
      <c r="D15300" s="28"/>
      <c r="F15300" s="28"/>
      <c r="H15300" s="28"/>
    </row>
    <row r="15301" spans="4:8" x14ac:dyDescent="0.25">
      <c r="D15301" s="28"/>
      <c r="F15301" s="28"/>
      <c r="H15301" s="28"/>
    </row>
    <row r="15302" spans="4:8" x14ac:dyDescent="0.25">
      <c r="D15302" s="28"/>
      <c r="F15302" s="28"/>
      <c r="H15302" s="28"/>
    </row>
    <row r="15303" spans="4:8" x14ac:dyDescent="0.25">
      <c r="D15303" s="28"/>
      <c r="F15303" s="28"/>
      <c r="H15303" s="28"/>
    </row>
    <row r="15304" spans="4:8" x14ac:dyDescent="0.25">
      <c r="D15304" s="28"/>
      <c r="F15304" s="28"/>
      <c r="H15304" s="28"/>
    </row>
    <row r="15305" spans="4:8" x14ac:dyDescent="0.25">
      <c r="D15305" s="28"/>
      <c r="F15305" s="28"/>
      <c r="H15305" s="28"/>
    </row>
    <row r="15306" spans="4:8" x14ac:dyDescent="0.25">
      <c r="D15306" s="28"/>
      <c r="F15306" s="28"/>
      <c r="H15306" s="28"/>
    </row>
    <row r="15307" spans="4:8" x14ac:dyDescent="0.25">
      <c r="D15307" s="28"/>
      <c r="F15307" s="28"/>
      <c r="H15307" s="28"/>
    </row>
    <row r="15308" spans="4:8" x14ac:dyDescent="0.25">
      <c r="D15308" s="28"/>
      <c r="F15308" s="28"/>
      <c r="H15308" s="28"/>
    </row>
    <row r="15309" spans="4:8" x14ac:dyDescent="0.25">
      <c r="D15309" s="28"/>
      <c r="F15309" s="28"/>
      <c r="H15309" s="28"/>
    </row>
    <row r="15310" spans="4:8" x14ac:dyDescent="0.25">
      <c r="D15310" s="28"/>
      <c r="F15310" s="28"/>
      <c r="H15310" s="28"/>
    </row>
    <row r="15311" spans="4:8" x14ac:dyDescent="0.25">
      <c r="D15311" s="28"/>
      <c r="F15311" s="28"/>
      <c r="H15311" s="28"/>
    </row>
    <row r="15312" spans="4:8" x14ac:dyDescent="0.25">
      <c r="D15312" s="28"/>
      <c r="F15312" s="28"/>
      <c r="H15312" s="28"/>
    </row>
    <row r="15313" spans="4:8" x14ac:dyDescent="0.25">
      <c r="D15313" s="28"/>
      <c r="F15313" s="28"/>
      <c r="H15313" s="28"/>
    </row>
    <row r="15314" spans="4:8" x14ac:dyDescent="0.25">
      <c r="D15314" s="28"/>
      <c r="F15314" s="28"/>
      <c r="H15314" s="28"/>
    </row>
    <row r="15315" spans="4:8" x14ac:dyDescent="0.25">
      <c r="D15315" s="28"/>
      <c r="F15315" s="28"/>
      <c r="H15315" s="28"/>
    </row>
    <row r="15316" spans="4:8" x14ac:dyDescent="0.25">
      <c r="D15316" s="28"/>
      <c r="F15316" s="28"/>
      <c r="H15316" s="28"/>
    </row>
    <row r="15317" spans="4:8" x14ac:dyDescent="0.25">
      <c r="D15317" s="28"/>
      <c r="F15317" s="28"/>
      <c r="H15317" s="28"/>
    </row>
    <row r="15318" spans="4:8" x14ac:dyDescent="0.25">
      <c r="D15318" s="28"/>
      <c r="F15318" s="28"/>
      <c r="H15318" s="28"/>
    </row>
    <row r="15319" spans="4:8" x14ac:dyDescent="0.25">
      <c r="D15319" s="28"/>
      <c r="F15319" s="28"/>
      <c r="H15319" s="28"/>
    </row>
    <row r="15320" spans="4:8" x14ac:dyDescent="0.25">
      <c r="D15320" s="28"/>
      <c r="F15320" s="28"/>
      <c r="H15320" s="28"/>
    </row>
    <row r="15321" spans="4:8" x14ac:dyDescent="0.25">
      <c r="D15321" s="28"/>
      <c r="F15321" s="28"/>
      <c r="H15321" s="28"/>
    </row>
    <row r="15322" spans="4:8" x14ac:dyDescent="0.25">
      <c r="D15322" s="28"/>
      <c r="F15322" s="28"/>
      <c r="H15322" s="28"/>
    </row>
    <row r="15323" spans="4:8" x14ac:dyDescent="0.25">
      <c r="D15323" s="28"/>
      <c r="F15323" s="28"/>
      <c r="H15323" s="28"/>
    </row>
    <row r="15324" spans="4:8" x14ac:dyDescent="0.25">
      <c r="D15324" s="28"/>
      <c r="F15324" s="28"/>
      <c r="H15324" s="28"/>
    </row>
    <row r="15325" spans="4:8" x14ac:dyDescent="0.25">
      <c r="D15325" s="28"/>
      <c r="F15325" s="28"/>
      <c r="H15325" s="28"/>
    </row>
    <row r="15326" spans="4:8" x14ac:dyDescent="0.25">
      <c r="D15326" s="28"/>
      <c r="F15326" s="28"/>
      <c r="H15326" s="28"/>
    </row>
    <row r="15327" spans="4:8" x14ac:dyDescent="0.25">
      <c r="D15327" s="28"/>
      <c r="F15327" s="28"/>
      <c r="H15327" s="28"/>
    </row>
    <row r="15328" spans="4:8" x14ac:dyDescent="0.25">
      <c r="D15328" s="28"/>
      <c r="F15328" s="28"/>
      <c r="H15328" s="28"/>
    </row>
    <row r="15329" spans="4:8" x14ac:dyDescent="0.25">
      <c r="D15329" s="28"/>
      <c r="F15329" s="28"/>
      <c r="H15329" s="28"/>
    </row>
    <row r="15330" spans="4:8" x14ac:dyDescent="0.25">
      <c r="D15330" s="28"/>
      <c r="F15330" s="28"/>
      <c r="H15330" s="28"/>
    </row>
    <row r="15331" spans="4:8" x14ac:dyDescent="0.25">
      <c r="D15331" s="28"/>
      <c r="F15331" s="28"/>
      <c r="H15331" s="28"/>
    </row>
    <row r="15332" spans="4:8" x14ac:dyDescent="0.25">
      <c r="D15332" s="28"/>
      <c r="F15332" s="28"/>
      <c r="H15332" s="28"/>
    </row>
    <row r="15333" spans="4:8" x14ac:dyDescent="0.25">
      <c r="D15333" s="28"/>
      <c r="F15333" s="28"/>
      <c r="H15333" s="28"/>
    </row>
    <row r="15334" spans="4:8" x14ac:dyDescent="0.25">
      <c r="D15334" s="28"/>
      <c r="F15334" s="28"/>
      <c r="H15334" s="28"/>
    </row>
    <row r="15335" spans="4:8" x14ac:dyDescent="0.25">
      <c r="D15335" s="28"/>
      <c r="F15335" s="28"/>
      <c r="H15335" s="28"/>
    </row>
    <row r="15336" spans="4:8" x14ac:dyDescent="0.25">
      <c r="D15336" s="28"/>
      <c r="F15336" s="28"/>
      <c r="H15336" s="28"/>
    </row>
    <row r="15337" spans="4:8" x14ac:dyDescent="0.25">
      <c r="D15337" s="28"/>
      <c r="F15337" s="28"/>
      <c r="H15337" s="28"/>
    </row>
    <row r="15338" spans="4:8" x14ac:dyDescent="0.25">
      <c r="D15338" s="28"/>
      <c r="F15338" s="28"/>
      <c r="H15338" s="28"/>
    </row>
    <row r="15339" spans="4:8" x14ac:dyDescent="0.25">
      <c r="D15339" s="28"/>
      <c r="F15339" s="28"/>
      <c r="H15339" s="28"/>
    </row>
    <row r="15340" spans="4:8" x14ac:dyDescent="0.25">
      <c r="D15340" s="28"/>
      <c r="F15340" s="28"/>
      <c r="H15340" s="28"/>
    </row>
    <row r="15341" spans="4:8" x14ac:dyDescent="0.25">
      <c r="D15341" s="28"/>
      <c r="F15341" s="28"/>
      <c r="H15341" s="28"/>
    </row>
    <row r="15342" spans="4:8" x14ac:dyDescent="0.25">
      <c r="D15342" s="28"/>
      <c r="F15342" s="28"/>
      <c r="H15342" s="28"/>
    </row>
    <row r="15343" spans="4:8" x14ac:dyDescent="0.25">
      <c r="D15343" s="28"/>
      <c r="F15343" s="28"/>
      <c r="H15343" s="28"/>
    </row>
    <row r="15344" spans="4:8" x14ac:dyDescent="0.25">
      <c r="D15344" s="28"/>
      <c r="F15344" s="28"/>
      <c r="H15344" s="28"/>
    </row>
    <row r="15345" spans="4:8" x14ac:dyDescent="0.25">
      <c r="D15345" s="28"/>
      <c r="F15345" s="28"/>
      <c r="H15345" s="28"/>
    </row>
    <row r="15346" spans="4:8" x14ac:dyDescent="0.25">
      <c r="D15346" s="28"/>
      <c r="F15346" s="28"/>
      <c r="H15346" s="28"/>
    </row>
    <row r="15347" spans="4:8" x14ac:dyDescent="0.25">
      <c r="D15347" s="28"/>
      <c r="F15347" s="28"/>
      <c r="H15347" s="28"/>
    </row>
    <row r="15348" spans="4:8" x14ac:dyDescent="0.25">
      <c r="D15348" s="28"/>
      <c r="F15348" s="28"/>
      <c r="H15348" s="28"/>
    </row>
    <row r="15349" spans="4:8" x14ac:dyDescent="0.25">
      <c r="D15349" s="28"/>
      <c r="F15349" s="28"/>
      <c r="H15349" s="28"/>
    </row>
    <row r="15350" spans="4:8" x14ac:dyDescent="0.25">
      <c r="D15350" s="28"/>
      <c r="F15350" s="28"/>
      <c r="H15350" s="28"/>
    </row>
    <row r="15351" spans="4:8" x14ac:dyDescent="0.25">
      <c r="D15351" s="28"/>
      <c r="F15351" s="28"/>
      <c r="H15351" s="28"/>
    </row>
    <row r="15352" spans="4:8" x14ac:dyDescent="0.25">
      <c r="D15352" s="28"/>
      <c r="F15352" s="28"/>
      <c r="H15352" s="28"/>
    </row>
    <row r="15353" spans="4:8" x14ac:dyDescent="0.25">
      <c r="D15353" s="28"/>
      <c r="F15353" s="28"/>
      <c r="H15353" s="28"/>
    </row>
    <row r="15354" spans="4:8" x14ac:dyDescent="0.25">
      <c r="D15354" s="28"/>
      <c r="F15354" s="28"/>
      <c r="H15354" s="28"/>
    </row>
    <row r="15355" spans="4:8" x14ac:dyDescent="0.25">
      <c r="D15355" s="28"/>
      <c r="F15355" s="28"/>
      <c r="H15355" s="28"/>
    </row>
    <row r="15356" spans="4:8" x14ac:dyDescent="0.25">
      <c r="D15356" s="28"/>
      <c r="F15356" s="28"/>
      <c r="H15356" s="28"/>
    </row>
    <row r="15357" spans="4:8" x14ac:dyDescent="0.25">
      <c r="D15357" s="28"/>
      <c r="F15357" s="28"/>
      <c r="H15357" s="28"/>
    </row>
    <row r="15358" spans="4:8" x14ac:dyDescent="0.25">
      <c r="D15358" s="28"/>
      <c r="F15358" s="28"/>
      <c r="H15358" s="28"/>
    </row>
    <row r="15359" spans="4:8" x14ac:dyDescent="0.25">
      <c r="D15359" s="28"/>
      <c r="F15359" s="28"/>
      <c r="H15359" s="28"/>
    </row>
    <row r="15360" spans="4:8" x14ac:dyDescent="0.25">
      <c r="D15360" s="28"/>
      <c r="F15360" s="28"/>
      <c r="H15360" s="28"/>
    </row>
    <row r="15361" spans="4:8" x14ac:dyDescent="0.25">
      <c r="D15361" s="28"/>
      <c r="F15361" s="28"/>
      <c r="H15361" s="28"/>
    </row>
    <row r="15362" spans="4:8" x14ac:dyDescent="0.25">
      <c r="D15362" s="28"/>
      <c r="F15362" s="28"/>
      <c r="H15362" s="28"/>
    </row>
    <row r="15363" spans="4:8" x14ac:dyDescent="0.25">
      <c r="D15363" s="28"/>
      <c r="F15363" s="28"/>
      <c r="H15363" s="28"/>
    </row>
    <row r="15364" spans="4:8" x14ac:dyDescent="0.25">
      <c r="D15364" s="28"/>
      <c r="F15364" s="28"/>
      <c r="H15364" s="28"/>
    </row>
    <row r="15365" spans="4:8" x14ac:dyDescent="0.25">
      <c r="D15365" s="28"/>
      <c r="F15365" s="28"/>
      <c r="H15365" s="28"/>
    </row>
    <row r="15366" spans="4:8" x14ac:dyDescent="0.25">
      <c r="D15366" s="28"/>
      <c r="F15366" s="28"/>
      <c r="H15366" s="28"/>
    </row>
    <row r="15367" spans="4:8" x14ac:dyDescent="0.25">
      <c r="D15367" s="28"/>
      <c r="F15367" s="28"/>
      <c r="H15367" s="28"/>
    </row>
    <row r="15368" spans="4:8" x14ac:dyDescent="0.25">
      <c r="D15368" s="28"/>
      <c r="F15368" s="28"/>
      <c r="H15368" s="28"/>
    </row>
    <row r="15369" spans="4:8" x14ac:dyDescent="0.25">
      <c r="D15369" s="28"/>
      <c r="F15369" s="28"/>
      <c r="H15369" s="28"/>
    </row>
    <row r="15370" spans="4:8" x14ac:dyDescent="0.25">
      <c r="D15370" s="28"/>
      <c r="F15370" s="28"/>
      <c r="H15370" s="28"/>
    </row>
    <row r="15371" spans="4:8" x14ac:dyDescent="0.25">
      <c r="D15371" s="28"/>
      <c r="F15371" s="28"/>
      <c r="H15371" s="28"/>
    </row>
    <row r="15372" spans="4:8" x14ac:dyDescent="0.25">
      <c r="D15372" s="28"/>
      <c r="F15372" s="28"/>
      <c r="H15372" s="28"/>
    </row>
    <row r="15373" spans="4:8" x14ac:dyDescent="0.25">
      <c r="D15373" s="28"/>
      <c r="F15373" s="28"/>
      <c r="H15373" s="28"/>
    </row>
    <row r="15374" spans="4:8" x14ac:dyDescent="0.25">
      <c r="D15374" s="28"/>
      <c r="F15374" s="28"/>
      <c r="H15374" s="28"/>
    </row>
    <row r="15375" spans="4:8" x14ac:dyDescent="0.25">
      <c r="D15375" s="28"/>
      <c r="F15375" s="28"/>
      <c r="H15375" s="28"/>
    </row>
    <row r="15376" spans="4:8" x14ac:dyDescent="0.25">
      <c r="D15376" s="28"/>
      <c r="F15376" s="28"/>
      <c r="H15376" s="28"/>
    </row>
    <row r="15377" spans="4:8" x14ac:dyDescent="0.25">
      <c r="D15377" s="28"/>
      <c r="F15377" s="28"/>
      <c r="H15377" s="28"/>
    </row>
    <row r="15378" spans="4:8" x14ac:dyDescent="0.25">
      <c r="D15378" s="28"/>
      <c r="F15378" s="28"/>
      <c r="H15378" s="28"/>
    </row>
    <row r="15379" spans="4:8" x14ac:dyDescent="0.25">
      <c r="D15379" s="28"/>
      <c r="F15379" s="28"/>
      <c r="H15379" s="28"/>
    </row>
    <row r="15380" spans="4:8" x14ac:dyDescent="0.25">
      <c r="D15380" s="28"/>
      <c r="F15380" s="28"/>
      <c r="H15380" s="28"/>
    </row>
    <row r="15381" spans="4:8" x14ac:dyDescent="0.25">
      <c r="D15381" s="28"/>
      <c r="F15381" s="28"/>
      <c r="H15381" s="28"/>
    </row>
    <row r="15382" spans="4:8" x14ac:dyDescent="0.25">
      <c r="D15382" s="28"/>
      <c r="F15382" s="28"/>
      <c r="H15382" s="28"/>
    </row>
    <row r="15383" spans="4:8" x14ac:dyDescent="0.25">
      <c r="D15383" s="28"/>
      <c r="F15383" s="28"/>
      <c r="H15383" s="28"/>
    </row>
    <row r="15384" spans="4:8" x14ac:dyDescent="0.25">
      <c r="D15384" s="28"/>
      <c r="F15384" s="28"/>
      <c r="H15384" s="28"/>
    </row>
    <row r="15385" spans="4:8" x14ac:dyDescent="0.25">
      <c r="D15385" s="28"/>
      <c r="F15385" s="28"/>
      <c r="H15385" s="28"/>
    </row>
    <row r="15386" spans="4:8" x14ac:dyDescent="0.25">
      <c r="D15386" s="28"/>
      <c r="F15386" s="28"/>
      <c r="H15386" s="28"/>
    </row>
    <row r="15387" spans="4:8" x14ac:dyDescent="0.25">
      <c r="D15387" s="28"/>
      <c r="F15387" s="28"/>
      <c r="H15387" s="28"/>
    </row>
    <row r="15388" spans="4:8" x14ac:dyDescent="0.25">
      <c r="D15388" s="28"/>
      <c r="F15388" s="28"/>
      <c r="H15388" s="28"/>
    </row>
    <row r="15389" spans="4:8" x14ac:dyDescent="0.25">
      <c r="D15389" s="28"/>
      <c r="F15389" s="28"/>
      <c r="H15389" s="28"/>
    </row>
    <row r="15390" spans="4:8" x14ac:dyDescent="0.25">
      <c r="D15390" s="28"/>
      <c r="F15390" s="28"/>
      <c r="H15390" s="28"/>
    </row>
    <row r="15391" spans="4:8" x14ac:dyDescent="0.25">
      <c r="D15391" s="28"/>
      <c r="F15391" s="28"/>
      <c r="H15391" s="28"/>
    </row>
    <row r="15392" spans="4:8" x14ac:dyDescent="0.25">
      <c r="D15392" s="28"/>
      <c r="F15392" s="28"/>
      <c r="H15392" s="28"/>
    </row>
    <row r="15393" spans="4:8" x14ac:dyDescent="0.25">
      <c r="D15393" s="28"/>
      <c r="F15393" s="28"/>
      <c r="H15393" s="28"/>
    </row>
    <row r="15394" spans="4:8" x14ac:dyDescent="0.25">
      <c r="D15394" s="28"/>
      <c r="F15394" s="28"/>
      <c r="H15394" s="28"/>
    </row>
    <row r="15395" spans="4:8" x14ac:dyDescent="0.25">
      <c r="D15395" s="28"/>
      <c r="F15395" s="28"/>
      <c r="H15395" s="28"/>
    </row>
    <row r="15396" spans="4:8" x14ac:dyDescent="0.25">
      <c r="D15396" s="28"/>
      <c r="F15396" s="28"/>
      <c r="H15396" s="28"/>
    </row>
    <row r="15397" spans="4:8" x14ac:dyDescent="0.25">
      <c r="D15397" s="28"/>
      <c r="F15397" s="28"/>
      <c r="H15397" s="28"/>
    </row>
    <row r="15398" spans="4:8" x14ac:dyDescent="0.25">
      <c r="D15398" s="28"/>
      <c r="F15398" s="28"/>
      <c r="H15398" s="28"/>
    </row>
    <row r="15399" spans="4:8" x14ac:dyDescent="0.25">
      <c r="D15399" s="28"/>
      <c r="F15399" s="28"/>
      <c r="H15399" s="28"/>
    </row>
    <row r="15400" spans="4:8" x14ac:dyDescent="0.25">
      <c r="D15400" s="28"/>
      <c r="F15400" s="28"/>
      <c r="H15400" s="28"/>
    </row>
    <row r="15401" spans="4:8" x14ac:dyDescent="0.25">
      <c r="D15401" s="28"/>
      <c r="F15401" s="28"/>
      <c r="H15401" s="28"/>
    </row>
    <row r="15402" spans="4:8" x14ac:dyDescent="0.25">
      <c r="D15402" s="28"/>
      <c r="F15402" s="28"/>
      <c r="H15402" s="28"/>
    </row>
    <row r="15403" spans="4:8" x14ac:dyDescent="0.25">
      <c r="D15403" s="28"/>
      <c r="F15403" s="28"/>
      <c r="H15403" s="28"/>
    </row>
    <row r="15404" spans="4:8" x14ac:dyDescent="0.25">
      <c r="D15404" s="28"/>
      <c r="F15404" s="28"/>
      <c r="H15404" s="28"/>
    </row>
    <row r="15405" spans="4:8" x14ac:dyDescent="0.25">
      <c r="D15405" s="28"/>
      <c r="F15405" s="28"/>
      <c r="H15405" s="28"/>
    </row>
    <row r="15406" spans="4:8" x14ac:dyDescent="0.25">
      <c r="D15406" s="28"/>
      <c r="F15406" s="28"/>
      <c r="H15406" s="28"/>
    </row>
    <row r="15407" spans="4:8" x14ac:dyDescent="0.25">
      <c r="D15407" s="28"/>
      <c r="F15407" s="28"/>
      <c r="H15407" s="28"/>
    </row>
    <row r="15408" spans="4:8" x14ac:dyDescent="0.25">
      <c r="D15408" s="28"/>
      <c r="F15408" s="28"/>
      <c r="H15408" s="28"/>
    </row>
    <row r="15409" spans="4:8" x14ac:dyDescent="0.25">
      <c r="D15409" s="28"/>
      <c r="F15409" s="28"/>
      <c r="H15409" s="28"/>
    </row>
    <row r="15410" spans="4:8" x14ac:dyDescent="0.25">
      <c r="D15410" s="28"/>
      <c r="F15410" s="28"/>
      <c r="H15410" s="28"/>
    </row>
    <row r="15411" spans="4:8" x14ac:dyDescent="0.25">
      <c r="D15411" s="28"/>
      <c r="F15411" s="28"/>
      <c r="H15411" s="28"/>
    </row>
    <row r="15412" spans="4:8" x14ac:dyDescent="0.25">
      <c r="D15412" s="28"/>
      <c r="F15412" s="28"/>
      <c r="H15412" s="28"/>
    </row>
    <row r="15413" spans="4:8" x14ac:dyDescent="0.25">
      <c r="D15413" s="28"/>
      <c r="F15413" s="28"/>
      <c r="H15413" s="28"/>
    </row>
    <row r="15414" spans="4:8" x14ac:dyDescent="0.25">
      <c r="D15414" s="28"/>
      <c r="F15414" s="28"/>
      <c r="H15414" s="28"/>
    </row>
    <row r="15415" spans="4:8" x14ac:dyDescent="0.25">
      <c r="D15415" s="28"/>
      <c r="F15415" s="28"/>
      <c r="H15415" s="28"/>
    </row>
    <row r="15416" spans="4:8" x14ac:dyDescent="0.25">
      <c r="D15416" s="28"/>
      <c r="F15416" s="28"/>
      <c r="H15416" s="28"/>
    </row>
    <row r="15417" spans="4:8" x14ac:dyDescent="0.25">
      <c r="D15417" s="28"/>
      <c r="F15417" s="28"/>
      <c r="H15417" s="28"/>
    </row>
    <row r="15418" spans="4:8" x14ac:dyDescent="0.25">
      <c r="D15418" s="28"/>
      <c r="F15418" s="28"/>
      <c r="H15418" s="28"/>
    </row>
    <row r="15419" spans="4:8" x14ac:dyDescent="0.25">
      <c r="D15419" s="28"/>
      <c r="F15419" s="28"/>
      <c r="H15419" s="28"/>
    </row>
    <row r="15420" spans="4:8" x14ac:dyDescent="0.25">
      <c r="D15420" s="28"/>
      <c r="F15420" s="28"/>
      <c r="H15420" s="28"/>
    </row>
    <row r="15421" spans="4:8" x14ac:dyDescent="0.25">
      <c r="D15421" s="28"/>
      <c r="F15421" s="28"/>
      <c r="H15421" s="28"/>
    </row>
    <row r="15422" spans="4:8" x14ac:dyDescent="0.25">
      <c r="D15422" s="28"/>
      <c r="F15422" s="28"/>
      <c r="H15422" s="28"/>
    </row>
    <row r="15423" spans="4:8" x14ac:dyDescent="0.25">
      <c r="D15423" s="28"/>
      <c r="F15423" s="28"/>
      <c r="H15423" s="28"/>
    </row>
    <row r="15424" spans="4:8" x14ac:dyDescent="0.25">
      <c r="D15424" s="28"/>
      <c r="F15424" s="28"/>
      <c r="H15424" s="28"/>
    </row>
    <row r="15425" spans="4:8" x14ac:dyDescent="0.25">
      <c r="D15425" s="28"/>
      <c r="F15425" s="28"/>
      <c r="H15425" s="28"/>
    </row>
    <row r="15426" spans="4:8" x14ac:dyDescent="0.25">
      <c r="D15426" s="28"/>
      <c r="F15426" s="28"/>
      <c r="H15426" s="28"/>
    </row>
    <row r="15427" spans="4:8" x14ac:dyDescent="0.25">
      <c r="D15427" s="28"/>
      <c r="F15427" s="28"/>
      <c r="H15427" s="28"/>
    </row>
    <row r="15428" spans="4:8" x14ac:dyDescent="0.25">
      <c r="D15428" s="28"/>
      <c r="F15428" s="28"/>
      <c r="H15428" s="28"/>
    </row>
    <row r="15429" spans="4:8" x14ac:dyDescent="0.25">
      <c r="D15429" s="28"/>
      <c r="F15429" s="28"/>
      <c r="H15429" s="28"/>
    </row>
    <row r="15430" spans="4:8" x14ac:dyDescent="0.25">
      <c r="D15430" s="28"/>
      <c r="F15430" s="28"/>
      <c r="H15430" s="28"/>
    </row>
    <row r="15431" spans="4:8" x14ac:dyDescent="0.25">
      <c r="D15431" s="28"/>
      <c r="F15431" s="28"/>
      <c r="H15431" s="28"/>
    </row>
    <row r="15432" spans="4:8" x14ac:dyDescent="0.25">
      <c r="D15432" s="28"/>
      <c r="F15432" s="28"/>
      <c r="H15432" s="28"/>
    </row>
    <row r="15433" spans="4:8" x14ac:dyDescent="0.25">
      <c r="D15433" s="28"/>
      <c r="F15433" s="28"/>
      <c r="H15433" s="28"/>
    </row>
    <row r="15434" spans="4:8" x14ac:dyDescent="0.25">
      <c r="D15434" s="28"/>
      <c r="F15434" s="28"/>
      <c r="H15434" s="28"/>
    </row>
    <row r="15435" spans="4:8" x14ac:dyDescent="0.25">
      <c r="D15435" s="28"/>
      <c r="F15435" s="28"/>
      <c r="H15435" s="28"/>
    </row>
    <row r="15436" spans="4:8" x14ac:dyDescent="0.25">
      <c r="D15436" s="28"/>
      <c r="F15436" s="28"/>
      <c r="H15436" s="28"/>
    </row>
    <row r="15437" spans="4:8" x14ac:dyDescent="0.25">
      <c r="D15437" s="28"/>
      <c r="F15437" s="28"/>
      <c r="H15437" s="28"/>
    </row>
    <row r="15438" spans="4:8" x14ac:dyDescent="0.25">
      <c r="D15438" s="28"/>
      <c r="F15438" s="28"/>
      <c r="H15438" s="28"/>
    </row>
    <row r="15439" spans="4:8" x14ac:dyDescent="0.25">
      <c r="D15439" s="28"/>
      <c r="F15439" s="28"/>
      <c r="H15439" s="28"/>
    </row>
    <row r="15440" spans="4:8" x14ac:dyDescent="0.25">
      <c r="D15440" s="28"/>
      <c r="F15440" s="28"/>
      <c r="H15440" s="28"/>
    </row>
    <row r="15441" spans="4:8" x14ac:dyDescent="0.25">
      <c r="D15441" s="28"/>
      <c r="F15441" s="28"/>
      <c r="H15441" s="28"/>
    </row>
    <row r="15442" spans="4:8" x14ac:dyDescent="0.25">
      <c r="D15442" s="28"/>
      <c r="F15442" s="28"/>
      <c r="H15442" s="28"/>
    </row>
    <row r="15443" spans="4:8" x14ac:dyDescent="0.25">
      <c r="D15443" s="28"/>
      <c r="F15443" s="28"/>
      <c r="H15443" s="28"/>
    </row>
    <row r="15444" spans="4:8" x14ac:dyDescent="0.25">
      <c r="D15444" s="28"/>
      <c r="F15444" s="28"/>
      <c r="H15444" s="28"/>
    </row>
    <row r="15445" spans="4:8" x14ac:dyDescent="0.25">
      <c r="D15445" s="28"/>
      <c r="F15445" s="28"/>
      <c r="H15445" s="28"/>
    </row>
    <row r="15446" spans="4:8" x14ac:dyDescent="0.25">
      <c r="D15446" s="28"/>
      <c r="F15446" s="28"/>
      <c r="H15446" s="28"/>
    </row>
    <row r="15447" spans="4:8" x14ac:dyDescent="0.25">
      <c r="D15447" s="28"/>
      <c r="F15447" s="28"/>
      <c r="H15447" s="28"/>
    </row>
    <row r="15448" spans="4:8" x14ac:dyDescent="0.25">
      <c r="D15448" s="28"/>
      <c r="F15448" s="28"/>
      <c r="H15448" s="28"/>
    </row>
    <row r="15449" spans="4:8" x14ac:dyDescent="0.25">
      <c r="D15449" s="28"/>
      <c r="F15449" s="28"/>
      <c r="H15449" s="28"/>
    </row>
    <row r="15450" spans="4:8" x14ac:dyDescent="0.25">
      <c r="D15450" s="28"/>
      <c r="F15450" s="28"/>
      <c r="H15450" s="28"/>
    </row>
    <row r="15451" spans="4:8" x14ac:dyDescent="0.25">
      <c r="D15451" s="28"/>
      <c r="F15451" s="28"/>
      <c r="H15451" s="28"/>
    </row>
    <row r="15452" spans="4:8" x14ac:dyDescent="0.25">
      <c r="D15452" s="28"/>
      <c r="F15452" s="28"/>
      <c r="H15452" s="28"/>
    </row>
    <row r="15453" spans="4:8" x14ac:dyDescent="0.25">
      <c r="D15453" s="28"/>
      <c r="F15453" s="28"/>
      <c r="H15453" s="28"/>
    </row>
    <row r="15454" spans="4:8" x14ac:dyDescent="0.25">
      <c r="D15454" s="28"/>
      <c r="F15454" s="28"/>
      <c r="H15454" s="28"/>
    </row>
    <row r="15455" spans="4:8" x14ac:dyDescent="0.25">
      <c r="D15455" s="28"/>
      <c r="F15455" s="28"/>
      <c r="H15455" s="28"/>
    </row>
    <row r="15456" spans="4:8" x14ac:dyDescent="0.25">
      <c r="D15456" s="28"/>
      <c r="F15456" s="28"/>
      <c r="H15456" s="28"/>
    </row>
    <row r="15457" spans="4:8" x14ac:dyDescent="0.25">
      <c r="D15457" s="28"/>
      <c r="F15457" s="28"/>
      <c r="H15457" s="28"/>
    </row>
    <row r="15458" spans="4:8" x14ac:dyDescent="0.25">
      <c r="D15458" s="28"/>
      <c r="F15458" s="28"/>
      <c r="H15458" s="28"/>
    </row>
    <row r="15459" spans="4:8" x14ac:dyDescent="0.25">
      <c r="D15459" s="28"/>
      <c r="F15459" s="28"/>
      <c r="H15459" s="28"/>
    </row>
    <row r="15460" spans="4:8" x14ac:dyDescent="0.25">
      <c r="D15460" s="28"/>
      <c r="F15460" s="28"/>
      <c r="H15460" s="28"/>
    </row>
    <row r="15461" spans="4:8" x14ac:dyDescent="0.25">
      <c r="D15461" s="28"/>
      <c r="F15461" s="28"/>
      <c r="H15461" s="28"/>
    </row>
    <row r="15462" spans="4:8" x14ac:dyDescent="0.25">
      <c r="D15462" s="28"/>
      <c r="F15462" s="28"/>
      <c r="H15462" s="28"/>
    </row>
    <row r="15463" spans="4:8" x14ac:dyDescent="0.25">
      <c r="D15463" s="28"/>
      <c r="F15463" s="28"/>
      <c r="H15463" s="28"/>
    </row>
    <row r="15464" spans="4:8" x14ac:dyDescent="0.25">
      <c r="D15464" s="28"/>
      <c r="F15464" s="28"/>
      <c r="H15464" s="28"/>
    </row>
    <row r="15465" spans="4:8" x14ac:dyDescent="0.25">
      <c r="D15465" s="28"/>
      <c r="F15465" s="28"/>
      <c r="H15465" s="28"/>
    </row>
    <row r="15466" spans="4:8" x14ac:dyDescent="0.25">
      <c r="D15466" s="28"/>
      <c r="F15466" s="28"/>
      <c r="H15466" s="28"/>
    </row>
    <row r="15467" spans="4:8" x14ac:dyDescent="0.25">
      <c r="D15467" s="28"/>
      <c r="F15467" s="28"/>
      <c r="H15467" s="28"/>
    </row>
    <row r="15468" spans="4:8" x14ac:dyDescent="0.25">
      <c r="D15468" s="28"/>
      <c r="F15468" s="28"/>
      <c r="H15468" s="28"/>
    </row>
    <row r="15469" spans="4:8" x14ac:dyDescent="0.25">
      <c r="D15469" s="28"/>
      <c r="F15469" s="28"/>
      <c r="H15469" s="28"/>
    </row>
    <row r="15470" spans="4:8" x14ac:dyDescent="0.25">
      <c r="D15470" s="28"/>
      <c r="F15470" s="28"/>
      <c r="H15470" s="28"/>
    </row>
    <row r="15471" spans="4:8" x14ac:dyDescent="0.25">
      <c r="D15471" s="28"/>
      <c r="F15471" s="28"/>
      <c r="H15471" s="28"/>
    </row>
    <row r="15472" spans="4:8" x14ac:dyDescent="0.25">
      <c r="D15472" s="28"/>
      <c r="F15472" s="28"/>
      <c r="H15472" s="28"/>
    </row>
    <row r="15473" spans="4:8" x14ac:dyDescent="0.25">
      <c r="D15473" s="28"/>
      <c r="F15473" s="28"/>
      <c r="H15473" s="28"/>
    </row>
    <row r="15474" spans="4:8" x14ac:dyDescent="0.25">
      <c r="D15474" s="28"/>
      <c r="F15474" s="28"/>
      <c r="H15474" s="28"/>
    </row>
    <row r="15475" spans="4:8" x14ac:dyDescent="0.25">
      <c r="D15475" s="28"/>
      <c r="F15475" s="28"/>
      <c r="H15475" s="28"/>
    </row>
    <row r="15476" spans="4:8" x14ac:dyDescent="0.25">
      <c r="D15476" s="28"/>
      <c r="F15476" s="28"/>
      <c r="H15476" s="28"/>
    </row>
    <row r="15477" spans="4:8" x14ac:dyDescent="0.25">
      <c r="D15477" s="28"/>
      <c r="F15477" s="28"/>
      <c r="H15477" s="28"/>
    </row>
    <row r="15478" spans="4:8" x14ac:dyDescent="0.25">
      <c r="D15478" s="28"/>
      <c r="F15478" s="28"/>
      <c r="H15478" s="28"/>
    </row>
    <row r="15479" spans="4:8" x14ac:dyDescent="0.25">
      <c r="D15479" s="28"/>
      <c r="F15479" s="28"/>
      <c r="H15479" s="28"/>
    </row>
    <row r="15480" spans="4:8" x14ac:dyDescent="0.25">
      <c r="D15480" s="28"/>
      <c r="F15480" s="28"/>
      <c r="H15480" s="28"/>
    </row>
    <row r="15481" spans="4:8" x14ac:dyDescent="0.25">
      <c r="D15481" s="28"/>
      <c r="F15481" s="28"/>
      <c r="H15481" s="28"/>
    </row>
    <row r="15482" spans="4:8" x14ac:dyDescent="0.25">
      <c r="D15482" s="28"/>
      <c r="F15482" s="28"/>
      <c r="H15482" s="28"/>
    </row>
    <row r="15483" spans="4:8" x14ac:dyDescent="0.25">
      <c r="D15483" s="28"/>
      <c r="F15483" s="28"/>
      <c r="H15483" s="28"/>
    </row>
    <row r="15484" spans="4:8" x14ac:dyDescent="0.25">
      <c r="D15484" s="28"/>
      <c r="F15484" s="28"/>
      <c r="H15484" s="28"/>
    </row>
    <row r="15485" spans="4:8" x14ac:dyDescent="0.25">
      <c r="D15485" s="28"/>
      <c r="F15485" s="28"/>
      <c r="H15485" s="28"/>
    </row>
    <row r="15486" spans="4:8" x14ac:dyDescent="0.25">
      <c r="D15486" s="28"/>
      <c r="F15486" s="28"/>
      <c r="H15486" s="28"/>
    </row>
    <row r="15487" spans="4:8" x14ac:dyDescent="0.25">
      <c r="D15487" s="28"/>
      <c r="F15487" s="28"/>
      <c r="H15487" s="28"/>
    </row>
    <row r="15488" spans="4:8" x14ac:dyDescent="0.25">
      <c r="D15488" s="28"/>
      <c r="F15488" s="28"/>
      <c r="H15488" s="28"/>
    </row>
    <row r="15489" spans="4:8" x14ac:dyDescent="0.25">
      <c r="D15489" s="28"/>
      <c r="F15489" s="28"/>
      <c r="H15489" s="28"/>
    </row>
    <row r="15490" spans="4:8" x14ac:dyDescent="0.25">
      <c r="D15490" s="28"/>
      <c r="F15490" s="28"/>
      <c r="H15490" s="28"/>
    </row>
    <row r="15491" spans="4:8" x14ac:dyDescent="0.25">
      <c r="D15491" s="28"/>
      <c r="F15491" s="28"/>
      <c r="H15491" s="28"/>
    </row>
    <row r="15492" spans="4:8" x14ac:dyDescent="0.25">
      <c r="D15492" s="28"/>
      <c r="F15492" s="28"/>
      <c r="H15492" s="28"/>
    </row>
    <row r="15493" spans="4:8" x14ac:dyDescent="0.25">
      <c r="D15493" s="28"/>
      <c r="F15493" s="28"/>
      <c r="H15493" s="28"/>
    </row>
    <row r="15494" spans="4:8" x14ac:dyDescent="0.25">
      <c r="D15494" s="28"/>
      <c r="F15494" s="28"/>
      <c r="H15494" s="28"/>
    </row>
    <row r="15495" spans="4:8" x14ac:dyDescent="0.25">
      <c r="D15495" s="28"/>
      <c r="F15495" s="28"/>
      <c r="H15495" s="28"/>
    </row>
    <row r="15496" spans="4:8" x14ac:dyDescent="0.25">
      <c r="D15496" s="28"/>
      <c r="F15496" s="28"/>
      <c r="H15496" s="28"/>
    </row>
    <row r="15497" spans="4:8" x14ac:dyDescent="0.25">
      <c r="D15497" s="28"/>
      <c r="F15497" s="28"/>
      <c r="H15497" s="28"/>
    </row>
    <row r="15498" spans="4:8" x14ac:dyDescent="0.25">
      <c r="D15498" s="28"/>
      <c r="F15498" s="28"/>
      <c r="H15498" s="28"/>
    </row>
    <row r="15499" spans="4:8" x14ac:dyDescent="0.25">
      <c r="D15499" s="28"/>
      <c r="F15499" s="28"/>
      <c r="H15499" s="28"/>
    </row>
    <row r="15500" spans="4:8" x14ac:dyDescent="0.25">
      <c r="D15500" s="28"/>
      <c r="F15500" s="28"/>
      <c r="H15500" s="28"/>
    </row>
    <row r="15501" spans="4:8" x14ac:dyDescent="0.25">
      <c r="D15501" s="28"/>
      <c r="F15501" s="28"/>
      <c r="H15501" s="28"/>
    </row>
    <row r="15502" spans="4:8" x14ac:dyDescent="0.25">
      <c r="D15502" s="28"/>
      <c r="F15502" s="28"/>
      <c r="H15502" s="28"/>
    </row>
    <row r="15503" spans="4:8" x14ac:dyDescent="0.25">
      <c r="D15503" s="28"/>
      <c r="F15503" s="28"/>
      <c r="H15503" s="28"/>
    </row>
    <row r="15504" spans="4:8" x14ac:dyDescent="0.25">
      <c r="D15504" s="28"/>
      <c r="F15504" s="28"/>
      <c r="H15504" s="28"/>
    </row>
    <row r="15505" spans="4:8" x14ac:dyDescent="0.25">
      <c r="D15505" s="28"/>
      <c r="F15505" s="28"/>
      <c r="H15505" s="28"/>
    </row>
    <row r="15506" spans="4:8" x14ac:dyDescent="0.25">
      <c r="D15506" s="28"/>
      <c r="F15506" s="28"/>
      <c r="H15506" s="28"/>
    </row>
    <row r="15507" spans="4:8" x14ac:dyDescent="0.25">
      <c r="D15507" s="28"/>
      <c r="F15507" s="28"/>
      <c r="H15507" s="28"/>
    </row>
    <row r="15508" spans="4:8" x14ac:dyDescent="0.25">
      <c r="D15508" s="28"/>
      <c r="F15508" s="28"/>
      <c r="H15508" s="28"/>
    </row>
    <row r="15509" spans="4:8" x14ac:dyDescent="0.25">
      <c r="D15509" s="28"/>
      <c r="F15509" s="28"/>
      <c r="H15509" s="28"/>
    </row>
    <row r="15510" spans="4:8" x14ac:dyDescent="0.25">
      <c r="D15510" s="28"/>
      <c r="F15510" s="28"/>
      <c r="H15510" s="28"/>
    </row>
    <row r="15511" spans="4:8" x14ac:dyDescent="0.25">
      <c r="D15511" s="28"/>
      <c r="F15511" s="28"/>
      <c r="H15511" s="28"/>
    </row>
    <row r="15512" spans="4:8" x14ac:dyDescent="0.25">
      <c r="D15512" s="28"/>
      <c r="F15512" s="28"/>
      <c r="H15512" s="28"/>
    </row>
    <row r="15513" spans="4:8" x14ac:dyDescent="0.25">
      <c r="D15513" s="28"/>
      <c r="F15513" s="28"/>
      <c r="H15513" s="28"/>
    </row>
    <row r="15514" spans="4:8" x14ac:dyDescent="0.25">
      <c r="D15514" s="28"/>
      <c r="F15514" s="28"/>
      <c r="H15514" s="28"/>
    </row>
    <row r="15515" spans="4:8" x14ac:dyDescent="0.25">
      <c r="D15515" s="28"/>
      <c r="F15515" s="28"/>
      <c r="H15515" s="28"/>
    </row>
    <row r="15516" spans="4:8" x14ac:dyDescent="0.25">
      <c r="D15516" s="28"/>
      <c r="F15516" s="28"/>
      <c r="H15516" s="28"/>
    </row>
    <row r="15517" spans="4:8" x14ac:dyDescent="0.25">
      <c r="D15517" s="28"/>
      <c r="F15517" s="28"/>
      <c r="H15517" s="28"/>
    </row>
    <row r="15518" spans="4:8" x14ac:dyDescent="0.25">
      <c r="D15518" s="28"/>
      <c r="F15518" s="28"/>
      <c r="H15518" s="28"/>
    </row>
    <row r="15519" spans="4:8" x14ac:dyDescent="0.25">
      <c r="D15519" s="28"/>
      <c r="F15519" s="28"/>
      <c r="H15519" s="28"/>
    </row>
    <row r="15520" spans="4:8" x14ac:dyDescent="0.25">
      <c r="D15520" s="28"/>
      <c r="F15520" s="28"/>
      <c r="H15520" s="28"/>
    </row>
    <row r="15521" spans="4:8" x14ac:dyDescent="0.25">
      <c r="D15521" s="28"/>
      <c r="F15521" s="28"/>
      <c r="H15521" s="28"/>
    </row>
    <row r="15522" spans="4:8" x14ac:dyDescent="0.25">
      <c r="D15522" s="28"/>
      <c r="F15522" s="28"/>
      <c r="H15522" s="28"/>
    </row>
    <row r="15523" spans="4:8" x14ac:dyDescent="0.25">
      <c r="D15523" s="28"/>
      <c r="F15523" s="28"/>
      <c r="H15523" s="28"/>
    </row>
    <row r="15524" spans="4:8" x14ac:dyDescent="0.25">
      <c r="D15524" s="28"/>
      <c r="F15524" s="28"/>
      <c r="H15524" s="28"/>
    </row>
    <row r="15525" spans="4:8" x14ac:dyDescent="0.25">
      <c r="D15525" s="28"/>
      <c r="F15525" s="28"/>
      <c r="H15525" s="28"/>
    </row>
    <row r="15526" spans="4:8" x14ac:dyDescent="0.25">
      <c r="D15526" s="28"/>
      <c r="F15526" s="28"/>
      <c r="H15526" s="28"/>
    </row>
    <row r="15527" spans="4:8" x14ac:dyDescent="0.25">
      <c r="D15527" s="28"/>
      <c r="F15527" s="28"/>
      <c r="H15527" s="28"/>
    </row>
    <row r="15528" spans="4:8" x14ac:dyDescent="0.25">
      <c r="D15528" s="28"/>
      <c r="F15528" s="28"/>
      <c r="H15528" s="28"/>
    </row>
    <row r="15529" spans="4:8" x14ac:dyDescent="0.25">
      <c r="D15529" s="28"/>
      <c r="F15529" s="28"/>
      <c r="H15529" s="28"/>
    </row>
    <row r="15530" spans="4:8" x14ac:dyDescent="0.25">
      <c r="D15530" s="28"/>
      <c r="F15530" s="28"/>
      <c r="H15530" s="28"/>
    </row>
    <row r="15531" spans="4:8" x14ac:dyDescent="0.25">
      <c r="D15531" s="28"/>
      <c r="F15531" s="28"/>
      <c r="H15531" s="28"/>
    </row>
    <row r="15532" spans="4:8" x14ac:dyDescent="0.25">
      <c r="D15532" s="28"/>
      <c r="F15532" s="28"/>
      <c r="H15532" s="28"/>
    </row>
    <row r="15533" spans="4:8" x14ac:dyDescent="0.25">
      <c r="D15533" s="28"/>
      <c r="F15533" s="28"/>
      <c r="H15533" s="28"/>
    </row>
    <row r="15534" spans="4:8" x14ac:dyDescent="0.25">
      <c r="D15534" s="28"/>
      <c r="F15534" s="28"/>
      <c r="H15534" s="28"/>
    </row>
    <row r="15535" spans="4:8" x14ac:dyDescent="0.25">
      <c r="D15535" s="28"/>
      <c r="F15535" s="28"/>
      <c r="H15535" s="28"/>
    </row>
    <row r="15536" spans="4:8" x14ac:dyDescent="0.25">
      <c r="D15536" s="28"/>
      <c r="F15536" s="28"/>
      <c r="H15536" s="28"/>
    </row>
    <row r="15537" spans="4:8" x14ac:dyDescent="0.25">
      <c r="D15537" s="28"/>
      <c r="F15537" s="28"/>
      <c r="H15537" s="28"/>
    </row>
    <row r="15538" spans="4:8" x14ac:dyDescent="0.25">
      <c r="D15538" s="28"/>
      <c r="F15538" s="28"/>
      <c r="H15538" s="28"/>
    </row>
    <row r="15539" spans="4:8" x14ac:dyDescent="0.25">
      <c r="D15539" s="28"/>
      <c r="F15539" s="28"/>
      <c r="H15539" s="28"/>
    </row>
    <row r="15540" spans="4:8" x14ac:dyDescent="0.25">
      <c r="D15540" s="28"/>
      <c r="F15540" s="28"/>
      <c r="H15540" s="28"/>
    </row>
    <row r="15541" spans="4:8" x14ac:dyDescent="0.25">
      <c r="D15541" s="28"/>
      <c r="F15541" s="28"/>
      <c r="H15541" s="28"/>
    </row>
    <row r="15542" spans="4:8" x14ac:dyDescent="0.25">
      <c r="D15542" s="28"/>
      <c r="F15542" s="28"/>
      <c r="H15542" s="28"/>
    </row>
    <row r="15543" spans="4:8" x14ac:dyDescent="0.25">
      <c r="D15543" s="28"/>
      <c r="F15543" s="28"/>
      <c r="H15543" s="28"/>
    </row>
    <row r="15544" spans="4:8" x14ac:dyDescent="0.25">
      <c r="D15544" s="28"/>
      <c r="F15544" s="28"/>
      <c r="H15544" s="28"/>
    </row>
    <row r="15545" spans="4:8" x14ac:dyDescent="0.25">
      <c r="D15545" s="28"/>
      <c r="F15545" s="28"/>
      <c r="H15545" s="28"/>
    </row>
    <row r="15546" spans="4:8" x14ac:dyDescent="0.25">
      <c r="D15546" s="28"/>
      <c r="F15546" s="28"/>
      <c r="H15546" s="28"/>
    </row>
    <row r="15547" spans="4:8" x14ac:dyDescent="0.25">
      <c r="D15547" s="28"/>
      <c r="F15547" s="28"/>
      <c r="H15547" s="28"/>
    </row>
    <row r="15548" spans="4:8" x14ac:dyDescent="0.25">
      <c r="D15548" s="28"/>
      <c r="F15548" s="28"/>
      <c r="H15548" s="28"/>
    </row>
    <row r="15549" spans="4:8" x14ac:dyDescent="0.25">
      <c r="D15549" s="28"/>
      <c r="F15549" s="28"/>
      <c r="H15549" s="28"/>
    </row>
    <row r="15550" spans="4:8" x14ac:dyDescent="0.25">
      <c r="D15550" s="28"/>
      <c r="F15550" s="28"/>
      <c r="H15550" s="28"/>
    </row>
    <row r="15551" spans="4:8" x14ac:dyDescent="0.25">
      <c r="D15551" s="28"/>
      <c r="F15551" s="28"/>
      <c r="H15551" s="28"/>
    </row>
    <row r="15552" spans="4:8" x14ac:dyDescent="0.25">
      <c r="D15552" s="28"/>
      <c r="F15552" s="28"/>
      <c r="H15552" s="28"/>
    </row>
    <row r="15553" spans="4:8" x14ac:dyDescent="0.25">
      <c r="D15553" s="28"/>
      <c r="F15553" s="28"/>
      <c r="H15553" s="28"/>
    </row>
    <row r="15554" spans="4:8" x14ac:dyDescent="0.25">
      <c r="D15554" s="28"/>
      <c r="F15554" s="28"/>
      <c r="H15554" s="28"/>
    </row>
    <row r="15555" spans="4:8" x14ac:dyDescent="0.25">
      <c r="D15555" s="28"/>
      <c r="F15555" s="28"/>
      <c r="H15555" s="28"/>
    </row>
    <row r="15556" spans="4:8" x14ac:dyDescent="0.25">
      <c r="D15556" s="28"/>
      <c r="F15556" s="28"/>
      <c r="H15556" s="28"/>
    </row>
    <row r="15557" spans="4:8" x14ac:dyDescent="0.25">
      <c r="D15557" s="28"/>
      <c r="F15557" s="28"/>
      <c r="H15557" s="28"/>
    </row>
    <row r="15558" spans="4:8" x14ac:dyDescent="0.25">
      <c r="D15558" s="28"/>
      <c r="F15558" s="28"/>
      <c r="H15558" s="28"/>
    </row>
    <row r="15559" spans="4:8" x14ac:dyDescent="0.25">
      <c r="D15559" s="28"/>
      <c r="F15559" s="28"/>
      <c r="H15559" s="28"/>
    </row>
    <row r="15560" spans="4:8" x14ac:dyDescent="0.25">
      <c r="D15560" s="28"/>
      <c r="F15560" s="28"/>
      <c r="H15560" s="28"/>
    </row>
    <row r="15561" spans="4:8" x14ac:dyDescent="0.25">
      <c r="D15561" s="28"/>
      <c r="F15561" s="28"/>
      <c r="H15561" s="28"/>
    </row>
    <row r="15562" spans="4:8" x14ac:dyDescent="0.25">
      <c r="D15562" s="28"/>
      <c r="F15562" s="28"/>
      <c r="H15562" s="28"/>
    </row>
    <row r="15563" spans="4:8" x14ac:dyDescent="0.25">
      <c r="D15563" s="28"/>
      <c r="F15563" s="28"/>
      <c r="H15563" s="28"/>
    </row>
    <row r="15564" spans="4:8" x14ac:dyDescent="0.25">
      <c r="D15564" s="28"/>
      <c r="F15564" s="28"/>
      <c r="H15564" s="28"/>
    </row>
    <row r="15565" spans="4:8" x14ac:dyDescent="0.25">
      <c r="D15565" s="28"/>
      <c r="F15565" s="28"/>
      <c r="H15565" s="28"/>
    </row>
    <row r="15566" spans="4:8" x14ac:dyDescent="0.25">
      <c r="D15566" s="28"/>
      <c r="F15566" s="28"/>
      <c r="H15566" s="28"/>
    </row>
    <row r="15567" spans="4:8" x14ac:dyDescent="0.25">
      <c r="D15567" s="28"/>
      <c r="F15567" s="28"/>
      <c r="H15567" s="28"/>
    </row>
    <row r="15568" spans="4:8" x14ac:dyDescent="0.25">
      <c r="D15568" s="28"/>
      <c r="F15568" s="28"/>
      <c r="H15568" s="28"/>
    </row>
    <row r="15569" spans="4:8" x14ac:dyDescent="0.25">
      <c r="D15569" s="28"/>
      <c r="F15569" s="28"/>
      <c r="H15569" s="28"/>
    </row>
    <row r="15570" spans="4:8" x14ac:dyDescent="0.25">
      <c r="D15570" s="28"/>
      <c r="F15570" s="28"/>
      <c r="H15570" s="28"/>
    </row>
    <row r="15571" spans="4:8" x14ac:dyDescent="0.25">
      <c r="D15571" s="28"/>
      <c r="F15571" s="28"/>
      <c r="H15571" s="28"/>
    </row>
    <row r="15572" spans="4:8" x14ac:dyDescent="0.25">
      <c r="D15572" s="28"/>
      <c r="F15572" s="28"/>
      <c r="H15572" s="28"/>
    </row>
    <row r="15573" spans="4:8" x14ac:dyDescent="0.25">
      <c r="D15573" s="28"/>
      <c r="F15573" s="28"/>
      <c r="H15573" s="28"/>
    </row>
    <row r="15574" spans="4:8" x14ac:dyDescent="0.25">
      <c r="D15574" s="28"/>
      <c r="F15574" s="28"/>
      <c r="H15574" s="28"/>
    </row>
    <row r="15575" spans="4:8" x14ac:dyDescent="0.25">
      <c r="D15575" s="28"/>
      <c r="F15575" s="28"/>
      <c r="H15575" s="28"/>
    </row>
    <row r="15576" spans="4:8" x14ac:dyDescent="0.25">
      <c r="D15576" s="28"/>
      <c r="F15576" s="28"/>
      <c r="H15576" s="28"/>
    </row>
    <row r="15577" spans="4:8" x14ac:dyDescent="0.25">
      <c r="D15577" s="28"/>
      <c r="F15577" s="28"/>
      <c r="H15577" s="28"/>
    </row>
    <row r="15578" spans="4:8" x14ac:dyDescent="0.25">
      <c r="D15578" s="28"/>
      <c r="F15578" s="28"/>
      <c r="H15578" s="28"/>
    </row>
    <row r="15579" spans="4:8" x14ac:dyDescent="0.25">
      <c r="D15579" s="28"/>
      <c r="F15579" s="28"/>
      <c r="H15579" s="28"/>
    </row>
    <row r="15580" spans="4:8" x14ac:dyDescent="0.25">
      <c r="D15580" s="28"/>
      <c r="F15580" s="28"/>
      <c r="H15580" s="28"/>
    </row>
    <row r="15581" spans="4:8" x14ac:dyDescent="0.25">
      <c r="D15581" s="28"/>
      <c r="F15581" s="28"/>
      <c r="H15581" s="28"/>
    </row>
    <row r="15582" spans="4:8" x14ac:dyDescent="0.25">
      <c r="D15582" s="28"/>
      <c r="F15582" s="28"/>
      <c r="H15582" s="28"/>
    </row>
    <row r="15583" spans="4:8" x14ac:dyDescent="0.25">
      <c r="D15583" s="28"/>
      <c r="F15583" s="28"/>
      <c r="H15583" s="28"/>
    </row>
    <row r="15584" spans="4:8" x14ac:dyDescent="0.25">
      <c r="D15584" s="28"/>
      <c r="F15584" s="28"/>
      <c r="H15584" s="28"/>
    </row>
    <row r="15585" spans="4:8" x14ac:dyDescent="0.25">
      <c r="D15585" s="28"/>
      <c r="F15585" s="28"/>
      <c r="H15585" s="28"/>
    </row>
    <row r="15586" spans="4:8" x14ac:dyDescent="0.25">
      <c r="D15586" s="28"/>
      <c r="F15586" s="28"/>
      <c r="H15586" s="28"/>
    </row>
    <row r="15587" spans="4:8" x14ac:dyDescent="0.25">
      <c r="D15587" s="28"/>
      <c r="F15587" s="28"/>
      <c r="H15587" s="28"/>
    </row>
    <row r="15588" spans="4:8" x14ac:dyDescent="0.25">
      <c r="D15588" s="28"/>
      <c r="F15588" s="28"/>
      <c r="H15588" s="28"/>
    </row>
    <row r="15589" spans="4:8" x14ac:dyDescent="0.25">
      <c r="D15589" s="28"/>
      <c r="F15589" s="28"/>
      <c r="H15589" s="28"/>
    </row>
    <row r="15590" spans="4:8" x14ac:dyDescent="0.25">
      <c r="D15590" s="28"/>
      <c r="F15590" s="28"/>
      <c r="H15590" s="28"/>
    </row>
    <row r="15591" spans="4:8" x14ac:dyDescent="0.25">
      <c r="D15591" s="28"/>
      <c r="F15591" s="28"/>
      <c r="H15591" s="28"/>
    </row>
    <row r="15592" spans="4:8" x14ac:dyDescent="0.25">
      <c r="D15592" s="28"/>
      <c r="F15592" s="28"/>
      <c r="H15592" s="28"/>
    </row>
    <row r="15593" spans="4:8" x14ac:dyDescent="0.25">
      <c r="D15593" s="28"/>
      <c r="F15593" s="28"/>
      <c r="H15593" s="28"/>
    </row>
    <row r="15594" spans="4:8" x14ac:dyDescent="0.25">
      <c r="D15594" s="28"/>
      <c r="F15594" s="28"/>
      <c r="H15594" s="28"/>
    </row>
    <row r="15595" spans="4:8" x14ac:dyDescent="0.25">
      <c r="D15595" s="28"/>
      <c r="F15595" s="28"/>
      <c r="H15595" s="28"/>
    </row>
    <row r="15596" spans="4:8" x14ac:dyDescent="0.25">
      <c r="D15596" s="28"/>
      <c r="F15596" s="28"/>
      <c r="H15596" s="28"/>
    </row>
    <row r="15597" spans="4:8" x14ac:dyDescent="0.25">
      <c r="D15597" s="28"/>
      <c r="F15597" s="28"/>
      <c r="H15597" s="28"/>
    </row>
    <row r="15598" spans="4:8" x14ac:dyDescent="0.25">
      <c r="D15598" s="28"/>
      <c r="F15598" s="28"/>
      <c r="H15598" s="28"/>
    </row>
    <row r="15599" spans="4:8" x14ac:dyDescent="0.25">
      <c r="D15599" s="28"/>
      <c r="F15599" s="28"/>
      <c r="H15599" s="28"/>
    </row>
    <row r="15600" spans="4:8" x14ac:dyDescent="0.25">
      <c r="D15600" s="28"/>
      <c r="F15600" s="28"/>
      <c r="H15600" s="28"/>
    </row>
    <row r="15601" spans="4:8" x14ac:dyDescent="0.25">
      <c r="D15601" s="28"/>
      <c r="F15601" s="28"/>
      <c r="H15601" s="28"/>
    </row>
    <row r="15602" spans="4:8" x14ac:dyDescent="0.25">
      <c r="D15602" s="28"/>
      <c r="F15602" s="28"/>
      <c r="H15602" s="28"/>
    </row>
    <row r="15603" spans="4:8" x14ac:dyDescent="0.25">
      <c r="D15603" s="28"/>
      <c r="F15603" s="28"/>
      <c r="H15603" s="28"/>
    </row>
    <row r="15604" spans="4:8" x14ac:dyDescent="0.25">
      <c r="D15604" s="28"/>
      <c r="F15604" s="28"/>
      <c r="H15604" s="28"/>
    </row>
    <row r="15605" spans="4:8" x14ac:dyDescent="0.25">
      <c r="D15605" s="28"/>
      <c r="F15605" s="28"/>
      <c r="H15605" s="28"/>
    </row>
    <row r="15606" spans="4:8" x14ac:dyDescent="0.25">
      <c r="D15606" s="28"/>
      <c r="F15606" s="28"/>
      <c r="H15606" s="28"/>
    </row>
    <row r="15607" spans="4:8" x14ac:dyDescent="0.25">
      <c r="D15607" s="28"/>
      <c r="F15607" s="28"/>
      <c r="H15607" s="28"/>
    </row>
    <row r="15608" spans="4:8" x14ac:dyDescent="0.25">
      <c r="D15608" s="28"/>
      <c r="F15608" s="28"/>
      <c r="H15608" s="28"/>
    </row>
    <row r="15609" spans="4:8" x14ac:dyDescent="0.25">
      <c r="D15609" s="28"/>
      <c r="F15609" s="28"/>
      <c r="H15609" s="28"/>
    </row>
    <row r="15610" spans="4:8" x14ac:dyDescent="0.25">
      <c r="D15610" s="28"/>
      <c r="F15610" s="28"/>
      <c r="H15610" s="28"/>
    </row>
    <row r="15611" spans="4:8" x14ac:dyDescent="0.25">
      <c r="D15611" s="28"/>
      <c r="F15611" s="28"/>
      <c r="H15611" s="28"/>
    </row>
    <row r="15612" spans="4:8" x14ac:dyDescent="0.25">
      <c r="D15612" s="28"/>
      <c r="F15612" s="28"/>
      <c r="H15612" s="28"/>
    </row>
    <row r="15613" spans="4:8" x14ac:dyDescent="0.25">
      <c r="D15613" s="28"/>
      <c r="F15613" s="28"/>
      <c r="H15613" s="28"/>
    </row>
    <row r="15614" spans="4:8" x14ac:dyDescent="0.25">
      <c r="D15614" s="28"/>
      <c r="F15614" s="28"/>
      <c r="H15614" s="28"/>
    </row>
    <row r="15615" spans="4:8" x14ac:dyDescent="0.25">
      <c r="D15615" s="28"/>
      <c r="F15615" s="28"/>
      <c r="H15615" s="28"/>
    </row>
    <row r="15616" spans="4:8" x14ac:dyDescent="0.25">
      <c r="D15616" s="28"/>
      <c r="F15616" s="28"/>
      <c r="H15616" s="28"/>
    </row>
    <row r="15617" spans="4:8" x14ac:dyDescent="0.25">
      <c r="D15617" s="28"/>
      <c r="F15617" s="28"/>
      <c r="H15617" s="28"/>
    </row>
    <row r="15618" spans="4:8" x14ac:dyDescent="0.25">
      <c r="D15618" s="28"/>
      <c r="F15618" s="28"/>
      <c r="H15618" s="28"/>
    </row>
    <row r="15619" spans="4:8" x14ac:dyDescent="0.25">
      <c r="D15619" s="28"/>
      <c r="F15619" s="28"/>
      <c r="H15619" s="28"/>
    </row>
    <row r="15620" spans="4:8" x14ac:dyDescent="0.25">
      <c r="D15620" s="28"/>
      <c r="F15620" s="28"/>
      <c r="H15620" s="28"/>
    </row>
    <row r="15621" spans="4:8" x14ac:dyDescent="0.25">
      <c r="D15621" s="28"/>
      <c r="F15621" s="28"/>
      <c r="H15621" s="28"/>
    </row>
    <row r="15622" spans="4:8" x14ac:dyDescent="0.25">
      <c r="D15622" s="28"/>
      <c r="F15622" s="28"/>
      <c r="H15622" s="28"/>
    </row>
    <row r="15623" spans="4:8" x14ac:dyDescent="0.25">
      <c r="D15623" s="28"/>
      <c r="F15623" s="28"/>
      <c r="H15623" s="28"/>
    </row>
    <row r="15624" spans="4:8" x14ac:dyDescent="0.25">
      <c r="D15624" s="28"/>
      <c r="F15624" s="28"/>
      <c r="H15624" s="28"/>
    </row>
    <row r="15625" spans="4:8" x14ac:dyDescent="0.25">
      <c r="D15625" s="28"/>
      <c r="F15625" s="28"/>
      <c r="H15625" s="28"/>
    </row>
    <row r="15626" spans="4:8" x14ac:dyDescent="0.25">
      <c r="D15626" s="28"/>
      <c r="F15626" s="28"/>
      <c r="H15626" s="28"/>
    </row>
    <row r="15627" spans="4:8" x14ac:dyDescent="0.25">
      <c r="D15627" s="28"/>
      <c r="F15627" s="28"/>
      <c r="H15627" s="28"/>
    </row>
    <row r="15628" spans="4:8" x14ac:dyDescent="0.25">
      <c r="D15628" s="28"/>
      <c r="F15628" s="28"/>
      <c r="H15628" s="28"/>
    </row>
    <row r="15629" spans="4:8" x14ac:dyDescent="0.25">
      <c r="D15629" s="28"/>
      <c r="F15629" s="28"/>
      <c r="H15629" s="28"/>
    </row>
    <row r="15630" spans="4:8" x14ac:dyDescent="0.25">
      <c r="D15630" s="28"/>
      <c r="F15630" s="28"/>
      <c r="H15630" s="28"/>
    </row>
    <row r="15631" spans="4:8" x14ac:dyDescent="0.25">
      <c r="D15631" s="28"/>
      <c r="F15631" s="28"/>
      <c r="H15631" s="28"/>
    </row>
    <row r="15632" spans="4:8" x14ac:dyDescent="0.25">
      <c r="D15632" s="28"/>
      <c r="F15632" s="28"/>
      <c r="H15632" s="28"/>
    </row>
    <row r="15633" spans="4:8" x14ac:dyDescent="0.25">
      <c r="D15633" s="28"/>
      <c r="F15633" s="28"/>
      <c r="H15633" s="28"/>
    </row>
    <row r="15634" spans="4:8" x14ac:dyDescent="0.25">
      <c r="D15634" s="28"/>
      <c r="F15634" s="28"/>
      <c r="H15634" s="28"/>
    </row>
    <row r="15635" spans="4:8" x14ac:dyDescent="0.25">
      <c r="D15635" s="28"/>
      <c r="F15635" s="28"/>
      <c r="H15635" s="28"/>
    </row>
    <row r="15636" spans="4:8" x14ac:dyDescent="0.25">
      <c r="D15636" s="28"/>
      <c r="F15636" s="28"/>
      <c r="H15636" s="28"/>
    </row>
    <row r="15637" spans="4:8" x14ac:dyDescent="0.25">
      <c r="D15637" s="28"/>
      <c r="F15637" s="28"/>
      <c r="H15637" s="28"/>
    </row>
    <row r="15638" spans="4:8" x14ac:dyDescent="0.25">
      <c r="D15638" s="28"/>
      <c r="F15638" s="28"/>
      <c r="H15638" s="28"/>
    </row>
    <row r="15639" spans="4:8" x14ac:dyDescent="0.25">
      <c r="D15639" s="28"/>
      <c r="F15639" s="28"/>
      <c r="H15639" s="28"/>
    </row>
    <row r="15640" spans="4:8" x14ac:dyDescent="0.25">
      <c r="D15640" s="28"/>
      <c r="F15640" s="28"/>
      <c r="H15640" s="28"/>
    </row>
    <row r="15641" spans="4:8" x14ac:dyDescent="0.25">
      <c r="D15641" s="28"/>
      <c r="F15641" s="28"/>
      <c r="H15641" s="28"/>
    </row>
    <row r="15642" spans="4:8" x14ac:dyDescent="0.25">
      <c r="D15642" s="28"/>
      <c r="F15642" s="28"/>
      <c r="H15642" s="28"/>
    </row>
    <row r="15643" spans="4:8" x14ac:dyDescent="0.25">
      <c r="D15643" s="28"/>
      <c r="F15643" s="28"/>
      <c r="H15643" s="28"/>
    </row>
    <row r="15644" spans="4:8" x14ac:dyDescent="0.25">
      <c r="D15644" s="28"/>
      <c r="F15644" s="28"/>
      <c r="H15644" s="28"/>
    </row>
    <row r="15645" spans="4:8" x14ac:dyDescent="0.25">
      <c r="D15645" s="28"/>
      <c r="F15645" s="28"/>
      <c r="H15645" s="28"/>
    </row>
    <row r="15646" spans="4:8" x14ac:dyDescent="0.25">
      <c r="D15646" s="28"/>
      <c r="F15646" s="28"/>
      <c r="H15646" s="28"/>
    </row>
    <row r="15647" spans="4:8" x14ac:dyDescent="0.25">
      <c r="D15647" s="28"/>
      <c r="F15647" s="28"/>
      <c r="H15647" s="28"/>
    </row>
    <row r="15648" spans="4:8" x14ac:dyDescent="0.25">
      <c r="D15648" s="28"/>
      <c r="F15648" s="28"/>
      <c r="H15648" s="28"/>
    </row>
    <row r="15649" spans="4:8" x14ac:dyDescent="0.25">
      <c r="D15649" s="28"/>
      <c r="F15649" s="28"/>
      <c r="H15649" s="28"/>
    </row>
    <row r="15650" spans="4:8" x14ac:dyDescent="0.25">
      <c r="D15650" s="28"/>
      <c r="F15650" s="28"/>
      <c r="H15650" s="28"/>
    </row>
    <row r="15651" spans="4:8" x14ac:dyDescent="0.25">
      <c r="D15651" s="28"/>
      <c r="F15651" s="28"/>
      <c r="H15651" s="28"/>
    </row>
    <row r="15652" spans="4:8" x14ac:dyDescent="0.25">
      <c r="D15652" s="28"/>
      <c r="F15652" s="28"/>
      <c r="H15652" s="28"/>
    </row>
    <row r="15653" spans="4:8" x14ac:dyDescent="0.25">
      <c r="D15653" s="28"/>
      <c r="F15653" s="28"/>
      <c r="H15653" s="28"/>
    </row>
    <row r="15654" spans="4:8" x14ac:dyDescent="0.25">
      <c r="D15654" s="28"/>
      <c r="F15654" s="28"/>
      <c r="H15654" s="28"/>
    </row>
    <row r="15655" spans="4:8" x14ac:dyDescent="0.25">
      <c r="D15655" s="28"/>
      <c r="F15655" s="28"/>
      <c r="H15655" s="28"/>
    </row>
    <row r="15656" spans="4:8" x14ac:dyDescent="0.25">
      <c r="D15656" s="28"/>
      <c r="F15656" s="28"/>
      <c r="H15656" s="28"/>
    </row>
    <row r="15657" spans="4:8" x14ac:dyDescent="0.25">
      <c r="D15657" s="28"/>
      <c r="F15657" s="28"/>
      <c r="H15657" s="28"/>
    </row>
    <row r="15658" spans="4:8" x14ac:dyDescent="0.25">
      <c r="D15658" s="28"/>
      <c r="F15658" s="28"/>
      <c r="H15658" s="28"/>
    </row>
    <row r="15659" spans="4:8" x14ac:dyDescent="0.25">
      <c r="D15659" s="28"/>
      <c r="F15659" s="28"/>
      <c r="H15659" s="28"/>
    </row>
    <row r="15660" spans="4:8" x14ac:dyDescent="0.25">
      <c r="D15660" s="28"/>
      <c r="F15660" s="28"/>
      <c r="H15660" s="28"/>
    </row>
    <row r="15661" spans="4:8" x14ac:dyDescent="0.25">
      <c r="D15661" s="28"/>
      <c r="F15661" s="28"/>
      <c r="H15661" s="28"/>
    </row>
    <row r="15662" spans="4:8" x14ac:dyDescent="0.25">
      <c r="D15662" s="28"/>
      <c r="F15662" s="28"/>
      <c r="H15662" s="28"/>
    </row>
    <row r="15663" spans="4:8" x14ac:dyDescent="0.25">
      <c r="D15663" s="28"/>
      <c r="F15663" s="28"/>
      <c r="H15663" s="28"/>
    </row>
    <row r="15664" spans="4:8" x14ac:dyDescent="0.25">
      <c r="D15664" s="28"/>
      <c r="F15664" s="28"/>
      <c r="H15664" s="28"/>
    </row>
    <row r="15665" spans="4:8" x14ac:dyDescent="0.25">
      <c r="D15665" s="28"/>
      <c r="F15665" s="28"/>
      <c r="H15665" s="28"/>
    </row>
    <row r="15666" spans="4:8" x14ac:dyDescent="0.25">
      <c r="D15666" s="28"/>
      <c r="F15666" s="28"/>
      <c r="H15666" s="28"/>
    </row>
    <row r="15667" spans="4:8" x14ac:dyDescent="0.25">
      <c r="D15667" s="28"/>
      <c r="F15667" s="28"/>
      <c r="H15667" s="28"/>
    </row>
    <row r="15668" spans="4:8" x14ac:dyDescent="0.25">
      <c r="D15668" s="28"/>
      <c r="F15668" s="28"/>
      <c r="H15668" s="28"/>
    </row>
    <row r="15669" spans="4:8" x14ac:dyDescent="0.25">
      <c r="D15669" s="28"/>
      <c r="F15669" s="28"/>
      <c r="H15669" s="28"/>
    </row>
    <row r="15670" spans="4:8" x14ac:dyDescent="0.25">
      <c r="D15670" s="28"/>
      <c r="F15670" s="28"/>
      <c r="H15670" s="28"/>
    </row>
    <row r="15671" spans="4:8" x14ac:dyDescent="0.25">
      <c r="D15671" s="28"/>
      <c r="F15671" s="28"/>
      <c r="H15671" s="28"/>
    </row>
    <row r="15672" spans="4:8" x14ac:dyDescent="0.25">
      <c r="D15672" s="28"/>
      <c r="F15672" s="28"/>
      <c r="H15672" s="28"/>
    </row>
    <row r="15673" spans="4:8" x14ac:dyDescent="0.25">
      <c r="D15673" s="28"/>
      <c r="F15673" s="28"/>
      <c r="H15673" s="28"/>
    </row>
    <row r="15674" spans="4:8" x14ac:dyDescent="0.25">
      <c r="D15674" s="28"/>
      <c r="F15674" s="28"/>
      <c r="H15674" s="28"/>
    </row>
    <row r="15675" spans="4:8" x14ac:dyDescent="0.25">
      <c r="D15675" s="28"/>
      <c r="F15675" s="28"/>
      <c r="H15675" s="28"/>
    </row>
    <row r="15676" spans="4:8" x14ac:dyDescent="0.25">
      <c r="D15676" s="28"/>
      <c r="F15676" s="28"/>
      <c r="H15676" s="28"/>
    </row>
    <row r="15677" spans="4:8" x14ac:dyDescent="0.25">
      <c r="D15677" s="28"/>
      <c r="F15677" s="28"/>
      <c r="H15677" s="28"/>
    </row>
    <row r="15678" spans="4:8" x14ac:dyDescent="0.25">
      <c r="D15678" s="28"/>
      <c r="F15678" s="28"/>
      <c r="H15678" s="28"/>
    </row>
    <row r="15679" spans="4:8" x14ac:dyDescent="0.25">
      <c r="D15679" s="28"/>
      <c r="F15679" s="28"/>
      <c r="H15679" s="28"/>
    </row>
    <row r="15680" spans="4:8" x14ac:dyDescent="0.25">
      <c r="D15680" s="28"/>
      <c r="F15680" s="28"/>
      <c r="H15680" s="28"/>
    </row>
    <row r="15681" spans="4:8" x14ac:dyDescent="0.25">
      <c r="D15681" s="28"/>
      <c r="F15681" s="28"/>
      <c r="H15681" s="28"/>
    </row>
    <row r="15682" spans="4:8" x14ac:dyDescent="0.25">
      <c r="D15682" s="28"/>
      <c r="F15682" s="28"/>
      <c r="H15682" s="28"/>
    </row>
    <row r="15683" spans="4:8" x14ac:dyDescent="0.25">
      <c r="D15683" s="28"/>
      <c r="F15683" s="28"/>
      <c r="H15683" s="28"/>
    </row>
    <row r="15684" spans="4:8" x14ac:dyDescent="0.25">
      <c r="D15684" s="28"/>
      <c r="F15684" s="28"/>
      <c r="H15684" s="28"/>
    </row>
    <row r="15685" spans="4:8" x14ac:dyDescent="0.25">
      <c r="D15685" s="28"/>
      <c r="F15685" s="28"/>
      <c r="H15685" s="28"/>
    </row>
    <row r="15686" spans="4:8" x14ac:dyDescent="0.25">
      <c r="D15686" s="28"/>
      <c r="F15686" s="28"/>
      <c r="H15686" s="28"/>
    </row>
    <row r="15687" spans="4:8" x14ac:dyDescent="0.25">
      <c r="D15687" s="28"/>
      <c r="F15687" s="28"/>
      <c r="H15687" s="28"/>
    </row>
    <row r="15688" spans="4:8" x14ac:dyDescent="0.25">
      <c r="D15688" s="28"/>
      <c r="F15688" s="28"/>
      <c r="H15688" s="28"/>
    </row>
    <row r="15689" spans="4:8" x14ac:dyDescent="0.25">
      <c r="D15689" s="28"/>
      <c r="F15689" s="28"/>
      <c r="H15689" s="28"/>
    </row>
    <row r="15690" spans="4:8" x14ac:dyDescent="0.25">
      <c r="D15690" s="28"/>
      <c r="F15690" s="28"/>
      <c r="H15690" s="28"/>
    </row>
    <row r="15691" spans="4:8" x14ac:dyDescent="0.25">
      <c r="D15691" s="28"/>
      <c r="F15691" s="28"/>
      <c r="H15691" s="28"/>
    </row>
    <row r="15692" spans="4:8" x14ac:dyDescent="0.25">
      <c r="D15692" s="28"/>
      <c r="F15692" s="28"/>
      <c r="H15692" s="28"/>
    </row>
    <row r="15693" spans="4:8" x14ac:dyDescent="0.25">
      <c r="D15693" s="28"/>
      <c r="F15693" s="28"/>
      <c r="H15693" s="28"/>
    </row>
    <row r="15694" spans="4:8" x14ac:dyDescent="0.25">
      <c r="D15694" s="28"/>
      <c r="F15694" s="28"/>
      <c r="H15694" s="28"/>
    </row>
    <row r="15695" spans="4:8" x14ac:dyDescent="0.25">
      <c r="D15695" s="28"/>
      <c r="F15695" s="28"/>
      <c r="H15695" s="28"/>
    </row>
    <row r="15696" spans="4:8" x14ac:dyDescent="0.25">
      <c r="D15696" s="28"/>
      <c r="F15696" s="28"/>
      <c r="H15696" s="28"/>
    </row>
    <row r="15697" spans="4:8" x14ac:dyDescent="0.25">
      <c r="D15697" s="28"/>
      <c r="F15697" s="28"/>
      <c r="H15697" s="28"/>
    </row>
    <row r="15698" spans="4:8" x14ac:dyDescent="0.25">
      <c r="D15698" s="28"/>
      <c r="F15698" s="28"/>
      <c r="H15698" s="28"/>
    </row>
    <row r="15699" spans="4:8" x14ac:dyDescent="0.25">
      <c r="D15699" s="28"/>
      <c r="F15699" s="28"/>
      <c r="H15699" s="28"/>
    </row>
    <row r="15700" spans="4:8" x14ac:dyDescent="0.25">
      <c r="D15700" s="28"/>
      <c r="F15700" s="28"/>
      <c r="H15700" s="28"/>
    </row>
    <row r="15701" spans="4:8" x14ac:dyDescent="0.25">
      <c r="D15701" s="28"/>
      <c r="F15701" s="28"/>
      <c r="H15701" s="28"/>
    </row>
    <row r="15702" spans="4:8" x14ac:dyDescent="0.25">
      <c r="D15702" s="28"/>
      <c r="F15702" s="28"/>
      <c r="H15702" s="28"/>
    </row>
    <row r="15703" spans="4:8" x14ac:dyDescent="0.25">
      <c r="D15703" s="28"/>
      <c r="F15703" s="28"/>
      <c r="H15703" s="28"/>
    </row>
    <row r="15704" spans="4:8" x14ac:dyDescent="0.25">
      <c r="D15704" s="28"/>
      <c r="F15704" s="28"/>
      <c r="H15704" s="28"/>
    </row>
    <row r="15705" spans="4:8" x14ac:dyDescent="0.25">
      <c r="D15705" s="28"/>
      <c r="F15705" s="28"/>
      <c r="H15705" s="28"/>
    </row>
    <row r="15706" spans="4:8" x14ac:dyDescent="0.25">
      <c r="D15706" s="28"/>
      <c r="F15706" s="28"/>
      <c r="H15706" s="28"/>
    </row>
    <row r="15707" spans="4:8" x14ac:dyDescent="0.25">
      <c r="D15707" s="28"/>
      <c r="F15707" s="28"/>
      <c r="H15707" s="28"/>
    </row>
    <row r="15708" spans="4:8" x14ac:dyDescent="0.25">
      <c r="D15708" s="28"/>
      <c r="F15708" s="28"/>
      <c r="H15708" s="28"/>
    </row>
    <row r="15709" spans="4:8" x14ac:dyDescent="0.25">
      <c r="D15709" s="28"/>
      <c r="F15709" s="28"/>
      <c r="H15709" s="28"/>
    </row>
    <row r="15710" spans="4:8" x14ac:dyDescent="0.25">
      <c r="D15710" s="28"/>
      <c r="F15710" s="28"/>
      <c r="H15710" s="28"/>
    </row>
    <row r="15711" spans="4:8" x14ac:dyDescent="0.25">
      <c r="D15711" s="28"/>
      <c r="F15711" s="28"/>
      <c r="H15711" s="28"/>
    </row>
    <row r="15712" spans="4:8" x14ac:dyDescent="0.25">
      <c r="D15712" s="28"/>
      <c r="F15712" s="28"/>
      <c r="H15712" s="28"/>
    </row>
    <row r="15713" spans="4:8" x14ac:dyDescent="0.25">
      <c r="D15713" s="28"/>
      <c r="F15713" s="28"/>
      <c r="H15713" s="28"/>
    </row>
    <row r="15714" spans="4:8" x14ac:dyDescent="0.25">
      <c r="D15714" s="28"/>
      <c r="F15714" s="28"/>
      <c r="H15714" s="28"/>
    </row>
    <row r="15715" spans="4:8" x14ac:dyDescent="0.25">
      <c r="D15715" s="28"/>
      <c r="F15715" s="28"/>
      <c r="H15715" s="28"/>
    </row>
    <row r="15716" spans="4:8" x14ac:dyDescent="0.25">
      <c r="D15716" s="28"/>
      <c r="F15716" s="28"/>
      <c r="H15716" s="28"/>
    </row>
    <row r="15717" spans="4:8" x14ac:dyDescent="0.25">
      <c r="D15717" s="28"/>
      <c r="F15717" s="28"/>
      <c r="H15717" s="28"/>
    </row>
    <row r="15718" spans="4:8" x14ac:dyDescent="0.25">
      <c r="D15718" s="28"/>
      <c r="F15718" s="28"/>
      <c r="H15718" s="28"/>
    </row>
    <row r="15719" spans="4:8" x14ac:dyDescent="0.25">
      <c r="D15719" s="28"/>
      <c r="F15719" s="28"/>
      <c r="H15719" s="28"/>
    </row>
    <row r="15720" spans="4:8" x14ac:dyDescent="0.25">
      <c r="D15720" s="28"/>
      <c r="F15720" s="28"/>
      <c r="H15720" s="28"/>
    </row>
    <row r="15721" spans="4:8" x14ac:dyDescent="0.25">
      <c r="D15721" s="28"/>
      <c r="F15721" s="28"/>
      <c r="H15721" s="28"/>
    </row>
    <row r="15722" spans="4:8" x14ac:dyDescent="0.25">
      <c r="D15722" s="28"/>
      <c r="F15722" s="28"/>
      <c r="H15722" s="28"/>
    </row>
    <row r="15723" spans="4:8" x14ac:dyDescent="0.25">
      <c r="D15723" s="28"/>
      <c r="F15723" s="28"/>
      <c r="H15723" s="28"/>
    </row>
    <row r="15724" spans="4:8" x14ac:dyDescent="0.25">
      <c r="D15724" s="28"/>
      <c r="F15724" s="28"/>
      <c r="H15724" s="28"/>
    </row>
    <row r="15725" spans="4:8" x14ac:dyDescent="0.25">
      <c r="D15725" s="28"/>
      <c r="F15725" s="28"/>
      <c r="H15725" s="28"/>
    </row>
    <row r="15726" spans="4:8" x14ac:dyDescent="0.25">
      <c r="D15726" s="28"/>
      <c r="F15726" s="28"/>
      <c r="H15726" s="28"/>
    </row>
    <row r="15727" spans="4:8" x14ac:dyDescent="0.25">
      <c r="D15727" s="28"/>
      <c r="F15727" s="28"/>
      <c r="H15727" s="28"/>
    </row>
    <row r="15728" spans="4:8" x14ac:dyDescent="0.25">
      <c r="D15728" s="28"/>
      <c r="F15728" s="28"/>
      <c r="H15728" s="28"/>
    </row>
    <row r="15729" spans="4:8" x14ac:dyDescent="0.25">
      <c r="D15729" s="28"/>
      <c r="F15729" s="28"/>
      <c r="H15729" s="28"/>
    </row>
    <row r="15730" spans="4:8" x14ac:dyDescent="0.25">
      <c r="D15730" s="28"/>
      <c r="F15730" s="28"/>
      <c r="H15730" s="28"/>
    </row>
    <row r="15731" spans="4:8" x14ac:dyDescent="0.25">
      <c r="D15731" s="28"/>
      <c r="F15731" s="28"/>
      <c r="H15731" s="28"/>
    </row>
    <row r="15732" spans="4:8" x14ac:dyDescent="0.25">
      <c r="D15732" s="28"/>
      <c r="F15732" s="28"/>
      <c r="H15732" s="28"/>
    </row>
    <row r="15733" spans="4:8" x14ac:dyDescent="0.25">
      <c r="D15733" s="28"/>
      <c r="F15733" s="28"/>
      <c r="H15733" s="28"/>
    </row>
    <row r="15734" spans="4:8" x14ac:dyDescent="0.25">
      <c r="D15734" s="28"/>
      <c r="F15734" s="28"/>
      <c r="H15734" s="28"/>
    </row>
    <row r="15735" spans="4:8" x14ac:dyDescent="0.25">
      <c r="D15735" s="28"/>
      <c r="F15735" s="28"/>
      <c r="H15735" s="28"/>
    </row>
    <row r="15736" spans="4:8" x14ac:dyDescent="0.25">
      <c r="D15736" s="28"/>
      <c r="F15736" s="28"/>
      <c r="H15736" s="28"/>
    </row>
    <row r="15737" spans="4:8" x14ac:dyDescent="0.25">
      <c r="D15737" s="28"/>
      <c r="F15737" s="28"/>
      <c r="H15737" s="28"/>
    </row>
    <row r="15738" spans="4:8" x14ac:dyDescent="0.25">
      <c r="D15738" s="28"/>
      <c r="F15738" s="28"/>
      <c r="H15738" s="28"/>
    </row>
    <row r="15739" spans="4:8" x14ac:dyDescent="0.25">
      <c r="D15739" s="28"/>
      <c r="F15739" s="28"/>
      <c r="H15739" s="28"/>
    </row>
    <row r="15740" spans="4:8" x14ac:dyDescent="0.25">
      <c r="D15740" s="28"/>
      <c r="F15740" s="28"/>
      <c r="H15740" s="28"/>
    </row>
    <row r="15741" spans="4:8" x14ac:dyDescent="0.25">
      <c r="D15741" s="28"/>
      <c r="F15741" s="28"/>
      <c r="H15741" s="28"/>
    </row>
    <row r="15742" spans="4:8" x14ac:dyDescent="0.25">
      <c r="D15742" s="28"/>
      <c r="F15742" s="28"/>
      <c r="H15742" s="28"/>
    </row>
    <row r="15743" spans="4:8" x14ac:dyDescent="0.25">
      <c r="D15743" s="28"/>
      <c r="F15743" s="28"/>
      <c r="H15743" s="28"/>
    </row>
    <row r="15744" spans="4:8" x14ac:dyDescent="0.25">
      <c r="D15744" s="28"/>
      <c r="F15744" s="28"/>
      <c r="H15744" s="28"/>
    </row>
    <row r="15745" spans="4:8" x14ac:dyDescent="0.25">
      <c r="D15745" s="28"/>
      <c r="F15745" s="28"/>
      <c r="H15745" s="28"/>
    </row>
    <row r="15746" spans="4:8" x14ac:dyDescent="0.25">
      <c r="D15746" s="28"/>
      <c r="F15746" s="28"/>
      <c r="H15746" s="28"/>
    </row>
    <row r="15747" spans="4:8" x14ac:dyDescent="0.25">
      <c r="D15747" s="28"/>
      <c r="F15747" s="28"/>
      <c r="H15747" s="28"/>
    </row>
    <row r="15748" spans="4:8" x14ac:dyDescent="0.25">
      <c r="D15748" s="28"/>
      <c r="F15748" s="28"/>
      <c r="H15748" s="28"/>
    </row>
    <row r="15749" spans="4:8" x14ac:dyDescent="0.25">
      <c r="D15749" s="28"/>
      <c r="F15749" s="28"/>
      <c r="H15749" s="28"/>
    </row>
    <row r="15750" spans="4:8" x14ac:dyDescent="0.25">
      <c r="D15750" s="28"/>
      <c r="F15750" s="28"/>
      <c r="H15750" s="28"/>
    </row>
    <row r="15751" spans="4:8" x14ac:dyDescent="0.25">
      <c r="D15751" s="28"/>
      <c r="F15751" s="28"/>
      <c r="H15751" s="28"/>
    </row>
    <row r="15752" spans="4:8" x14ac:dyDescent="0.25">
      <c r="D15752" s="28"/>
      <c r="F15752" s="28"/>
      <c r="H15752" s="28"/>
    </row>
    <row r="15753" spans="4:8" x14ac:dyDescent="0.25">
      <c r="D15753" s="28"/>
      <c r="F15753" s="28"/>
      <c r="H15753" s="28"/>
    </row>
    <row r="15754" spans="4:8" x14ac:dyDescent="0.25">
      <c r="D15754" s="28"/>
      <c r="F15754" s="28"/>
      <c r="H15754" s="28"/>
    </row>
    <row r="15755" spans="4:8" x14ac:dyDescent="0.25">
      <c r="D15755" s="28"/>
      <c r="F15755" s="28"/>
      <c r="H15755" s="28"/>
    </row>
    <row r="15756" spans="4:8" x14ac:dyDescent="0.25">
      <c r="D15756" s="28"/>
      <c r="F15756" s="28"/>
      <c r="H15756" s="28"/>
    </row>
    <row r="15757" spans="4:8" x14ac:dyDescent="0.25">
      <c r="D15757" s="28"/>
      <c r="F15757" s="28"/>
      <c r="H15757" s="28"/>
    </row>
    <row r="15758" spans="4:8" x14ac:dyDescent="0.25">
      <c r="D15758" s="28"/>
      <c r="F15758" s="28"/>
      <c r="H15758" s="28"/>
    </row>
    <row r="15759" spans="4:8" x14ac:dyDescent="0.25">
      <c r="D15759" s="28"/>
      <c r="F15759" s="28"/>
      <c r="H15759" s="28"/>
    </row>
    <row r="15760" spans="4:8" x14ac:dyDescent="0.25">
      <c r="D15760" s="28"/>
      <c r="F15760" s="28"/>
      <c r="H15760" s="28"/>
    </row>
    <row r="15761" spans="4:8" x14ac:dyDescent="0.25">
      <c r="D15761" s="28"/>
      <c r="F15761" s="28"/>
      <c r="H15761" s="28"/>
    </row>
    <row r="15762" spans="4:8" x14ac:dyDescent="0.25">
      <c r="D15762" s="28"/>
      <c r="F15762" s="28"/>
      <c r="H15762" s="28"/>
    </row>
    <row r="15763" spans="4:8" x14ac:dyDescent="0.25">
      <c r="D15763" s="28"/>
      <c r="F15763" s="28"/>
      <c r="H15763" s="28"/>
    </row>
    <row r="15764" spans="4:8" x14ac:dyDescent="0.25">
      <c r="D15764" s="28"/>
      <c r="F15764" s="28"/>
      <c r="H15764" s="28"/>
    </row>
    <row r="15765" spans="4:8" x14ac:dyDescent="0.25">
      <c r="D15765" s="28"/>
      <c r="F15765" s="28"/>
      <c r="H15765" s="28"/>
    </row>
    <row r="15766" spans="4:8" x14ac:dyDescent="0.25">
      <c r="D15766" s="28"/>
      <c r="F15766" s="28"/>
      <c r="H15766" s="28"/>
    </row>
    <row r="15767" spans="4:8" x14ac:dyDescent="0.25">
      <c r="D15767" s="28"/>
      <c r="F15767" s="28"/>
      <c r="H15767" s="28"/>
    </row>
    <row r="15768" spans="4:8" x14ac:dyDescent="0.25">
      <c r="D15768" s="28"/>
      <c r="F15768" s="28"/>
      <c r="H15768" s="28"/>
    </row>
    <row r="15769" spans="4:8" x14ac:dyDescent="0.25">
      <c r="D15769" s="28"/>
      <c r="F15769" s="28"/>
      <c r="H15769" s="28"/>
    </row>
    <row r="15770" spans="4:8" x14ac:dyDescent="0.25">
      <c r="D15770" s="28"/>
      <c r="F15770" s="28"/>
      <c r="H15770" s="28"/>
    </row>
    <row r="15771" spans="4:8" x14ac:dyDescent="0.25">
      <c r="D15771" s="28"/>
      <c r="F15771" s="28"/>
      <c r="H15771" s="28"/>
    </row>
    <row r="15772" spans="4:8" x14ac:dyDescent="0.25">
      <c r="D15772" s="28"/>
      <c r="F15772" s="28"/>
      <c r="H15772" s="28"/>
    </row>
    <row r="15773" spans="4:8" x14ac:dyDescent="0.25">
      <c r="D15773" s="28"/>
      <c r="F15773" s="28"/>
      <c r="H15773" s="28"/>
    </row>
    <row r="15774" spans="4:8" x14ac:dyDescent="0.25">
      <c r="D15774" s="28"/>
      <c r="F15774" s="28"/>
      <c r="H15774" s="28"/>
    </row>
    <row r="15775" spans="4:8" x14ac:dyDescent="0.25">
      <c r="D15775" s="28"/>
      <c r="F15775" s="28"/>
      <c r="H15775" s="28"/>
    </row>
    <row r="15776" spans="4:8" x14ac:dyDescent="0.25">
      <c r="D15776" s="28"/>
      <c r="F15776" s="28"/>
      <c r="H15776" s="28"/>
    </row>
    <row r="15777" spans="4:8" x14ac:dyDescent="0.25">
      <c r="D15777" s="28"/>
      <c r="F15777" s="28"/>
      <c r="H15777" s="28"/>
    </row>
    <row r="15778" spans="4:8" x14ac:dyDescent="0.25">
      <c r="D15778" s="28"/>
      <c r="F15778" s="28"/>
      <c r="H15778" s="28"/>
    </row>
    <row r="15779" spans="4:8" x14ac:dyDescent="0.25">
      <c r="D15779" s="28"/>
      <c r="F15779" s="28"/>
      <c r="H15779" s="28"/>
    </row>
    <row r="15780" spans="4:8" x14ac:dyDescent="0.25">
      <c r="D15780" s="28"/>
      <c r="F15780" s="28"/>
      <c r="H15780" s="28"/>
    </row>
    <row r="15781" spans="4:8" x14ac:dyDescent="0.25">
      <c r="D15781" s="28"/>
      <c r="F15781" s="28"/>
      <c r="H15781" s="28"/>
    </row>
    <row r="15782" spans="4:8" x14ac:dyDescent="0.25">
      <c r="D15782" s="28"/>
      <c r="F15782" s="28"/>
      <c r="H15782" s="28"/>
    </row>
    <row r="15783" spans="4:8" x14ac:dyDescent="0.25">
      <c r="D15783" s="28"/>
      <c r="F15783" s="28"/>
      <c r="H15783" s="28"/>
    </row>
    <row r="15784" spans="4:8" x14ac:dyDescent="0.25">
      <c r="D15784" s="28"/>
      <c r="F15784" s="28"/>
      <c r="H15784" s="28"/>
    </row>
    <row r="15785" spans="4:8" x14ac:dyDescent="0.25">
      <c r="D15785" s="28"/>
      <c r="F15785" s="28"/>
      <c r="H15785" s="28"/>
    </row>
    <row r="15786" spans="4:8" x14ac:dyDescent="0.25">
      <c r="D15786" s="28"/>
      <c r="F15786" s="28"/>
      <c r="H15786" s="28"/>
    </row>
    <row r="15787" spans="4:8" x14ac:dyDescent="0.25">
      <c r="D15787" s="28"/>
      <c r="F15787" s="28"/>
      <c r="H15787" s="28"/>
    </row>
    <row r="15788" spans="4:8" x14ac:dyDescent="0.25">
      <c r="D15788" s="28"/>
      <c r="F15788" s="28"/>
      <c r="H15788" s="28"/>
    </row>
    <row r="15789" spans="4:8" x14ac:dyDescent="0.25">
      <c r="D15789" s="28"/>
      <c r="F15789" s="28"/>
      <c r="H15789" s="28"/>
    </row>
    <row r="15790" spans="4:8" x14ac:dyDescent="0.25">
      <c r="D15790" s="28"/>
      <c r="F15790" s="28"/>
      <c r="H15790" s="28"/>
    </row>
    <row r="15791" spans="4:8" x14ac:dyDescent="0.25">
      <c r="D15791" s="28"/>
      <c r="F15791" s="28"/>
      <c r="H15791" s="28"/>
    </row>
    <row r="15792" spans="4:8" x14ac:dyDescent="0.25">
      <c r="D15792" s="28"/>
      <c r="F15792" s="28"/>
      <c r="H15792" s="28"/>
    </row>
    <row r="15793" spans="4:8" x14ac:dyDescent="0.25">
      <c r="D15793" s="28"/>
      <c r="F15793" s="28"/>
      <c r="H15793" s="28"/>
    </row>
    <row r="15794" spans="4:8" x14ac:dyDescent="0.25">
      <c r="D15794" s="28"/>
      <c r="F15794" s="28"/>
      <c r="H15794" s="28"/>
    </row>
    <row r="15795" spans="4:8" x14ac:dyDescent="0.25">
      <c r="D15795" s="28"/>
      <c r="F15795" s="28"/>
      <c r="H15795" s="28"/>
    </row>
    <row r="15796" spans="4:8" x14ac:dyDescent="0.25">
      <c r="D15796" s="28"/>
      <c r="F15796" s="28"/>
      <c r="H15796" s="28"/>
    </row>
    <row r="15797" spans="4:8" x14ac:dyDescent="0.25">
      <c r="D15797" s="28"/>
      <c r="F15797" s="28"/>
      <c r="H15797" s="28"/>
    </row>
    <row r="15798" spans="4:8" x14ac:dyDescent="0.25">
      <c r="D15798" s="28"/>
      <c r="F15798" s="28"/>
      <c r="H15798" s="28"/>
    </row>
    <row r="15799" spans="4:8" x14ac:dyDescent="0.25">
      <c r="D15799" s="28"/>
      <c r="F15799" s="28"/>
      <c r="H15799" s="28"/>
    </row>
    <row r="15800" spans="4:8" x14ac:dyDescent="0.25">
      <c r="D15800" s="28"/>
      <c r="F15800" s="28"/>
      <c r="H15800" s="28"/>
    </row>
    <row r="15801" spans="4:8" x14ac:dyDescent="0.25">
      <c r="D15801" s="28"/>
      <c r="F15801" s="28"/>
      <c r="H15801" s="28"/>
    </row>
    <row r="15802" spans="4:8" x14ac:dyDescent="0.25">
      <c r="D15802" s="28"/>
      <c r="F15802" s="28"/>
      <c r="H15802" s="28"/>
    </row>
    <row r="15803" spans="4:8" x14ac:dyDescent="0.25">
      <c r="D15803" s="28"/>
      <c r="F15803" s="28"/>
      <c r="H15803" s="28"/>
    </row>
    <row r="15804" spans="4:8" x14ac:dyDescent="0.25">
      <c r="D15804" s="28"/>
      <c r="F15804" s="28"/>
      <c r="H15804" s="28"/>
    </row>
    <row r="15805" spans="4:8" x14ac:dyDescent="0.25">
      <c r="D15805" s="28"/>
      <c r="F15805" s="28"/>
      <c r="H15805" s="28"/>
    </row>
    <row r="15806" spans="4:8" x14ac:dyDescent="0.25">
      <c r="D15806" s="28"/>
      <c r="F15806" s="28"/>
      <c r="H15806" s="28"/>
    </row>
    <row r="15807" spans="4:8" x14ac:dyDescent="0.25">
      <c r="D15807" s="28"/>
      <c r="F15807" s="28"/>
      <c r="H15807" s="28"/>
    </row>
    <row r="15808" spans="4:8" x14ac:dyDescent="0.25">
      <c r="D15808" s="28"/>
      <c r="F15808" s="28"/>
      <c r="H15808" s="28"/>
    </row>
    <row r="15809" spans="4:8" x14ac:dyDescent="0.25">
      <c r="D15809" s="28"/>
      <c r="F15809" s="28"/>
      <c r="H15809" s="28"/>
    </row>
    <row r="15810" spans="4:8" x14ac:dyDescent="0.25">
      <c r="D15810" s="28"/>
      <c r="F15810" s="28"/>
      <c r="H15810" s="28"/>
    </row>
    <row r="15811" spans="4:8" x14ac:dyDescent="0.25">
      <c r="D15811" s="28"/>
      <c r="F15811" s="28"/>
      <c r="H15811" s="28"/>
    </row>
    <row r="15812" spans="4:8" x14ac:dyDescent="0.25">
      <c r="D15812" s="28"/>
      <c r="F15812" s="28"/>
      <c r="H15812" s="28"/>
    </row>
    <row r="15813" spans="4:8" x14ac:dyDescent="0.25">
      <c r="D15813" s="28"/>
      <c r="F15813" s="28"/>
      <c r="H15813" s="28"/>
    </row>
    <row r="15814" spans="4:8" x14ac:dyDescent="0.25">
      <c r="D15814" s="28"/>
      <c r="F15814" s="28"/>
      <c r="H15814" s="28"/>
    </row>
    <row r="15815" spans="4:8" x14ac:dyDescent="0.25">
      <c r="D15815" s="28"/>
      <c r="F15815" s="28"/>
      <c r="H15815" s="28"/>
    </row>
    <row r="15816" spans="4:8" x14ac:dyDescent="0.25">
      <c r="D15816" s="28"/>
      <c r="F15816" s="28"/>
      <c r="H15816" s="28"/>
    </row>
    <row r="15817" spans="4:8" x14ac:dyDescent="0.25">
      <c r="D15817" s="28"/>
      <c r="F15817" s="28"/>
      <c r="H15817" s="28"/>
    </row>
    <row r="15818" spans="4:8" x14ac:dyDescent="0.25">
      <c r="D15818" s="28"/>
      <c r="F15818" s="28"/>
      <c r="H15818" s="28"/>
    </row>
    <row r="15819" spans="4:8" x14ac:dyDescent="0.25">
      <c r="D15819" s="28"/>
      <c r="F15819" s="28"/>
      <c r="H15819" s="28"/>
    </row>
    <row r="15820" spans="4:8" x14ac:dyDescent="0.25">
      <c r="D15820" s="28"/>
      <c r="F15820" s="28"/>
      <c r="H15820" s="28"/>
    </row>
    <row r="15821" spans="4:8" x14ac:dyDescent="0.25">
      <c r="D15821" s="28"/>
      <c r="F15821" s="28"/>
      <c r="H15821" s="28"/>
    </row>
    <row r="15822" spans="4:8" x14ac:dyDescent="0.25">
      <c r="D15822" s="28"/>
      <c r="F15822" s="28"/>
      <c r="H15822" s="28"/>
    </row>
    <row r="15823" spans="4:8" x14ac:dyDescent="0.25">
      <c r="D15823" s="28"/>
      <c r="F15823" s="28"/>
      <c r="H15823" s="28"/>
    </row>
    <row r="15824" spans="4:8" x14ac:dyDescent="0.25">
      <c r="D15824" s="28"/>
      <c r="F15824" s="28"/>
      <c r="H15824" s="28"/>
    </row>
    <row r="15825" spans="4:8" x14ac:dyDescent="0.25">
      <c r="D15825" s="28"/>
      <c r="F15825" s="28"/>
      <c r="H15825" s="28"/>
    </row>
    <row r="15826" spans="4:8" x14ac:dyDescent="0.25">
      <c r="D15826" s="28"/>
      <c r="F15826" s="28"/>
      <c r="H15826" s="28"/>
    </row>
    <row r="15827" spans="4:8" x14ac:dyDescent="0.25">
      <c r="D15827" s="28"/>
      <c r="F15827" s="28"/>
      <c r="H15827" s="28"/>
    </row>
    <row r="15828" spans="4:8" x14ac:dyDescent="0.25">
      <c r="D15828" s="28"/>
      <c r="F15828" s="28"/>
      <c r="H15828" s="28"/>
    </row>
    <row r="15829" spans="4:8" x14ac:dyDescent="0.25">
      <c r="D15829" s="28"/>
      <c r="F15829" s="28"/>
      <c r="H15829" s="28"/>
    </row>
    <row r="15830" spans="4:8" x14ac:dyDescent="0.25">
      <c r="D15830" s="28"/>
      <c r="F15830" s="28"/>
      <c r="H15830" s="28"/>
    </row>
    <row r="15831" spans="4:8" x14ac:dyDescent="0.25">
      <c r="D15831" s="28"/>
      <c r="F15831" s="28"/>
      <c r="H15831" s="28"/>
    </row>
    <row r="15832" spans="4:8" x14ac:dyDescent="0.25">
      <c r="D15832" s="28"/>
      <c r="F15832" s="28"/>
      <c r="H15832" s="28"/>
    </row>
    <row r="15833" spans="4:8" x14ac:dyDescent="0.25">
      <c r="D15833" s="28"/>
      <c r="F15833" s="28"/>
      <c r="H15833" s="28"/>
    </row>
    <row r="15834" spans="4:8" x14ac:dyDescent="0.25">
      <c r="D15834" s="28"/>
      <c r="F15834" s="28"/>
      <c r="H15834" s="28"/>
    </row>
    <row r="15835" spans="4:8" x14ac:dyDescent="0.25">
      <c r="D15835" s="28"/>
      <c r="F15835" s="28"/>
      <c r="H15835" s="28"/>
    </row>
    <row r="15836" spans="4:8" x14ac:dyDescent="0.25">
      <c r="D15836" s="28"/>
      <c r="F15836" s="28"/>
      <c r="H15836" s="28"/>
    </row>
    <row r="15837" spans="4:8" x14ac:dyDescent="0.25">
      <c r="D15837" s="28"/>
      <c r="F15837" s="28"/>
      <c r="H15837" s="28"/>
    </row>
    <row r="15838" spans="4:8" x14ac:dyDescent="0.25">
      <c r="D15838" s="28"/>
      <c r="F15838" s="28"/>
      <c r="H15838" s="28"/>
    </row>
    <row r="15839" spans="4:8" x14ac:dyDescent="0.25">
      <c r="D15839" s="28"/>
      <c r="F15839" s="28"/>
      <c r="H15839" s="28"/>
    </row>
    <row r="15840" spans="4:8" x14ac:dyDescent="0.25">
      <c r="D15840" s="28"/>
      <c r="F15840" s="28"/>
      <c r="H15840" s="28"/>
    </row>
    <row r="15841" spans="4:8" x14ac:dyDescent="0.25">
      <c r="D15841" s="28"/>
      <c r="F15841" s="28"/>
      <c r="H15841" s="28"/>
    </row>
    <row r="15842" spans="4:8" x14ac:dyDescent="0.25">
      <c r="D15842" s="28"/>
      <c r="F15842" s="28"/>
      <c r="H15842" s="28"/>
    </row>
    <row r="15843" spans="4:8" x14ac:dyDescent="0.25">
      <c r="D15843" s="28"/>
      <c r="F15843" s="28"/>
      <c r="H15843" s="28"/>
    </row>
    <row r="15844" spans="4:8" x14ac:dyDescent="0.25">
      <c r="D15844" s="28"/>
      <c r="F15844" s="28"/>
      <c r="H15844" s="28"/>
    </row>
    <row r="15845" spans="4:8" x14ac:dyDescent="0.25">
      <c r="D15845" s="28"/>
      <c r="F15845" s="28"/>
      <c r="H15845" s="28"/>
    </row>
    <row r="15846" spans="4:8" x14ac:dyDescent="0.25">
      <c r="D15846" s="28"/>
      <c r="F15846" s="28"/>
      <c r="H15846" s="28"/>
    </row>
    <row r="15847" spans="4:8" x14ac:dyDescent="0.25">
      <c r="D15847" s="28"/>
      <c r="F15847" s="28"/>
      <c r="H15847" s="28"/>
    </row>
    <row r="15848" spans="4:8" x14ac:dyDescent="0.25">
      <c r="D15848" s="28"/>
      <c r="F15848" s="28"/>
      <c r="H15848" s="28"/>
    </row>
    <row r="15849" spans="4:8" x14ac:dyDescent="0.25">
      <c r="D15849" s="28"/>
      <c r="F15849" s="28"/>
      <c r="H15849" s="28"/>
    </row>
    <row r="15850" spans="4:8" x14ac:dyDescent="0.25">
      <c r="D15850" s="28"/>
      <c r="F15850" s="28"/>
      <c r="H15850" s="28"/>
    </row>
    <row r="15851" spans="4:8" x14ac:dyDescent="0.25">
      <c r="D15851" s="28"/>
      <c r="F15851" s="28"/>
      <c r="H15851" s="28"/>
    </row>
    <row r="15852" spans="4:8" x14ac:dyDescent="0.25">
      <c r="D15852" s="28"/>
      <c r="F15852" s="28"/>
      <c r="H15852" s="28"/>
    </row>
    <row r="15853" spans="4:8" x14ac:dyDescent="0.25">
      <c r="D15853" s="28"/>
      <c r="F15853" s="28"/>
      <c r="H15853" s="28"/>
    </row>
    <row r="15854" spans="4:8" x14ac:dyDescent="0.25">
      <c r="D15854" s="28"/>
      <c r="F15854" s="28"/>
      <c r="H15854" s="28"/>
    </row>
    <row r="15855" spans="4:8" x14ac:dyDescent="0.25">
      <c r="D15855" s="28"/>
      <c r="F15855" s="28"/>
      <c r="H15855" s="28"/>
    </row>
    <row r="15856" spans="4:8" x14ac:dyDescent="0.25">
      <c r="D15856" s="28"/>
      <c r="F15856" s="28"/>
      <c r="H15856" s="28"/>
    </row>
    <row r="15857" spans="4:8" x14ac:dyDescent="0.25">
      <c r="D15857" s="28"/>
      <c r="F15857" s="28"/>
      <c r="H15857" s="28"/>
    </row>
    <row r="15858" spans="4:8" x14ac:dyDescent="0.25">
      <c r="D15858" s="28"/>
      <c r="F15858" s="28"/>
      <c r="H15858" s="28"/>
    </row>
    <row r="15859" spans="4:8" x14ac:dyDescent="0.25">
      <c r="D15859" s="28"/>
      <c r="F15859" s="28"/>
      <c r="H15859" s="28"/>
    </row>
    <row r="15860" spans="4:8" x14ac:dyDescent="0.25">
      <c r="D15860" s="28"/>
      <c r="F15860" s="28"/>
      <c r="H15860" s="28"/>
    </row>
    <row r="15861" spans="4:8" x14ac:dyDescent="0.25">
      <c r="D15861" s="28"/>
      <c r="F15861" s="28"/>
      <c r="H15861" s="28"/>
    </row>
    <row r="15862" spans="4:8" x14ac:dyDescent="0.25">
      <c r="D15862" s="28"/>
      <c r="F15862" s="28"/>
      <c r="H15862" s="28"/>
    </row>
    <row r="15863" spans="4:8" x14ac:dyDescent="0.25">
      <c r="D15863" s="28"/>
      <c r="F15863" s="28"/>
      <c r="H15863" s="28"/>
    </row>
    <row r="15864" spans="4:8" x14ac:dyDescent="0.25">
      <c r="D15864" s="28"/>
      <c r="F15864" s="28"/>
      <c r="H15864" s="28"/>
    </row>
    <row r="15865" spans="4:8" x14ac:dyDescent="0.25">
      <c r="D15865" s="28"/>
      <c r="F15865" s="28"/>
      <c r="H15865" s="28"/>
    </row>
    <row r="15866" spans="4:8" x14ac:dyDescent="0.25">
      <c r="D15866" s="28"/>
      <c r="F15866" s="28"/>
      <c r="H15866" s="28"/>
    </row>
    <row r="15867" spans="4:8" x14ac:dyDescent="0.25">
      <c r="D15867" s="28"/>
      <c r="F15867" s="28"/>
      <c r="H15867" s="28"/>
    </row>
    <row r="15868" spans="4:8" x14ac:dyDescent="0.25">
      <c r="D15868" s="28"/>
      <c r="F15868" s="28"/>
      <c r="H15868" s="28"/>
    </row>
    <row r="15869" spans="4:8" x14ac:dyDescent="0.25">
      <c r="D15869" s="28"/>
      <c r="F15869" s="28"/>
      <c r="H15869" s="28"/>
    </row>
    <row r="15870" spans="4:8" x14ac:dyDescent="0.25">
      <c r="D15870" s="28"/>
      <c r="F15870" s="28"/>
      <c r="H15870" s="28"/>
    </row>
    <row r="15871" spans="4:8" x14ac:dyDescent="0.25">
      <c r="D15871" s="28"/>
      <c r="F15871" s="28"/>
      <c r="H15871" s="28"/>
    </row>
    <row r="15872" spans="4:8" x14ac:dyDescent="0.25">
      <c r="D15872" s="28"/>
      <c r="F15872" s="28"/>
      <c r="H15872" s="28"/>
    </row>
    <row r="15873" spans="4:8" x14ac:dyDescent="0.25">
      <c r="D15873" s="28"/>
      <c r="F15873" s="28"/>
      <c r="H15873" s="28"/>
    </row>
    <row r="15874" spans="4:8" x14ac:dyDescent="0.25">
      <c r="D15874" s="28"/>
      <c r="F15874" s="28"/>
      <c r="H15874" s="28"/>
    </row>
    <row r="15875" spans="4:8" x14ac:dyDescent="0.25">
      <c r="D15875" s="28"/>
      <c r="F15875" s="28"/>
      <c r="H15875" s="28"/>
    </row>
    <row r="15876" spans="4:8" x14ac:dyDescent="0.25">
      <c r="D15876" s="28"/>
      <c r="F15876" s="28"/>
      <c r="H15876" s="28"/>
    </row>
    <row r="15877" spans="4:8" x14ac:dyDescent="0.25">
      <c r="D15877" s="28"/>
      <c r="F15877" s="28"/>
      <c r="H15877" s="28"/>
    </row>
    <row r="15878" spans="4:8" x14ac:dyDescent="0.25">
      <c r="D15878" s="28"/>
      <c r="F15878" s="28"/>
      <c r="H15878" s="28"/>
    </row>
    <row r="15879" spans="4:8" x14ac:dyDescent="0.25">
      <c r="D15879" s="28"/>
      <c r="F15879" s="28"/>
      <c r="H15879" s="28"/>
    </row>
    <row r="15880" spans="4:8" x14ac:dyDescent="0.25">
      <c r="D15880" s="28"/>
      <c r="F15880" s="28"/>
      <c r="H15880" s="28"/>
    </row>
    <row r="15881" spans="4:8" x14ac:dyDescent="0.25">
      <c r="D15881" s="28"/>
      <c r="F15881" s="28"/>
      <c r="H15881" s="28"/>
    </row>
    <row r="15882" spans="4:8" x14ac:dyDescent="0.25">
      <c r="D15882" s="28"/>
      <c r="F15882" s="28"/>
      <c r="H15882" s="28"/>
    </row>
    <row r="15883" spans="4:8" x14ac:dyDescent="0.25">
      <c r="D15883" s="28"/>
      <c r="F15883" s="28"/>
      <c r="H15883" s="28"/>
    </row>
    <row r="15884" spans="4:8" x14ac:dyDescent="0.25">
      <c r="D15884" s="28"/>
      <c r="F15884" s="28"/>
      <c r="H15884" s="28"/>
    </row>
    <row r="15885" spans="4:8" x14ac:dyDescent="0.25">
      <c r="D15885" s="28"/>
      <c r="F15885" s="28"/>
      <c r="H15885" s="28"/>
    </row>
    <row r="15886" spans="4:8" x14ac:dyDescent="0.25">
      <c r="D15886" s="28"/>
      <c r="F15886" s="28"/>
      <c r="H15886" s="28"/>
    </row>
    <row r="15887" spans="4:8" x14ac:dyDescent="0.25">
      <c r="D15887" s="28"/>
      <c r="F15887" s="28"/>
      <c r="H15887" s="28"/>
    </row>
    <row r="15888" spans="4:8" x14ac:dyDescent="0.25">
      <c r="D15888" s="28"/>
      <c r="F15888" s="28"/>
      <c r="H15888" s="28"/>
    </row>
    <row r="15889" spans="4:8" x14ac:dyDescent="0.25">
      <c r="D15889" s="28"/>
      <c r="F15889" s="28"/>
      <c r="H15889" s="28"/>
    </row>
    <row r="15890" spans="4:8" x14ac:dyDescent="0.25">
      <c r="D15890" s="28"/>
      <c r="F15890" s="28"/>
      <c r="H15890" s="28"/>
    </row>
    <row r="15891" spans="4:8" x14ac:dyDescent="0.25">
      <c r="D15891" s="28"/>
      <c r="F15891" s="28"/>
      <c r="H15891" s="28"/>
    </row>
    <row r="15892" spans="4:8" x14ac:dyDescent="0.25">
      <c r="D15892" s="28"/>
      <c r="F15892" s="28"/>
      <c r="H15892" s="28"/>
    </row>
    <row r="15893" spans="4:8" x14ac:dyDescent="0.25">
      <c r="D15893" s="28"/>
      <c r="F15893" s="28"/>
      <c r="H15893" s="28"/>
    </row>
    <row r="15894" spans="4:8" x14ac:dyDescent="0.25">
      <c r="D15894" s="28"/>
      <c r="F15894" s="28"/>
      <c r="H15894" s="28"/>
    </row>
    <row r="15895" spans="4:8" x14ac:dyDescent="0.25">
      <c r="D15895" s="28"/>
      <c r="F15895" s="28"/>
      <c r="H15895" s="28"/>
    </row>
    <row r="15896" spans="4:8" x14ac:dyDescent="0.25">
      <c r="D15896" s="28"/>
      <c r="F15896" s="28"/>
      <c r="H15896" s="28"/>
    </row>
    <row r="15897" spans="4:8" x14ac:dyDescent="0.25">
      <c r="D15897" s="28"/>
      <c r="F15897" s="28"/>
      <c r="H15897" s="28"/>
    </row>
    <row r="15898" spans="4:8" x14ac:dyDescent="0.25">
      <c r="D15898" s="28"/>
      <c r="F15898" s="28"/>
      <c r="H15898" s="28"/>
    </row>
    <row r="15899" spans="4:8" x14ac:dyDescent="0.25">
      <c r="D15899" s="28"/>
      <c r="F15899" s="28"/>
      <c r="H15899" s="28"/>
    </row>
    <row r="15900" spans="4:8" x14ac:dyDescent="0.25">
      <c r="D15900" s="28"/>
      <c r="F15900" s="28"/>
      <c r="H15900" s="28"/>
    </row>
    <row r="15901" spans="4:8" x14ac:dyDescent="0.25">
      <c r="D15901" s="28"/>
      <c r="F15901" s="28"/>
      <c r="H15901" s="28"/>
    </row>
    <row r="15902" spans="4:8" x14ac:dyDescent="0.25">
      <c r="D15902" s="28"/>
      <c r="F15902" s="28"/>
      <c r="H15902" s="28"/>
    </row>
    <row r="15903" spans="4:8" x14ac:dyDescent="0.25">
      <c r="D15903" s="28"/>
      <c r="F15903" s="28"/>
      <c r="H15903" s="28"/>
    </row>
    <row r="15904" spans="4:8" x14ac:dyDescent="0.25">
      <c r="D15904" s="28"/>
      <c r="F15904" s="28"/>
      <c r="H15904" s="28"/>
    </row>
    <row r="15905" spans="4:8" x14ac:dyDescent="0.25">
      <c r="D15905" s="28"/>
      <c r="F15905" s="28"/>
      <c r="H15905" s="28"/>
    </row>
    <row r="15906" spans="4:8" x14ac:dyDescent="0.25">
      <c r="D15906" s="28"/>
      <c r="F15906" s="28"/>
      <c r="H15906" s="28"/>
    </row>
    <row r="15907" spans="4:8" x14ac:dyDescent="0.25">
      <c r="D15907" s="28"/>
      <c r="F15907" s="28"/>
      <c r="H15907" s="28"/>
    </row>
    <row r="15908" spans="4:8" x14ac:dyDescent="0.25">
      <c r="D15908" s="28"/>
      <c r="F15908" s="28"/>
      <c r="H15908" s="28"/>
    </row>
    <row r="15909" spans="4:8" x14ac:dyDescent="0.25">
      <c r="D15909" s="28"/>
      <c r="F15909" s="28"/>
      <c r="H15909" s="28"/>
    </row>
    <row r="15910" spans="4:8" x14ac:dyDescent="0.25">
      <c r="D15910" s="28"/>
      <c r="F15910" s="28"/>
      <c r="H15910" s="28"/>
    </row>
    <row r="15911" spans="4:8" x14ac:dyDescent="0.25">
      <c r="D15911" s="28"/>
      <c r="F15911" s="28"/>
      <c r="H15911" s="28"/>
    </row>
    <row r="15912" spans="4:8" x14ac:dyDescent="0.25">
      <c r="D15912" s="28"/>
      <c r="F15912" s="28"/>
      <c r="H15912" s="28"/>
    </row>
    <row r="15913" spans="4:8" x14ac:dyDescent="0.25">
      <c r="D15913" s="28"/>
      <c r="F15913" s="28"/>
      <c r="H15913" s="28"/>
    </row>
    <row r="15914" spans="4:8" x14ac:dyDescent="0.25">
      <c r="D15914" s="28"/>
      <c r="F15914" s="28"/>
      <c r="H15914" s="28"/>
    </row>
    <row r="15915" spans="4:8" x14ac:dyDescent="0.25">
      <c r="D15915" s="28"/>
      <c r="F15915" s="28"/>
      <c r="H15915" s="28"/>
    </row>
    <row r="15916" spans="4:8" x14ac:dyDescent="0.25">
      <c r="D15916" s="28"/>
      <c r="F15916" s="28"/>
      <c r="H15916" s="28"/>
    </row>
    <row r="15917" spans="4:8" x14ac:dyDescent="0.25">
      <c r="D15917" s="28"/>
      <c r="F15917" s="28"/>
      <c r="H15917" s="28"/>
    </row>
    <row r="15918" spans="4:8" x14ac:dyDescent="0.25">
      <c r="D15918" s="28"/>
      <c r="F15918" s="28"/>
      <c r="H15918" s="28"/>
    </row>
    <row r="15919" spans="4:8" x14ac:dyDescent="0.25">
      <c r="D15919" s="28"/>
      <c r="F15919" s="28"/>
      <c r="H15919" s="28"/>
    </row>
    <row r="15920" spans="4:8" x14ac:dyDescent="0.25">
      <c r="D15920" s="28"/>
      <c r="F15920" s="28"/>
      <c r="H15920" s="28"/>
    </row>
    <row r="15921" spans="4:8" x14ac:dyDescent="0.25">
      <c r="D15921" s="28"/>
      <c r="F15921" s="28"/>
      <c r="H15921" s="28"/>
    </row>
    <row r="15922" spans="4:8" x14ac:dyDescent="0.25">
      <c r="D15922" s="28"/>
      <c r="F15922" s="28"/>
      <c r="H15922" s="28"/>
    </row>
    <row r="15923" spans="4:8" x14ac:dyDescent="0.25">
      <c r="D15923" s="28"/>
      <c r="F15923" s="28"/>
      <c r="H15923" s="28"/>
    </row>
    <row r="15924" spans="4:8" x14ac:dyDescent="0.25">
      <c r="D15924" s="28"/>
      <c r="F15924" s="28"/>
      <c r="H15924" s="28"/>
    </row>
    <row r="15925" spans="4:8" x14ac:dyDescent="0.25">
      <c r="D15925" s="28"/>
      <c r="F15925" s="28"/>
      <c r="H15925" s="28"/>
    </row>
    <row r="15926" spans="4:8" x14ac:dyDescent="0.25">
      <c r="D15926" s="28"/>
      <c r="F15926" s="28"/>
      <c r="H15926" s="28"/>
    </row>
    <row r="15927" spans="4:8" x14ac:dyDescent="0.25">
      <c r="D15927" s="28"/>
      <c r="F15927" s="28"/>
      <c r="H15927" s="28"/>
    </row>
    <row r="15928" spans="4:8" x14ac:dyDescent="0.25">
      <c r="D15928" s="28"/>
      <c r="F15928" s="28"/>
      <c r="H15928" s="28"/>
    </row>
    <row r="15929" spans="4:8" x14ac:dyDescent="0.25">
      <c r="D15929" s="28"/>
      <c r="F15929" s="28"/>
      <c r="H15929" s="28"/>
    </row>
    <row r="15930" spans="4:8" x14ac:dyDescent="0.25">
      <c r="D15930" s="28"/>
      <c r="F15930" s="28"/>
      <c r="H15930" s="28"/>
    </row>
    <row r="15931" spans="4:8" x14ac:dyDescent="0.25">
      <c r="D15931" s="28"/>
      <c r="F15931" s="28"/>
      <c r="H15931" s="28"/>
    </row>
    <row r="15932" spans="4:8" x14ac:dyDescent="0.25">
      <c r="D15932" s="28"/>
      <c r="F15932" s="28"/>
      <c r="H15932" s="28"/>
    </row>
    <row r="15933" spans="4:8" x14ac:dyDescent="0.25">
      <c r="D15933" s="28"/>
      <c r="F15933" s="28"/>
      <c r="H15933" s="28"/>
    </row>
    <row r="15934" spans="4:8" x14ac:dyDescent="0.25">
      <c r="D15934" s="28"/>
      <c r="F15934" s="28"/>
      <c r="H15934" s="28"/>
    </row>
    <row r="15935" spans="4:8" x14ac:dyDescent="0.25">
      <c r="D15935" s="28"/>
      <c r="F15935" s="28"/>
      <c r="H15935" s="28"/>
    </row>
    <row r="15936" spans="4:8" x14ac:dyDescent="0.25">
      <c r="D15936" s="28"/>
      <c r="F15936" s="28"/>
      <c r="H15936" s="28"/>
    </row>
    <row r="15937" spans="4:8" x14ac:dyDescent="0.25">
      <c r="D15937" s="28"/>
      <c r="F15937" s="28"/>
      <c r="H15937" s="28"/>
    </row>
    <row r="15938" spans="4:8" x14ac:dyDescent="0.25">
      <c r="D15938" s="28"/>
      <c r="F15938" s="28"/>
      <c r="H15938" s="28"/>
    </row>
    <row r="15939" spans="4:8" x14ac:dyDescent="0.25">
      <c r="D15939" s="28"/>
      <c r="F15939" s="28"/>
      <c r="H15939" s="28"/>
    </row>
    <row r="15940" spans="4:8" x14ac:dyDescent="0.25">
      <c r="D15940" s="28"/>
      <c r="F15940" s="28"/>
      <c r="H15940" s="28"/>
    </row>
    <row r="15941" spans="4:8" x14ac:dyDescent="0.25">
      <c r="D15941" s="28"/>
      <c r="F15941" s="28"/>
      <c r="H15941" s="28"/>
    </row>
    <row r="15942" spans="4:8" x14ac:dyDescent="0.25">
      <c r="D15942" s="28"/>
      <c r="F15942" s="28"/>
      <c r="H15942" s="28"/>
    </row>
    <row r="15943" spans="4:8" x14ac:dyDescent="0.25">
      <c r="D15943" s="28"/>
      <c r="F15943" s="28"/>
      <c r="H15943" s="28"/>
    </row>
    <row r="15944" spans="4:8" x14ac:dyDescent="0.25">
      <c r="D15944" s="28"/>
      <c r="F15944" s="28"/>
      <c r="H15944" s="28"/>
    </row>
    <row r="15945" spans="4:8" x14ac:dyDescent="0.25">
      <c r="D15945" s="28"/>
      <c r="F15945" s="28"/>
      <c r="H15945" s="28"/>
    </row>
    <row r="15946" spans="4:8" x14ac:dyDescent="0.25">
      <c r="D15946" s="28"/>
      <c r="F15946" s="28"/>
      <c r="H15946" s="28"/>
    </row>
    <row r="15947" spans="4:8" x14ac:dyDescent="0.25">
      <c r="D15947" s="28"/>
      <c r="F15947" s="28"/>
      <c r="H15947" s="28"/>
    </row>
    <row r="15948" spans="4:8" x14ac:dyDescent="0.25">
      <c r="D15948" s="28"/>
      <c r="F15948" s="28"/>
      <c r="H15948" s="28"/>
    </row>
    <row r="15949" spans="4:8" x14ac:dyDescent="0.25">
      <c r="D15949" s="28"/>
      <c r="F15949" s="28"/>
      <c r="H15949" s="28"/>
    </row>
    <row r="15950" spans="4:8" x14ac:dyDescent="0.25">
      <c r="D15950" s="28"/>
      <c r="F15950" s="28"/>
      <c r="H15950" s="28"/>
    </row>
    <row r="15951" spans="4:8" x14ac:dyDescent="0.25">
      <c r="D15951" s="28"/>
      <c r="F15951" s="28"/>
      <c r="H15951" s="28"/>
    </row>
    <row r="15952" spans="4:8" x14ac:dyDescent="0.25">
      <c r="D15952" s="28"/>
      <c r="F15952" s="28"/>
      <c r="H15952" s="28"/>
    </row>
    <row r="15953" spans="4:8" x14ac:dyDescent="0.25">
      <c r="D15953" s="28"/>
      <c r="F15953" s="28"/>
      <c r="H15953" s="28"/>
    </row>
    <row r="15954" spans="4:8" x14ac:dyDescent="0.25">
      <c r="D15954" s="28"/>
      <c r="F15954" s="28"/>
      <c r="H15954" s="28"/>
    </row>
    <row r="15955" spans="4:8" x14ac:dyDescent="0.25">
      <c r="D15955" s="28"/>
      <c r="F15955" s="28"/>
      <c r="H15955" s="28"/>
    </row>
    <row r="15956" spans="4:8" x14ac:dyDescent="0.25">
      <c r="D15956" s="28"/>
      <c r="F15956" s="28"/>
      <c r="H15956" s="28"/>
    </row>
    <row r="15957" spans="4:8" x14ac:dyDescent="0.25">
      <c r="D15957" s="28"/>
      <c r="F15957" s="28"/>
      <c r="H15957" s="28"/>
    </row>
    <row r="15958" spans="4:8" x14ac:dyDescent="0.25">
      <c r="D15958" s="28"/>
      <c r="F15958" s="28"/>
      <c r="H15958" s="28"/>
    </row>
    <row r="15959" spans="4:8" x14ac:dyDescent="0.25">
      <c r="D15959" s="28"/>
      <c r="F15959" s="28"/>
      <c r="H15959" s="28"/>
    </row>
    <row r="15960" spans="4:8" x14ac:dyDescent="0.25">
      <c r="D15960" s="28"/>
      <c r="F15960" s="28"/>
      <c r="H15960" s="28"/>
    </row>
    <row r="15961" spans="4:8" x14ac:dyDescent="0.25">
      <c r="D15961" s="28"/>
      <c r="F15961" s="28"/>
      <c r="H15961" s="28"/>
    </row>
    <row r="15962" spans="4:8" x14ac:dyDescent="0.25">
      <c r="D15962" s="28"/>
      <c r="F15962" s="28"/>
      <c r="H15962" s="28"/>
    </row>
    <row r="15963" spans="4:8" x14ac:dyDescent="0.25">
      <c r="D15963" s="28"/>
      <c r="F15963" s="28"/>
      <c r="H15963" s="28"/>
    </row>
    <row r="15964" spans="4:8" x14ac:dyDescent="0.25">
      <c r="D15964" s="28"/>
      <c r="F15964" s="28"/>
      <c r="H15964" s="28"/>
    </row>
    <row r="15965" spans="4:8" x14ac:dyDescent="0.25">
      <c r="D15965" s="28"/>
      <c r="F15965" s="28"/>
      <c r="H15965" s="28"/>
    </row>
    <row r="15966" spans="4:8" x14ac:dyDescent="0.25">
      <c r="D15966" s="28"/>
      <c r="F15966" s="28"/>
      <c r="H15966" s="28"/>
    </row>
    <row r="15967" spans="4:8" x14ac:dyDescent="0.25">
      <c r="D15967" s="28"/>
      <c r="F15967" s="28"/>
      <c r="H15967" s="28"/>
    </row>
    <row r="15968" spans="4:8" x14ac:dyDescent="0.25">
      <c r="D15968" s="28"/>
      <c r="F15968" s="28"/>
      <c r="H15968" s="28"/>
    </row>
    <row r="15969" spans="4:8" x14ac:dyDescent="0.25">
      <c r="D15969" s="28"/>
      <c r="F15969" s="28"/>
      <c r="H15969" s="28"/>
    </row>
    <row r="15970" spans="4:8" x14ac:dyDescent="0.25">
      <c r="D15970" s="28"/>
      <c r="F15970" s="28"/>
      <c r="H15970" s="28"/>
    </row>
    <row r="15971" spans="4:8" x14ac:dyDescent="0.25">
      <c r="D15971" s="28"/>
      <c r="F15971" s="28"/>
      <c r="H15971" s="28"/>
    </row>
    <row r="15972" spans="4:8" x14ac:dyDescent="0.25">
      <c r="D15972" s="28"/>
      <c r="F15972" s="28"/>
      <c r="H15972" s="28"/>
    </row>
    <row r="15973" spans="4:8" x14ac:dyDescent="0.25">
      <c r="D15973" s="28"/>
      <c r="F15973" s="28"/>
      <c r="H15973" s="28"/>
    </row>
    <row r="15974" spans="4:8" x14ac:dyDescent="0.25">
      <c r="D15974" s="28"/>
      <c r="F15974" s="28"/>
      <c r="H15974" s="28"/>
    </row>
    <row r="15975" spans="4:8" x14ac:dyDescent="0.25">
      <c r="D15975" s="28"/>
      <c r="F15975" s="28"/>
      <c r="H15975" s="28"/>
    </row>
    <row r="15976" spans="4:8" x14ac:dyDescent="0.25">
      <c r="D15976" s="28"/>
      <c r="F15976" s="28"/>
      <c r="H15976" s="28"/>
    </row>
    <row r="15977" spans="4:8" x14ac:dyDescent="0.25">
      <c r="D15977" s="28"/>
      <c r="F15977" s="28"/>
      <c r="H15977" s="28"/>
    </row>
    <row r="15978" spans="4:8" x14ac:dyDescent="0.25">
      <c r="D15978" s="28"/>
      <c r="F15978" s="28"/>
      <c r="H15978" s="28"/>
    </row>
    <row r="15979" spans="4:8" x14ac:dyDescent="0.25">
      <c r="D15979" s="28"/>
      <c r="F15979" s="28"/>
      <c r="H15979" s="28"/>
    </row>
    <row r="15980" spans="4:8" x14ac:dyDescent="0.25">
      <c r="D15980" s="28"/>
      <c r="F15980" s="28"/>
      <c r="H15980" s="28"/>
    </row>
    <row r="15981" spans="4:8" x14ac:dyDescent="0.25">
      <c r="D15981" s="28"/>
      <c r="F15981" s="28"/>
      <c r="H15981" s="28"/>
    </row>
    <row r="15982" spans="4:8" x14ac:dyDescent="0.25">
      <c r="D15982" s="28"/>
      <c r="F15982" s="28"/>
      <c r="H15982" s="28"/>
    </row>
    <row r="15983" spans="4:8" x14ac:dyDescent="0.25">
      <c r="D15983" s="28"/>
      <c r="F15983" s="28"/>
      <c r="H15983" s="28"/>
    </row>
    <row r="15984" spans="4:8" x14ac:dyDescent="0.25">
      <c r="D15984" s="28"/>
      <c r="F15984" s="28"/>
      <c r="H15984" s="28"/>
    </row>
    <row r="15985" spans="4:8" x14ac:dyDescent="0.25">
      <c r="D15985" s="28"/>
      <c r="F15985" s="28"/>
      <c r="H15985" s="28"/>
    </row>
    <row r="15986" spans="4:8" x14ac:dyDescent="0.25">
      <c r="D15986" s="28"/>
      <c r="F15986" s="28"/>
      <c r="H15986" s="28"/>
    </row>
    <row r="15987" spans="4:8" x14ac:dyDescent="0.25">
      <c r="D15987" s="28"/>
      <c r="F15987" s="28"/>
      <c r="H15987" s="28"/>
    </row>
    <row r="15988" spans="4:8" x14ac:dyDescent="0.25">
      <c r="D15988" s="28"/>
      <c r="F15988" s="28"/>
      <c r="H15988" s="28"/>
    </row>
    <row r="15989" spans="4:8" x14ac:dyDescent="0.25">
      <c r="D15989" s="28"/>
      <c r="F15989" s="28"/>
      <c r="H15989" s="28"/>
    </row>
    <row r="15990" spans="4:8" x14ac:dyDescent="0.25">
      <c r="D15990" s="28"/>
      <c r="F15990" s="28"/>
      <c r="H15990" s="28"/>
    </row>
    <row r="15991" spans="4:8" x14ac:dyDescent="0.25">
      <c r="D15991" s="28"/>
      <c r="F15991" s="28"/>
      <c r="H15991" s="28"/>
    </row>
    <row r="15992" spans="4:8" x14ac:dyDescent="0.25">
      <c r="D15992" s="28"/>
      <c r="F15992" s="28"/>
      <c r="H15992" s="28"/>
    </row>
    <row r="15993" spans="4:8" x14ac:dyDescent="0.25">
      <c r="D15993" s="28"/>
      <c r="F15993" s="28"/>
      <c r="H15993" s="28"/>
    </row>
    <row r="15994" spans="4:8" x14ac:dyDescent="0.25">
      <c r="D15994" s="28"/>
      <c r="F15994" s="28"/>
      <c r="H15994" s="28"/>
    </row>
    <row r="15995" spans="4:8" x14ac:dyDescent="0.25">
      <c r="D15995" s="28"/>
      <c r="F15995" s="28"/>
      <c r="H15995" s="28"/>
    </row>
    <row r="15996" spans="4:8" x14ac:dyDescent="0.25">
      <c r="D15996" s="28"/>
      <c r="F15996" s="28"/>
      <c r="H15996" s="28"/>
    </row>
    <row r="15997" spans="4:8" x14ac:dyDescent="0.25">
      <c r="D15997" s="28"/>
      <c r="F15997" s="28"/>
      <c r="H15997" s="28"/>
    </row>
    <row r="15998" spans="4:8" x14ac:dyDescent="0.25">
      <c r="D15998" s="28"/>
      <c r="F15998" s="28"/>
      <c r="H15998" s="28"/>
    </row>
    <row r="15999" spans="4:8" x14ac:dyDescent="0.25">
      <c r="D15999" s="28"/>
      <c r="F15999" s="28"/>
      <c r="H15999" s="28"/>
    </row>
    <row r="16000" spans="4:8" x14ac:dyDescent="0.25">
      <c r="D16000" s="28"/>
      <c r="F16000" s="28"/>
      <c r="H16000" s="28"/>
    </row>
    <row r="16001" spans="4:8" x14ac:dyDescent="0.25">
      <c r="D16001" s="28"/>
      <c r="F16001" s="28"/>
      <c r="H16001" s="28"/>
    </row>
    <row r="16002" spans="4:8" x14ac:dyDescent="0.25">
      <c r="D16002" s="28"/>
      <c r="F16002" s="28"/>
      <c r="H16002" s="28"/>
    </row>
    <row r="16003" spans="4:8" x14ac:dyDescent="0.25">
      <c r="D16003" s="28"/>
      <c r="F16003" s="28"/>
      <c r="H16003" s="28"/>
    </row>
    <row r="16004" spans="4:8" x14ac:dyDescent="0.25">
      <c r="D16004" s="28"/>
      <c r="F16004" s="28"/>
      <c r="H16004" s="28"/>
    </row>
    <row r="16005" spans="4:8" x14ac:dyDescent="0.25">
      <c r="D16005" s="28"/>
      <c r="F16005" s="28"/>
      <c r="H16005" s="28"/>
    </row>
    <row r="16006" spans="4:8" x14ac:dyDescent="0.25">
      <c r="D16006" s="28"/>
      <c r="F16006" s="28"/>
      <c r="H16006" s="28"/>
    </row>
    <row r="16007" spans="4:8" x14ac:dyDescent="0.25">
      <c r="D16007" s="28"/>
      <c r="F16007" s="28"/>
      <c r="H16007" s="28"/>
    </row>
    <row r="16008" spans="4:8" x14ac:dyDescent="0.25">
      <c r="D16008" s="28"/>
      <c r="F16008" s="28"/>
      <c r="H16008" s="28"/>
    </row>
    <row r="16009" spans="4:8" x14ac:dyDescent="0.25">
      <c r="D16009" s="28"/>
      <c r="F16009" s="28"/>
      <c r="H16009" s="28"/>
    </row>
    <row r="16010" spans="4:8" x14ac:dyDescent="0.25">
      <c r="D16010" s="28"/>
      <c r="F16010" s="28"/>
      <c r="H16010" s="28"/>
    </row>
    <row r="16011" spans="4:8" x14ac:dyDescent="0.25">
      <c r="D16011" s="28"/>
      <c r="F16011" s="28"/>
      <c r="H16011" s="28"/>
    </row>
    <row r="16012" spans="4:8" x14ac:dyDescent="0.25">
      <c r="D16012" s="28"/>
      <c r="F16012" s="28"/>
      <c r="H16012" s="28"/>
    </row>
    <row r="16013" spans="4:8" x14ac:dyDescent="0.25">
      <c r="D16013" s="28"/>
      <c r="F16013" s="28"/>
      <c r="H16013" s="28"/>
    </row>
    <row r="16014" spans="4:8" x14ac:dyDescent="0.25">
      <c r="D16014" s="28"/>
      <c r="F16014" s="28"/>
      <c r="H16014" s="28"/>
    </row>
    <row r="16015" spans="4:8" x14ac:dyDescent="0.25">
      <c r="D16015" s="28"/>
      <c r="F16015" s="28"/>
      <c r="H16015" s="28"/>
    </row>
    <row r="16016" spans="4:8" x14ac:dyDescent="0.25">
      <c r="D16016" s="28"/>
      <c r="F16016" s="28"/>
      <c r="H16016" s="28"/>
    </row>
    <row r="16017" spans="4:8" x14ac:dyDescent="0.25">
      <c r="D16017" s="28"/>
      <c r="F16017" s="28"/>
      <c r="H16017" s="28"/>
    </row>
    <row r="16018" spans="4:8" x14ac:dyDescent="0.25">
      <c r="D16018" s="28"/>
      <c r="F16018" s="28"/>
      <c r="H16018" s="28"/>
    </row>
    <row r="16019" spans="4:8" x14ac:dyDescent="0.25">
      <c r="D16019" s="28"/>
      <c r="F16019" s="28"/>
      <c r="H16019" s="28"/>
    </row>
    <row r="16020" spans="4:8" x14ac:dyDescent="0.25">
      <c r="D16020" s="28"/>
      <c r="F16020" s="28"/>
      <c r="H16020" s="28"/>
    </row>
    <row r="16021" spans="4:8" x14ac:dyDescent="0.25">
      <c r="D16021" s="28"/>
      <c r="F16021" s="28"/>
      <c r="H16021" s="28"/>
    </row>
    <row r="16022" spans="4:8" x14ac:dyDescent="0.25">
      <c r="D16022" s="28"/>
      <c r="F16022" s="28"/>
      <c r="H16022" s="28"/>
    </row>
    <row r="16023" spans="4:8" x14ac:dyDescent="0.25">
      <c r="D16023" s="28"/>
      <c r="F16023" s="28"/>
      <c r="H16023" s="28"/>
    </row>
    <row r="16024" spans="4:8" x14ac:dyDescent="0.25">
      <c r="D16024" s="28"/>
      <c r="F16024" s="28"/>
      <c r="H16024" s="28"/>
    </row>
    <row r="16025" spans="4:8" x14ac:dyDescent="0.25">
      <c r="D16025" s="28"/>
      <c r="F16025" s="28"/>
      <c r="H16025" s="28"/>
    </row>
    <row r="16026" spans="4:8" x14ac:dyDescent="0.25">
      <c r="D16026" s="28"/>
      <c r="F16026" s="28"/>
      <c r="H16026" s="28"/>
    </row>
    <row r="16027" spans="4:8" x14ac:dyDescent="0.25">
      <c r="D16027" s="28"/>
      <c r="F16027" s="28"/>
      <c r="H16027" s="28"/>
    </row>
    <row r="16028" spans="4:8" x14ac:dyDescent="0.25">
      <c r="D16028" s="28"/>
      <c r="F16028" s="28"/>
      <c r="H16028" s="28"/>
    </row>
    <row r="16029" spans="4:8" x14ac:dyDescent="0.25">
      <c r="D16029" s="28"/>
      <c r="F16029" s="28"/>
      <c r="H16029" s="28"/>
    </row>
    <row r="16030" spans="4:8" x14ac:dyDescent="0.25">
      <c r="D16030" s="28"/>
      <c r="F16030" s="28"/>
      <c r="H16030" s="28"/>
    </row>
    <row r="16031" spans="4:8" x14ac:dyDescent="0.25">
      <c r="D16031" s="28"/>
      <c r="F16031" s="28"/>
      <c r="H16031" s="28"/>
    </row>
    <row r="16032" spans="4:8" x14ac:dyDescent="0.25">
      <c r="D16032" s="28"/>
      <c r="F16032" s="28"/>
      <c r="H16032" s="28"/>
    </row>
    <row r="16033" spans="4:8" x14ac:dyDescent="0.25">
      <c r="D16033" s="28"/>
      <c r="F16033" s="28"/>
      <c r="H16033" s="28"/>
    </row>
    <row r="16034" spans="4:8" x14ac:dyDescent="0.25">
      <c r="D16034" s="28"/>
      <c r="F16034" s="28"/>
      <c r="H16034" s="28"/>
    </row>
    <row r="16035" spans="4:8" x14ac:dyDescent="0.25">
      <c r="D16035" s="28"/>
      <c r="F16035" s="28"/>
      <c r="H16035" s="28"/>
    </row>
    <row r="16036" spans="4:8" x14ac:dyDescent="0.25">
      <c r="D16036" s="28"/>
      <c r="F16036" s="28"/>
      <c r="H16036" s="28"/>
    </row>
    <row r="16037" spans="4:8" x14ac:dyDescent="0.25">
      <c r="D16037" s="28"/>
      <c r="F16037" s="28"/>
      <c r="H16037" s="28"/>
    </row>
    <row r="16038" spans="4:8" x14ac:dyDescent="0.25">
      <c r="D16038" s="28"/>
      <c r="F16038" s="28"/>
      <c r="H16038" s="28"/>
    </row>
    <row r="16039" spans="4:8" x14ac:dyDescent="0.25">
      <c r="D16039" s="28"/>
      <c r="F16039" s="28"/>
      <c r="H16039" s="28"/>
    </row>
    <row r="16040" spans="4:8" x14ac:dyDescent="0.25">
      <c r="D16040" s="28"/>
      <c r="F16040" s="28"/>
      <c r="H16040" s="28"/>
    </row>
    <row r="16041" spans="4:8" x14ac:dyDescent="0.25">
      <c r="D16041" s="28"/>
      <c r="F16041" s="28"/>
      <c r="H16041" s="28"/>
    </row>
    <row r="16042" spans="4:8" x14ac:dyDescent="0.25">
      <c r="D16042" s="28"/>
      <c r="F16042" s="28"/>
      <c r="H16042" s="28"/>
    </row>
    <row r="16043" spans="4:8" x14ac:dyDescent="0.25">
      <c r="D16043" s="28"/>
      <c r="F16043" s="28"/>
      <c r="H16043" s="28"/>
    </row>
    <row r="16044" spans="4:8" x14ac:dyDescent="0.25">
      <c r="D16044" s="28"/>
      <c r="F16044" s="28"/>
      <c r="H16044" s="28"/>
    </row>
    <row r="16045" spans="4:8" x14ac:dyDescent="0.25">
      <c r="D16045" s="28"/>
      <c r="F16045" s="28"/>
      <c r="H16045" s="28"/>
    </row>
    <row r="16046" spans="4:8" x14ac:dyDescent="0.25">
      <c r="D16046" s="28"/>
      <c r="F16046" s="28"/>
      <c r="H16046" s="28"/>
    </row>
    <row r="16047" spans="4:8" x14ac:dyDescent="0.25">
      <c r="D16047" s="28"/>
      <c r="F16047" s="28"/>
      <c r="H16047" s="28"/>
    </row>
    <row r="16048" spans="4:8" x14ac:dyDescent="0.25">
      <c r="D16048" s="28"/>
      <c r="F16048" s="28"/>
      <c r="H16048" s="28"/>
    </row>
    <row r="16049" spans="4:8" x14ac:dyDescent="0.25">
      <c r="D16049" s="28"/>
      <c r="F16049" s="28"/>
      <c r="H16049" s="28"/>
    </row>
    <row r="16050" spans="4:8" x14ac:dyDescent="0.25">
      <c r="D16050" s="28"/>
      <c r="F16050" s="28"/>
      <c r="H16050" s="28"/>
    </row>
    <row r="16051" spans="4:8" x14ac:dyDescent="0.25">
      <c r="D16051" s="28"/>
      <c r="F16051" s="28"/>
      <c r="H16051" s="28"/>
    </row>
    <row r="16052" spans="4:8" x14ac:dyDescent="0.25">
      <c r="D16052" s="28"/>
      <c r="F16052" s="28"/>
      <c r="H16052" s="28"/>
    </row>
    <row r="16053" spans="4:8" x14ac:dyDescent="0.25">
      <c r="D16053" s="28"/>
      <c r="F16053" s="28"/>
      <c r="H16053" s="28"/>
    </row>
    <row r="16054" spans="4:8" x14ac:dyDescent="0.25">
      <c r="D16054" s="28"/>
      <c r="F16054" s="28"/>
      <c r="H16054" s="28"/>
    </row>
    <row r="16055" spans="4:8" x14ac:dyDescent="0.25">
      <c r="D16055" s="28"/>
      <c r="F16055" s="28"/>
      <c r="H16055" s="28"/>
    </row>
    <row r="16056" spans="4:8" x14ac:dyDescent="0.25">
      <c r="D16056" s="28"/>
      <c r="F16056" s="28"/>
      <c r="H16056" s="28"/>
    </row>
    <row r="16057" spans="4:8" x14ac:dyDescent="0.25">
      <c r="D16057" s="28"/>
      <c r="F16057" s="28"/>
      <c r="H16057" s="28"/>
    </row>
    <row r="16058" spans="4:8" x14ac:dyDescent="0.25">
      <c r="D16058" s="28"/>
      <c r="F16058" s="28"/>
      <c r="H16058" s="28"/>
    </row>
    <row r="16059" spans="4:8" x14ac:dyDescent="0.25">
      <c r="D16059" s="28"/>
      <c r="F16059" s="28"/>
      <c r="H16059" s="28"/>
    </row>
    <row r="16060" spans="4:8" x14ac:dyDescent="0.25">
      <c r="D16060" s="28"/>
      <c r="F16060" s="28"/>
      <c r="H16060" s="28"/>
    </row>
    <row r="16061" spans="4:8" x14ac:dyDescent="0.25">
      <c r="D16061" s="28"/>
      <c r="F16061" s="28"/>
      <c r="H16061" s="28"/>
    </row>
    <row r="16062" spans="4:8" x14ac:dyDescent="0.25">
      <c r="D16062" s="28"/>
      <c r="F16062" s="28"/>
      <c r="H16062" s="28"/>
    </row>
    <row r="16063" spans="4:8" x14ac:dyDescent="0.25">
      <c r="D16063" s="28"/>
      <c r="F16063" s="28"/>
      <c r="H16063" s="28"/>
    </row>
    <row r="16064" spans="4:8" x14ac:dyDescent="0.25">
      <c r="D16064" s="28"/>
      <c r="F16064" s="28"/>
      <c r="H16064" s="28"/>
    </row>
    <row r="16065" spans="4:8" x14ac:dyDescent="0.25">
      <c r="D16065" s="28"/>
      <c r="F16065" s="28"/>
      <c r="H16065" s="28"/>
    </row>
    <row r="16066" spans="4:8" x14ac:dyDescent="0.25">
      <c r="D16066" s="28"/>
      <c r="F16066" s="28"/>
      <c r="H16066" s="28"/>
    </row>
    <row r="16067" spans="4:8" x14ac:dyDescent="0.25">
      <c r="D16067" s="28"/>
      <c r="F16067" s="28"/>
      <c r="H16067" s="28"/>
    </row>
    <row r="16068" spans="4:8" x14ac:dyDescent="0.25">
      <c r="D16068" s="28"/>
      <c r="F16068" s="28"/>
      <c r="H16068" s="28"/>
    </row>
    <row r="16069" spans="4:8" x14ac:dyDescent="0.25">
      <c r="D16069" s="28"/>
      <c r="F16069" s="28"/>
      <c r="H16069" s="28"/>
    </row>
    <row r="16070" spans="4:8" x14ac:dyDescent="0.25">
      <c r="D16070" s="28"/>
      <c r="F16070" s="28"/>
      <c r="H16070" s="28"/>
    </row>
    <row r="16071" spans="4:8" x14ac:dyDescent="0.25">
      <c r="D16071" s="28"/>
      <c r="F16071" s="28"/>
      <c r="H16071" s="28"/>
    </row>
    <row r="16072" spans="4:8" x14ac:dyDescent="0.25">
      <c r="D16072" s="28"/>
      <c r="F16072" s="28"/>
      <c r="H16072" s="28"/>
    </row>
    <row r="16073" spans="4:8" x14ac:dyDescent="0.25">
      <c r="D16073" s="28"/>
      <c r="F16073" s="28"/>
      <c r="H16073" s="28"/>
    </row>
    <row r="16074" spans="4:8" x14ac:dyDescent="0.25">
      <c r="D16074" s="28"/>
      <c r="F16074" s="28"/>
      <c r="H16074" s="28"/>
    </row>
    <row r="16075" spans="4:8" x14ac:dyDescent="0.25">
      <c r="D16075" s="28"/>
      <c r="F16075" s="28"/>
      <c r="H16075" s="28"/>
    </row>
    <row r="16076" spans="4:8" x14ac:dyDescent="0.25">
      <c r="D16076" s="28"/>
      <c r="F16076" s="28"/>
      <c r="H16076" s="28"/>
    </row>
    <row r="16077" spans="4:8" x14ac:dyDescent="0.25">
      <c r="D16077" s="28"/>
      <c r="F16077" s="28"/>
      <c r="H16077" s="28"/>
    </row>
    <row r="16078" spans="4:8" x14ac:dyDescent="0.25">
      <c r="D16078" s="28"/>
      <c r="F16078" s="28"/>
      <c r="H16078" s="28"/>
    </row>
    <row r="16079" spans="4:8" x14ac:dyDescent="0.25">
      <c r="D16079" s="28"/>
      <c r="F16079" s="28"/>
      <c r="H16079" s="28"/>
    </row>
    <row r="16080" spans="4:8" x14ac:dyDescent="0.25">
      <c r="D16080" s="28"/>
      <c r="F16080" s="28"/>
      <c r="H16080" s="28"/>
    </row>
    <row r="16081" spans="4:8" x14ac:dyDescent="0.25">
      <c r="D16081" s="28"/>
      <c r="F16081" s="28"/>
      <c r="H16081" s="28"/>
    </row>
    <row r="16082" spans="4:8" x14ac:dyDescent="0.25">
      <c r="D16082" s="28"/>
      <c r="F16082" s="28"/>
      <c r="H16082" s="28"/>
    </row>
    <row r="16083" spans="4:8" x14ac:dyDescent="0.25">
      <c r="D16083" s="28"/>
      <c r="F16083" s="28"/>
      <c r="H16083" s="28"/>
    </row>
    <row r="16084" spans="4:8" x14ac:dyDescent="0.25">
      <c r="D16084" s="28"/>
      <c r="F16084" s="28"/>
      <c r="H16084" s="28"/>
    </row>
    <row r="16085" spans="4:8" x14ac:dyDescent="0.25">
      <c r="D16085" s="28"/>
      <c r="F16085" s="28"/>
      <c r="H16085" s="28"/>
    </row>
    <row r="16086" spans="4:8" x14ac:dyDescent="0.25">
      <c r="D16086" s="28"/>
      <c r="F16086" s="28"/>
      <c r="H16086" s="28"/>
    </row>
    <row r="16087" spans="4:8" x14ac:dyDescent="0.25">
      <c r="D16087" s="28"/>
      <c r="F16087" s="28"/>
      <c r="H16087" s="28"/>
    </row>
    <row r="16088" spans="4:8" x14ac:dyDescent="0.25">
      <c r="D16088" s="28"/>
      <c r="F16088" s="28"/>
      <c r="H16088" s="28"/>
    </row>
    <row r="16089" spans="4:8" x14ac:dyDescent="0.25">
      <c r="D16089" s="28"/>
      <c r="F16089" s="28"/>
      <c r="H16089" s="28"/>
    </row>
    <row r="16090" spans="4:8" x14ac:dyDescent="0.25">
      <c r="D16090" s="28"/>
      <c r="F16090" s="28"/>
      <c r="H16090" s="28"/>
    </row>
    <row r="16091" spans="4:8" x14ac:dyDescent="0.25">
      <c r="D16091" s="28"/>
      <c r="F16091" s="28"/>
      <c r="H16091" s="28"/>
    </row>
    <row r="16092" spans="4:8" x14ac:dyDescent="0.25">
      <c r="D16092" s="28"/>
      <c r="F16092" s="28"/>
      <c r="H16092" s="28"/>
    </row>
    <row r="16093" spans="4:8" x14ac:dyDescent="0.25">
      <c r="D16093" s="28"/>
      <c r="F16093" s="28"/>
      <c r="H16093" s="28"/>
    </row>
    <row r="16094" spans="4:8" x14ac:dyDescent="0.25">
      <c r="D16094" s="28"/>
      <c r="F16094" s="28"/>
      <c r="H16094" s="28"/>
    </row>
    <row r="16095" spans="4:8" x14ac:dyDescent="0.25">
      <c r="D16095" s="28"/>
      <c r="F16095" s="28"/>
      <c r="H16095" s="28"/>
    </row>
    <row r="16096" spans="4:8" x14ac:dyDescent="0.25">
      <c r="D16096" s="28"/>
      <c r="F16096" s="28"/>
      <c r="H16096" s="28"/>
    </row>
    <row r="16097" spans="4:8" x14ac:dyDescent="0.25">
      <c r="D16097" s="28"/>
      <c r="F16097" s="28"/>
      <c r="H16097" s="28"/>
    </row>
    <row r="16098" spans="4:8" x14ac:dyDescent="0.25">
      <c r="D16098" s="28"/>
      <c r="F16098" s="28"/>
      <c r="H16098" s="28"/>
    </row>
    <row r="16099" spans="4:8" x14ac:dyDescent="0.25">
      <c r="D16099" s="28"/>
      <c r="F16099" s="28"/>
      <c r="H16099" s="28"/>
    </row>
    <row r="16100" spans="4:8" x14ac:dyDescent="0.25">
      <c r="D16100" s="28"/>
      <c r="F16100" s="28"/>
      <c r="H16100" s="28"/>
    </row>
    <row r="16101" spans="4:8" x14ac:dyDescent="0.25">
      <c r="D16101" s="28"/>
      <c r="F16101" s="28"/>
      <c r="H16101" s="28"/>
    </row>
    <row r="16102" spans="4:8" x14ac:dyDescent="0.25">
      <c r="D16102" s="28"/>
      <c r="F16102" s="28"/>
      <c r="H16102" s="28"/>
    </row>
    <row r="16103" spans="4:8" x14ac:dyDescent="0.25">
      <c r="D16103" s="28"/>
      <c r="F16103" s="28"/>
      <c r="H16103" s="28"/>
    </row>
    <row r="16104" spans="4:8" x14ac:dyDescent="0.25">
      <c r="D16104" s="28"/>
      <c r="F16104" s="28"/>
      <c r="H16104" s="28"/>
    </row>
    <row r="16105" spans="4:8" x14ac:dyDescent="0.25">
      <c r="D16105" s="28"/>
      <c r="F16105" s="28"/>
      <c r="H16105" s="28"/>
    </row>
    <row r="16106" spans="4:8" x14ac:dyDescent="0.25">
      <c r="D16106" s="28"/>
      <c r="F16106" s="28"/>
      <c r="H16106" s="28"/>
    </row>
    <row r="16107" spans="4:8" x14ac:dyDescent="0.25">
      <c r="D16107" s="28"/>
      <c r="F16107" s="28"/>
      <c r="H16107" s="28"/>
    </row>
    <row r="16108" spans="4:8" x14ac:dyDescent="0.25">
      <c r="D16108" s="28"/>
      <c r="F16108" s="28"/>
      <c r="H16108" s="28"/>
    </row>
    <row r="16109" spans="4:8" x14ac:dyDescent="0.25">
      <c r="D16109" s="28"/>
      <c r="F16109" s="28"/>
      <c r="H16109" s="28"/>
    </row>
    <row r="16110" spans="4:8" x14ac:dyDescent="0.25">
      <c r="D16110" s="28"/>
      <c r="F16110" s="28"/>
      <c r="H16110" s="28"/>
    </row>
    <row r="16111" spans="4:8" x14ac:dyDescent="0.25">
      <c r="D16111" s="28"/>
      <c r="F16111" s="28"/>
      <c r="H16111" s="28"/>
    </row>
    <row r="16112" spans="4:8" x14ac:dyDescent="0.25">
      <c r="D16112" s="28"/>
      <c r="F16112" s="28"/>
      <c r="H16112" s="28"/>
    </row>
    <row r="16113" spans="4:8" x14ac:dyDescent="0.25">
      <c r="D16113" s="28"/>
      <c r="F16113" s="28"/>
      <c r="H16113" s="28"/>
    </row>
    <row r="16114" spans="4:8" x14ac:dyDescent="0.25">
      <c r="D16114" s="28"/>
      <c r="F16114" s="28"/>
      <c r="H16114" s="28"/>
    </row>
    <row r="16115" spans="4:8" x14ac:dyDescent="0.25">
      <c r="D16115" s="28"/>
      <c r="F16115" s="28"/>
      <c r="H16115" s="28"/>
    </row>
    <row r="16116" spans="4:8" x14ac:dyDescent="0.25">
      <c r="D16116" s="28"/>
      <c r="F16116" s="28"/>
      <c r="H16116" s="28"/>
    </row>
    <row r="16117" spans="4:8" x14ac:dyDescent="0.25">
      <c r="D16117" s="28"/>
      <c r="F16117" s="28"/>
      <c r="H16117" s="28"/>
    </row>
    <row r="16118" spans="4:8" x14ac:dyDescent="0.25">
      <c r="D16118" s="28"/>
      <c r="F16118" s="28"/>
      <c r="H16118" s="28"/>
    </row>
    <row r="16119" spans="4:8" x14ac:dyDescent="0.25">
      <c r="D16119" s="28"/>
      <c r="F16119" s="28"/>
      <c r="H16119" s="28"/>
    </row>
    <row r="16120" spans="4:8" x14ac:dyDescent="0.25">
      <c r="D16120" s="28"/>
      <c r="F16120" s="28"/>
      <c r="H16120" s="28"/>
    </row>
    <row r="16121" spans="4:8" x14ac:dyDescent="0.25">
      <c r="D16121" s="28"/>
      <c r="F16121" s="28"/>
      <c r="H16121" s="28"/>
    </row>
    <row r="16122" spans="4:8" x14ac:dyDescent="0.25">
      <c r="D16122" s="28"/>
      <c r="F16122" s="28"/>
      <c r="H16122" s="28"/>
    </row>
    <row r="16123" spans="4:8" x14ac:dyDescent="0.25">
      <c r="D16123" s="28"/>
      <c r="F16123" s="28"/>
      <c r="H16123" s="28"/>
    </row>
    <row r="16124" spans="4:8" x14ac:dyDescent="0.25">
      <c r="D16124" s="28"/>
      <c r="F16124" s="28"/>
      <c r="H16124" s="28"/>
    </row>
    <row r="16125" spans="4:8" x14ac:dyDescent="0.25">
      <c r="D16125" s="28"/>
      <c r="F16125" s="28"/>
      <c r="H16125" s="28"/>
    </row>
    <row r="16126" spans="4:8" x14ac:dyDescent="0.25">
      <c r="D16126" s="28"/>
      <c r="F16126" s="28"/>
      <c r="H16126" s="28"/>
    </row>
    <row r="16127" spans="4:8" x14ac:dyDescent="0.25">
      <c r="D16127" s="28"/>
      <c r="F16127" s="28"/>
      <c r="H16127" s="28"/>
    </row>
    <row r="16128" spans="4:8" x14ac:dyDescent="0.25">
      <c r="D16128" s="28"/>
      <c r="F16128" s="28"/>
      <c r="H16128" s="28"/>
    </row>
    <row r="16129" spans="4:8" x14ac:dyDescent="0.25">
      <c r="D16129" s="28"/>
      <c r="F16129" s="28"/>
      <c r="H16129" s="28"/>
    </row>
    <row r="16130" spans="4:8" x14ac:dyDescent="0.25">
      <c r="D16130" s="28"/>
      <c r="F16130" s="28"/>
      <c r="H16130" s="28"/>
    </row>
    <row r="16131" spans="4:8" x14ac:dyDescent="0.25">
      <c r="D16131" s="28"/>
      <c r="F16131" s="28"/>
      <c r="H16131" s="28"/>
    </row>
    <row r="16132" spans="4:8" x14ac:dyDescent="0.25">
      <c r="D16132" s="28"/>
      <c r="F16132" s="28"/>
      <c r="H16132" s="28"/>
    </row>
    <row r="16133" spans="4:8" x14ac:dyDescent="0.25">
      <c r="D16133" s="28"/>
      <c r="F16133" s="28"/>
      <c r="H16133" s="28"/>
    </row>
    <row r="16134" spans="4:8" x14ac:dyDescent="0.25">
      <c r="D16134" s="28"/>
      <c r="F16134" s="28"/>
      <c r="H16134" s="28"/>
    </row>
    <row r="16135" spans="4:8" x14ac:dyDescent="0.25">
      <c r="D16135" s="28"/>
      <c r="F16135" s="28"/>
      <c r="H16135" s="28"/>
    </row>
    <row r="16136" spans="4:8" x14ac:dyDescent="0.25">
      <c r="D16136" s="28"/>
      <c r="F16136" s="28"/>
      <c r="H16136" s="28"/>
    </row>
    <row r="16137" spans="4:8" x14ac:dyDescent="0.25">
      <c r="D16137" s="28"/>
      <c r="F16137" s="28"/>
      <c r="H16137" s="28"/>
    </row>
    <row r="16138" spans="4:8" x14ac:dyDescent="0.25">
      <c r="D16138" s="28"/>
      <c r="F16138" s="28"/>
      <c r="H16138" s="28"/>
    </row>
    <row r="16139" spans="4:8" x14ac:dyDescent="0.25">
      <c r="D16139" s="28"/>
      <c r="F16139" s="28"/>
      <c r="H16139" s="28"/>
    </row>
    <row r="16140" spans="4:8" x14ac:dyDescent="0.25">
      <c r="D16140" s="28"/>
      <c r="F16140" s="28"/>
      <c r="H16140" s="28"/>
    </row>
    <row r="16141" spans="4:8" x14ac:dyDescent="0.25">
      <c r="D16141" s="28"/>
      <c r="F16141" s="28"/>
      <c r="H16141" s="28"/>
    </row>
    <row r="16142" spans="4:8" x14ac:dyDescent="0.25">
      <c r="D16142" s="28"/>
      <c r="F16142" s="28"/>
      <c r="H16142" s="28"/>
    </row>
    <row r="16143" spans="4:8" x14ac:dyDescent="0.25">
      <c r="D16143" s="28"/>
      <c r="F16143" s="28"/>
      <c r="H16143" s="28"/>
    </row>
    <row r="16144" spans="4:8" x14ac:dyDescent="0.25">
      <c r="D16144" s="28"/>
      <c r="F16144" s="28"/>
      <c r="H16144" s="28"/>
    </row>
    <row r="16145" spans="4:8" x14ac:dyDescent="0.25">
      <c r="D16145" s="28"/>
      <c r="F16145" s="28"/>
      <c r="H16145" s="28"/>
    </row>
    <row r="16146" spans="4:8" x14ac:dyDescent="0.25">
      <c r="D16146" s="28"/>
      <c r="F16146" s="28"/>
      <c r="H16146" s="28"/>
    </row>
    <row r="16147" spans="4:8" x14ac:dyDescent="0.25">
      <c r="D16147" s="28"/>
      <c r="F16147" s="28"/>
      <c r="H16147" s="28"/>
    </row>
    <row r="16148" spans="4:8" x14ac:dyDescent="0.25">
      <c r="D16148" s="28"/>
      <c r="F16148" s="28"/>
      <c r="H16148" s="28"/>
    </row>
    <row r="16149" spans="4:8" x14ac:dyDescent="0.25">
      <c r="D16149" s="28"/>
      <c r="F16149" s="28"/>
      <c r="H16149" s="28"/>
    </row>
    <row r="16150" spans="4:8" x14ac:dyDescent="0.25">
      <c r="D16150" s="28"/>
      <c r="F16150" s="28"/>
      <c r="H16150" s="28"/>
    </row>
    <row r="16151" spans="4:8" x14ac:dyDescent="0.25">
      <c r="D16151" s="28"/>
      <c r="F16151" s="28"/>
      <c r="H16151" s="28"/>
    </row>
    <row r="16152" spans="4:8" x14ac:dyDescent="0.25">
      <c r="D16152" s="28"/>
      <c r="F16152" s="28"/>
      <c r="H16152" s="28"/>
    </row>
    <row r="16153" spans="4:8" x14ac:dyDescent="0.25">
      <c r="D16153" s="28"/>
      <c r="F16153" s="28"/>
      <c r="H16153" s="28"/>
    </row>
    <row r="16154" spans="4:8" x14ac:dyDescent="0.25">
      <c r="D16154" s="28"/>
      <c r="F16154" s="28"/>
      <c r="H16154" s="28"/>
    </row>
    <row r="16155" spans="4:8" x14ac:dyDescent="0.25">
      <c r="D16155" s="28"/>
      <c r="F16155" s="28"/>
      <c r="H16155" s="28"/>
    </row>
    <row r="16156" spans="4:8" x14ac:dyDescent="0.25">
      <c r="D16156" s="28"/>
      <c r="F16156" s="28"/>
      <c r="H16156" s="28"/>
    </row>
    <row r="16157" spans="4:8" x14ac:dyDescent="0.25">
      <c r="D16157" s="28"/>
      <c r="F16157" s="28"/>
      <c r="H16157" s="28"/>
    </row>
    <row r="16158" spans="4:8" x14ac:dyDescent="0.25">
      <c r="D16158" s="28"/>
      <c r="F16158" s="28"/>
      <c r="H16158" s="28"/>
    </row>
    <row r="16159" spans="4:8" x14ac:dyDescent="0.25">
      <c r="D16159" s="28"/>
      <c r="F16159" s="28"/>
      <c r="H16159" s="28"/>
    </row>
    <row r="16160" spans="4:8" x14ac:dyDescent="0.25">
      <c r="D16160" s="28"/>
      <c r="F16160" s="28"/>
      <c r="H16160" s="28"/>
    </row>
    <row r="16161" spans="4:8" x14ac:dyDescent="0.25">
      <c r="D16161" s="28"/>
      <c r="F16161" s="28"/>
      <c r="H16161" s="28"/>
    </row>
    <row r="16162" spans="4:8" x14ac:dyDescent="0.25">
      <c r="D16162" s="28"/>
      <c r="F16162" s="28"/>
      <c r="H16162" s="28"/>
    </row>
    <row r="16163" spans="4:8" x14ac:dyDescent="0.25">
      <c r="D16163" s="28"/>
      <c r="F16163" s="28"/>
      <c r="H16163" s="28"/>
    </row>
    <row r="16164" spans="4:8" x14ac:dyDescent="0.25">
      <c r="D16164" s="28"/>
      <c r="F16164" s="28"/>
      <c r="H16164" s="28"/>
    </row>
    <row r="16165" spans="4:8" x14ac:dyDescent="0.25">
      <c r="D16165" s="28"/>
      <c r="F16165" s="28"/>
      <c r="H16165" s="28"/>
    </row>
    <row r="16166" spans="4:8" x14ac:dyDescent="0.25">
      <c r="D16166" s="28"/>
      <c r="F16166" s="28"/>
      <c r="H16166" s="28"/>
    </row>
    <row r="16167" spans="4:8" x14ac:dyDescent="0.25">
      <c r="D16167" s="28"/>
      <c r="F16167" s="28"/>
      <c r="H16167" s="28"/>
    </row>
    <row r="16168" spans="4:8" x14ac:dyDescent="0.25">
      <c r="D16168" s="28"/>
      <c r="F16168" s="28"/>
      <c r="H16168" s="28"/>
    </row>
    <row r="16169" spans="4:8" x14ac:dyDescent="0.25">
      <c r="D16169" s="28"/>
      <c r="F16169" s="28"/>
      <c r="H16169" s="28"/>
    </row>
    <row r="16170" spans="4:8" x14ac:dyDescent="0.25">
      <c r="D16170" s="28"/>
      <c r="F16170" s="28"/>
      <c r="H16170" s="28"/>
    </row>
    <row r="16171" spans="4:8" x14ac:dyDescent="0.25">
      <c r="D16171" s="28"/>
      <c r="F16171" s="28"/>
      <c r="H16171" s="28"/>
    </row>
    <row r="16172" spans="4:8" x14ac:dyDescent="0.25">
      <c r="D16172" s="28"/>
      <c r="F16172" s="28"/>
      <c r="H16172" s="28"/>
    </row>
    <row r="16173" spans="4:8" x14ac:dyDescent="0.25">
      <c r="D16173" s="28"/>
      <c r="F16173" s="28"/>
      <c r="H16173" s="28"/>
    </row>
    <row r="16174" spans="4:8" x14ac:dyDescent="0.25">
      <c r="D16174" s="28"/>
      <c r="F16174" s="28"/>
      <c r="H16174" s="28"/>
    </row>
    <row r="16175" spans="4:8" x14ac:dyDescent="0.25">
      <c r="D16175" s="28"/>
      <c r="F16175" s="28"/>
      <c r="H16175" s="28"/>
    </row>
    <row r="16176" spans="4:8" x14ac:dyDescent="0.25">
      <c r="D16176" s="28"/>
      <c r="F16176" s="28"/>
      <c r="H16176" s="28"/>
    </row>
    <row r="16177" spans="4:8" x14ac:dyDescent="0.25">
      <c r="D16177" s="28"/>
      <c r="F16177" s="28"/>
      <c r="H16177" s="28"/>
    </row>
    <row r="16178" spans="4:8" x14ac:dyDescent="0.25">
      <c r="D16178" s="28"/>
      <c r="F16178" s="28"/>
      <c r="H16178" s="28"/>
    </row>
    <row r="16179" spans="4:8" x14ac:dyDescent="0.25">
      <c r="D16179" s="28"/>
      <c r="F16179" s="28"/>
      <c r="H16179" s="28"/>
    </row>
    <row r="16180" spans="4:8" x14ac:dyDescent="0.25">
      <c r="D16180" s="28"/>
      <c r="F16180" s="28"/>
      <c r="H16180" s="28"/>
    </row>
    <row r="16181" spans="4:8" x14ac:dyDescent="0.25">
      <c r="D16181" s="28"/>
      <c r="F16181" s="28"/>
      <c r="H16181" s="28"/>
    </row>
    <row r="16182" spans="4:8" x14ac:dyDescent="0.25">
      <c r="D16182" s="28"/>
      <c r="F16182" s="28"/>
      <c r="H16182" s="28"/>
    </row>
    <row r="16183" spans="4:8" x14ac:dyDescent="0.25">
      <c r="D16183" s="28"/>
      <c r="F16183" s="28"/>
      <c r="H16183" s="28"/>
    </row>
    <row r="16184" spans="4:8" x14ac:dyDescent="0.25">
      <c r="D16184" s="28"/>
      <c r="F16184" s="28"/>
      <c r="H16184" s="28"/>
    </row>
    <row r="16185" spans="4:8" x14ac:dyDescent="0.25">
      <c r="D16185" s="28"/>
      <c r="F16185" s="28"/>
      <c r="H16185" s="28"/>
    </row>
    <row r="16186" spans="4:8" x14ac:dyDescent="0.25">
      <c r="D16186" s="28"/>
      <c r="F16186" s="28"/>
      <c r="H16186" s="28"/>
    </row>
    <row r="16187" spans="4:8" x14ac:dyDescent="0.25">
      <c r="D16187" s="28"/>
      <c r="F16187" s="28"/>
      <c r="H16187" s="28"/>
    </row>
    <row r="16188" spans="4:8" x14ac:dyDescent="0.25">
      <c r="D16188" s="28"/>
      <c r="F16188" s="28"/>
      <c r="H16188" s="28"/>
    </row>
    <row r="16189" spans="4:8" x14ac:dyDescent="0.25">
      <c r="D16189" s="28"/>
      <c r="F16189" s="28"/>
      <c r="H16189" s="28"/>
    </row>
    <row r="16190" spans="4:8" x14ac:dyDescent="0.25">
      <c r="D16190" s="28"/>
      <c r="F16190" s="28"/>
      <c r="H16190" s="28"/>
    </row>
    <row r="16191" spans="4:8" x14ac:dyDescent="0.25">
      <c r="D16191" s="28"/>
      <c r="F16191" s="28"/>
      <c r="H16191" s="28"/>
    </row>
    <row r="16192" spans="4:8" x14ac:dyDescent="0.25">
      <c r="D16192" s="28"/>
      <c r="F16192" s="28"/>
      <c r="H16192" s="28"/>
    </row>
    <row r="16193" spans="4:8" x14ac:dyDescent="0.25">
      <c r="D16193" s="28"/>
      <c r="F16193" s="28"/>
      <c r="H16193" s="28"/>
    </row>
    <row r="16194" spans="4:8" x14ac:dyDescent="0.25">
      <c r="D16194" s="28"/>
      <c r="F16194" s="28"/>
      <c r="H16194" s="28"/>
    </row>
    <row r="16195" spans="4:8" x14ac:dyDescent="0.25">
      <c r="D16195" s="28"/>
      <c r="F16195" s="28"/>
      <c r="H16195" s="28"/>
    </row>
    <row r="16196" spans="4:8" x14ac:dyDescent="0.25">
      <c r="D16196" s="28"/>
      <c r="F16196" s="28"/>
      <c r="H16196" s="28"/>
    </row>
    <row r="16197" spans="4:8" x14ac:dyDescent="0.25">
      <c r="D16197" s="28"/>
      <c r="F16197" s="28"/>
      <c r="H16197" s="28"/>
    </row>
    <row r="16198" spans="4:8" x14ac:dyDescent="0.25">
      <c r="D16198" s="28"/>
      <c r="F16198" s="28"/>
      <c r="H16198" s="28"/>
    </row>
    <row r="16199" spans="4:8" x14ac:dyDescent="0.25">
      <c r="D16199" s="28"/>
      <c r="F16199" s="28"/>
      <c r="H16199" s="28"/>
    </row>
    <row r="16200" spans="4:8" x14ac:dyDescent="0.25">
      <c r="D16200" s="28"/>
      <c r="F16200" s="28"/>
      <c r="H16200" s="28"/>
    </row>
    <row r="16201" spans="4:8" x14ac:dyDescent="0.25">
      <c r="D16201" s="28"/>
      <c r="F16201" s="28"/>
      <c r="H16201" s="28"/>
    </row>
    <row r="16202" spans="4:8" x14ac:dyDescent="0.25">
      <c r="D16202" s="28"/>
      <c r="F16202" s="28"/>
      <c r="H16202" s="28"/>
    </row>
    <row r="16203" spans="4:8" x14ac:dyDescent="0.25">
      <c r="D16203" s="28"/>
      <c r="F16203" s="28"/>
      <c r="H16203" s="28"/>
    </row>
    <row r="16204" spans="4:8" x14ac:dyDescent="0.25">
      <c r="D16204" s="28"/>
      <c r="F16204" s="28"/>
      <c r="H16204" s="28"/>
    </row>
    <row r="16205" spans="4:8" x14ac:dyDescent="0.25">
      <c r="D16205" s="28"/>
      <c r="F16205" s="28"/>
      <c r="H16205" s="28"/>
    </row>
    <row r="16206" spans="4:8" x14ac:dyDescent="0.25">
      <c r="D16206" s="28"/>
      <c r="F16206" s="28"/>
      <c r="H16206" s="28"/>
    </row>
    <row r="16207" spans="4:8" x14ac:dyDescent="0.25">
      <c r="D16207" s="28"/>
      <c r="F16207" s="28"/>
      <c r="H16207" s="28"/>
    </row>
    <row r="16208" spans="4:8" x14ac:dyDescent="0.25">
      <c r="D16208" s="28"/>
      <c r="F16208" s="28"/>
      <c r="H16208" s="28"/>
    </row>
    <row r="16209" spans="4:8" x14ac:dyDescent="0.25">
      <c r="D16209" s="28"/>
      <c r="F16209" s="28"/>
      <c r="H16209" s="28"/>
    </row>
    <row r="16210" spans="4:8" x14ac:dyDescent="0.25">
      <c r="D16210" s="28"/>
      <c r="F16210" s="28"/>
      <c r="H16210" s="28"/>
    </row>
    <row r="16211" spans="4:8" x14ac:dyDescent="0.25">
      <c r="D16211" s="28"/>
      <c r="F16211" s="28"/>
      <c r="H16211" s="28"/>
    </row>
    <row r="16212" spans="4:8" x14ac:dyDescent="0.25">
      <c r="D16212" s="28"/>
      <c r="F16212" s="28"/>
      <c r="H16212" s="28"/>
    </row>
    <row r="16213" spans="4:8" x14ac:dyDescent="0.25">
      <c r="D16213" s="28"/>
      <c r="F16213" s="28"/>
      <c r="H16213" s="28"/>
    </row>
    <row r="16214" spans="4:8" x14ac:dyDescent="0.25">
      <c r="D16214" s="28"/>
      <c r="F16214" s="28"/>
      <c r="H16214" s="28"/>
    </row>
    <row r="16215" spans="4:8" x14ac:dyDescent="0.25">
      <c r="D16215" s="28"/>
      <c r="F16215" s="28"/>
      <c r="H16215" s="28"/>
    </row>
    <row r="16216" spans="4:8" x14ac:dyDescent="0.25">
      <c r="D16216" s="28"/>
      <c r="F16216" s="28"/>
      <c r="H16216" s="28"/>
    </row>
    <row r="16217" spans="4:8" x14ac:dyDescent="0.25">
      <c r="D16217" s="28"/>
      <c r="F16217" s="28"/>
      <c r="H16217" s="28"/>
    </row>
    <row r="16218" spans="4:8" x14ac:dyDescent="0.25">
      <c r="D16218" s="28"/>
      <c r="F16218" s="28"/>
      <c r="H16218" s="28"/>
    </row>
    <row r="16219" spans="4:8" x14ac:dyDescent="0.25">
      <c r="D16219" s="28"/>
      <c r="F16219" s="28"/>
      <c r="H16219" s="28"/>
    </row>
    <row r="16220" spans="4:8" x14ac:dyDescent="0.25">
      <c r="D16220" s="28"/>
      <c r="F16220" s="28"/>
      <c r="H16220" s="28"/>
    </row>
    <row r="16221" spans="4:8" x14ac:dyDescent="0.25">
      <c r="D16221" s="28"/>
      <c r="F16221" s="28"/>
      <c r="H16221" s="28"/>
    </row>
    <row r="16222" spans="4:8" x14ac:dyDescent="0.25">
      <c r="D16222" s="28"/>
      <c r="F16222" s="28"/>
      <c r="H16222" s="28"/>
    </row>
    <row r="16223" spans="4:8" x14ac:dyDescent="0.25">
      <c r="D16223" s="28"/>
      <c r="F16223" s="28"/>
      <c r="H16223" s="28"/>
    </row>
    <row r="16224" spans="4:8" x14ac:dyDescent="0.25">
      <c r="D16224" s="28"/>
      <c r="F16224" s="28"/>
      <c r="H16224" s="28"/>
    </row>
    <row r="16225" spans="4:8" x14ac:dyDescent="0.25">
      <c r="D16225" s="28"/>
      <c r="F16225" s="28"/>
      <c r="H16225" s="28"/>
    </row>
    <row r="16226" spans="4:8" x14ac:dyDescent="0.25">
      <c r="D16226" s="28"/>
      <c r="F16226" s="28"/>
      <c r="H16226" s="28"/>
    </row>
    <row r="16227" spans="4:8" x14ac:dyDescent="0.25">
      <c r="D16227" s="28"/>
      <c r="F16227" s="28"/>
      <c r="H16227" s="28"/>
    </row>
    <row r="16228" spans="4:8" x14ac:dyDescent="0.25">
      <c r="D16228" s="28"/>
      <c r="F16228" s="28"/>
      <c r="H16228" s="28"/>
    </row>
    <row r="16229" spans="4:8" x14ac:dyDescent="0.25">
      <c r="D16229" s="28"/>
      <c r="F16229" s="28"/>
      <c r="H16229" s="28"/>
    </row>
    <row r="16230" spans="4:8" x14ac:dyDescent="0.25">
      <c r="D16230" s="28"/>
      <c r="F16230" s="28"/>
      <c r="H16230" s="28"/>
    </row>
    <row r="16231" spans="4:8" x14ac:dyDescent="0.25">
      <c r="D16231" s="28"/>
      <c r="F16231" s="28"/>
      <c r="H16231" s="28"/>
    </row>
    <row r="16232" spans="4:8" x14ac:dyDescent="0.25">
      <c r="D16232" s="28"/>
      <c r="F16232" s="28"/>
      <c r="H16232" s="28"/>
    </row>
    <row r="16233" spans="4:8" x14ac:dyDescent="0.25">
      <c r="D16233" s="28"/>
      <c r="F16233" s="28"/>
      <c r="H16233" s="28"/>
    </row>
    <row r="16234" spans="4:8" x14ac:dyDescent="0.25">
      <c r="D16234" s="28"/>
      <c r="F16234" s="28"/>
      <c r="H16234" s="28"/>
    </row>
    <row r="16235" spans="4:8" x14ac:dyDescent="0.25">
      <c r="D16235" s="28"/>
      <c r="F16235" s="28"/>
      <c r="H16235" s="28"/>
    </row>
    <row r="16236" spans="4:8" x14ac:dyDescent="0.25">
      <c r="D16236" s="28"/>
      <c r="F16236" s="28"/>
      <c r="H16236" s="28"/>
    </row>
    <row r="16237" spans="4:8" x14ac:dyDescent="0.25">
      <c r="D16237" s="28"/>
      <c r="F16237" s="28"/>
      <c r="H16237" s="28"/>
    </row>
    <row r="16238" spans="4:8" x14ac:dyDescent="0.25">
      <c r="D16238" s="28"/>
      <c r="F16238" s="28"/>
      <c r="H16238" s="28"/>
    </row>
    <row r="16239" spans="4:8" x14ac:dyDescent="0.25">
      <c r="D16239" s="28"/>
      <c r="F16239" s="28"/>
      <c r="H16239" s="28"/>
    </row>
    <row r="16240" spans="4:8" x14ac:dyDescent="0.25">
      <c r="D16240" s="28"/>
      <c r="F16240" s="28"/>
      <c r="H16240" s="28"/>
    </row>
    <row r="16241" spans="4:8" x14ac:dyDescent="0.25">
      <c r="D16241" s="28"/>
      <c r="F16241" s="28"/>
      <c r="H16241" s="28"/>
    </row>
    <row r="16242" spans="4:8" x14ac:dyDescent="0.25">
      <c r="D16242" s="28"/>
      <c r="F16242" s="28"/>
      <c r="H16242" s="28"/>
    </row>
    <row r="16243" spans="4:8" x14ac:dyDescent="0.25">
      <c r="D16243" s="28"/>
      <c r="F16243" s="28"/>
      <c r="H16243" s="28"/>
    </row>
    <row r="16244" spans="4:8" x14ac:dyDescent="0.25">
      <c r="D16244" s="28"/>
      <c r="F16244" s="28"/>
      <c r="H16244" s="28"/>
    </row>
    <row r="16245" spans="4:8" x14ac:dyDescent="0.25">
      <c r="D16245" s="28"/>
      <c r="F16245" s="28"/>
      <c r="H16245" s="28"/>
    </row>
    <row r="16246" spans="4:8" x14ac:dyDescent="0.25">
      <c r="D16246" s="28"/>
      <c r="F16246" s="28"/>
      <c r="H16246" s="28"/>
    </row>
    <row r="16247" spans="4:8" x14ac:dyDescent="0.25">
      <c r="D16247" s="28"/>
      <c r="F16247" s="28"/>
      <c r="H16247" s="28"/>
    </row>
    <row r="16248" spans="4:8" x14ac:dyDescent="0.25">
      <c r="D16248" s="28"/>
      <c r="F16248" s="28"/>
      <c r="H16248" s="28"/>
    </row>
    <row r="16249" spans="4:8" x14ac:dyDescent="0.25">
      <c r="D16249" s="28"/>
      <c r="F16249" s="28"/>
      <c r="H16249" s="28"/>
    </row>
    <row r="16250" spans="4:8" x14ac:dyDescent="0.25">
      <c r="D16250" s="28"/>
      <c r="F16250" s="28"/>
      <c r="H16250" s="28"/>
    </row>
    <row r="16251" spans="4:8" x14ac:dyDescent="0.25">
      <c r="D16251" s="28"/>
      <c r="F16251" s="28"/>
      <c r="H16251" s="28"/>
    </row>
    <row r="16252" spans="4:8" x14ac:dyDescent="0.25">
      <c r="D16252" s="28"/>
      <c r="F16252" s="28"/>
      <c r="H16252" s="28"/>
    </row>
    <row r="16253" spans="4:8" x14ac:dyDescent="0.25">
      <c r="D16253" s="28"/>
      <c r="F16253" s="28"/>
      <c r="H16253" s="28"/>
    </row>
    <row r="16254" spans="4:8" x14ac:dyDescent="0.25">
      <c r="D16254" s="28"/>
      <c r="F16254" s="28"/>
      <c r="H16254" s="28"/>
    </row>
    <row r="16255" spans="4:8" x14ac:dyDescent="0.25">
      <c r="D16255" s="28"/>
      <c r="F16255" s="28"/>
      <c r="H16255" s="28"/>
    </row>
    <row r="16256" spans="4:8" x14ac:dyDescent="0.25">
      <c r="D16256" s="28"/>
      <c r="F16256" s="28"/>
      <c r="H16256" s="28"/>
    </row>
    <row r="16257" spans="4:8" x14ac:dyDescent="0.25">
      <c r="D16257" s="28"/>
      <c r="F16257" s="28"/>
      <c r="H16257" s="28"/>
    </row>
    <row r="16258" spans="4:8" x14ac:dyDescent="0.25">
      <c r="D16258" s="28"/>
      <c r="F16258" s="28"/>
      <c r="H16258" s="28"/>
    </row>
    <row r="16259" spans="4:8" x14ac:dyDescent="0.25">
      <c r="D16259" s="28"/>
      <c r="F16259" s="28"/>
      <c r="H16259" s="28"/>
    </row>
    <row r="16260" spans="4:8" x14ac:dyDescent="0.25">
      <c r="D16260" s="28"/>
      <c r="F16260" s="28"/>
      <c r="H16260" s="28"/>
    </row>
    <row r="16261" spans="4:8" x14ac:dyDescent="0.25">
      <c r="D16261" s="28"/>
      <c r="F16261" s="28"/>
      <c r="H16261" s="28"/>
    </row>
    <row r="16262" spans="4:8" x14ac:dyDescent="0.25">
      <c r="D16262" s="28"/>
      <c r="F16262" s="28"/>
      <c r="H16262" s="28"/>
    </row>
    <row r="16263" spans="4:8" x14ac:dyDescent="0.25">
      <c r="D16263" s="28"/>
      <c r="F16263" s="28"/>
      <c r="H16263" s="28"/>
    </row>
    <row r="16264" spans="4:8" x14ac:dyDescent="0.25">
      <c r="D16264" s="28"/>
      <c r="F16264" s="28"/>
      <c r="H16264" s="28"/>
    </row>
    <row r="16265" spans="4:8" x14ac:dyDescent="0.25">
      <c r="D16265" s="28"/>
      <c r="F16265" s="28"/>
      <c r="H16265" s="28"/>
    </row>
    <row r="16266" spans="4:8" x14ac:dyDescent="0.25">
      <c r="D16266" s="28"/>
      <c r="F16266" s="28"/>
      <c r="H16266" s="28"/>
    </row>
    <row r="16267" spans="4:8" x14ac:dyDescent="0.25">
      <c r="D16267" s="28"/>
      <c r="F16267" s="28"/>
      <c r="H16267" s="28"/>
    </row>
    <row r="16268" spans="4:8" x14ac:dyDescent="0.25">
      <c r="D16268" s="28"/>
      <c r="F16268" s="28"/>
      <c r="H16268" s="28"/>
    </row>
    <row r="16269" spans="4:8" x14ac:dyDescent="0.25">
      <c r="D16269" s="28"/>
      <c r="F16269" s="28"/>
      <c r="H16269" s="28"/>
    </row>
    <row r="16270" spans="4:8" x14ac:dyDescent="0.25">
      <c r="D16270" s="28"/>
      <c r="F16270" s="28"/>
      <c r="H16270" s="28"/>
    </row>
    <row r="16271" spans="4:8" x14ac:dyDescent="0.25">
      <c r="D16271" s="28"/>
      <c r="F16271" s="28"/>
      <c r="H16271" s="28"/>
    </row>
    <row r="16272" spans="4:8" x14ac:dyDescent="0.25">
      <c r="D16272" s="28"/>
      <c r="F16272" s="28"/>
      <c r="H16272" s="28"/>
    </row>
    <row r="16273" spans="4:8" x14ac:dyDescent="0.25">
      <c r="D16273" s="28"/>
      <c r="F16273" s="28"/>
      <c r="H16273" s="28"/>
    </row>
    <row r="16274" spans="4:8" x14ac:dyDescent="0.25">
      <c r="D16274" s="28"/>
      <c r="F16274" s="28"/>
      <c r="H16274" s="28"/>
    </row>
    <row r="16275" spans="4:8" x14ac:dyDescent="0.25">
      <c r="D16275" s="28"/>
      <c r="F16275" s="28"/>
      <c r="H16275" s="28"/>
    </row>
    <row r="16276" spans="4:8" x14ac:dyDescent="0.25">
      <c r="D16276" s="28"/>
      <c r="F16276" s="28"/>
      <c r="H16276" s="28"/>
    </row>
    <row r="16277" spans="4:8" x14ac:dyDescent="0.25">
      <c r="D16277" s="28"/>
      <c r="F16277" s="28"/>
      <c r="H16277" s="28"/>
    </row>
    <row r="16278" spans="4:8" x14ac:dyDescent="0.25">
      <c r="D16278" s="28"/>
      <c r="F16278" s="28"/>
      <c r="H16278" s="28"/>
    </row>
    <row r="16279" spans="4:8" x14ac:dyDescent="0.25">
      <c r="D16279" s="28"/>
      <c r="F16279" s="28"/>
      <c r="H16279" s="28"/>
    </row>
    <row r="16280" spans="4:8" x14ac:dyDescent="0.25">
      <c r="D16280" s="28"/>
      <c r="F16280" s="28"/>
      <c r="H16280" s="28"/>
    </row>
    <row r="16281" spans="4:8" x14ac:dyDescent="0.25">
      <c r="D16281" s="28"/>
      <c r="F16281" s="28"/>
      <c r="H16281" s="28"/>
    </row>
    <row r="16282" spans="4:8" x14ac:dyDescent="0.25">
      <c r="D16282" s="28"/>
      <c r="F16282" s="28"/>
      <c r="H16282" s="28"/>
    </row>
    <row r="16283" spans="4:8" x14ac:dyDescent="0.25">
      <c r="D16283" s="28"/>
      <c r="F16283" s="28"/>
      <c r="H16283" s="28"/>
    </row>
    <row r="16284" spans="4:8" x14ac:dyDescent="0.25">
      <c r="D16284" s="28"/>
      <c r="F16284" s="28"/>
      <c r="H16284" s="28"/>
    </row>
    <row r="16285" spans="4:8" x14ac:dyDescent="0.25">
      <c r="D16285" s="28"/>
      <c r="F16285" s="28"/>
      <c r="H16285" s="28"/>
    </row>
    <row r="16286" spans="4:8" x14ac:dyDescent="0.25">
      <c r="D16286" s="28"/>
      <c r="F16286" s="28"/>
      <c r="H16286" s="28"/>
    </row>
    <row r="16287" spans="4:8" x14ac:dyDescent="0.25">
      <c r="D16287" s="28"/>
      <c r="F16287" s="28"/>
      <c r="H16287" s="28"/>
    </row>
    <row r="16288" spans="4:8" x14ac:dyDescent="0.25">
      <c r="D16288" s="28"/>
      <c r="F16288" s="28"/>
      <c r="H16288" s="28"/>
    </row>
    <row r="16289" spans="4:8" x14ac:dyDescent="0.25">
      <c r="D16289" s="28"/>
      <c r="F16289" s="28"/>
      <c r="H16289" s="28"/>
    </row>
    <row r="16290" spans="4:8" x14ac:dyDescent="0.25">
      <c r="D16290" s="28"/>
      <c r="F16290" s="28"/>
      <c r="H16290" s="28"/>
    </row>
    <row r="16291" spans="4:8" x14ac:dyDescent="0.25">
      <c r="D16291" s="28"/>
      <c r="F16291" s="28"/>
      <c r="H16291" s="28"/>
    </row>
    <row r="16292" spans="4:8" x14ac:dyDescent="0.25">
      <c r="D16292" s="28"/>
      <c r="F16292" s="28"/>
      <c r="H16292" s="28"/>
    </row>
    <row r="16293" spans="4:8" x14ac:dyDescent="0.25">
      <c r="D16293" s="28"/>
      <c r="F16293" s="28"/>
      <c r="H16293" s="28"/>
    </row>
    <row r="16294" spans="4:8" x14ac:dyDescent="0.25">
      <c r="D16294" s="28"/>
      <c r="F16294" s="28"/>
      <c r="H16294" s="28"/>
    </row>
    <row r="16295" spans="4:8" x14ac:dyDescent="0.25">
      <c r="D16295" s="28"/>
      <c r="F16295" s="28"/>
      <c r="H16295" s="28"/>
    </row>
    <row r="16296" spans="4:8" x14ac:dyDescent="0.25">
      <c r="D16296" s="28"/>
      <c r="F16296" s="28"/>
      <c r="H16296" s="28"/>
    </row>
    <row r="16297" spans="4:8" x14ac:dyDescent="0.25">
      <c r="D16297" s="28"/>
      <c r="F16297" s="28"/>
      <c r="H16297" s="28"/>
    </row>
    <row r="16298" spans="4:8" x14ac:dyDescent="0.25">
      <c r="D16298" s="28"/>
      <c r="F16298" s="28"/>
      <c r="H16298" s="28"/>
    </row>
    <row r="16299" spans="4:8" x14ac:dyDescent="0.25">
      <c r="D16299" s="28"/>
      <c r="F16299" s="28"/>
      <c r="H16299" s="28"/>
    </row>
    <row r="16300" spans="4:8" x14ac:dyDescent="0.25">
      <c r="D16300" s="28"/>
      <c r="F16300" s="28"/>
      <c r="H16300" s="28"/>
    </row>
    <row r="16301" spans="4:8" x14ac:dyDescent="0.25">
      <c r="D16301" s="28"/>
      <c r="F16301" s="28"/>
      <c r="H16301" s="28"/>
    </row>
    <row r="16302" spans="4:8" x14ac:dyDescent="0.25">
      <c r="D16302" s="28"/>
      <c r="F16302" s="28"/>
      <c r="H16302" s="28"/>
    </row>
    <row r="16303" spans="4:8" x14ac:dyDescent="0.25">
      <c r="D16303" s="28"/>
      <c r="F16303" s="28"/>
      <c r="H16303" s="28"/>
    </row>
    <row r="16304" spans="4:8" x14ac:dyDescent="0.25">
      <c r="D16304" s="28"/>
      <c r="F16304" s="28"/>
      <c r="H16304" s="28"/>
    </row>
    <row r="16305" spans="4:8" x14ac:dyDescent="0.25">
      <c r="D16305" s="28"/>
      <c r="F16305" s="28"/>
      <c r="H16305" s="28"/>
    </row>
    <row r="16306" spans="4:8" x14ac:dyDescent="0.25">
      <c r="D16306" s="28"/>
      <c r="F16306" s="28"/>
      <c r="H16306" s="28"/>
    </row>
    <row r="16307" spans="4:8" x14ac:dyDescent="0.25">
      <c r="D16307" s="28"/>
      <c r="F16307" s="28"/>
      <c r="H16307" s="28"/>
    </row>
    <row r="16308" spans="4:8" x14ac:dyDescent="0.25">
      <c r="D16308" s="28"/>
      <c r="F16308" s="28"/>
      <c r="H16308" s="28"/>
    </row>
    <row r="16309" spans="4:8" x14ac:dyDescent="0.25">
      <c r="D16309" s="28"/>
      <c r="F16309" s="28"/>
      <c r="H16309" s="28"/>
    </row>
    <row r="16310" spans="4:8" x14ac:dyDescent="0.25">
      <c r="D16310" s="28"/>
      <c r="F16310" s="28"/>
      <c r="H16310" s="28"/>
    </row>
    <row r="16311" spans="4:8" x14ac:dyDescent="0.25">
      <c r="D16311" s="28"/>
      <c r="F16311" s="28"/>
      <c r="H16311" s="28"/>
    </row>
    <row r="16312" spans="4:8" x14ac:dyDescent="0.25">
      <c r="D16312" s="28"/>
      <c r="F16312" s="28"/>
      <c r="H16312" s="28"/>
    </row>
    <row r="16313" spans="4:8" x14ac:dyDescent="0.25">
      <c r="D16313" s="28"/>
      <c r="F16313" s="28"/>
      <c r="H16313" s="28"/>
    </row>
    <row r="16314" spans="4:8" x14ac:dyDescent="0.25">
      <c r="D16314" s="28"/>
      <c r="F16314" s="28"/>
      <c r="H16314" s="28"/>
    </row>
    <row r="16315" spans="4:8" x14ac:dyDescent="0.25">
      <c r="D16315" s="28"/>
      <c r="F16315" s="28"/>
      <c r="H16315" s="28"/>
    </row>
    <row r="16316" spans="4:8" x14ac:dyDescent="0.25">
      <c r="D16316" s="28"/>
      <c r="F16316" s="28"/>
      <c r="H16316" s="28"/>
    </row>
    <row r="16317" spans="4:8" x14ac:dyDescent="0.25">
      <c r="D16317" s="28"/>
      <c r="F16317" s="28"/>
      <c r="H16317" s="28"/>
    </row>
    <row r="16318" spans="4:8" x14ac:dyDescent="0.25">
      <c r="D16318" s="28"/>
      <c r="F16318" s="28"/>
      <c r="H16318" s="28"/>
    </row>
    <row r="16319" spans="4:8" x14ac:dyDescent="0.25">
      <c r="D16319" s="28"/>
      <c r="F16319" s="28"/>
      <c r="H16319" s="28"/>
    </row>
    <row r="16320" spans="4:8" x14ac:dyDescent="0.25">
      <c r="D16320" s="28"/>
      <c r="F16320" s="28"/>
      <c r="H16320" s="28"/>
    </row>
    <row r="16321" spans="4:8" x14ac:dyDescent="0.25">
      <c r="D16321" s="28"/>
      <c r="F16321" s="28"/>
      <c r="H16321" s="28"/>
    </row>
    <row r="16322" spans="4:8" x14ac:dyDescent="0.25">
      <c r="D16322" s="28"/>
      <c r="F16322" s="28"/>
      <c r="H16322" s="28"/>
    </row>
    <row r="16323" spans="4:8" x14ac:dyDescent="0.25">
      <c r="D16323" s="28"/>
      <c r="F16323" s="28"/>
      <c r="H16323" s="28"/>
    </row>
    <row r="16324" spans="4:8" x14ac:dyDescent="0.25">
      <c r="D16324" s="28"/>
      <c r="F16324" s="28"/>
      <c r="H16324" s="28"/>
    </row>
    <row r="16325" spans="4:8" x14ac:dyDescent="0.25">
      <c r="D16325" s="28"/>
      <c r="F16325" s="28"/>
      <c r="H16325" s="28"/>
    </row>
    <row r="16326" spans="4:8" x14ac:dyDescent="0.25">
      <c r="D16326" s="28"/>
      <c r="F16326" s="28"/>
      <c r="H16326" s="28"/>
    </row>
    <row r="16327" spans="4:8" x14ac:dyDescent="0.25">
      <c r="D16327" s="28"/>
      <c r="F16327" s="28"/>
      <c r="H16327" s="28"/>
    </row>
    <row r="16328" spans="4:8" x14ac:dyDescent="0.25">
      <c r="D16328" s="28"/>
      <c r="F16328" s="28"/>
      <c r="H16328" s="28"/>
    </row>
    <row r="16329" spans="4:8" x14ac:dyDescent="0.25">
      <c r="D16329" s="28"/>
      <c r="F16329" s="28"/>
      <c r="H16329" s="28"/>
    </row>
    <row r="16330" spans="4:8" x14ac:dyDescent="0.25">
      <c r="D16330" s="28"/>
      <c r="F16330" s="28"/>
      <c r="H16330" s="28"/>
    </row>
    <row r="16331" spans="4:8" x14ac:dyDescent="0.25">
      <c r="D16331" s="28"/>
      <c r="F16331" s="28"/>
      <c r="H16331" s="28"/>
    </row>
    <row r="16332" spans="4:8" x14ac:dyDescent="0.25">
      <c r="D16332" s="28"/>
      <c r="F16332" s="28"/>
      <c r="H16332" s="28"/>
    </row>
    <row r="16333" spans="4:8" x14ac:dyDescent="0.25">
      <c r="D16333" s="28"/>
      <c r="F16333" s="28"/>
      <c r="H16333" s="28"/>
    </row>
    <row r="16334" spans="4:8" x14ac:dyDescent="0.25">
      <c r="D16334" s="28"/>
      <c r="F16334" s="28"/>
      <c r="H16334" s="28"/>
    </row>
    <row r="16335" spans="4:8" x14ac:dyDescent="0.25">
      <c r="D16335" s="28"/>
      <c r="F16335" s="28"/>
      <c r="H16335" s="28"/>
    </row>
    <row r="16336" spans="4:8" x14ac:dyDescent="0.25">
      <c r="D16336" s="28"/>
      <c r="F16336" s="28"/>
      <c r="H16336" s="28"/>
    </row>
    <row r="16337" spans="4:8" x14ac:dyDescent="0.25">
      <c r="D16337" s="28"/>
      <c r="F16337" s="28"/>
      <c r="H16337" s="28"/>
    </row>
    <row r="16338" spans="4:8" x14ac:dyDescent="0.25">
      <c r="D16338" s="28"/>
      <c r="F16338" s="28"/>
      <c r="H16338" s="28"/>
    </row>
    <row r="16339" spans="4:8" x14ac:dyDescent="0.25">
      <c r="D16339" s="28"/>
      <c r="F16339" s="28"/>
      <c r="H16339" s="28"/>
    </row>
    <row r="16340" spans="4:8" x14ac:dyDescent="0.25">
      <c r="D16340" s="28"/>
      <c r="F16340" s="28"/>
      <c r="H16340" s="28"/>
    </row>
    <row r="16341" spans="4:8" x14ac:dyDescent="0.25">
      <c r="D16341" s="28"/>
      <c r="F16341" s="28"/>
      <c r="H16341" s="28"/>
    </row>
    <row r="16342" spans="4:8" x14ac:dyDescent="0.25">
      <c r="D16342" s="28"/>
      <c r="F16342" s="28"/>
      <c r="H16342" s="28"/>
    </row>
    <row r="16343" spans="4:8" x14ac:dyDescent="0.25">
      <c r="D16343" s="28"/>
      <c r="F16343" s="28"/>
      <c r="H16343" s="28"/>
    </row>
    <row r="16344" spans="4:8" x14ac:dyDescent="0.25">
      <c r="D16344" s="28"/>
      <c r="F16344" s="28"/>
      <c r="H16344" s="28"/>
    </row>
    <row r="16345" spans="4:8" x14ac:dyDescent="0.25">
      <c r="D16345" s="28"/>
      <c r="F16345" s="28"/>
      <c r="H16345" s="28"/>
    </row>
    <row r="16346" spans="4:8" x14ac:dyDescent="0.25">
      <c r="D16346" s="28"/>
      <c r="F16346" s="28"/>
      <c r="H16346" s="28"/>
    </row>
    <row r="16347" spans="4:8" x14ac:dyDescent="0.25">
      <c r="D16347" s="28"/>
      <c r="F16347" s="28"/>
      <c r="H16347" s="28"/>
    </row>
    <row r="16348" spans="4:8" x14ac:dyDescent="0.25">
      <c r="D16348" s="28"/>
      <c r="F16348" s="28"/>
      <c r="H16348" s="28"/>
    </row>
    <row r="16349" spans="4:8" x14ac:dyDescent="0.25">
      <c r="D16349" s="28"/>
      <c r="F16349" s="28"/>
      <c r="H16349" s="28"/>
    </row>
    <row r="16350" spans="4:8" x14ac:dyDescent="0.25">
      <c r="D16350" s="28"/>
      <c r="F16350" s="28"/>
      <c r="H16350" s="28"/>
    </row>
    <row r="16351" spans="4:8" x14ac:dyDescent="0.25">
      <c r="D16351" s="28"/>
      <c r="F16351" s="28"/>
      <c r="H16351" s="28"/>
    </row>
    <row r="16352" spans="4:8" x14ac:dyDescent="0.25">
      <c r="D16352" s="28"/>
      <c r="F16352" s="28"/>
      <c r="H16352" s="28"/>
    </row>
    <row r="16353" spans="4:8" x14ac:dyDescent="0.25">
      <c r="D16353" s="28"/>
      <c r="F16353" s="28"/>
      <c r="H16353" s="28"/>
    </row>
    <row r="16354" spans="4:8" x14ac:dyDescent="0.25">
      <c r="D16354" s="28"/>
      <c r="F16354" s="28"/>
      <c r="H16354" s="28"/>
    </row>
    <row r="16355" spans="4:8" x14ac:dyDescent="0.25">
      <c r="D16355" s="28"/>
      <c r="F16355" s="28"/>
      <c r="H16355" s="28"/>
    </row>
    <row r="16356" spans="4:8" x14ac:dyDescent="0.25">
      <c r="D16356" s="28"/>
      <c r="F16356" s="28"/>
      <c r="H16356" s="28"/>
    </row>
    <row r="16357" spans="4:8" x14ac:dyDescent="0.25">
      <c r="D16357" s="28"/>
      <c r="F16357" s="28"/>
      <c r="H16357" s="28"/>
    </row>
    <row r="16358" spans="4:8" x14ac:dyDescent="0.25">
      <c r="D16358" s="28"/>
      <c r="F16358" s="28"/>
      <c r="H16358" s="28"/>
    </row>
    <row r="16359" spans="4:8" x14ac:dyDescent="0.25">
      <c r="D16359" s="28"/>
      <c r="F16359" s="28"/>
      <c r="H16359" s="28"/>
    </row>
    <row r="16360" spans="4:8" x14ac:dyDescent="0.25">
      <c r="D16360" s="28"/>
      <c r="F16360" s="28"/>
      <c r="H16360" s="28"/>
    </row>
    <row r="16361" spans="4:8" x14ac:dyDescent="0.25">
      <c r="D16361" s="28"/>
      <c r="F16361" s="28"/>
      <c r="H16361" s="28"/>
    </row>
    <row r="16362" spans="4:8" x14ac:dyDescent="0.25">
      <c r="D16362" s="28"/>
      <c r="F16362" s="28"/>
      <c r="H16362" s="28"/>
    </row>
    <row r="16363" spans="4:8" x14ac:dyDescent="0.25">
      <c r="D16363" s="28"/>
      <c r="F16363" s="28"/>
      <c r="H16363" s="28"/>
    </row>
    <row r="16364" spans="4:8" x14ac:dyDescent="0.25">
      <c r="D16364" s="28"/>
      <c r="F16364" s="28"/>
      <c r="H16364" s="28"/>
    </row>
    <row r="16365" spans="4:8" x14ac:dyDescent="0.25">
      <c r="D16365" s="28"/>
      <c r="F16365" s="28"/>
      <c r="H16365" s="28"/>
    </row>
    <row r="16366" spans="4:8" x14ac:dyDescent="0.25">
      <c r="D16366" s="28"/>
      <c r="F16366" s="28"/>
      <c r="H16366" s="28"/>
    </row>
    <row r="16367" spans="4:8" x14ac:dyDescent="0.25">
      <c r="D16367" s="28"/>
      <c r="F16367" s="28"/>
      <c r="H16367" s="28"/>
    </row>
    <row r="16368" spans="4:8" x14ac:dyDescent="0.25">
      <c r="D16368" s="28"/>
      <c r="F16368" s="28"/>
      <c r="H16368" s="28"/>
    </row>
    <row r="16369" spans="4:8" x14ac:dyDescent="0.25">
      <c r="D16369" s="28"/>
      <c r="F16369" s="28"/>
      <c r="H16369" s="28"/>
    </row>
    <row r="16370" spans="4:8" x14ac:dyDescent="0.25">
      <c r="D16370" s="28"/>
      <c r="F16370" s="28"/>
      <c r="H16370" s="28"/>
    </row>
    <row r="16371" spans="4:8" x14ac:dyDescent="0.25">
      <c r="D16371" s="28"/>
      <c r="F16371" s="28"/>
      <c r="H16371" s="28"/>
    </row>
    <row r="16372" spans="4:8" x14ac:dyDescent="0.25">
      <c r="D16372" s="28"/>
      <c r="F16372" s="28"/>
      <c r="H16372" s="28"/>
    </row>
    <row r="16373" spans="4:8" x14ac:dyDescent="0.25">
      <c r="D16373" s="28"/>
      <c r="F16373" s="28"/>
      <c r="H16373" s="28"/>
    </row>
    <row r="16374" spans="4:8" x14ac:dyDescent="0.25">
      <c r="D16374" s="28"/>
      <c r="F16374" s="28"/>
      <c r="H16374" s="28"/>
    </row>
    <row r="16375" spans="4:8" x14ac:dyDescent="0.25">
      <c r="D16375" s="28"/>
      <c r="F16375" s="28"/>
      <c r="H16375" s="28"/>
    </row>
    <row r="16376" spans="4:8" x14ac:dyDescent="0.25">
      <c r="D16376" s="28"/>
      <c r="F16376" s="28"/>
      <c r="H16376" s="28"/>
    </row>
    <row r="16377" spans="4:8" x14ac:dyDescent="0.25">
      <c r="D16377" s="28"/>
      <c r="F16377" s="28"/>
      <c r="H16377" s="28"/>
    </row>
    <row r="16378" spans="4:8" x14ac:dyDescent="0.25">
      <c r="D16378" s="28"/>
      <c r="F16378" s="28"/>
      <c r="H16378" s="28"/>
    </row>
    <row r="16379" spans="4:8" x14ac:dyDescent="0.25">
      <c r="D16379" s="28"/>
      <c r="F16379" s="28"/>
      <c r="H16379" s="28"/>
    </row>
    <row r="16380" spans="4:8" x14ac:dyDescent="0.25">
      <c r="D16380" s="28"/>
      <c r="F16380" s="28"/>
      <c r="H16380" s="28"/>
    </row>
    <row r="16381" spans="4:8" x14ac:dyDescent="0.25">
      <c r="D16381" s="28"/>
      <c r="F16381" s="28"/>
      <c r="H16381" s="28"/>
    </row>
    <row r="16382" spans="4:8" x14ac:dyDescent="0.25">
      <c r="D16382" s="28"/>
      <c r="F16382" s="28"/>
      <c r="H16382" s="28"/>
    </row>
    <row r="16383" spans="4:8" x14ac:dyDescent="0.25">
      <c r="D16383" s="28"/>
      <c r="F16383" s="28"/>
      <c r="H16383" s="28"/>
    </row>
    <row r="16384" spans="4:8" x14ac:dyDescent="0.25">
      <c r="D16384" s="28"/>
      <c r="F16384" s="28"/>
      <c r="H16384" s="28"/>
    </row>
    <row r="16385" spans="4:8" x14ac:dyDescent="0.25">
      <c r="D16385" s="28"/>
      <c r="F16385" s="28"/>
      <c r="H16385" s="28"/>
    </row>
    <row r="16386" spans="4:8" x14ac:dyDescent="0.25">
      <c r="D16386" s="28"/>
      <c r="F16386" s="28"/>
      <c r="H16386" s="28"/>
    </row>
    <row r="16387" spans="4:8" x14ac:dyDescent="0.25">
      <c r="D16387" s="28"/>
      <c r="F16387" s="28"/>
      <c r="H16387" s="28"/>
    </row>
    <row r="16388" spans="4:8" x14ac:dyDescent="0.25">
      <c r="D16388" s="28"/>
      <c r="F16388" s="28"/>
      <c r="H16388" s="28"/>
    </row>
    <row r="16389" spans="4:8" x14ac:dyDescent="0.25">
      <c r="D16389" s="28"/>
      <c r="F16389" s="28"/>
      <c r="H16389" s="28"/>
    </row>
    <row r="16390" spans="4:8" x14ac:dyDescent="0.25">
      <c r="D16390" s="28"/>
      <c r="F16390" s="28"/>
      <c r="H16390" s="28"/>
    </row>
    <row r="16391" spans="4:8" x14ac:dyDescent="0.25">
      <c r="D16391" s="28"/>
      <c r="F16391" s="28"/>
      <c r="H16391" s="28"/>
    </row>
    <row r="16392" spans="4:8" x14ac:dyDescent="0.25">
      <c r="D16392" s="28"/>
      <c r="F16392" s="28"/>
      <c r="H16392" s="28"/>
    </row>
    <row r="16393" spans="4:8" x14ac:dyDescent="0.25">
      <c r="D16393" s="28"/>
      <c r="F16393" s="28"/>
      <c r="H16393" s="28"/>
    </row>
    <row r="16394" spans="4:8" x14ac:dyDescent="0.25">
      <c r="D16394" s="28"/>
      <c r="F16394" s="28"/>
      <c r="H16394" s="28"/>
    </row>
    <row r="16395" spans="4:8" x14ac:dyDescent="0.25">
      <c r="D16395" s="28"/>
      <c r="F16395" s="28"/>
      <c r="H16395" s="28"/>
    </row>
    <row r="16396" spans="4:8" x14ac:dyDescent="0.25">
      <c r="D16396" s="28"/>
      <c r="F16396" s="28"/>
      <c r="H16396" s="28"/>
    </row>
    <row r="16397" spans="4:8" x14ac:dyDescent="0.25">
      <c r="D16397" s="28"/>
      <c r="F16397" s="28"/>
      <c r="H16397" s="28"/>
    </row>
    <row r="16398" spans="4:8" x14ac:dyDescent="0.25">
      <c r="D16398" s="28"/>
      <c r="F16398" s="28"/>
      <c r="H16398" s="28"/>
    </row>
    <row r="16399" spans="4:8" x14ac:dyDescent="0.25">
      <c r="D16399" s="28"/>
      <c r="F16399" s="28"/>
      <c r="H16399" s="28"/>
    </row>
    <row r="16400" spans="4:8" x14ac:dyDescent="0.25">
      <c r="D16400" s="28"/>
      <c r="F16400" s="28"/>
      <c r="H16400" s="28"/>
    </row>
    <row r="16401" spans="4:8" x14ac:dyDescent="0.25">
      <c r="D16401" s="28"/>
      <c r="F16401" s="28"/>
      <c r="H16401" s="28"/>
    </row>
    <row r="16402" spans="4:8" x14ac:dyDescent="0.25">
      <c r="D16402" s="28"/>
      <c r="F16402" s="28"/>
      <c r="H16402" s="28"/>
    </row>
    <row r="16403" spans="4:8" x14ac:dyDescent="0.25">
      <c r="D16403" s="28"/>
      <c r="F16403" s="28"/>
      <c r="H16403" s="28"/>
    </row>
    <row r="16404" spans="4:8" x14ac:dyDescent="0.25">
      <c r="D16404" s="28"/>
      <c r="F16404" s="28"/>
      <c r="H16404" s="28"/>
    </row>
    <row r="16405" spans="4:8" x14ac:dyDescent="0.25">
      <c r="D16405" s="28"/>
      <c r="F16405" s="28"/>
      <c r="H16405" s="28"/>
    </row>
    <row r="16406" spans="4:8" x14ac:dyDescent="0.25">
      <c r="D16406" s="28"/>
      <c r="F16406" s="28"/>
      <c r="H16406" s="28"/>
    </row>
    <row r="16407" spans="4:8" x14ac:dyDescent="0.25">
      <c r="D16407" s="28"/>
      <c r="F16407" s="28"/>
      <c r="H16407" s="28"/>
    </row>
    <row r="16408" spans="4:8" x14ac:dyDescent="0.25">
      <c r="D16408" s="28"/>
      <c r="F16408" s="28"/>
      <c r="H16408" s="28"/>
    </row>
    <row r="16409" spans="4:8" x14ac:dyDescent="0.25">
      <c r="D16409" s="28"/>
      <c r="F16409" s="28"/>
      <c r="H16409" s="28"/>
    </row>
    <row r="16410" spans="4:8" x14ac:dyDescent="0.25">
      <c r="D16410" s="28"/>
      <c r="F16410" s="28"/>
      <c r="H16410" s="28"/>
    </row>
    <row r="16411" spans="4:8" x14ac:dyDescent="0.25">
      <c r="D16411" s="28"/>
      <c r="F16411" s="28"/>
      <c r="H16411" s="28"/>
    </row>
    <row r="16412" spans="4:8" x14ac:dyDescent="0.25">
      <c r="D16412" s="28"/>
      <c r="F16412" s="28"/>
      <c r="H16412" s="28"/>
    </row>
    <row r="16413" spans="4:8" x14ac:dyDescent="0.25">
      <c r="D16413" s="28"/>
      <c r="F16413" s="28"/>
      <c r="H16413" s="28"/>
    </row>
    <row r="16414" spans="4:8" x14ac:dyDescent="0.25">
      <c r="D16414" s="28"/>
      <c r="F16414" s="28"/>
      <c r="H16414" s="28"/>
    </row>
    <row r="16415" spans="4:8" x14ac:dyDescent="0.25">
      <c r="D16415" s="28"/>
      <c r="F16415" s="28"/>
      <c r="H16415" s="28"/>
    </row>
    <row r="16416" spans="4:8" x14ac:dyDescent="0.25">
      <c r="D16416" s="28"/>
      <c r="F16416" s="28"/>
      <c r="H16416" s="28"/>
    </row>
    <row r="16417" spans="4:8" x14ac:dyDescent="0.25">
      <c r="D16417" s="28"/>
      <c r="F16417" s="28"/>
      <c r="H16417" s="28"/>
    </row>
    <row r="16418" spans="4:8" x14ac:dyDescent="0.25">
      <c r="D16418" s="28"/>
      <c r="F16418" s="28"/>
      <c r="H16418" s="28"/>
    </row>
    <row r="16419" spans="4:8" x14ac:dyDescent="0.25">
      <c r="D16419" s="28"/>
      <c r="F16419" s="28"/>
      <c r="H16419" s="28"/>
    </row>
    <row r="16420" spans="4:8" x14ac:dyDescent="0.25">
      <c r="D16420" s="28"/>
      <c r="F16420" s="28"/>
      <c r="H16420" s="28"/>
    </row>
    <row r="16421" spans="4:8" x14ac:dyDescent="0.25">
      <c r="D16421" s="28"/>
      <c r="F16421" s="28"/>
      <c r="H16421" s="28"/>
    </row>
    <row r="16422" spans="4:8" x14ac:dyDescent="0.25">
      <c r="D16422" s="28"/>
      <c r="F16422" s="28"/>
      <c r="H16422" s="28"/>
    </row>
    <row r="16423" spans="4:8" x14ac:dyDescent="0.25">
      <c r="D16423" s="28"/>
      <c r="F16423" s="28"/>
      <c r="H16423" s="28"/>
    </row>
    <row r="16424" spans="4:8" x14ac:dyDescent="0.25">
      <c r="D16424" s="28"/>
      <c r="F16424" s="28"/>
      <c r="H16424" s="28"/>
    </row>
    <row r="16425" spans="4:8" x14ac:dyDescent="0.25">
      <c r="D16425" s="28"/>
      <c r="F16425" s="28"/>
      <c r="H16425" s="28"/>
    </row>
    <row r="16426" spans="4:8" x14ac:dyDescent="0.25">
      <c r="D16426" s="28"/>
      <c r="F16426" s="28"/>
      <c r="H16426" s="28"/>
    </row>
    <row r="16427" spans="4:8" x14ac:dyDescent="0.25">
      <c r="D16427" s="28"/>
      <c r="F16427" s="28"/>
      <c r="H16427" s="28"/>
    </row>
    <row r="16428" spans="4:8" x14ac:dyDescent="0.25">
      <c r="D16428" s="28"/>
      <c r="F16428" s="28"/>
      <c r="H16428" s="28"/>
    </row>
    <row r="16429" spans="4:8" x14ac:dyDescent="0.25">
      <c r="D16429" s="28"/>
      <c r="F16429" s="28"/>
      <c r="H16429" s="28"/>
    </row>
    <row r="16430" spans="4:8" x14ac:dyDescent="0.25">
      <c r="D16430" s="28"/>
      <c r="F16430" s="28"/>
      <c r="H16430" s="28"/>
    </row>
    <row r="16431" spans="4:8" x14ac:dyDescent="0.25">
      <c r="D16431" s="28"/>
      <c r="F16431" s="28"/>
      <c r="H16431" s="28"/>
    </row>
    <row r="16432" spans="4:8" x14ac:dyDescent="0.25">
      <c r="D16432" s="28"/>
      <c r="F16432" s="28"/>
      <c r="H16432" s="28"/>
    </row>
    <row r="16433" spans="4:8" x14ac:dyDescent="0.25">
      <c r="D16433" s="28"/>
      <c r="F16433" s="28"/>
      <c r="H16433" s="28"/>
    </row>
    <row r="16434" spans="4:8" x14ac:dyDescent="0.25">
      <c r="D16434" s="28"/>
      <c r="F16434" s="28"/>
      <c r="H16434" s="28"/>
    </row>
    <row r="16435" spans="4:8" x14ac:dyDescent="0.25">
      <c r="D16435" s="28"/>
      <c r="F16435" s="28"/>
      <c r="H16435" s="28"/>
    </row>
    <row r="16436" spans="4:8" x14ac:dyDescent="0.25">
      <c r="D16436" s="28"/>
      <c r="F16436" s="28"/>
      <c r="H16436" s="28"/>
    </row>
    <row r="16437" spans="4:8" x14ac:dyDescent="0.25">
      <c r="D16437" s="28"/>
      <c r="F16437" s="28"/>
      <c r="H16437" s="28"/>
    </row>
    <row r="16438" spans="4:8" x14ac:dyDescent="0.25">
      <c r="D16438" s="28"/>
      <c r="F16438" s="28"/>
      <c r="H16438" s="28"/>
    </row>
    <row r="16439" spans="4:8" x14ac:dyDescent="0.25">
      <c r="D16439" s="28"/>
      <c r="F16439" s="28"/>
      <c r="H16439" s="28"/>
    </row>
    <row r="16440" spans="4:8" x14ac:dyDescent="0.25">
      <c r="D16440" s="28"/>
      <c r="F16440" s="28"/>
      <c r="H16440" s="28"/>
    </row>
    <row r="16441" spans="4:8" x14ac:dyDescent="0.25">
      <c r="D16441" s="28"/>
      <c r="F16441" s="28"/>
      <c r="H16441" s="28"/>
    </row>
    <row r="16442" spans="4:8" x14ac:dyDescent="0.25">
      <c r="D16442" s="28"/>
      <c r="F16442" s="28"/>
      <c r="H16442" s="28"/>
    </row>
    <row r="16443" spans="4:8" x14ac:dyDescent="0.25">
      <c r="D16443" s="28"/>
      <c r="F16443" s="28"/>
      <c r="H16443" s="28"/>
    </row>
    <row r="16444" spans="4:8" x14ac:dyDescent="0.25">
      <c r="D16444" s="28"/>
      <c r="F16444" s="28"/>
      <c r="H16444" s="28"/>
    </row>
    <row r="16445" spans="4:8" x14ac:dyDescent="0.25">
      <c r="D16445" s="28"/>
      <c r="F16445" s="28"/>
      <c r="H16445" s="28"/>
    </row>
    <row r="16446" spans="4:8" x14ac:dyDescent="0.25">
      <c r="D16446" s="28"/>
      <c r="F16446" s="28"/>
      <c r="H16446" s="28"/>
    </row>
    <row r="16447" spans="4:8" x14ac:dyDescent="0.25">
      <c r="D16447" s="28"/>
      <c r="F16447" s="28"/>
      <c r="H16447" s="28"/>
    </row>
    <row r="16448" spans="4:8" x14ac:dyDescent="0.25">
      <c r="D16448" s="28"/>
      <c r="F16448" s="28"/>
      <c r="H16448" s="28"/>
    </row>
    <row r="16449" spans="4:8" x14ac:dyDescent="0.25">
      <c r="D16449" s="28"/>
      <c r="F16449" s="28"/>
      <c r="H16449" s="28"/>
    </row>
    <row r="16450" spans="4:8" x14ac:dyDescent="0.25">
      <c r="D16450" s="28"/>
      <c r="F16450" s="28"/>
      <c r="H16450" s="28"/>
    </row>
    <row r="16451" spans="4:8" x14ac:dyDescent="0.25">
      <c r="D16451" s="28"/>
      <c r="F16451" s="28"/>
      <c r="H16451" s="28"/>
    </row>
    <row r="16452" spans="4:8" x14ac:dyDescent="0.25">
      <c r="D16452" s="28"/>
      <c r="F16452" s="28"/>
      <c r="H16452" s="28"/>
    </row>
    <row r="16453" spans="4:8" x14ac:dyDescent="0.25">
      <c r="D16453" s="28"/>
      <c r="F16453" s="28"/>
      <c r="H16453" s="28"/>
    </row>
    <row r="16454" spans="4:8" x14ac:dyDescent="0.25">
      <c r="D16454" s="28"/>
      <c r="F16454" s="28"/>
      <c r="H16454" s="28"/>
    </row>
    <row r="16455" spans="4:8" x14ac:dyDescent="0.25">
      <c r="D16455" s="28"/>
      <c r="F16455" s="28"/>
      <c r="H16455" s="28"/>
    </row>
    <row r="16456" spans="4:8" x14ac:dyDescent="0.25">
      <c r="D16456" s="28"/>
      <c r="F16456" s="28"/>
      <c r="H16456" s="28"/>
    </row>
    <row r="16457" spans="4:8" x14ac:dyDescent="0.25">
      <c r="D16457" s="28"/>
      <c r="F16457" s="28"/>
      <c r="H16457" s="28"/>
    </row>
    <row r="16458" spans="4:8" x14ac:dyDescent="0.25">
      <c r="D16458" s="28"/>
      <c r="F16458" s="28"/>
      <c r="H16458" s="28"/>
    </row>
    <row r="16459" spans="4:8" x14ac:dyDescent="0.25">
      <c r="D16459" s="28"/>
      <c r="F16459" s="28"/>
      <c r="H16459" s="28"/>
    </row>
    <row r="16460" spans="4:8" x14ac:dyDescent="0.25">
      <c r="D16460" s="28"/>
      <c r="F16460" s="28"/>
      <c r="H16460" s="28"/>
    </row>
    <row r="16461" spans="4:8" x14ac:dyDescent="0.25">
      <c r="D16461" s="28"/>
      <c r="F16461" s="28"/>
      <c r="H16461" s="28"/>
    </row>
    <row r="16462" spans="4:8" x14ac:dyDescent="0.25">
      <c r="D16462" s="28"/>
      <c r="F16462" s="28"/>
      <c r="H16462" s="28"/>
    </row>
    <row r="16463" spans="4:8" x14ac:dyDescent="0.25">
      <c r="D16463" s="28"/>
      <c r="F16463" s="28"/>
      <c r="H16463" s="28"/>
    </row>
    <row r="16464" spans="4:8" x14ac:dyDescent="0.25">
      <c r="D16464" s="28"/>
      <c r="F16464" s="28"/>
      <c r="H16464" s="28"/>
    </row>
    <row r="16465" spans="4:8" x14ac:dyDescent="0.25">
      <c r="D16465" s="28"/>
      <c r="F16465" s="28"/>
      <c r="H16465" s="28"/>
    </row>
    <row r="16466" spans="4:8" x14ac:dyDescent="0.25">
      <c r="D16466" s="28"/>
      <c r="F16466" s="28"/>
      <c r="H16466" s="28"/>
    </row>
    <row r="16467" spans="4:8" x14ac:dyDescent="0.25">
      <c r="D16467" s="28"/>
      <c r="F16467" s="28"/>
      <c r="H16467" s="28"/>
    </row>
    <row r="16468" spans="4:8" x14ac:dyDescent="0.25">
      <c r="D16468" s="28"/>
      <c r="F16468" s="28"/>
      <c r="H16468" s="28"/>
    </row>
    <row r="16469" spans="4:8" x14ac:dyDescent="0.25">
      <c r="D16469" s="28"/>
      <c r="F16469" s="28"/>
      <c r="H16469" s="28"/>
    </row>
    <row r="16470" spans="4:8" x14ac:dyDescent="0.25">
      <c r="D16470" s="28"/>
      <c r="F16470" s="28"/>
      <c r="H16470" s="28"/>
    </row>
    <row r="16471" spans="4:8" x14ac:dyDescent="0.25">
      <c r="D16471" s="28"/>
      <c r="F16471" s="28"/>
      <c r="H16471" s="28"/>
    </row>
    <row r="16472" spans="4:8" x14ac:dyDescent="0.25">
      <c r="D16472" s="28"/>
      <c r="F16472" s="28"/>
      <c r="H16472" s="28"/>
    </row>
    <row r="16473" spans="4:8" x14ac:dyDescent="0.25">
      <c r="D16473" s="28"/>
      <c r="F16473" s="28"/>
      <c r="H16473" s="28"/>
    </row>
    <row r="16474" spans="4:8" x14ac:dyDescent="0.25">
      <c r="D16474" s="28"/>
      <c r="F16474" s="28"/>
      <c r="H16474" s="28"/>
    </row>
    <row r="16475" spans="4:8" x14ac:dyDescent="0.25">
      <c r="D16475" s="28"/>
      <c r="F16475" s="28"/>
      <c r="H16475" s="28"/>
    </row>
    <row r="16476" spans="4:8" x14ac:dyDescent="0.25">
      <c r="D16476" s="28"/>
      <c r="F16476" s="28"/>
      <c r="H16476" s="28"/>
    </row>
    <row r="16477" spans="4:8" x14ac:dyDescent="0.25">
      <c r="D16477" s="28"/>
      <c r="F16477" s="28"/>
      <c r="H16477" s="28"/>
    </row>
    <row r="16478" spans="4:8" x14ac:dyDescent="0.25">
      <c r="D16478" s="28"/>
      <c r="F16478" s="28"/>
      <c r="H16478" s="28"/>
    </row>
    <row r="16479" spans="4:8" x14ac:dyDescent="0.25">
      <c r="D16479" s="28"/>
      <c r="F16479" s="28"/>
      <c r="H16479" s="28"/>
    </row>
    <row r="16480" spans="4:8" x14ac:dyDescent="0.25">
      <c r="D16480" s="28"/>
      <c r="F16480" s="28"/>
      <c r="H16480" s="28"/>
    </row>
    <row r="16481" spans="4:8" x14ac:dyDescent="0.25">
      <c r="D16481" s="28"/>
      <c r="F16481" s="28"/>
      <c r="H16481" s="28"/>
    </row>
    <row r="16482" spans="4:8" x14ac:dyDescent="0.25">
      <c r="D16482" s="28"/>
      <c r="F16482" s="28"/>
      <c r="H16482" s="28"/>
    </row>
    <row r="16483" spans="4:8" x14ac:dyDescent="0.25">
      <c r="D16483" s="28"/>
      <c r="F16483" s="28"/>
      <c r="H16483" s="28"/>
    </row>
    <row r="16484" spans="4:8" x14ac:dyDescent="0.25">
      <c r="D16484" s="28"/>
      <c r="F16484" s="28"/>
      <c r="H16484" s="28"/>
    </row>
    <row r="16485" spans="4:8" x14ac:dyDescent="0.25">
      <c r="D16485" s="28"/>
      <c r="F16485" s="28"/>
      <c r="H16485" s="28"/>
    </row>
    <row r="16486" spans="4:8" x14ac:dyDescent="0.25">
      <c r="D16486" s="28"/>
      <c r="F16486" s="28"/>
      <c r="H16486" s="28"/>
    </row>
    <row r="16487" spans="4:8" x14ac:dyDescent="0.25">
      <c r="D16487" s="28"/>
      <c r="F16487" s="28"/>
      <c r="H16487" s="28"/>
    </row>
    <row r="16488" spans="4:8" x14ac:dyDescent="0.25">
      <c r="D16488" s="28"/>
      <c r="F16488" s="28"/>
      <c r="H16488" s="28"/>
    </row>
    <row r="16489" spans="4:8" x14ac:dyDescent="0.25">
      <c r="D16489" s="28"/>
      <c r="F16489" s="28"/>
      <c r="H16489" s="28"/>
    </row>
    <row r="16490" spans="4:8" x14ac:dyDescent="0.25">
      <c r="D16490" s="28"/>
      <c r="F16490" s="28"/>
      <c r="H16490" s="28"/>
    </row>
    <row r="16491" spans="4:8" x14ac:dyDescent="0.25">
      <c r="D16491" s="28"/>
      <c r="F16491" s="28"/>
      <c r="H16491" s="28"/>
    </row>
    <row r="16492" spans="4:8" x14ac:dyDescent="0.25">
      <c r="D16492" s="28"/>
      <c r="F16492" s="28"/>
      <c r="H16492" s="28"/>
    </row>
    <row r="16493" spans="4:8" x14ac:dyDescent="0.25">
      <c r="D16493" s="28"/>
      <c r="F16493" s="28"/>
      <c r="H16493" s="28"/>
    </row>
    <row r="16494" spans="4:8" x14ac:dyDescent="0.25">
      <c r="D16494" s="28"/>
      <c r="F16494" s="28"/>
      <c r="H16494" s="28"/>
    </row>
    <row r="16495" spans="4:8" x14ac:dyDescent="0.25">
      <c r="D16495" s="28"/>
      <c r="F16495" s="28"/>
      <c r="H16495" s="28"/>
    </row>
    <row r="16496" spans="4:8" x14ac:dyDescent="0.25">
      <c r="D16496" s="28"/>
      <c r="F16496" s="28"/>
      <c r="H16496" s="28"/>
    </row>
    <row r="16497" spans="4:8" x14ac:dyDescent="0.25">
      <c r="D16497" s="28"/>
      <c r="F16497" s="28"/>
      <c r="H16497" s="28"/>
    </row>
    <row r="16498" spans="4:8" x14ac:dyDescent="0.25">
      <c r="D16498" s="28"/>
      <c r="F16498" s="28"/>
      <c r="H16498" s="28"/>
    </row>
    <row r="16499" spans="4:8" x14ac:dyDescent="0.25">
      <c r="D16499" s="28"/>
      <c r="F16499" s="28"/>
      <c r="H16499" s="28"/>
    </row>
    <row r="16500" spans="4:8" x14ac:dyDescent="0.25">
      <c r="D16500" s="28"/>
      <c r="F16500" s="28"/>
      <c r="H16500" s="28"/>
    </row>
    <row r="16501" spans="4:8" x14ac:dyDescent="0.25">
      <c r="D16501" s="28"/>
      <c r="F16501" s="28"/>
      <c r="H16501" s="28"/>
    </row>
    <row r="16502" spans="4:8" x14ac:dyDescent="0.25">
      <c r="D16502" s="28"/>
      <c r="F16502" s="28"/>
      <c r="H16502" s="28"/>
    </row>
    <row r="16503" spans="4:8" x14ac:dyDescent="0.25">
      <c r="D16503" s="28"/>
      <c r="F16503" s="28"/>
      <c r="H16503" s="28"/>
    </row>
    <row r="16504" spans="4:8" x14ac:dyDescent="0.25">
      <c r="D16504" s="28"/>
      <c r="F16504" s="28"/>
      <c r="H16504" s="28"/>
    </row>
    <row r="16505" spans="4:8" x14ac:dyDescent="0.25">
      <c r="D16505" s="28"/>
      <c r="F16505" s="28"/>
      <c r="H16505" s="28"/>
    </row>
    <row r="16506" spans="4:8" x14ac:dyDescent="0.25">
      <c r="D16506" s="28"/>
      <c r="F16506" s="28"/>
      <c r="H16506" s="28"/>
    </row>
    <row r="16507" spans="4:8" x14ac:dyDescent="0.25">
      <c r="D16507" s="28"/>
      <c r="F16507" s="28"/>
      <c r="H16507" s="28"/>
    </row>
    <row r="16508" spans="4:8" x14ac:dyDescent="0.25">
      <c r="D16508" s="28"/>
      <c r="F16508" s="28"/>
      <c r="H16508" s="28"/>
    </row>
    <row r="16509" spans="4:8" x14ac:dyDescent="0.25">
      <c r="D16509" s="28"/>
      <c r="F16509" s="28"/>
      <c r="H16509" s="28"/>
    </row>
    <row r="16510" spans="4:8" x14ac:dyDescent="0.25">
      <c r="D16510" s="28"/>
      <c r="F16510" s="28"/>
      <c r="H16510" s="28"/>
    </row>
    <row r="16511" spans="4:8" x14ac:dyDescent="0.25">
      <c r="D16511" s="28"/>
      <c r="F16511" s="28"/>
      <c r="H16511" s="28"/>
    </row>
    <row r="16512" spans="4:8" x14ac:dyDescent="0.25">
      <c r="D16512" s="28"/>
      <c r="F16512" s="28"/>
      <c r="H16512" s="28"/>
    </row>
    <row r="16513" spans="4:8" x14ac:dyDescent="0.25">
      <c r="D16513" s="28"/>
      <c r="F16513" s="28"/>
      <c r="H16513" s="28"/>
    </row>
    <row r="16514" spans="4:8" x14ac:dyDescent="0.25">
      <c r="D16514" s="28"/>
      <c r="F16514" s="28"/>
      <c r="H16514" s="28"/>
    </row>
    <row r="16515" spans="4:8" x14ac:dyDescent="0.25">
      <c r="D16515" s="28"/>
      <c r="F16515" s="28"/>
      <c r="H16515" s="28"/>
    </row>
    <row r="16516" spans="4:8" x14ac:dyDescent="0.25">
      <c r="D16516" s="28"/>
      <c r="F16516" s="28"/>
      <c r="H16516" s="28"/>
    </row>
    <row r="16517" spans="4:8" x14ac:dyDescent="0.25">
      <c r="D16517" s="28"/>
      <c r="F16517" s="28"/>
      <c r="H16517" s="28"/>
    </row>
    <row r="16518" spans="4:8" x14ac:dyDescent="0.25">
      <c r="D16518" s="28"/>
      <c r="F16518" s="28"/>
      <c r="H16518" s="28"/>
    </row>
    <row r="16519" spans="4:8" x14ac:dyDescent="0.25">
      <c r="D16519" s="28"/>
      <c r="F16519" s="28"/>
      <c r="H16519" s="28"/>
    </row>
    <row r="16520" spans="4:8" x14ac:dyDescent="0.25">
      <c r="D16520" s="28"/>
      <c r="F16520" s="28"/>
      <c r="H16520" s="28"/>
    </row>
    <row r="16521" spans="4:8" x14ac:dyDescent="0.25">
      <c r="D16521" s="28"/>
      <c r="F16521" s="28"/>
      <c r="H16521" s="28"/>
    </row>
    <row r="16522" spans="4:8" x14ac:dyDescent="0.25">
      <c r="D16522" s="28"/>
      <c r="F16522" s="28"/>
      <c r="H16522" s="28"/>
    </row>
    <row r="16523" spans="4:8" x14ac:dyDescent="0.25">
      <c r="D16523" s="28"/>
      <c r="F16523" s="28"/>
      <c r="H16523" s="28"/>
    </row>
    <row r="16524" spans="4:8" x14ac:dyDescent="0.25">
      <c r="D16524" s="28"/>
      <c r="F16524" s="28"/>
      <c r="H16524" s="28"/>
    </row>
    <row r="16525" spans="4:8" x14ac:dyDescent="0.25">
      <c r="D16525" s="28"/>
      <c r="F16525" s="28"/>
      <c r="H16525" s="28"/>
    </row>
    <row r="16526" spans="4:8" x14ac:dyDescent="0.25">
      <c r="D16526" s="28"/>
      <c r="F16526" s="28"/>
      <c r="H16526" s="28"/>
    </row>
    <row r="16527" spans="4:8" x14ac:dyDescent="0.25">
      <c r="D16527" s="28"/>
      <c r="F16527" s="28"/>
      <c r="H16527" s="28"/>
    </row>
    <row r="16528" spans="4:8" x14ac:dyDescent="0.25">
      <c r="D16528" s="28"/>
      <c r="F16528" s="28"/>
      <c r="H16528" s="28"/>
    </row>
    <row r="16529" spans="4:8" x14ac:dyDescent="0.25">
      <c r="D16529" s="28"/>
      <c r="F16529" s="28"/>
      <c r="H16529" s="28"/>
    </row>
    <row r="16530" spans="4:8" x14ac:dyDescent="0.25">
      <c r="D16530" s="28"/>
      <c r="F16530" s="28"/>
      <c r="H16530" s="28"/>
    </row>
    <row r="16531" spans="4:8" x14ac:dyDescent="0.25">
      <c r="D16531" s="28"/>
      <c r="F16531" s="28"/>
      <c r="H16531" s="28"/>
    </row>
    <row r="16532" spans="4:8" x14ac:dyDescent="0.25">
      <c r="D16532" s="28"/>
      <c r="F16532" s="28"/>
      <c r="H16532" s="28"/>
    </row>
    <row r="16533" spans="4:8" x14ac:dyDescent="0.25">
      <c r="D16533" s="28"/>
      <c r="F16533" s="28"/>
      <c r="H16533" s="28"/>
    </row>
    <row r="16534" spans="4:8" x14ac:dyDescent="0.25">
      <c r="D16534" s="28"/>
      <c r="F16534" s="28"/>
      <c r="H16534" s="28"/>
    </row>
    <row r="16535" spans="4:8" x14ac:dyDescent="0.25">
      <c r="D16535" s="28"/>
      <c r="F16535" s="28"/>
      <c r="H16535" s="28"/>
    </row>
    <row r="16536" spans="4:8" x14ac:dyDescent="0.25">
      <c r="D16536" s="28"/>
      <c r="F16536" s="28"/>
      <c r="H16536" s="28"/>
    </row>
    <row r="16537" spans="4:8" x14ac:dyDescent="0.25">
      <c r="D16537" s="28"/>
      <c r="F16537" s="28"/>
      <c r="H16537" s="28"/>
    </row>
    <row r="16538" spans="4:8" x14ac:dyDescent="0.25">
      <c r="D16538" s="28"/>
      <c r="F16538" s="28"/>
      <c r="H16538" s="28"/>
    </row>
    <row r="16539" spans="4:8" x14ac:dyDescent="0.25">
      <c r="D16539" s="28"/>
      <c r="F16539" s="28"/>
      <c r="H16539" s="28"/>
    </row>
    <row r="16540" spans="4:8" x14ac:dyDescent="0.25">
      <c r="D16540" s="28"/>
      <c r="F16540" s="28"/>
      <c r="H16540" s="28"/>
    </row>
    <row r="16541" spans="4:8" x14ac:dyDescent="0.25">
      <c r="D16541" s="28"/>
      <c r="F16541" s="28"/>
      <c r="H16541" s="28"/>
    </row>
    <row r="16542" spans="4:8" x14ac:dyDescent="0.25">
      <c r="D16542" s="28"/>
      <c r="F16542" s="28"/>
      <c r="H16542" s="28"/>
    </row>
    <row r="16543" spans="4:8" x14ac:dyDescent="0.25">
      <c r="D16543" s="28"/>
      <c r="F16543" s="28"/>
      <c r="H16543" s="28"/>
    </row>
    <row r="16544" spans="4:8" x14ac:dyDescent="0.25">
      <c r="D16544" s="28"/>
      <c r="F16544" s="28"/>
      <c r="H16544" s="28"/>
    </row>
    <row r="16545" spans="4:8" x14ac:dyDescent="0.25">
      <c r="D16545" s="28"/>
      <c r="F16545" s="28"/>
      <c r="H16545" s="28"/>
    </row>
    <row r="16546" spans="4:8" x14ac:dyDescent="0.25">
      <c r="D16546" s="28"/>
      <c r="F16546" s="28"/>
      <c r="H16546" s="28"/>
    </row>
    <row r="16547" spans="4:8" x14ac:dyDescent="0.25">
      <c r="D16547" s="28"/>
      <c r="F16547" s="28"/>
      <c r="H16547" s="28"/>
    </row>
    <row r="16548" spans="4:8" x14ac:dyDescent="0.25">
      <c r="D16548" s="28"/>
      <c r="F16548" s="28"/>
      <c r="H16548" s="28"/>
    </row>
    <row r="16549" spans="4:8" x14ac:dyDescent="0.25">
      <c r="D16549" s="28"/>
      <c r="F16549" s="28"/>
      <c r="H16549" s="28"/>
    </row>
    <row r="16550" spans="4:8" x14ac:dyDescent="0.25">
      <c r="D16550" s="28"/>
      <c r="F16550" s="28"/>
      <c r="H16550" s="28"/>
    </row>
    <row r="16551" spans="4:8" x14ac:dyDescent="0.25">
      <c r="D16551" s="28"/>
      <c r="F16551" s="28"/>
      <c r="H16551" s="28"/>
    </row>
    <row r="16552" spans="4:8" x14ac:dyDescent="0.25">
      <c r="D16552" s="28"/>
      <c r="F16552" s="28"/>
      <c r="H16552" s="28"/>
    </row>
    <row r="16553" spans="4:8" x14ac:dyDescent="0.25">
      <c r="D16553" s="28"/>
      <c r="F16553" s="28"/>
      <c r="H16553" s="28"/>
    </row>
    <row r="16554" spans="4:8" x14ac:dyDescent="0.25">
      <c r="D16554" s="28"/>
      <c r="F16554" s="28"/>
      <c r="H16554" s="28"/>
    </row>
    <row r="16555" spans="4:8" x14ac:dyDescent="0.25">
      <c r="D16555" s="28"/>
      <c r="F16555" s="28"/>
      <c r="H16555" s="28"/>
    </row>
    <row r="16556" spans="4:8" x14ac:dyDescent="0.25">
      <c r="D16556" s="28"/>
      <c r="F16556" s="28"/>
      <c r="H16556" s="28"/>
    </row>
    <row r="16557" spans="4:8" x14ac:dyDescent="0.25">
      <c r="D16557" s="28"/>
      <c r="F16557" s="28"/>
      <c r="H16557" s="28"/>
    </row>
    <row r="16558" spans="4:8" x14ac:dyDescent="0.25">
      <c r="D16558" s="28"/>
      <c r="F16558" s="28"/>
      <c r="H16558" s="28"/>
    </row>
    <row r="16559" spans="4:8" x14ac:dyDescent="0.25">
      <c r="D16559" s="28"/>
      <c r="F16559" s="28"/>
      <c r="H16559" s="28"/>
    </row>
    <row r="16560" spans="4:8" x14ac:dyDescent="0.25">
      <c r="D16560" s="28"/>
      <c r="F16560" s="28"/>
      <c r="H16560" s="28"/>
    </row>
    <row r="16561" spans="4:8" x14ac:dyDescent="0.25">
      <c r="D16561" s="28"/>
      <c r="F16561" s="28"/>
      <c r="H16561" s="28"/>
    </row>
    <row r="16562" spans="4:8" x14ac:dyDescent="0.25">
      <c r="D16562" s="28"/>
      <c r="F16562" s="28"/>
      <c r="H16562" s="28"/>
    </row>
    <row r="16563" spans="4:8" x14ac:dyDescent="0.25">
      <c r="D16563" s="28"/>
      <c r="F16563" s="28"/>
      <c r="H16563" s="28"/>
    </row>
    <row r="16564" spans="4:8" x14ac:dyDescent="0.25">
      <c r="D16564" s="28"/>
      <c r="F16564" s="28"/>
      <c r="H16564" s="28"/>
    </row>
    <row r="16565" spans="4:8" x14ac:dyDescent="0.25">
      <c r="D16565" s="28"/>
      <c r="F16565" s="28"/>
      <c r="H16565" s="28"/>
    </row>
    <row r="16566" spans="4:8" x14ac:dyDescent="0.25">
      <c r="D16566" s="28"/>
      <c r="F16566" s="28"/>
      <c r="H16566" s="28"/>
    </row>
    <row r="16567" spans="4:8" x14ac:dyDescent="0.25">
      <c r="D16567" s="28"/>
      <c r="F16567" s="28"/>
      <c r="H16567" s="28"/>
    </row>
    <row r="16568" spans="4:8" x14ac:dyDescent="0.25">
      <c r="D16568" s="28"/>
      <c r="F16568" s="28"/>
      <c r="H16568" s="28"/>
    </row>
    <row r="16569" spans="4:8" x14ac:dyDescent="0.25">
      <c r="D16569" s="28"/>
      <c r="F16569" s="28"/>
      <c r="H16569" s="28"/>
    </row>
    <row r="16570" spans="4:8" x14ac:dyDescent="0.25">
      <c r="D16570" s="28"/>
      <c r="F16570" s="28"/>
      <c r="H16570" s="28"/>
    </row>
    <row r="16571" spans="4:8" x14ac:dyDescent="0.25">
      <c r="D16571" s="28"/>
      <c r="F16571" s="28"/>
      <c r="H16571" s="28"/>
    </row>
    <row r="16572" spans="4:8" x14ac:dyDescent="0.25">
      <c r="D16572" s="28"/>
      <c r="F16572" s="28"/>
      <c r="H16572" s="28"/>
    </row>
    <row r="16573" spans="4:8" x14ac:dyDescent="0.25">
      <c r="D16573" s="28"/>
      <c r="F16573" s="28"/>
      <c r="H16573" s="28"/>
    </row>
    <row r="16574" spans="4:8" x14ac:dyDescent="0.25">
      <c r="D16574" s="28"/>
      <c r="F16574" s="28"/>
      <c r="H16574" s="28"/>
    </row>
    <row r="16575" spans="4:8" x14ac:dyDescent="0.25">
      <c r="D16575" s="28"/>
      <c r="F16575" s="28"/>
      <c r="H16575" s="28"/>
    </row>
    <row r="16576" spans="4:8" x14ac:dyDescent="0.25">
      <c r="D16576" s="28"/>
      <c r="F16576" s="28"/>
      <c r="H16576" s="28"/>
    </row>
    <row r="16577" spans="4:8" x14ac:dyDescent="0.25">
      <c r="D16577" s="28"/>
      <c r="F16577" s="28"/>
      <c r="H16577" s="28"/>
    </row>
    <row r="16578" spans="4:8" x14ac:dyDescent="0.25">
      <c r="D16578" s="28"/>
      <c r="F16578" s="28"/>
      <c r="H16578" s="28"/>
    </row>
    <row r="16579" spans="4:8" x14ac:dyDescent="0.25">
      <c r="D16579" s="28"/>
      <c r="F16579" s="28"/>
      <c r="H16579" s="28"/>
    </row>
    <row r="16580" spans="4:8" x14ac:dyDescent="0.25">
      <c r="D16580" s="28"/>
      <c r="F16580" s="28"/>
      <c r="H16580" s="28"/>
    </row>
    <row r="16581" spans="4:8" x14ac:dyDescent="0.25">
      <c r="D16581" s="28"/>
      <c r="F16581" s="28"/>
      <c r="H16581" s="28"/>
    </row>
    <row r="16582" spans="4:8" x14ac:dyDescent="0.25">
      <c r="D16582" s="28"/>
      <c r="F16582" s="28"/>
      <c r="H16582" s="28"/>
    </row>
    <row r="16583" spans="4:8" x14ac:dyDescent="0.25">
      <c r="D16583" s="28"/>
      <c r="F16583" s="28"/>
      <c r="H16583" s="28"/>
    </row>
    <row r="16584" spans="4:8" x14ac:dyDescent="0.25">
      <c r="D16584" s="28"/>
      <c r="F16584" s="28"/>
      <c r="H16584" s="28"/>
    </row>
    <row r="16585" spans="4:8" x14ac:dyDescent="0.25">
      <c r="D16585" s="28"/>
      <c r="F16585" s="28"/>
      <c r="H16585" s="28"/>
    </row>
    <row r="16586" spans="4:8" x14ac:dyDescent="0.25">
      <c r="D16586" s="28"/>
      <c r="F16586" s="28"/>
      <c r="H16586" s="28"/>
    </row>
    <row r="16587" spans="4:8" x14ac:dyDescent="0.25">
      <c r="D16587" s="28"/>
      <c r="F16587" s="28"/>
      <c r="H16587" s="28"/>
    </row>
    <row r="16588" spans="4:8" x14ac:dyDescent="0.25">
      <c r="D16588" s="28"/>
      <c r="F16588" s="28"/>
      <c r="H16588" s="28"/>
    </row>
    <row r="16589" spans="4:8" x14ac:dyDescent="0.25">
      <c r="D16589" s="28"/>
      <c r="F16589" s="28"/>
      <c r="H16589" s="28"/>
    </row>
    <row r="16590" spans="4:8" x14ac:dyDescent="0.25">
      <c r="D16590" s="28"/>
      <c r="F16590" s="28"/>
      <c r="H16590" s="28"/>
    </row>
    <row r="16591" spans="4:8" x14ac:dyDescent="0.25">
      <c r="D16591" s="28"/>
      <c r="F16591" s="28"/>
      <c r="H16591" s="28"/>
    </row>
    <row r="16592" spans="4:8" x14ac:dyDescent="0.25">
      <c r="D16592" s="28"/>
      <c r="F16592" s="28"/>
      <c r="H16592" s="28"/>
    </row>
    <row r="16593" spans="4:8" x14ac:dyDescent="0.25">
      <c r="D16593" s="28"/>
      <c r="F16593" s="28"/>
      <c r="H16593" s="28"/>
    </row>
    <row r="16594" spans="4:8" x14ac:dyDescent="0.25">
      <c r="D16594" s="28"/>
      <c r="F16594" s="28"/>
      <c r="H16594" s="28"/>
    </row>
    <row r="16595" spans="4:8" x14ac:dyDescent="0.25">
      <c r="D16595" s="28"/>
      <c r="F16595" s="28"/>
      <c r="H16595" s="28"/>
    </row>
    <row r="16596" spans="4:8" x14ac:dyDescent="0.25">
      <c r="D16596" s="28"/>
      <c r="F16596" s="28"/>
      <c r="H16596" s="28"/>
    </row>
    <row r="16597" spans="4:8" x14ac:dyDescent="0.25">
      <c r="D16597" s="28"/>
      <c r="F16597" s="28"/>
      <c r="H16597" s="28"/>
    </row>
    <row r="16598" spans="4:8" x14ac:dyDescent="0.25">
      <c r="D16598" s="28"/>
      <c r="F16598" s="28"/>
      <c r="H16598" s="28"/>
    </row>
    <row r="16599" spans="4:8" x14ac:dyDescent="0.25">
      <c r="D16599" s="28"/>
      <c r="F16599" s="28"/>
      <c r="H16599" s="28"/>
    </row>
    <row r="16600" spans="4:8" x14ac:dyDescent="0.25">
      <c r="D16600" s="28"/>
      <c r="F16600" s="28"/>
      <c r="H16600" s="28"/>
    </row>
    <row r="16601" spans="4:8" x14ac:dyDescent="0.25">
      <c r="D16601" s="28"/>
      <c r="F16601" s="28"/>
      <c r="H16601" s="28"/>
    </row>
    <row r="16602" spans="4:8" x14ac:dyDescent="0.25">
      <c r="D16602" s="28"/>
      <c r="F16602" s="28"/>
      <c r="H16602" s="28"/>
    </row>
    <row r="16603" spans="4:8" x14ac:dyDescent="0.25">
      <c r="D16603" s="28"/>
      <c r="F16603" s="28"/>
      <c r="H16603" s="28"/>
    </row>
    <row r="16604" spans="4:8" x14ac:dyDescent="0.25">
      <c r="D16604" s="28"/>
      <c r="F16604" s="28"/>
      <c r="H16604" s="28"/>
    </row>
    <row r="16605" spans="4:8" x14ac:dyDescent="0.25">
      <c r="D16605" s="28"/>
      <c r="F16605" s="28"/>
      <c r="H16605" s="28"/>
    </row>
    <row r="16606" spans="4:8" x14ac:dyDescent="0.25">
      <c r="D16606" s="28"/>
      <c r="F16606" s="28"/>
      <c r="H16606" s="28"/>
    </row>
    <row r="16607" spans="4:8" x14ac:dyDescent="0.25">
      <c r="D16607" s="28"/>
      <c r="F16607" s="28"/>
      <c r="H16607" s="28"/>
    </row>
    <row r="16608" spans="4:8" x14ac:dyDescent="0.25">
      <c r="D16608" s="28"/>
      <c r="F16608" s="28"/>
      <c r="H16608" s="28"/>
    </row>
    <row r="16609" spans="4:8" x14ac:dyDescent="0.25">
      <c r="D16609" s="28"/>
      <c r="F16609" s="28"/>
      <c r="H16609" s="28"/>
    </row>
    <row r="16610" spans="4:8" x14ac:dyDescent="0.25">
      <c r="D16610" s="28"/>
      <c r="F16610" s="28"/>
      <c r="H16610" s="28"/>
    </row>
    <row r="16611" spans="4:8" x14ac:dyDescent="0.25">
      <c r="D16611" s="28"/>
      <c r="F16611" s="28"/>
      <c r="H16611" s="28"/>
    </row>
    <row r="16612" spans="4:8" x14ac:dyDescent="0.25">
      <c r="D16612" s="28"/>
      <c r="F16612" s="28"/>
      <c r="H16612" s="28"/>
    </row>
    <row r="16613" spans="4:8" x14ac:dyDescent="0.25">
      <c r="D16613" s="28"/>
      <c r="F16613" s="28"/>
      <c r="H16613" s="28"/>
    </row>
    <row r="16614" spans="4:8" x14ac:dyDescent="0.25">
      <c r="D16614" s="28"/>
      <c r="F16614" s="28"/>
      <c r="H16614" s="28"/>
    </row>
    <row r="16615" spans="4:8" x14ac:dyDescent="0.25">
      <c r="D16615" s="28"/>
      <c r="F16615" s="28"/>
      <c r="H16615" s="28"/>
    </row>
    <row r="16616" spans="4:8" x14ac:dyDescent="0.25">
      <c r="D16616" s="28"/>
      <c r="F16616" s="28"/>
      <c r="H16616" s="28"/>
    </row>
    <row r="16617" spans="4:8" x14ac:dyDescent="0.25">
      <c r="D16617" s="28"/>
      <c r="F16617" s="28"/>
      <c r="H16617" s="28"/>
    </row>
    <row r="16618" spans="4:8" x14ac:dyDescent="0.25">
      <c r="D16618" s="28"/>
      <c r="F16618" s="28"/>
      <c r="H16618" s="28"/>
    </row>
    <row r="16619" spans="4:8" x14ac:dyDescent="0.25">
      <c r="D16619" s="28"/>
      <c r="F16619" s="28"/>
      <c r="H16619" s="28"/>
    </row>
    <row r="16620" spans="4:8" x14ac:dyDescent="0.25">
      <c r="D16620" s="28"/>
      <c r="F16620" s="28"/>
      <c r="H16620" s="28"/>
    </row>
    <row r="16621" spans="4:8" x14ac:dyDescent="0.25">
      <c r="D16621" s="28"/>
      <c r="F16621" s="28"/>
      <c r="H16621" s="28"/>
    </row>
    <row r="16622" spans="4:8" x14ac:dyDescent="0.25">
      <c r="D16622" s="28"/>
      <c r="F16622" s="28"/>
      <c r="H16622" s="28"/>
    </row>
    <row r="16623" spans="4:8" x14ac:dyDescent="0.25">
      <c r="D16623" s="28"/>
      <c r="F16623" s="28"/>
      <c r="H16623" s="28"/>
    </row>
    <row r="16624" spans="4:8" x14ac:dyDescent="0.25">
      <c r="D16624" s="28"/>
      <c r="F16624" s="28"/>
      <c r="H16624" s="28"/>
    </row>
    <row r="16625" spans="4:8" x14ac:dyDescent="0.25">
      <c r="D16625" s="28"/>
      <c r="F16625" s="28"/>
      <c r="H16625" s="28"/>
    </row>
    <row r="16626" spans="4:8" x14ac:dyDescent="0.25">
      <c r="D16626" s="28"/>
      <c r="F16626" s="28"/>
      <c r="H16626" s="28"/>
    </row>
    <row r="16627" spans="4:8" x14ac:dyDescent="0.25">
      <c r="D16627" s="28"/>
      <c r="F16627" s="28"/>
      <c r="H16627" s="28"/>
    </row>
    <row r="16628" spans="4:8" x14ac:dyDescent="0.25">
      <c r="D16628" s="28"/>
      <c r="F16628" s="28"/>
      <c r="H16628" s="28"/>
    </row>
    <row r="16629" spans="4:8" x14ac:dyDescent="0.25">
      <c r="D16629" s="28"/>
      <c r="F16629" s="28"/>
      <c r="H16629" s="28"/>
    </row>
    <row r="16630" spans="4:8" x14ac:dyDescent="0.25">
      <c r="D16630" s="28"/>
      <c r="F16630" s="28"/>
      <c r="H16630" s="28"/>
    </row>
    <row r="16631" spans="4:8" x14ac:dyDescent="0.25">
      <c r="D16631" s="28"/>
      <c r="F16631" s="28"/>
      <c r="H16631" s="28"/>
    </row>
    <row r="16632" spans="4:8" x14ac:dyDescent="0.25">
      <c r="D16632" s="28"/>
      <c r="F16632" s="28"/>
      <c r="H16632" s="28"/>
    </row>
    <row r="16633" spans="4:8" x14ac:dyDescent="0.25">
      <c r="D16633" s="28"/>
      <c r="F16633" s="28"/>
      <c r="H16633" s="28"/>
    </row>
    <row r="16634" spans="4:8" x14ac:dyDescent="0.25">
      <c r="D16634" s="28"/>
      <c r="F16634" s="28"/>
      <c r="H16634" s="28"/>
    </row>
    <row r="16635" spans="4:8" x14ac:dyDescent="0.25">
      <c r="D16635" s="28"/>
      <c r="F16635" s="28"/>
      <c r="H16635" s="28"/>
    </row>
    <row r="16636" spans="4:8" x14ac:dyDescent="0.25">
      <c r="D16636" s="28"/>
      <c r="F16636" s="28"/>
      <c r="H16636" s="28"/>
    </row>
    <row r="16637" spans="4:8" x14ac:dyDescent="0.25">
      <c r="D16637" s="28"/>
      <c r="F16637" s="28"/>
      <c r="H16637" s="28"/>
    </row>
    <row r="16638" spans="4:8" x14ac:dyDescent="0.25">
      <c r="D16638" s="28"/>
      <c r="F16638" s="28"/>
      <c r="H16638" s="28"/>
    </row>
    <row r="16639" spans="4:8" x14ac:dyDescent="0.25">
      <c r="D16639" s="28"/>
      <c r="F16639" s="28"/>
      <c r="H16639" s="28"/>
    </row>
    <row r="16640" spans="4:8" x14ac:dyDescent="0.25">
      <c r="D16640" s="28"/>
      <c r="F16640" s="28"/>
      <c r="H16640" s="28"/>
    </row>
    <row r="16641" spans="4:8" x14ac:dyDescent="0.25">
      <c r="D16641" s="28"/>
      <c r="F16641" s="28"/>
      <c r="H16641" s="28"/>
    </row>
    <row r="16642" spans="4:8" x14ac:dyDescent="0.25">
      <c r="D16642" s="28"/>
      <c r="F16642" s="28"/>
      <c r="H16642" s="28"/>
    </row>
    <row r="16643" spans="4:8" x14ac:dyDescent="0.25">
      <c r="D16643" s="28"/>
      <c r="F16643" s="28"/>
      <c r="H16643" s="28"/>
    </row>
    <row r="16644" spans="4:8" x14ac:dyDescent="0.25">
      <c r="D16644" s="28"/>
      <c r="F16644" s="28"/>
      <c r="H16644" s="28"/>
    </row>
    <row r="16645" spans="4:8" x14ac:dyDescent="0.25">
      <c r="D16645" s="28"/>
      <c r="F16645" s="28"/>
      <c r="H16645" s="28"/>
    </row>
    <row r="16646" spans="4:8" x14ac:dyDescent="0.25">
      <c r="D16646" s="28"/>
      <c r="F16646" s="28"/>
      <c r="H16646" s="28"/>
    </row>
    <row r="16647" spans="4:8" x14ac:dyDescent="0.25">
      <c r="D16647" s="28"/>
      <c r="F16647" s="28"/>
      <c r="H16647" s="28"/>
    </row>
    <row r="16648" spans="4:8" x14ac:dyDescent="0.25">
      <c r="D16648" s="28"/>
      <c r="F16648" s="28"/>
      <c r="H16648" s="28"/>
    </row>
    <row r="16649" spans="4:8" x14ac:dyDescent="0.25">
      <c r="D16649" s="28"/>
      <c r="F16649" s="28"/>
      <c r="H16649" s="28"/>
    </row>
    <row r="16650" spans="4:8" x14ac:dyDescent="0.25">
      <c r="D16650" s="28"/>
      <c r="F16650" s="28"/>
      <c r="H16650" s="28"/>
    </row>
    <row r="16651" spans="4:8" x14ac:dyDescent="0.25">
      <c r="D16651" s="28"/>
      <c r="F16651" s="28"/>
      <c r="H16651" s="28"/>
    </row>
    <row r="16652" spans="4:8" x14ac:dyDescent="0.25">
      <c r="D16652" s="28"/>
      <c r="F16652" s="28"/>
      <c r="H16652" s="28"/>
    </row>
    <row r="16653" spans="4:8" x14ac:dyDescent="0.25">
      <c r="D16653" s="28"/>
      <c r="F16653" s="28"/>
      <c r="H16653" s="28"/>
    </row>
    <row r="16654" spans="4:8" x14ac:dyDescent="0.25">
      <c r="D16654" s="28"/>
      <c r="F16654" s="28"/>
      <c r="H16654" s="28"/>
    </row>
    <row r="16655" spans="4:8" x14ac:dyDescent="0.25">
      <c r="D16655" s="28"/>
      <c r="F16655" s="28"/>
      <c r="H16655" s="28"/>
    </row>
    <row r="16656" spans="4:8" x14ac:dyDescent="0.25">
      <c r="D16656" s="28"/>
      <c r="F16656" s="28"/>
      <c r="H16656" s="28"/>
    </row>
    <row r="16657" spans="4:8" x14ac:dyDescent="0.25">
      <c r="D16657" s="28"/>
      <c r="F16657" s="28"/>
      <c r="H16657" s="28"/>
    </row>
    <row r="16658" spans="4:8" x14ac:dyDescent="0.25">
      <c r="D16658" s="28"/>
      <c r="F16658" s="28"/>
      <c r="H16658" s="28"/>
    </row>
    <row r="16659" spans="4:8" x14ac:dyDescent="0.25">
      <c r="D16659" s="28"/>
      <c r="F16659" s="28"/>
      <c r="H16659" s="28"/>
    </row>
    <row r="16660" spans="4:8" x14ac:dyDescent="0.25">
      <c r="D16660" s="28"/>
      <c r="F16660" s="28"/>
      <c r="H16660" s="28"/>
    </row>
    <row r="16661" spans="4:8" x14ac:dyDescent="0.25">
      <c r="D16661" s="28"/>
      <c r="F16661" s="28"/>
      <c r="H16661" s="28"/>
    </row>
    <row r="16662" spans="4:8" x14ac:dyDescent="0.25">
      <c r="D16662" s="28"/>
      <c r="F16662" s="28"/>
      <c r="H16662" s="28"/>
    </row>
    <row r="16663" spans="4:8" x14ac:dyDescent="0.25">
      <c r="D16663" s="28"/>
      <c r="F16663" s="28"/>
      <c r="H16663" s="28"/>
    </row>
    <row r="16664" spans="4:8" x14ac:dyDescent="0.25">
      <c r="D16664" s="28"/>
      <c r="F16664" s="28"/>
      <c r="H16664" s="28"/>
    </row>
    <row r="16665" spans="4:8" x14ac:dyDescent="0.25">
      <c r="D16665" s="28"/>
      <c r="F16665" s="28"/>
      <c r="H16665" s="28"/>
    </row>
    <row r="16666" spans="4:8" x14ac:dyDescent="0.25">
      <c r="D16666" s="28"/>
      <c r="F16666" s="28"/>
      <c r="H16666" s="28"/>
    </row>
    <row r="16667" spans="4:8" x14ac:dyDescent="0.25">
      <c r="D16667" s="28"/>
      <c r="F16667" s="28"/>
      <c r="H16667" s="28"/>
    </row>
    <row r="16668" spans="4:8" x14ac:dyDescent="0.25">
      <c r="D16668" s="28"/>
      <c r="F16668" s="28"/>
      <c r="H16668" s="28"/>
    </row>
    <row r="16669" spans="4:8" x14ac:dyDescent="0.25">
      <c r="D16669" s="28"/>
      <c r="F16669" s="28"/>
      <c r="H16669" s="28"/>
    </row>
    <row r="16670" spans="4:8" x14ac:dyDescent="0.25">
      <c r="D16670" s="28"/>
      <c r="F16670" s="28"/>
      <c r="H16670" s="28"/>
    </row>
    <row r="16671" spans="4:8" x14ac:dyDescent="0.25">
      <c r="D16671" s="28"/>
      <c r="F16671" s="28"/>
      <c r="H16671" s="28"/>
    </row>
    <row r="16672" spans="4:8" x14ac:dyDescent="0.25">
      <c r="D16672" s="28"/>
      <c r="F16672" s="28"/>
      <c r="H16672" s="28"/>
    </row>
    <row r="16673" spans="4:8" x14ac:dyDescent="0.25">
      <c r="D16673" s="28"/>
      <c r="F16673" s="28"/>
      <c r="H16673" s="28"/>
    </row>
    <row r="16674" spans="4:8" x14ac:dyDescent="0.25">
      <c r="D16674" s="28"/>
      <c r="F16674" s="28"/>
      <c r="H16674" s="28"/>
    </row>
    <row r="16675" spans="4:8" x14ac:dyDescent="0.25">
      <c r="D16675" s="28"/>
      <c r="F16675" s="28"/>
      <c r="H16675" s="28"/>
    </row>
    <row r="16676" spans="4:8" x14ac:dyDescent="0.25">
      <c r="D16676" s="28"/>
      <c r="F16676" s="28"/>
      <c r="H16676" s="28"/>
    </row>
    <row r="16677" spans="4:8" x14ac:dyDescent="0.25">
      <c r="D16677" s="28"/>
      <c r="F16677" s="28"/>
      <c r="H16677" s="28"/>
    </row>
    <row r="16678" spans="4:8" x14ac:dyDescent="0.25">
      <c r="D16678" s="28"/>
      <c r="F16678" s="28"/>
      <c r="H16678" s="28"/>
    </row>
    <row r="16679" spans="4:8" x14ac:dyDescent="0.25">
      <c r="D16679" s="28"/>
      <c r="F16679" s="28"/>
      <c r="H16679" s="28"/>
    </row>
    <row r="16680" spans="4:8" x14ac:dyDescent="0.25">
      <c r="D16680" s="28"/>
      <c r="F16680" s="28"/>
      <c r="H16680" s="28"/>
    </row>
    <row r="16681" spans="4:8" x14ac:dyDescent="0.25">
      <c r="D16681" s="28"/>
      <c r="F16681" s="28"/>
      <c r="H16681" s="28"/>
    </row>
    <row r="16682" spans="4:8" x14ac:dyDescent="0.25">
      <c r="D16682" s="28"/>
      <c r="F16682" s="28"/>
      <c r="H16682" s="28"/>
    </row>
    <row r="16683" spans="4:8" x14ac:dyDescent="0.25">
      <c r="D16683" s="28"/>
      <c r="F16683" s="28"/>
      <c r="H16683" s="28"/>
    </row>
    <row r="16684" spans="4:8" x14ac:dyDescent="0.25">
      <c r="D16684" s="28"/>
      <c r="F16684" s="28"/>
      <c r="H16684" s="28"/>
    </row>
    <row r="16685" spans="4:8" x14ac:dyDescent="0.25">
      <c r="D16685" s="28"/>
      <c r="F16685" s="28"/>
      <c r="H16685" s="28"/>
    </row>
    <row r="16686" spans="4:8" x14ac:dyDescent="0.25">
      <c r="D16686" s="28"/>
      <c r="F16686" s="28"/>
      <c r="H16686" s="28"/>
    </row>
    <row r="16687" spans="4:8" x14ac:dyDescent="0.25">
      <c r="D16687" s="28"/>
      <c r="F16687" s="28"/>
      <c r="H16687" s="28"/>
    </row>
    <row r="16688" spans="4:8" x14ac:dyDescent="0.25">
      <c r="D16688" s="28"/>
      <c r="F16688" s="28"/>
      <c r="H16688" s="28"/>
    </row>
    <row r="16689" spans="4:8" x14ac:dyDescent="0.25">
      <c r="D16689" s="28"/>
      <c r="F16689" s="28"/>
      <c r="H16689" s="28"/>
    </row>
    <row r="16690" spans="4:8" x14ac:dyDescent="0.25">
      <c r="D16690" s="28"/>
      <c r="F16690" s="28"/>
      <c r="H16690" s="28"/>
    </row>
    <row r="16691" spans="4:8" x14ac:dyDescent="0.25">
      <c r="D16691" s="28"/>
      <c r="F16691" s="28"/>
      <c r="H16691" s="28"/>
    </row>
    <row r="16692" spans="4:8" x14ac:dyDescent="0.25">
      <c r="D16692" s="28"/>
      <c r="F16692" s="28"/>
      <c r="H16692" s="28"/>
    </row>
    <row r="16693" spans="4:8" x14ac:dyDescent="0.25">
      <c r="D16693" s="28"/>
      <c r="F16693" s="28"/>
      <c r="H16693" s="28"/>
    </row>
    <row r="16694" spans="4:8" x14ac:dyDescent="0.25">
      <c r="D16694" s="28"/>
      <c r="F16694" s="28"/>
      <c r="H16694" s="28"/>
    </row>
    <row r="16695" spans="4:8" x14ac:dyDescent="0.25">
      <c r="D16695" s="28"/>
      <c r="F16695" s="28"/>
      <c r="H16695" s="28"/>
    </row>
    <row r="16696" spans="4:8" x14ac:dyDescent="0.25">
      <c r="D16696" s="28"/>
      <c r="F16696" s="28"/>
      <c r="H16696" s="28"/>
    </row>
    <row r="16697" spans="4:8" x14ac:dyDescent="0.25">
      <c r="D16697" s="28"/>
      <c r="F16697" s="28"/>
      <c r="H16697" s="28"/>
    </row>
    <row r="16698" spans="4:8" x14ac:dyDescent="0.25">
      <c r="D16698" s="28"/>
      <c r="F16698" s="28"/>
      <c r="H16698" s="28"/>
    </row>
    <row r="16699" spans="4:8" x14ac:dyDescent="0.25">
      <c r="D16699" s="28"/>
      <c r="F16699" s="28"/>
      <c r="H16699" s="28"/>
    </row>
    <row r="16700" spans="4:8" x14ac:dyDescent="0.25">
      <c r="D16700" s="28"/>
      <c r="F16700" s="28"/>
      <c r="H16700" s="28"/>
    </row>
    <row r="16701" spans="4:8" x14ac:dyDescent="0.25">
      <c r="D16701" s="28"/>
      <c r="F16701" s="28"/>
      <c r="H16701" s="28"/>
    </row>
    <row r="16702" spans="4:8" x14ac:dyDescent="0.25">
      <c r="D16702" s="28"/>
      <c r="F16702" s="28"/>
      <c r="H16702" s="28"/>
    </row>
    <row r="16703" spans="4:8" x14ac:dyDescent="0.25">
      <c r="D16703" s="28"/>
      <c r="F16703" s="28"/>
      <c r="H16703" s="28"/>
    </row>
    <row r="16704" spans="4:8" x14ac:dyDescent="0.25">
      <c r="D16704" s="28"/>
      <c r="F16704" s="28"/>
      <c r="H16704" s="28"/>
    </row>
    <row r="16705" spans="4:8" x14ac:dyDescent="0.25">
      <c r="D16705" s="28"/>
      <c r="F16705" s="28"/>
      <c r="H16705" s="28"/>
    </row>
    <row r="16706" spans="4:8" x14ac:dyDescent="0.25">
      <c r="D16706" s="28"/>
      <c r="F16706" s="28"/>
      <c r="H16706" s="28"/>
    </row>
    <row r="16707" spans="4:8" x14ac:dyDescent="0.25">
      <c r="D16707" s="28"/>
      <c r="F16707" s="28"/>
      <c r="H16707" s="28"/>
    </row>
    <row r="16708" spans="4:8" x14ac:dyDescent="0.25">
      <c r="D16708" s="28"/>
      <c r="F16708" s="28"/>
      <c r="H16708" s="28"/>
    </row>
    <row r="16709" spans="4:8" x14ac:dyDescent="0.25">
      <c r="D16709" s="28"/>
      <c r="F16709" s="28"/>
      <c r="H16709" s="28"/>
    </row>
    <row r="16710" spans="4:8" x14ac:dyDescent="0.25">
      <c r="D16710" s="28"/>
      <c r="F16710" s="28"/>
      <c r="H16710" s="28"/>
    </row>
    <row r="16711" spans="4:8" x14ac:dyDescent="0.25">
      <c r="D16711" s="28"/>
      <c r="F16711" s="28"/>
      <c r="H16711" s="28"/>
    </row>
    <row r="16712" spans="4:8" x14ac:dyDescent="0.25">
      <c r="D16712" s="28"/>
      <c r="F16712" s="28"/>
      <c r="H16712" s="28"/>
    </row>
    <row r="16713" spans="4:8" x14ac:dyDescent="0.25">
      <c r="D16713" s="28"/>
      <c r="F16713" s="28"/>
      <c r="H16713" s="28"/>
    </row>
    <row r="16714" spans="4:8" x14ac:dyDescent="0.25">
      <c r="D16714" s="28"/>
      <c r="F16714" s="28"/>
      <c r="H16714" s="28"/>
    </row>
    <row r="16715" spans="4:8" x14ac:dyDescent="0.25">
      <c r="D16715" s="28"/>
      <c r="F16715" s="28"/>
      <c r="H16715" s="28"/>
    </row>
    <row r="16716" spans="4:8" x14ac:dyDescent="0.25">
      <c r="D16716" s="28"/>
      <c r="F16716" s="28"/>
      <c r="H16716" s="28"/>
    </row>
    <row r="16717" spans="4:8" x14ac:dyDescent="0.25">
      <c r="D16717" s="28"/>
      <c r="F16717" s="28"/>
      <c r="H16717" s="28"/>
    </row>
    <row r="16718" spans="4:8" x14ac:dyDescent="0.25">
      <c r="D16718" s="28"/>
      <c r="F16718" s="28"/>
      <c r="H16718" s="28"/>
    </row>
    <row r="16719" spans="4:8" x14ac:dyDescent="0.25">
      <c r="D16719" s="28"/>
      <c r="F16719" s="28"/>
      <c r="H16719" s="28"/>
    </row>
    <row r="16720" spans="4:8" x14ac:dyDescent="0.25">
      <c r="D16720" s="28"/>
      <c r="F16720" s="28"/>
      <c r="H16720" s="28"/>
    </row>
    <row r="16721" spans="4:8" x14ac:dyDescent="0.25">
      <c r="D16721" s="28"/>
      <c r="F16721" s="28"/>
      <c r="H16721" s="28"/>
    </row>
    <row r="16722" spans="4:8" x14ac:dyDescent="0.25">
      <c r="D16722" s="28"/>
      <c r="F16722" s="28"/>
      <c r="H16722" s="28"/>
    </row>
    <row r="16723" spans="4:8" x14ac:dyDescent="0.25">
      <c r="D16723" s="28"/>
      <c r="F16723" s="28"/>
      <c r="H16723" s="28"/>
    </row>
    <row r="16724" spans="4:8" x14ac:dyDescent="0.25">
      <c r="D16724" s="28"/>
      <c r="F16724" s="28"/>
      <c r="H16724" s="28"/>
    </row>
    <row r="16725" spans="4:8" x14ac:dyDescent="0.25">
      <c r="D16725" s="28"/>
      <c r="F16725" s="28"/>
      <c r="H16725" s="28"/>
    </row>
    <row r="16726" spans="4:8" x14ac:dyDescent="0.25">
      <c r="D16726" s="28"/>
      <c r="F16726" s="28"/>
      <c r="H16726" s="28"/>
    </row>
    <row r="16727" spans="4:8" x14ac:dyDescent="0.25">
      <c r="D16727" s="28"/>
      <c r="F16727" s="28"/>
      <c r="H16727" s="28"/>
    </row>
    <row r="16728" spans="4:8" x14ac:dyDescent="0.25">
      <c r="D16728" s="28"/>
      <c r="F16728" s="28"/>
      <c r="H16728" s="28"/>
    </row>
    <row r="16729" spans="4:8" x14ac:dyDescent="0.25">
      <c r="D16729" s="28"/>
      <c r="F16729" s="28"/>
      <c r="H16729" s="28"/>
    </row>
    <row r="16730" spans="4:8" x14ac:dyDescent="0.25">
      <c r="D16730" s="28"/>
      <c r="F16730" s="28"/>
      <c r="H16730" s="28"/>
    </row>
    <row r="16731" spans="4:8" x14ac:dyDescent="0.25">
      <c r="D16731" s="28"/>
      <c r="F16731" s="28"/>
      <c r="H16731" s="28"/>
    </row>
    <row r="16732" spans="4:8" x14ac:dyDescent="0.25">
      <c r="D16732" s="28"/>
      <c r="F16732" s="28"/>
      <c r="H16732" s="28"/>
    </row>
    <row r="16733" spans="4:8" x14ac:dyDescent="0.25">
      <c r="D16733" s="28"/>
      <c r="F16733" s="28"/>
      <c r="H16733" s="28"/>
    </row>
    <row r="16734" spans="4:8" x14ac:dyDescent="0.25">
      <c r="D16734" s="28"/>
      <c r="F16734" s="28"/>
      <c r="H16734" s="28"/>
    </row>
    <row r="16735" spans="4:8" x14ac:dyDescent="0.25">
      <c r="D16735" s="28"/>
      <c r="F16735" s="28"/>
      <c r="H16735" s="28"/>
    </row>
    <row r="16736" spans="4:8" x14ac:dyDescent="0.25">
      <c r="D16736" s="28"/>
      <c r="F16736" s="28"/>
      <c r="H16736" s="28"/>
    </row>
    <row r="16737" spans="4:8" x14ac:dyDescent="0.25">
      <c r="D16737" s="28"/>
      <c r="F16737" s="28"/>
      <c r="H16737" s="28"/>
    </row>
    <row r="16738" spans="4:8" x14ac:dyDescent="0.25">
      <c r="D16738" s="28"/>
      <c r="F16738" s="28"/>
      <c r="H16738" s="28"/>
    </row>
    <row r="16739" spans="4:8" x14ac:dyDescent="0.25">
      <c r="D16739" s="28"/>
      <c r="F16739" s="28"/>
      <c r="H16739" s="28"/>
    </row>
    <row r="16740" spans="4:8" x14ac:dyDescent="0.25">
      <c r="D16740" s="28"/>
      <c r="F16740" s="28"/>
      <c r="H16740" s="28"/>
    </row>
    <row r="16741" spans="4:8" x14ac:dyDescent="0.25">
      <c r="D16741" s="28"/>
      <c r="F16741" s="28"/>
      <c r="H16741" s="28"/>
    </row>
    <row r="16742" spans="4:8" x14ac:dyDescent="0.25">
      <c r="D16742" s="28"/>
      <c r="F16742" s="28"/>
      <c r="H16742" s="28"/>
    </row>
    <row r="16743" spans="4:8" x14ac:dyDescent="0.25">
      <c r="D16743" s="28"/>
      <c r="F16743" s="28"/>
      <c r="H16743" s="28"/>
    </row>
    <row r="16744" spans="4:8" x14ac:dyDescent="0.25">
      <c r="D16744" s="28"/>
      <c r="F16744" s="28"/>
      <c r="H16744" s="28"/>
    </row>
    <row r="16745" spans="4:8" x14ac:dyDescent="0.25">
      <c r="D16745" s="28"/>
      <c r="F16745" s="28"/>
      <c r="H16745" s="28"/>
    </row>
    <row r="16746" spans="4:8" x14ac:dyDescent="0.25">
      <c r="D16746" s="28"/>
      <c r="F16746" s="28"/>
      <c r="H16746" s="28"/>
    </row>
    <row r="16747" spans="4:8" x14ac:dyDescent="0.25">
      <c r="D16747" s="28"/>
      <c r="F16747" s="28"/>
      <c r="H16747" s="28"/>
    </row>
    <row r="16748" spans="4:8" x14ac:dyDescent="0.25">
      <c r="D16748" s="28"/>
      <c r="F16748" s="28"/>
      <c r="H16748" s="28"/>
    </row>
    <row r="16749" spans="4:8" x14ac:dyDescent="0.25">
      <c r="D16749" s="28"/>
      <c r="F16749" s="28"/>
      <c r="H16749" s="28"/>
    </row>
    <row r="16750" spans="4:8" x14ac:dyDescent="0.25">
      <c r="D16750" s="28"/>
      <c r="F16750" s="28"/>
      <c r="H16750" s="28"/>
    </row>
    <row r="16751" spans="4:8" x14ac:dyDescent="0.25">
      <c r="D16751" s="28"/>
      <c r="F16751" s="28"/>
      <c r="H16751" s="28"/>
    </row>
    <row r="16752" spans="4:8" x14ac:dyDescent="0.25">
      <c r="D16752" s="28"/>
      <c r="F16752" s="28"/>
      <c r="H16752" s="28"/>
    </row>
    <row r="16753" spans="4:8" x14ac:dyDescent="0.25">
      <c r="D16753" s="28"/>
      <c r="F16753" s="28"/>
      <c r="H16753" s="28"/>
    </row>
    <row r="16754" spans="4:8" x14ac:dyDescent="0.25">
      <c r="D16754" s="28"/>
      <c r="F16754" s="28"/>
      <c r="H16754" s="28"/>
    </row>
    <row r="16755" spans="4:8" x14ac:dyDescent="0.25">
      <c r="D16755" s="28"/>
      <c r="F16755" s="28"/>
      <c r="H16755" s="28"/>
    </row>
    <row r="16756" spans="4:8" x14ac:dyDescent="0.25">
      <c r="D16756" s="28"/>
      <c r="F16756" s="28"/>
      <c r="H16756" s="28"/>
    </row>
    <row r="16757" spans="4:8" x14ac:dyDescent="0.25">
      <c r="D16757" s="28"/>
      <c r="F16757" s="28"/>
      <c r="H16757" s="28"/>
    </row>
    <row r="16758" spans="4:8" x14ac:dyDescent="0.25">
      <c r="D16758" s="28"/>
      <c r="F16758" s="28"/>
      <c r="H16758" s="28"/>
    </row>
    <row r="16759" spans="4:8" x14ac:dyDescent="0.25">
      <c r="D16759" s="28"/>
      <c r="F16759" s="28"/>
      <c r="H16759" s="28"/>
    </row>
    <row r="16760" spans="4:8" x14ac:dyDescent="0.25">
      <c r="D16760" s="28"/>
      <c r="F16760" s="28"/>
      <c r="H16760" s="28"/>
    </row>
    <row r="16761" spans="4:8" x14ac:dyDescent="0.25">
      <c r="D16761" s="28"/>
      <c r="F16761" s="28"/>
      <c r="H16761" s="28"/>
    </row>
    <row r="16762" spans="4:8" x14ac:dyDescent="0.25">
      <c r="D16762" s="28"/>
      <c r="F16762" s="28"/>
      <c r="H16762" s="28"/>
    </row>
    <row r="16763" spans="4:8" x14ac:dyDescent="0.25">
      <c r="D16763" s="28"/>
      <c r="F16763" s="28"/>
      <c r="H16763" s="28"/>
    </row>
    <row r="16764" spans="4:8" x14ac:dyDescent="0.25">
      <c r="D16764" s="28"/>
      <c r="F16764" s="28"/>
      <c r="H16764" s="28"/>
    </row>
    <row r="16765" spans="4:8" x14ac:dyDescent="0.25">
      <c r="D16765" s="28"/>
      <c r="F16765" s="28"/>
      <c r="H16765" s="28"/>
    </row>
    <row r="16766" spans="4:8" x14ac:dyDescent="0.25">
      <c r="D16766" s="28"/>
      <c r="F16766" s="28"/>
      <c r="H16766" s="28"/>
    </row>
    <row r="16767" spans="4:8" x14ac:dyDescent="0.25">
      <c r="D16767" s="28"/>
      <c r="F16767" s="28"/>
      <c r="H16767" s="28"/>
    </row>
    <row r="16768" spans="4:8" x14ac:dyDescent="0.25">
      <c r="D16768" s="28"/>
      <c r="F16768" s="28"/>
      <c r="H16768" s="28"/>
    </row>
    <row r="16769" spans="4:8" x14ac:dyDescent="0.25">
      <c r="D16769" s="28"/>
      <c r="F16769" s="28"/>
      <c r="H16769" s="28"/>
    </row>
    <row r="16770" spans="4:8" x14ac:dyDescent="0.25">
      <c r="D16770" s="28"/>
      <c r="F16770" s="28"/>
      <c r="H16770" s="28"/>
    </row>
    <row r="16771" spans="4:8" x14ac:dyDescent="0.25">
      <c r="D16771" s="28"/>
      <c r="F16771" s="28"/>
      <c r="H16771" s="28"/>
    </row>
    <row r="16772" spans="4:8" x14ac:dyDescent="0.25">
      <c r="D16772" s="28"/>
      <c r="F16772" s="28"/>
      <c r="H16772" s="28"/>
    </row>
    <row r="16773" spans="4:8" x14ac:dyDescent="0.25">
      <c r="D16773" s="28"/>
      <c r="F16773" s="28"/>
      <c r="H16773" s="28"/>
    </row>
    <row r="16774" spans="4:8" x14ac:dyDescent="0.25">
      <c r="D16774" s="28"/>
      <c r="F16774" s="28"/>
      <c r="H16774" s="28"/>
    </row>
    <row r="16775" spans="4:8" x14ac:dyDescent="0.25">
      <c r="D16775" s="28"/>
      <c r="F16775" s="28"/>
      <c r="H16775" s="28"/>
    </row>
    <row r="16776" spans="4:8" x14ac:dyDescent="0.25">
      <c r="D16776" s="28"/>
      <c r="F16776" s="28"/>
      <c r="H16776" s="28"/>
    </row>
    <row r="16777" spans="4:8" x14ac:dyDescent="0.25">
      <c r="D16777" s="28"/>
      <c r="F16777" s="28"/>
      <c r="H16777" s="28"/>
    </row>
    <row r="16778" spans="4:8" x14ac:dyDescent="0.25">
      <c r="D16778" s="28"/>
      <c r="F16778" s="28"/>
      <c r="H16778" s="28"/>
    </row>
    <row r="16779" spans="4:8" x14ac:dyDescent="0.25">
      <c r="D16779" s="28"/>
      <c r="F16779" s="28"/>
      <c r="H16779" s="28"/>
    </row>
    <row r="16780" spans="4:8" x14ac:dyDescent="0.25">
      <c r="D16780" s="28"/>
      <c r="F16780" s="28"/>
      <c r="H16780" s="28"/>
    </row>
    <row r="16781" spans="4:8" x14ac:dyDescent="0.25">
      <c r="D16781" s="28"/>
      <c r="F16781" s="28"/>
      <c r="H16781" s="28"/>
    </row>
    <row r="16782" spans="4:8" x14ac:dyDescent="0.25">
      <c r="D16782" s="28"/>
      <c r="F16782" s="28"/>
      <c r="H16782" s="28"/>
    </row>
    <row r="16783" spans="4:8" x14ac:dyDescent="0.25">
      <c r="D16783" s="28"/>
      <c r="F16783" s="28"/>
      <c r="H16783" s="28"/>
    </row>
    <row r="16784" spans="4:8" x14ac:dyDescent="0.25">
      <c r="D16784" s="28"/>
      <c r="F16784" s="28"/>
      <c r="H16784" s="28"/>
    </row>
    <row r="16785" spans="4:8" x14ac:dyDescent="0.25">
      <c r="D16785" s="28"/>
      <c r="F16785" s="28"/>
      <c r="H16785" s="28"/>
    </row>
    <row r="16786" spans="4:8" x14ac:dyDescent="0.25">
      <c r="D16786" s="28"/>
      <c r="F16786" s="28"/>
      <c r="H16786" s="28"/>
    </row>
    <row r="16787" spans="4:8" x14ac:dyDescent="0.25">
      <c r="D16787" s="28"/>
      <c r="F16787" s="28"/>
      <c r="H16787" s="28"/>
    </row>
    <row r="16788" spans="4:8" x14ac:dyDescent="0.25">
      <c r="D16788" s="28"/>
      <c r="F16788" s="28"/>
      <c r="H16788" s="28"/>
    </row>
    <row r="16789" spans="4:8" x14ac:dyDescent="0.25">
      <c r="D16789" s="28"/>
      <c r="F16789" s="28"/>
      <c r="H16789" s="28"/>
    </row>
    <row r="16790" spans="4:8" x14ac:dyDescent="0.25">
      <c r="D16790" s="28"/>
      <c r="F16790" s="28"/>
      <c r="H16790" s="28"/>
    </row>
    <row r="16791" spans="4:8" x14ac:dyDescent="0.25">
      <c r="D16791" s="28"/>
      <c r="F16791" s="28"/>
      <c r="H16791" s="28"/>
    </row>
    <row r="16792" spans="4:8" x14ac:dyDescent="0.25">
      <c r="D16792" s="28"/>
      <c r="F16792" s="28"/>
      <c r="H16792" s="28"/>
    </row>
    <row r="16793" spans="4:8" x14ac:dyDescent="0.25">
      <c r="D16793" s="28"/>
      <c r="F16793" s="28"/>
      <c r="H16793" s="28"/>
    </row>
    <row r="16794" spans="4:8" x14ac:dyDescent="0.25">
      <c r="D16794" s="28"/>
      <c r="F16794" s="28"/>
      <c r="H16794" s="28"/>
    </row>
    <row r="16795" spans="4:8" x14ac:dyDescent="0.25">
      <c r="D16795" s="28"/>
      <c r="F16795" s="28"/>
      <c r="H16795" s="28"/>
    </row>
    <row r="16796" spans="4:8" x14ac:dyDescent="0.25">
      <c r="D16796" s="28"/>
      <c r="F16796" s="28"/>
      <c r="H16796" s="28"/>
    </row>
    <row r="16797" spans="4:8" x14ac:dyDescent="0.25">
      <c r="D16797" s="28"/>
      <c r="F16797" s="28"/>
      <c r="H16797" s="28"/>
    </row>
    <row r="16798" spans="4:8" x14ac:dyDescent="0.25">
      <c r="D16798" s="28"/>
      <c r="F16798" s="28"/>
      <c r="H16798" s="28"/>
    </row>
    <row r="16799" spans="4:8" x14ac:dyDescent="0.25">
      <c r="D16799" s="28"/>
      <c r="F16799" s="28"/>
      <c r="H16799" s="28"/>
    </row>
    <row r="16800" spans="4:8" x14ac:dyDescent="0.25">
      <c r="D16800" s="28"/>
      <c r="F16800" s="28"/>
      <c r="H16800" s="28"/>
    </row>
    <row r="16801" spans="4:8" x14ac:dyDescent="0.25">
      <c r="D16801" s="28"/>
      <c r="F16801" s="28"/>
      <c r="H16801" s="28"/>
    </row>
    <row r="16802" spans="4:8" x14ac:dyDescent="0.25">
      <c r="D16802" s="28"/>
      <c r="F16802" s="28"/>
      <c r="H16802" s="28"/>
    </row>
    <row r="16803" spans="4:8" x14ac:dyDescent="0.25">
      <c r="D16803" s="28"/>
      <c r="F16803" s="28"/>
      <c r="H16803" s="28"/>
    </row>
    <row r="16804" spans="4:8" x14ac:dyDescent="0.25">
      <c r="D16804" s="28"/>
      <c r="F16804" s="28"/>
      <c r="H16804" s="28"/>
    </row>
    <row r="16805" spans="4:8" x14ac:dyDescent="0.25">
      <c r="D16805" s="28"/>
      <c r="F16805" s="28"/>
      <c r="H16805" s="28"/>
    </row>
    <row r="16806" spans="4:8" x14ac:dyDescent="0.25">
      <c r="D16806" s="28"/>
      <c r="F16806" s="28"/>
      <c r="H16806" s="28"/>
    </row>
    <row r="16807" spans="4:8" x14ac:dyDescent="0.25">
      <c r="D16807" s="28"/>
      <c r="F16807" s="28"/>
      <c r="H16807" s="28"/>
    </row>
    <row r="16808" spans="4:8" x14ac:dyDescent="0.25">
      <c r="D16808" s="28"/>
      <c r="F16808" s="28"/>
      <c r="H16808" s="28"/>
    </row>
    <row r="16809" spans="4:8" x14ac:dyDescent="0.25">
      <c r="D16809" s="28"/>
      <c r="F16809" s="28"/>
      <c r="H16809" s="28"/>
    </row>
    <row r="16810" spans="4:8" x14ac:dyDescent="0.25">
      <c r="D16810" s="28"/>
      <c r="F16810" s="28"/>
      <c r="H16810" s="28"/>
    </row>
    <row r="16811" spans="4:8" x14ac:dyDescent="0.25">
      <c r="D16811" s="28"/>
      <c r="F16811" s="28"/>
      <c r="H16811" s="28"/>
    </row>
    <row r="16812" spans="4:8" x14ac:dyDescent="0.25">
      <c r="D16812" s="28"/>
      <c r="F16812" s="28"/>
      <c r="H16812" s="28"/>
    </row>
    <row r="16813" spans="4:8" x14ac:dyDescent="0.25">
      <c r="D16813" s="28"/>
      <c r="F16813" s="28"/>
      <c r="H16813" s="28"/>
    </row>
    <row r="16814" spans="4:8" x14ac:dyDescent="0.25">
      <c r="D16814" s="28"/>
      <c r="F16814" s="28"/>
      <c r="H16814" s="28"/>
    </row>
    <row r="16815" spans="4:8" x14ac:dyDescent="0.25">
      <c r="D16815" s="28"/>
      <c r="F16815" s="28"/>
      <c r="H16815" s="28"/>
    </row>
    <row r="16816" spans="4:8" x14ac:dyDescent="0.25">
      <c r="D16816" s="28"/>
      <c r="F16816" s="28"/>
      <c r="H16816" s="28"/>
    </row>
    <row r="16817" spans="4:8" x14ac:dyDescent="0.25">
      <c r="D16817" s="28"/>
      <c r="F16817" s="28"/>
      <c r="H16817" s="28"/>
    </row>
    <row r="16818" spans="4:8" x14ac:dyDescent="0.25">
      <c r="D16818" s="28"/>
      <c r="F16818" s="28"/>
      <c r="H16818" s="28"/>
    </row>
    <row r="16819" spans="4:8" x14ac:dyDescent="0.25">
      <c r="D16819" s="28"/>
      <c r="F16819" s="28"/>
      <c r="H16819" s="28"/>
    </row>
    <row r="16820" spans="4:8" x14ac:dyDescent="0.25">
      <c r="D16820" s="28"/>
      <c r="F16820" s="28"/>
      <c r="H16820" s="28"/>
    </row>
    <row r="16821" spans="4:8" x14ac:dyDescent="0.25">
      <c r="D16821" s="28"/>
      <c r="F16821" s="28"/>
      <c r="H16821" s="28"/>
    </row>
    <row r="16822" spans="4:8" x14ac:dyDescent="0.25">
      <c r="D16822" s="28"/>
      <c r="F16822" s="28"/>
      <c r="H16822" s="28"/>
    </row>
    <row r="16823" spans="4:8" x14ac:dyDescent="0.25">
      <c r="D16823" s="28"/>
      <c r="F16823" s="28"/>
      <c r="H16823" s="28"/>
    </row>
    <row r="16824" spans="4:8" x14ac:dyDescent="0.25">
      <c r="D16824" s="28"/>
      <c r="F16824" s="28"/>
      <c r="H16824" s="28"/>
    </row>
    <row r="16825" spans="4:8" x14ac:dyDescent="0.25">
      <c r="D16825" s="28"/>
      <c r="F16825" s="28"/>
      <c r="H16825" s="28"/>
    </row>
    <row r="16826" spans="4:8" x14ac:dyDescent="0.25">
      <c r="D16826" s="28"/>
      <c r="F16826" s="28"/>
      <c r="H16826" s="28"/>
    </row>
    <row r="16827" spans="4:8" x14ac:dyDescent="0.25">
      <c r="D16827" s="28"/>
      <c r="F16827" s="28"/>
      <c r="H16827" s="28"/>
    </row>
    <row r="16828" spans="4:8" x14ac:dyDescent="0.25">
      <c r="D16828" s="28"/>
      <c r="F16828" s="28"/>
      <c r="H16828" s="28"/>
    </row>
    <row r="16829" spans="4:8" x14ac:dyDescent="0.25">
      <c r="D16829" s="28"/>
      <c r="F16829" s="28"/>
      <c r="H16829" s="28"/>
    </row>
    <row r="16830" spans="4:8" x14ac:dyDescent="0.25">
      <c r="D16830" s="28"/>
      <c r="F16830" s="28"/>
      <c r="H16830" s="28"/>
    </row>
    <row r="16831" spans="4:8" x14ac:dyDescent="0.25">
      <c r="D16831" s="28"/>
      <c r="F16831" s="28"/>
      <c r="H16831" s="28"/>
    </row>
    <row r="16832" spans="4:8" x14ac:dyDescent="0.25">
      <c r="D16832" s="28"/>
      <c r="F16832" s="28"/>
      <c r="H16832" s="28"/>
    </row>
    <row r="16833" spans="4:8" x14ac:dyDescent="0.25">
      <c r="D16833" s="28"/>
      <c r="F16833" s="28"/>
      <c r="H16833" s="28"/>
    </row>
    <row r="16834" spans="4:8" x14ac:dyDescent="0.25">
      <c r="D16834" s="28"/>
      <c r="F16834" s="28"/>
      <c r="H16834" s="28"/>
    </row>
    <row r="16835" spans="4:8" x14ac:dyDescent="0.25">
      <c r="D16835" s="28"/>
      <c r="F16835" s="28"/>
      <c r="H16835" s="28"/>
    </row>
    <row r="16836" spans="4:8" x14ac:dyDescent="0.25">
      <c r="D16836" s="28"/>
      <c r="F16836" s="28"/>
      <c r="H16836" s="28"/>
    </row>
    <row r="16837" spans="4:8" x14ac:dyDescent="0.25">
      <c r="D16837" s="28"/>
      <c r="F16837" s="28"/>
      <c r="H16837" s="28"/>
    </row>
    <row r="16838" spans="4:8" x14ac:dyDescent="0.25">
      <c r="D16838" s="28"/>
      <c r="F16838" s="28"/>
      <c r="H16838" s="28"/>
    </row>
    <row r="16839" spans="4:8" x14ac:dyDescent="0.25">
      <c r="D16839" s="28"/>
      <c r="F16839" s="28"/>
      <c r="H16839" s="28"/>
    </row>
    <row r="16840" spans="4:8" x14ac:dyDescent="0.25">
      <c r="D16840" s="28"/>
      <c r="F16840" s="28"/>
      <c r="H16840" s="28"/>
    </row>
    <row r="16841" spans="4:8" x14ac:dyDescent="0.25">
      <c r="D16841" s="28"/>
      <c r="F16841" s="28"/>
      <c r="H16841" s="28"/>
    </row>
    <row r="16842" spans="4:8" x14ac:dyDescent="0.25">
      <c r="D16842" s="28"/>
      <c r="F16842" s="28"/>
      <c r="H16842" s="28"/>
    </row>
    <row r="16843" spans="4:8" x14ac:dyDescent="0.25">
      <c r="D16843" s="28"/>
      <c r="F16843" s="28"/>
      <c r="H16843" s="28"/>
    </row>
    <row r="16844" spans="4:8" x14ac:dyDescent="0.25">
      <c r="D16844" s="28"/>
      <c r="F16844" s="28"/>
      <c r="H16844" s="28"/>
    </row>
    <row r="16845" spans="4:8" x14ac:dyDescent="0.25">
      <c r="D16845" s="28"/>
      <c r="F16845" s="28"/>
      <c r="H16845" s="28"/>
    </row>
    <row r="16846" spans="4:8" x14ac:dyDescent="0.25">
      <c r="D16846" s="28"/>
      <c r="F16846" s="28"/>
      <c r="H16846" s="28"/>
    </row>
    <row r="16847" spans="4:8" x14ac:dyDescent="0.25">
      <c r="D16847" s="28"/>
      <c r="F16847" s="28"/>
      <c r="H16847" s="28"/>
    </row>
    <row r="16848" spans="4:8" x14ac:dyDescent="0.25">
      <c r="D16848" s="28"/>
      <c r="F16848" s="28"/>
      <c r="H16848" s="28"/>
    </row>
    <row r="16849" spans="4:8" x14ac:dyDescent="0.25">
      <c r="D16849" s="28"/>
      <c r="F16849" s="28"/>
      <c r="H16849" s="28"/>
    </row>
    <row r="16850" spans="4:8" x14ac:dyDescent="0.25">
      <c r="D16850" s="28"/>
      <c r="F16850" s="28"/>
      <c r="H16850" s="28"/>
    </row>
    <row r="16851" spans="4:8" x14ac:dyDescent="0.25">
      <c r="D16851" s="28"/>
      <c r="F16851" s="28"/>
      <c r="H16851" s="28"/>
    </row>
    <row r="16852" spans="4:8" x14ac:dyDescent="0.25">
      <c r="D16852" s="28"/>
      <c r="F16852" s="28"/>
      <c r="H16852" s="28"/>
    </row>
    <row r="16853" spans="4:8" x14ac:dyDescent="0.25">
      <c r="D16853" s="28"/>
      <c r="F16853" s="28"/>
      <c r="H16853" s="28"/>
    </row>
    <row r="16854" spans="4:8" x14ac:dyDescent="0.25">
      <c r="D16854" s="28"/>
      <c r="F16854" s="28"/>
      <c r="H16854" s="28"/>
    </row>
    <row r="16855" spans="4:8" x14ac:dyDescent="0.25">
      <c r="D16855" s="28"/>
      <c r="F16855" s="28"/>
      <c r="H16855" s="28"/>
    </row>
    <row r="16856" spans="4:8" x14ac:dyDescent="0.25">
      <c r="D16856" s="28"/>
      <c r="F16856" s="28"/>
      <c r="H16856" s="28"/>
    </row>
    <row r="16857" spans="4:8" x14ac:dyDescent="0.25">
      <c r="D16857" s="28"/>
      <c r="F16857" s="28"/>
      <c r="H16857" s="28"/>
    </row>
    <row r="16858" spans="4:8" x14ac:dyDescent="0.25">
      <c r="D16858" s="28"/>
      <c r="F16858" s="28"/>
      <c r="H16858" s="28"/>
    </row>
    <row r="16859" spans="4:8" x14ac:dyDescent="0.25">
      <c r="D16859" s="28"/>
      <c r="F16859" s="28"/>
      <c r="H16859" s="28"/>
    </row>
    <row r="16860" spans="4:8" x14ac:dyDescent="0.25">
      <c r="D16860" s="28"/>
      <c r="F16860" s="28"/>
      <c r="H16860" s="28"/>
    </row>
    <row r="16861" spans="4:8" x14ac:dyDescent="0.25">
      <c r="D16861" s="28"/>
      <c r="F16861" s="28"/>
      <c r="H16861" s="28"/>
    </row>
    <row r="16862" spans="4:8" x14ac:dyDescent="0.25">
      <c r="D16862" s="28"/>
      <c r="F16862" s="28"/>
      <c r="H16862" s="28"/>
    </row>
    <row r="16863" spans="4:8" x14ac:dyDescent="0.25">
      <c r="D16863" s="28"/>
      <c r="F16863" s="28"/>
      <c r="H16863" s="28"/>
    </row>
    <row r="16864" spans="4:8" x14ac:dyDescent="0.25">
      <c r="D16864" s="28"/>
      <c r="F16864" s="28"/>
      <c r="H16864" s="28"/>
    </row>
    <row r="16865" spans="4:8" x14ac:dyDescent="0.25">
      <c r="D16865" s="28"/>
      <c r="F16865" s="28"/>
      <c r="H16865" s="28"/>
    </row>
    <row r="16866" spans="4:8" x14ac:dyDescent="0.25">
      <c r="D16866" s="28"/>
      <c r="F16866" s="28"/>
      <c r="H16866" s="28"/>
    </row>
    <row r="16867" spans="4:8" x14ac:dyDescent="0.25">
      <c r="D16867" s="28"/>
      <c r="F16867" s="28"/>
      <c r="H16867" s="28"/>
    </row>
    <row r="16868" spans="4:8" x14ac:dyDescent="0.25">
      <c r="D16868" s="28"/>
      <c r="F16868" s="28"/>
      <c r="H16868" s="28"/>
    </row>
    <row r="16869" spans="4:8" x14ac:dyDescent="0.25">
      <c r="D16869" s="28"/>
      <c r="F16869" s="28"/>
      <c r="H16869" s="28"/>
    </row>
    <row r="16870" spans="4:8" x14ac:dyDescent="0.25">
      <c r="D16870" s="28"/>
      <c r="F16870" s="28"/>
      <c r="H16870" s="28"/>
    </row>
    <row r="16871" spans="4:8" x14ac:dyDescent="0.25">
      <c r="D16871" s="28"/>
      <c r="F16871" s="28"/>
      <c r="H16871" s="28"/>
    </row>
    <row r="16872" spans="4:8" x14ac:dyDescent="0.25">
      <c r="D16872" s="28"/>
      <c r="F16872" s="28"/>
      <c r="H16872" s="28"/>
    </row>
    <row r="16873" spans="4:8" x14ac:dyDescent="0.25">
      <c r="D16873" s="28"/>
      <c r="F16873" s="28"/>
      <c r="H16873" s="28"/>
    </row>
    <row r="16874" spans="4:8" x14ac:dyDescent="0.25">
      <c r="D16874" s="28"/>
      <c r="F16874" s="28"/>
      <c r="H16874" s="28"/>
    </row>
    <row r="16875" spans="4:8" x14ac:dyDescent="0.25">
      <c r="D16875" s="28"/>
      <c r="F16875" s="28"/>
      <c r="H16875" s="28"/>
    </row>
    <row r="16876" spans="4:8" x14ac:dyDescent="0.25">
      <c r="D16876" s="28"/>
      <c r="F16876" s="28"/>
      <c r="H16876" s="28"/>
    </row>
    <row r="16877" spans="4:8" x14ac:dyDescent="0.25">
      <c r="D16877" s="28"/>
      <c r="F16877" s="28"/>
      <c r="H16877" s="28"/>
    </row>
    <row r="16878" spans="4:8" x14ac:dyDescent="0.25">
      <c r="D16878" s="28"/>
      <c r="F16878" s="28"/>
      <c r="H16878" s="28"/>
    </row>
    <row r="16879" spans="4:8" x14ac:dyDescent="0.25">
      <c r="D16879" s="28"/>
      <c r="F16879" s="28"/>
      <c r="H16879" s="28"/>
    </row>
    <row r="16880" spans="4:8" x14ac:dyDescent="0.25">
      <c r="D16880" s="28"/>
      <c r="F16880" s="28"/>
      <c r="H16880" s="28"/>
    </row>
    <row r="16881" spans="4:8" x14ac:dyDescent="0.25">
      <c r="D16881" s="28"/>
      <c r="F16881" s="28"/>
      <c r="H16881" s="28"/>
    </row>
    <row r="16882" spans="4:8" x14ac:dyDescent="0.25">
      <c r="D16882" s="28"/>
      <c r="F16882" s="28"/>
      <c r="H16882" s="28"/>
    </row>
    <row r="16883" spans="4:8" x14ac:dyDescent="0.25">
      <c r="D16883" s="28"/>
      <c r="F16883" s="28"/>
      <c r="H16883" s="28"/>
    </row>
    <row r="16884" spans="4:8" x14ac:dyDescent="0.25">
      <c r="D16884" s="28"/>
      <c r="F16884" s="28"/>
      <c r="H16884" s="28"/>
    </row>
    <row r="16885" spans="4:8" x14ac:dyDescent="0.25">
      <c r="D16885" s="28"/>
      <c r="F16885" s="28"/>
      <c r="H16885" s="28"/>
    </row>
    <row r="16886" spans="4:8" x14ac:dyDescent="0.25">
      <c r="D16886" s="28"/>
      <c r="F16886" s="28"/>
      <c r="H16886" s="28"/>
    </row>
    <row r="16887" spans="4:8" x14ac:dyDescent="0.25">
      <c r="D16887" s="28"/>
      <c r="F16887" s="28"/>
      <c r="H16887" s="28"/>
    </row>
    <row r="16888" spans="4:8" x14ac:dyDescent="0.25">
      <c r="D16888" s="28"/>
      <c r="F16888" s="28"/>
      <c r="H16888" s="28"/>
    </row>
    <row r="16889" spans="4:8" x14ac:dyDescent="0.25">
      <c r="D16889" s="28"/>
      <c r="F16889" s="28"/>
      <c r="H16889" s="28"/>
    </row>
    <row r="16890" spans="4:8" x14ac:dyDescent="0.25">
      <c r="D16890" s="28"/>
      <c r="F16890" s="28"/>
      <c r="H16890" s="28"/>
    </row>
    <row r="16891" spans="4:8" x14ac:dyDescent="0.25">
      <c r="D16891" s="28"/>
      <c r="F16891" s="28"/>
      <c r="H16891" s="28"/>
    </row>
    <row r="16892" spans="4:8" x14ac:dyDescent="0.25">
      <c r="D16892" s="28"/>
      <c r="F16892" s="28"/>
      <c r="H16892" s="28"/>
    </row>
    <row r="16893" spans="4:8" x14ac:dyDescent="0.25">
      <c r="D16893" s="28"/>
      <c r="F16893" s="28"/>
      <c r="H16893" s="28"/>
    </row>
    <row r="16894" spans="4:8" x14ac:dyDescent="0.25">
      <c r="D16894" s="28"/>
      <c r="F16894" s="28"/>
      <c r="H16894" s="28"/>
    </row>
    <row r="16895" spans="4:8" x14ac:dyDescent="0.25">
      <c r="D16895" s="28"/>
      <c r="F16895" s="28"/>
      <c r="H16895" s="28"/>
    </row>
    <row r="16896" spans="4:8" x14ac:dyDescent="0.25">
      <c r="D16896" s="28"/>
      <c r="F16896" s="28"/>
      <c r="H16896" s="28"/>
    </row>
    <row r="16897" spans="4:8" x14ac:dyDescent="0.25">
      <c r="D16897" s="28"/>
      <c r="F16897" s="28"/>
      <c r="H16897" s="28"/>
    </row>
    <row r="16898" spans="4:8" x14ac:dyDescent="0.25">
      <c r="D16898" s="28"/>
      <c r="F16898" s="28"/>
      <c r="H16898" s="28"/>
    </row>
    <row r="16899" spans="4:8" x14ac:dyDescent="0.25">
      <c r="D16899" s="28"/>
      <c r="F16899" s="28"/>
      <c r="H16899" s="28"/>
    </row>
    <row r="16900" spans="4:8" x14ac:dyDescent="0.25">
      <c r="D16900" s="28"/>
      <c r="F16900" s="28"/>
      <c r="H16900" s="28"/>
    </row>
    <row r="16901" spans="4:8" x14ac:dyDescent="0.25">
      <c r="D16901" s="28"/>
      <c r="F16901" s="28"/>
      <c r="H16901" s="28"/>
    </row>
    <row r="16902" spans="4:8" x14ac:dyDescent="0.25">
      <c r="D16902" s="28"/>
      <c r="F16902" s="28"/>
      <c r="H16902" s="28"/>
    </row>
    <row r="16903" spans="4:8" x14ac:dyDescent="0.25">
      <c r="D16903" s="28"/>
      <c r="F16903" s="28"/>
      <c r="H16903" s="28"/>
    </row>
    <row r="16904" spans="4:8" x14ac:dyDescent="0.25">
      <c r="D16904" s="28"/>
      <c r="F16904" s="28"/>
      <c r="H16904" s="28"/>
    </row>
    <row r="16905" spans="4:8" x14ac:dyDescent="0.25">
      <c r="D16905" s="28"/>
      <c r="F16905" s="28"/>
      <c r="H16905" s="28"/>
    </row>
    <row r="16906" spans="4:8" x14ac:dyDescent="0.25">
      <c r="D16906" s="28"/>
      <c r="F16906" s="28"/>
      <c r="H16906" s="28"/>
    </row>
    <row r="16907" spans="4:8" x14ac:dyDescent="0.25">
      <c r="D16907" s="28"/>
      <c r="F16907" s="28"/>
      <c r="H16907" s="28"/>
    </row>
    <row r="16908" spans="4:8" x14ac:dyDescent="0.25">
      <c r="D16908" s="28"/>
      <c r="F16908" s="28"/>
      <c r="H16908" s="28"/>
    </row>
    <row r="16909" spans="4:8" x14ac:dyDescent="0.25">
      <c r="D16909" s="28"/>
      <c r="F16909" s="28"/>
      <c r="H16909" s="28"/>
    </row>
    <row r="16910" spans="4:8" x14ac:dyDescent="0.25">
      <c r="D16910" s="28"/>
      <c r="F16910" s="28"/>
      <c r="H16910" s="28"/>
    </row>
    <row r="16911" spans="4:8" x14ac:dyDescent="0.25">
      <c r="D16911" s="28"/>
      <c r="F16911" s="28"/>
      <c r="H16911" s="28"/>
    </row>
    <row r="16912" spans="4:8" x14ac:dyDescent="0.25">
      <c r="D16912" s="28"/>
      <c r="F16912" s="28"/>
      <c r="H16912" s="28"/>
    </row>
    <row r="16913" spans="4:8" x14ac:dyDescent="0.25">
      <c r="D16913" s="28"/>
      <c r="F16913" s="28"/>
      <c r="H16913" s="28"/>
    </row>
    <row r="16914" spans="4:8" x14ac:dyDescent="0.25">
      <c r="D16914" s="28"/>
      <c r="F16914" s="28"/>
      <c r="H16914" s="28"/>
    </row>
    <row r="16915" spans="4:8" x14ac:dyDescent="0.25">
      <c r="D16915" s="28"/>
      <c r="F16915" s="28"/>
      <c r="H16915" s="28"/>
    </row>
    <row r="16916" spans="4:8" x14ac:dyDescent="0.25">
      <c r="D16916" s="28"/>
      <c r="F16916" s="28"/>
      <c r="H16916" s="28"/>
    </row>
    <row r="16917" spans="4:8" x14ac:dyDescent="0.25">
      <c r="D16917" s="28"/>
      <c r="F16917" s="28"/>
      <c r="H16917" s="28"/>
    </row>
    <row r="16918" spans="4:8" x14ac:dyDescent="0.25">
      <c r="D16918" s="28"/>
      <c r="F16918" s="28"/>
      <c r="H16918" s="28"/>
    </row>
    <row r="16919" spans="4:8" x14ac:dyDescent="0.25">
      <c r="D16919" s="28"/>
      <c r="F16919" s="28"/>
      <c r="H16919" s="28"/>
    </row>
    <row r="16920" spans="4:8" x14ac:dyDescent="0.25">
      <c r="D16920" s="28"/>
      <c r="F16920" s="28"/>
      <c r="H16920" s="28"/>
    </row>
    <row r="16921" spans="4:8" x14ac:dyDescent="0.25">
      <c r="D16921" s="28"/>
      <c r="F16921" s="28"/>
      <c r="H16921" s="28"/>
    </row>
    <row r="16922" spans="4:8" x14ac:dyDescent="0.25">
      <c r="D16922" s="28"/>
      <c r="F16922" s="28"/>
      <c r="H16922" s="28"/>
    </row>
    <row r="16923" spans="4:8" x14ac:dyDescent="0.25">
      <c r="D16923" s="28"/>
      <c r="F16923" s="28"/>
      <c r="H16923" s="28"/>
    </row>
    <row r="16924" spans="4:8" x14ac:dyDescent="0.25">
      <c r="D16924" s="28"/>
      <c r="F16924" s="28"/>
      <c r="H16924" s="28"/>
    </row>
    <row r="16925" spans="4:8" x14ac:dyDescent="0.25">
      <c r="D16925" s="28"/>
      <c r="F16925" s="28"/>
      <c r="H16925" s="28"/>
    </row>
    <row r="16926" spans="4:8" x14ac:dyDescent="0.25">
      <c r="D16926" s="28"/>
      <c r="F16926" s="28"/>
      <c r="H16926" s="28"/>
    </row>
    <row r="16927" spans="4:8" x14ac:dyDescent="0.25">
      <c r="D16927" s="28"/>
      <c r="F16927" s="28"/>
      <c r="H16927" s="28"/>
    </row>
    <row r="16928" spans="4:8" x14ac:dyDescent="0.25">
      <c r="D16928" s="28"/>
      <c r="F16928" s="28"/>
      <c r="H16928" s="28"/>
    </row>
    <row r="16929" spans="4:8" x14ac:dyDescent="0.25">
      <c r="D16929" s="28"/>
      <c r="F16929" s="28"/>
      <c r="H16929" s="28"/>
    </row>
    <row r="16930" spans="4:8" x14ac:dyDescent="0.25">
      <c r="D16930" s="28"/>
      <c r="F16930" s="28"/>
      <c r="H16930" s="28"/>
    </row>
    <row r="16931" spans="4:8" x14ac:dyDescent="0.25">
      <c r="D16931" s="28"/>
      <c r="F16931" s="28"/>
      <c r="H16931" s="28"/>
    </row>
    <row r="16932" spans="4:8" x14ac:dyDescent="0.25">
      <c r="D16932" s="28"/>
      <c r="F16932" s="28"/>
      <c r="H16932" s="28"/>
    </row>
    <row r="16933" spans="4:8" x14ac:dyDescent="0.25">
      <c r="D16933" s="28"/>
      <c r="F16933" s="28"/>
      <c r="H16933" s="28"/>
    </row>
    <row r="16934" spans="4:8" x14ac:dyDescent="0.25">
      <c r="D16934" s="28"/>
      <c r="F16934" s="28"/>
      <c r="H16934" s="28"/>
    </row>
    <row r="16935" spans="4:8" x14ac:dyDescent="0.25">
      <c r="D16935" s="28"/>
      <c r="F16935" s="28"/>
      <c r="H16935" s="28"/>
    </row>
    <row r="16936" spans="4:8" x14ac:dyDescent="0.25">
      <c r="D16936" s="28"/>
      <c r="F16936" s="28"/>
      <c r="H16936" s="28"/>
    </row>
    <row r="16937" spans="4:8" x14ac:dyDescent="0.25">
      <c r="D16937" s="28"/>
      <c r="F16937" s="28"/>
      <c r="H16937" s="28"/>
    </row>
    <row r="16938" spans="4:8" x14ac:dyDescent="0.25">
      <c r="D16938" s="28"/>
      <c r="F16938" s="28"/>
      <c r="H16938" s="28"/>
    </row>
    <row r="16939" spans="4:8" x14ac:dyDescent="0.25">
      <c r="D16939" s="28"/>
      <c r="F16939" s="28"/>
      <c r="H16939" s="28"/>
    </row>
    <row r="16940" spans="4:8" x14ac:dyDescent="0.25">
      <c r="D16940" s="28"/>
      <c r="F16940" s="28"/>
      <c r="H16940" s="28"/>
    </row>
    <row r="16941" spans="4:8" x14ac:dyDescent="0.25">
      <c r="D16941" s="28"/>
      <c r="F16941" s="28"/>
      <c r="H16941" s="28"/>
    </row>
    <row r="16942" spans="4:8" x14ac:dyDescent="0.25">
      <c r="D16942" s="28"/>
      <c r="F16942" s="28"/>
      <c r="H16942" s="28"/>
    </row>
    <row r="16943" spans="4:8" x14ac:dyDescent="0.25">
      <c r="D16943" s="28"/>
      <c r="F16943" s="28"/>
      <c r="H16943" s="28"/>
    </row>
    <row r="16944" spans="4:8" x14ac:dyDescent="0.25">
      <c r="D16944" s="28"/>
      <c r="F16944" s="28"/>
      <c r="H16944" s="28"/>
    </row>
    <row r="16945" spans="4:8" x14ac:dyDescent="0.25">
      <c r="D16945" s="28"/>
      <c r="F16945" s="28"/>
      <c r="H16945" s="28"/>
    </row>
    <row r="16946" spans="4:8" x14ac:dyDescent="0.25">
      <c r="D16946" s="28"/>
      <c r="F16946" s="28"/>
      <c r="H16946" s="28"/>
    </row>
    <row r="16947" spans="4:8" x14ac:dyDescent="0.25">
      <c r="D16947" s="28"/>
      <c r="F16947" s="28"/>
      <c r="H16947" s="28"/>
    </row>
    <row r="16948" spans="4:8" x14ac:dyDescent="0.25">
      <c r="D16948" s="28"/>
      <c r="F16948" s="28"/>
      <c r="H16948" s="28"/>
    </row>
    <row r="16949" spans="4:8" x14ac:dyDescent="0.25">
      <c r="D16949" s="28"/>
      <c r="F16949" s="28"/>
      <c r="H16949" s="28"/>
    </row>
    <row r="16950" spans="4:8" x14ac:dyDescent="0.25">
      <c r="D16950" s="28"/>
      <c r="F16950" s="28"/>
      <c r="H16950" s="28"/>
    </row>
    <row r="16951" spans="4:8" x14ac:dyDescent="0.25">
      <c r="D16951" s="28"/>
      <c r="F16951" s="28"/>
      <c r="H16951" s="28"/>
    </row>
    <row r="16952" spans="4:8" x14ac:dyDescent="0.25">
      <c r="D16952" s="28"/>
      <c r="F16952" s="28"/>
      <c r="H16952" s="28"/>
    </row>
    <row r="16953" spans="4:8" x14ac:dyDescent="0.25">
      <c r="D16953" s="28"/>
      <c r="F16953" s="28"/>
      <c r="H16953" s="28"/>
    </row>
    <row r="16954" spans="4:8" x14ac:dyDescent="0.25">
      <c r="D16954" s="28"/>
      <c r="F16954" s="28"/>
      <c r="H16954" s="28"/>
    </row>
    <row r="16955" spans="4:8" x14ac:dyDescent="0.25">
      <c r="D16955" s="28"/>
      <c r="F16955" s="28"/>
      <c r="H16955" s="28"/>
    </row>
    <row r="16956" spans="4:8" x14ac:dyDescent="0.25">
      <c r="D16956" s="28"/>
      <c r="F16956" s="28"/>
      <c r="H16956" s="28"/>
    </row>
    <row r="16957" spans="4:8" x14ac:dyDescent="0.25">
      <c r="D16957" s="28"/>
      <c r="F16957" s="28"/>
      <c r="H16957" s="28"/>
    </row>
    <row r="16958" spans="4:8" x14ac:dyDescent="0.25">
      <c r="D16958" s="28"/>
      <c r="F16958" s="28"/>
      <c r="H16958" s="28"/>
    </row>
    <row r="16959" spans="4:8" x14ac:dyDescent="0.25">
      <c r="D16959" s="28"/>
      <c r="F16959" s="28"/>
      <c r="H16959" s="28"/>
    </row>
    <row r="16960" spans="4:8" x14ac:dyDescent="0.25">
      <c r="D16960" s="28"/>
      <c r="F16960" s="28"/>
      <c r="H16960" s="28"/>
    </row>
    <row r="16961" spans="4:8" x14ac:dyDescent="0.25">
      <c r="D16961" s="28"/>
      <c r="F16961" s="28"/>
      <c r="H16961" s="28"/>
    </row>
    <row r="16962" spans="4:8" x14ac:dyDescent="0.25">
      <c r="D16962" s="28"/>
      <c r="F16962" s="28"/>
      <c r="H16962" s="28"/>
    </row>
    <row r="16963" spans="4:8" x14ac:dyDescent="0.25">
      <c r="D16963" s="28"/>
      <c r="F16963" s="28"/>
      <c r="H16963" s="28"/>
    </row>
    <row r="16964" spans="4:8" x14ac:dyDescent="0.25">
      <c r="D16964" s="28"/>
      <c r="F16964" s="28"/>
      <c r="H16964" s="28"/>
    </row>
    <row r="16965" spans="4:8" x14ac:dyDescent="0.25">
      <c r="D16965" s="28"/>
      <c r="F16965" s="28"/>
      <c r="H16965" s="28"/>
    </row>
    <row r="16966" spans="4:8" x14ac:dyDescent="0.25">
      <c r="D16966" s="28"/>
      <c r="F16966" s="28"/>
      <c r="H16966" s="28"/>
    </row>
    <row r="16967" spans="4:8" x14ac:dyDescent="0.25">
      <c r="D16967" s="28"/>
      <c r="F16967" s="28"/>
      <c r="H16967" s="28"/>
    </row>
    <row r="16968" spans="4:8" x14ac:dyDescent="0.25">
      <c r="D16968" s="28"/>
      <c r="F16968" s="28"/>
      <c r="H16968" s="28"/>
    </row>
    <row r="16969" spans="4:8" x14ac:dyDescent="0.25">
      <c r="D16969" s="28"/>
      <c r="F16969" s="28"/>
      <c r="H16969" s="28"/>
    </row>
    <row r="16970" spans="4:8" x14ac:dyDescent="0.25">
      <c r="D16970" s="28"/>
      <c r="F16970" s="28"/>
      <c r="H16970" s="28"/>
    </row>
    <row r="16971" spans="4:8" x14ac:dyDescent="0.25">
      <c r="D16971" s="28"/>
      <c r="F16971" s="28"/>
      <c r="H16971" s="28"/>
    </row>
    <row r="16972" spans="4:8" x14ac:dyDescent="0.25">
      <c r="D16972" s="28"/>
      <c r="F16972" s="28"/>
      <c r="H16972" s="28"/>
    </row>
    <row r="16973" spans="4:8" x14ac:dyDescent="0.25">
      <c r="D16973" s="28"/>
      <c r="F16973" s="28"/>
      <c r="H16973" s="28"/>
    </row>
    <row r="16974" spans="4:8" x14ac:dyDescent="0.25">
      <c r="D16974" s="28"/>
      <c r="F16974" s="28"/>
      <c r="H16974" s="28"/>
    </row>
    <row r="16975" spans="4:8" x14ac:dyDescent="0.25">
      <c r="D16975" s="28"/>
      <c r="F16975" s="28"/>
      <c r="H16975" s="28"/>
    </row>
    <row r="16976" spans="4:8" x14ac:dyDescent="0.25">
      <c r="D16976" s="28"/>
      <c r="F16976" s="28"/>
      <c r="H16976" s="28"/>
    </row>
    <row r="16977" spans="4:8" x14ac:dyDescent="0.25">
      <c r="D16977" s="28"/>
      <c r="F16977" s="28"/>
      <c r="H16977" s="28"/>
    </row>
    <row r="16978" spans="4:8" x14ac:dyDescent="0.25">
      <c r="D16978" s="28"/>
      <c r="F16978" s="28"/>
      <c r="H16978" s="28"/>
    </row>
    <row r="16979" spans="4:8" x14ac:dyDescent="0.25">
      <c r="D16979" s="28"/>
      <c r="F16979" s="28"/>
      <c r="H16979" s="28"/>
    </row>
    <row r="16980" spans="4:8" x14ac:dyDescent="0.25">
      <c r="D16980" s="28"/>
      <c r="F16980" s="28"/>
      <c r="H16980" s="28"/>
    </row>
    <row r="16981" spans="4:8" x14ac:dyDescent="0.25">
      <c r="D16981" s="28"/>
      <c r="F16981" s="28"/>
      <c r="H16981" s="28"/>
    </row>
    <row r="16982" spans="4:8" x14ac:dyDescent="0.25">
      <c r="D16982" s="28"/>
      <c r="F16982" s="28"/>
      <c r="H16982" s="28"/>
    </row>
    <row r="16983" spans="4:8" x14ac:dyDescent="0.25">
      <c r="D16983" s="28"/>
      <c r="F16983" s="28"/>
      <c r="H16983" s="28"/>
    </row>
    <row r="16984" spans="4:8" x14ac:dyDescent="0.25">
      <c r="D16984" s="28"/>
      <c r="F16984" s="28"/>
      <c r="H16984" s="28"/>
    </row>
    <row r="16985" spans="4:8" x14ac:dyDescent="0.25">
      <c r="D16985" s="28"/>
      <c r="F16985" s="28"/>
      <c r="H16985" s="28"/>
    </row>
    <row r="16986" spans="4:8" x14ac:dyDescent="0.25">
      <c r="D16986" s="28"/>
      <c r="F16986" s="28"/>
      <c r="H16986" s="28"/>
    </row>
    <row r="16987" spans="4:8" x14ac:dyDescent="0.25">
      <c r="D16987" s="28"/>
      <c r="F16987" s="28"/>
      <c r="H16987" s="28"/>
    </row>
    <row r="16988" spans="4:8" x14ac:dyDescent="0.25">
      <c r="D16988" s="28"/>
      <c r="F16988" s="28"/>
      <c r="H16988" s="28"/>
    </row>
    <row r="16989" spans="4:8" x14ac:dyDescent="0.25">
      <c r="D16989" s="28"/>
      <c r="F16989" s="28"/>
      <c r="H16989" s="28"/>
    </row>
    <row r="16990" spans="4:8" x14ac:dyDescent="0.25">
      <c r="D16990" s="28"/>
      <c r="F16990" s="28"/>
      <c r="H16990" s="28"/>
    </row>
    <row r="16991" spans="4:8" x14ac:dyDescent="0.25">
      <c r="D16991" s="28"/>
      <c r="F16991" s="28"/>
      <c r="H16991" s="28"/>
    </row>
    <row r="16992" spans="4:8" x14ac:dyDescent="0.25">
      <c r="D16992" s="28"/>
      <c r="F16992" s="28"/>
      <c r="H16992" s="28"/>
    </row>
    <row r="16993" spans="4:8" x14ac:dyDescent="0.25">
      <c r="D16993" s="28"/>
      <c r="F16993" s="28"/>
      <c r="H16993" s="28"/>
    </row>
    <row r="16994" spans="4:8" x14ac:dyDescent="0.25">
      <c r="D16994" s="28"/>
      <c r="F16994" s="28"/>
      <c r="H16994" s="28"/>
    </row>
    <row r="16995" spans="4:8" x14ac:dyDescent="0.25">
      <c r="D16995" s="28"/>
      <c r="F16995" s="28"/>
      <c r="H16995" s="28"/>
    </row>
    <row r="16996" spans="4:8" x14ac:dyDescent="0.25">
      <c r="D16996" s="28"/>
      <c r="F16996" s="28"/>
      <c r="H16996" s="28"/>
    </row>
    <row r="16997" spans="4:8" x14ac:dyDescent="0.25">
      <c r="D16997" s="28"/>
      <c r="F16997" s="28"/>
      <c r="H16997" s="28"/>
    </row>
    <row r="16998" spans="4:8" x14ac:dyDescent="0.25">
      <c r="D16998" s="28"/>
      <c r="F16998" s="28"/>
      <c r="H16998" s="28"/>
    </row>
    <row r="16999" spans="4:8" x14ac:dyDescent="0.25">
      <c r="D16999" s="28"/>
      <c r="F16999" s="28"/>
      <c r="H16999" s="28"/>
    </row>
    <row r="17000" spans="4:8" x14ac:dyDescent="0.25">
      <c r="D17000" s="28"/>
      <c r="F17000" s="28"/>
      <c r="H17000" s="28"/>
    </row>
    <row r="17001" spans="4:8" x14ac:dyDescent="0.25">
      <c r="D17001" s="28"/>
      <c r="F17001" s="28"/>
      <c r="H17001" s="28"/>
    </row>
    <row r="17002" spans="4:8" x14ac:dyDescent="0.25">
      <c r="D17002" s="28"/>
      <c r="F17002" s="28"/>
      <c r="H17002" s="28"/>
    </row>
    <row r="17003" spans="4:8" x14ac:dyDescent="0.25">
      <c r="D17003" s="28"/>
      <c r="F17003" s="28"/>
      <c r="H17003" s="28"/>
    </row>
    <row r="17004" spans="4:8" x14ac:dyDescent="0.25">
      <c r="D17004" s="28"/>
      <c r="F17004" s="28"/>
      <c r="H17004" s="28"/>
    </row>
    <row r="17005" spans="4:8" x14ac:dyDescent="0.25">
      <c r="D17005" s="28"/>
      <c r="F17005" s="28"/>
      <c r="H17005" s="28"/>
    </row>
    <row r="17006" spans="4:8" x14ac:dyDescent="0.25">
      <c r="D17006" s="28"/>
      <c r="F17006" s="28"/>
      <c r="H17006" s="28"/>
    </row>
    <row r="17007" spans="4:8" x14ac:dyDescent="0.25">
      <c r="D17007" s="28"/>
      <c r="F17007" s="28"/>
      <c r="H17007" s="28"/>
    </row>
    <row r="17008" spans="4:8" x14ac:dyDescent="0.25">
      <c r="D17008" s="28"/>
      <c r="F17008" s="28"/>
      <c r="H17008" s="28"/>
    </row>
    <row r="17009" spans="4:8" x14ac:dyDescent="0.25">
      <c r="D17009" s="28"/>
      <c r="F17009" s="28"/>
      <c r="H17009" s="28"/>
    </row>
    <row r="17010" spans="4:8" x14ac:dyDescent="0.25">
      <c r="D17010" s="28"/>
      <c r="F17010" s="28"/>
      <c r="H17010" s="28"/>
    </row>
    <row r="17011" spans="4:8" x14ac:dyDescent="0.25">
      <c r="D17011" s="28"/>
      <c r="F17011" s="28"/>
      <c r="H17011" s="28"/>
    </row>
    <row r="17012" spans="4:8" x14ac:dyDescent="0.25">
      <c r="D17012" s="28"/>
      <c r="F17012" s="28"/>
      <c r="H17012" s="28"/>
    </row>
    <row r="17013" spans="4:8" x14ac:dyDescent="0.25">
      <c r="D17013" s="28"/>
      <c r="F17013" s="28"/>
      <c r="H17013" s="28"/>
    </row>
    <row r="17014" spans="4:8" x14ac:dyDescent="0.25">
      <c r="D17014" s="28"/>
      <c r="F17014" s="28"/>
      <c r="H17014" s="28"/>
    </row>
    <row r="17015" spans="4:8" x14ac:dyDescent="0.25">
      <c r="D17015" s="28"/>
      <c r="F17015" s="28"/>
      <c r="H17015" s="28"/>
    </row>
    <row r="17016" spans="4:8" x14ac:dyDescent="0.25">
      <c r="D17016" s="28"/>
      <c r="F17016" s="28"/>
      <c r="H17016" s="28"/>
    </row>
    <row r="17017" spans="4:8" x14ac:dyDescent="0.25">
      <c r="D17017" s="28"/>
      <c r="F17017" s="28"/>
      <c r="H17017" s="28"/>
    </row>
    <row r="17018" spans="4:8" x14ac:dyDescent="0.25">
      <c r="D17018" s="28"/>
      <c r="F17018" s="28"/>
      <c r="H17018" s="28"/>
    </row>
    <row r="17019" spans="4:8" x14ac:dyDescent="0.25">
      <c r="D17019" s="28"/>
      <c r="F17019" s="28"/>
      <c r="H17019" s="28"/>
    </row>
    <row r="17020" spans="4:8" x14ac:dyDescent="0.25">
      <c r="D17020" s="28"/>
      <c r="F17020" s="28"/>
      <c r="H17020" s="28"/>
    </row>
    <row r="17021" spans="4:8" x14ac:dyDescent="0.25">
      <c r="D17021" s="28"/>
      <c r="F17021" s="28"/>
      <c r="H17021" s="28"/>
    </row>
    <row r="17022" spans="4:8" x14ac:dyDescent="0.25">
      <c r="D17022" s="28"/>
      <c r="F17022" s="28"/>
      <c r="H17022" s="28"/>
    </row>
    <row r="17023" spans="4:8" x14ac:dyDescent="0.25">
      <c r="D17023" s="28"/>
      <c r="F17023" s="28"/>
      <c r="H17023" s="28"/>
    </row>
    <row r="17024" spans="4:8" x14ac:dyDescent="0.25">
      <c r="D17024" s="28"/>
      <c r="F17024" s="28"/>
      <c r="H17024" s="28"/>
    </row>
    <row r="17025" spans="4:8" x14ac:dyDescent="0.25">
      <c r="D17025" s="28"/>
      <c r="F17025" s="28"/>
      <c r="H17025" s="28"/>
    </row>
    <row r="17026" spans="4:8" x14ac:dyDescent="0.25">
      <c r="D17026" s="28"/>
      <c r="F17026" s="28"/>
      <c r="H17026" s="28"/>
    </row>
    <row r="17027" spans="4:8" x14ac:dyDescent="0.25">
      <c r="D17027" s="28"/>
      <c r="F17027" s="28"/>
      <c r="H17027" s="28"/>
    </row>
    <row r="17028" spans="4:8" x14ac:dyDescent="0.25">
      <c r="D17028" s="28"/>
      <c r="F17028" s="28"/>
      <c r="H17028" s="28"/>
    </row>
    <row r="17029" spans="4:8" x14ac:dyDescent="0.25">
      <c r="D17029" s="28"/>
      <c r="F17029" s="28"/>
      <c r="H17029" s="28"/>
    </row>
    <row r="17030" spans="4:8" x14ac:dyDescent="0.25">
      <c r="D17030" s="28"/>
      <c r="F17030" s="28"/>
      <c r="H17030" s="28"/>
    </row>
    <row r="17031" spans="4:8" x14ac:dyDescent="0.25">
      <c r="D17031" s="28"/>
      <c r="F17031" s="28"/>
      <c r="H17031" s="28"/>
    </row>
    <row r="17032" spans="4:8" x14ac:dyDescent="0.25">
      <c r="D17032" s="28"/>
      <c r="F17032" s="28"/>
      <c r="H17032" s="28"/>
    </row>
    <row r="17033" spans="4:8" x14ac:dyDescent="0.25">
      <c r="D17033" s="28"/>
      <c r="F17033" s="28"/>
      <c r="H17033" s="28"/>
    </row>
    <row r="17034" spans="4:8" x14ac:dyDescent="0.25">
      <c r="D17034" s="28"/>
      <c r="F17034" s="28"/>
      <c r="H17034" s="28"/>
    </row>
    <row r="17035" spans="4:8" x14ac:dyDescent="0.25">
      <c r="D17035" s="28"/>
      <c r="F17035" s="28"/>
      <c r="H17035" s="28"/>
    </row>
    <row r="17036" spans="4:8" x14ac:dyDescent="0.25">
      <c r="D17036" s="28"/>
      <c r="F17036" s="28"/>
      <c r="H17036" s="28"/>
    </row>
    <row r="17037" spans="4:8" x14ac:dyDescent="0.25">
      <c r="D17037" s="28"/>
      <c r="F17037" s="28"/>
      <c r="H17037" s="28"/>
    </row>
    <row r="17038" spans="4:8" x14ac:dyDescent="0.25">
      <c r="D17038" s="28"/>
      <c r="F17038" s="28"/>
      <c r="H17038" s="28"/>
    </row>
    <row r="17039" spans="4:8" x14ac:dyDescent="0.25">
      <c r="D17039" s="28"/>
      <c r="F17039" s="28"/>
      <c r="H17039" s="28"/>
    </row>
    <row r="17040" spans="4:8" x14ac:dyDescent="0.25">
      <c r="D17040" s="28"/>
      <c r="F17040" s="28"/>
      <c r="H17040" s="28"/>
    </row>
    <row r="17041" spans="4:8" x14ac:dyDescent="0.25">
      <c r="D17041" s="28"/>
      <c r="F17041" s="28"/>
      <c r="H17041" s="28"/>
    </row>
    <row r="17042" spans="4:8" x14ac:dyDescent="0.25">
      <c r="D17042" s="28"/>
      <c r="F17042" s="28"/>
      <c r="H17042" s="28"/>
    </row>
    <row r="17043" spans="4:8" x14ac:dyDescent="0.25">
      <c r="D17043" s="28"/>
      <c r="F17043" s="28"/>
      <c r="H17043" s="28"/>
    </row>
    <row r="17044" spans="4:8" x14ac:dyDescent="0.25">
      <c r="D17044" s="28"/>
      <c r="F17044" s="28"/>
      <c r="H17044" s="28"/>
    </row>
    <row r="17045" spans="4:8" x14ac:dyDescent="0.25">
      <c r="D17045" s="28"/>
      <c r="F17045" s="28"/>
      <c r="H17045" s="28"/>
    </row>
    <row r="17046" spans="4:8" x14ac:dyDescent="0.25">
      <c r="D17046" s="28"/>
      <c r="F17046" s="28"/>
      <c r="H17046" s="28"/>
    </row>
    <row r="17047" spans="4:8" x14ac:dyDescent="0.25">
      <c r="D17047" s="28"/>
      <c r="F17047" s="28"/>
      <c r="H17047" s="28"/>
    </row>
    <row r="17048" spans="4:8" x14ac:dyDescent="0.25">
      <c r="D17048" s="28"/>
      <c r="F17048" s="28"/>
      <c r="H17048" s="28"/>
    </row>
    <row r="17049" spans="4:8" x14ac:dyDescent="0.25">
      <c r="D17049" s="28"/>
      <c r="F17049" s="28"/>
      <c r="H17049" s="28"/>
    </row>
    <row r="17050" spans="4:8" x14ac:dyDescent="0.25">
      <c r="D17050" s="28"/>
      <c r="F17050" s="28"/>
      <c r="H17050" s="28"/>
    </row>
    <row r="17051" spans="4:8" x14ac:dyDescent="0.25">
      <c r="D17051" s="28"/>
      <c r="F17051" s="28"/>
      <c r="H17051" s="28"/>
    </row>
    <row r="17052" spans="4:8" x14ac:dyDescent="0.25">
      <c r="D17052" s="28"/>
      <c r="F17052" s="28"/>
      <c r="H17052" s="28"/>
    </row>
    <row r="17053" spans="4:8" x14ac:dyDescent="0.25">
      <c r="D17053" s="28"/>
      <c r="F17053" s="28"/>
      <c r="H17053" s="28"/>
    </row>
    <row r="17054" spans="4:8" x14ac:dyDescent="0.25">
      <c r="D17054" s="28"/>
      <c r="F17054" s="28"/>
      <c r="H17054" s="28"/>
    </row>
    <row r="17055" spans="4:8" x14ac:dyDescent="0.25">
      <c r="D17055" s="28"/>
      <c r="F17055" s="28"/>
      <c r="H17055" s="28"/>
    </row>
    <row r="17056" spans="4:8" x14ac:dyDescent="0.25">
      <c r="D17056" s="28"/>
      <c r="F17056" s="28"/>
      <c r="H17056" s="28"/>
    </row>
    <row r="17057" spans="4:8" x14ac:dyDescent="0.25">
      <c r="D17057" s="28"/>
      <c r="F17057" s="28"/>
      <c r="H17057" s="28"/>
    </row>
    <row r="17058" spans="4:8" x14ac:dyDescent="0.25">
      <c r="D17058" s="28"/>
      <c r="F17058" s="28"/>
      <c r="H17058" s="28"/>
    </row>
    <row r="17059" spans="4:8" x14ac:dyDescent="0.25">
      <c r="D17059" s="28"/>
      <c r="F17059" s="28"/>
      <c r="H17059" s="28"/>
    </row>
    <row r="17060" spans="4:8" x14ac:dyDescent="0.25">
      <c r="D17060" s="28"/>
      <c r="F17060" s="28"/>
      <c r="H17060" s="28"/>
    </row>
    <row r="17061" spans="4:8" x14ac:dyDescent="0.25">
      <c r="D17061" s="28"/>
      <c r="F17061" s="28"/>
      <c r="H17061" s="28"/>
    </row>
    <row r="17062" spans="4:8" x14ac:dyDescent="0.25">
      <c r="D17062" s="28"/>
      <c r="F17062" s="28"/>
      <c r="H17062" s="28"/>
    </row>
    <row r="17063" spans="4:8" x14ac:dyDescent="0.25">
      <c r="D17063" s="28"/>
      <c r="F17063" s="28"/>
      <c r="H17063" s="28"/>
    </row>
    <row r="17064" spans="4:8" x14ac:dyDescent="0.25">
      <c r="D17064" s="28"/>
      <c r="F17064" s="28"/>
      <c r="H17064" s="28"/>
    </row>
    <row r="17065" spans="4:8" x14ac:dyDescent="0.25">
      <c r="D17065" s="28"/>
      <c r="F17065" s="28"/>
      <c r="H17065" s="28"/>
    </row>
    <row r="17066" spans="4:8" x14ac:dyDescent="0.25">
      <c r="D17066" s="28"/>
      <c r="F17066" s="28"/>
      <c r="H17066" s="28"/>
    </row>
    <row r="17067" spans="4:8" x14ac:dyDescent="0.25">
      <c r="D17067" s="28"/>
      <c r="F17067" s="28"/>
      <c r="H17067" s="28"/>
    </row>
    <row r="17068" spans="4:8" x14ac:dyDescent="0.25">
      <c r="D17068" s="28"/>
      <c r="F17068" s="28"/>
      <c r="H17068" s="28"/>
    </row>
    <row r="17069" spans="4:8" x14ac:dyDescent="0.25">
      <c r="D17069" s="28"/>
      <c r="F17069" s="28"/>
      <c r="H17069" s="28"/>
    </row>
    <row r="17070" spans="4:8" x14ac:dyDescent="0.25">
      <c r="D17070" s="28"/>
      <c r="F17070" s="28"/>
      <c r="H17070" s="28"/>
    </row>
    <row r="17071" spans="4:8" x14ac:dyDescent="0.25">
      <c r="D17071" s="28"/>
      <c r="F17071" s="28"/>
      <c r="H17071" s="28"/>
    </row>
    <row r="17072" spans="4:8" x14ac:dyDescent="0.25">
      <c r="D17072" s="28"/>
      <c r="F17072" s="28"/>
      <c r="H17072" s="28"/>
    </row>
    <row r="17073" spans="4:8" x14ac:dyDescent="0.25">
      <c r="D17073" s="28"/>
      <c r="F17073" s="28"/>
      <c r="H17073" s="28"/>
    </row>
    <row r="17074" spans="4:8" x14ac:dyDescent="0.25">
      <c r="D17074" s="28"/>
      <c r="F17074" s="28"/>
      <c r="H17074" s="28"/>
    </row>
    <row r="17075" spans="4:8" x14ac:dyDescent="0.25">
      <c r="D17075" s="28"/>
      <c r="F17075" s="28"/>
      <c r="H17075" s="28"/>
    </row>
    <row r="17076" spans="4:8" x14ac:dyDescent="0.25">
      <c r="D17076" s="28"/>
      <c r="F17076" s="28"/>
      <c r="H17076" s="28"/>
    </row>
    <row r="17077" spans="4:8" x14ac:dyDescent="0.25">
      <c r="D17077" s="28"/>
      <c r="F17077" s="28"/>
      <c r="H17077" s="28"/>
    </row>
    <row r="17078" spans="4:8" x14ac:dyDescent="0.25">
      <c r="D17078" s="28"/>
      <c r="F17078" s="28"/>
      <c r="H17078" s="28"/>
    </row>
    <row r="17079" spans="4:8" x14ac:dyDescent="0.25">
      <c r="D17079" s="28"/>
      <c r="F17079" s="28"/>
      <c r="H17079" s="28"/>
    </row>
    <row r="17080" spans="4:8" x14ac:dyDescent="0.25">
      <c r="D17080" s="28"/>
      <c r="F17080" s="28"/>
      <c r="H17080" s="28"/>
    </row>
    <row r="17081" spans="4:8" x14ac:dyDescent="0.25">
      <c r="D17081" s="28"/>
      <c r="F17081" s="28"/>
      <c r="H17081" s="28"/>
    </row>
    <row r="17082" spans="4:8" x14ac:dyDescent="0.25">
      <c r="D17082" s="28"/>
      <c r="F17082" s="28"/>
      <c r="H17082" s="28"/>
    </row>
    <row r="17083" spans="4:8" x14ac:dyDescent="0.25">
      <c r="D17083" s="28"/>
      <c r="F17083" s="28"/>
      <c r="H17083" s="28"/>
    </row>
    <row r="17084" spans="4:8" x14ac:dyDescent="0.25">
      <c r="D17084" s="28"/>
      <c r="F17084" s="28"/>
      <c r="H17084" s="28"/>
    </row>
    <row r="17085" spans="4:8" x14ac:dyDescent="0.25">
      <c r="D17085" s="28"/>
      <c r="F17085" s="28"/>
      <c r="H17085" s="28"/>
    </row>
    <row r="17086" spans="4:8" x14ac:dyDescent="0.25">
      <c r="D17086" s="28"/>
      <c r="F17086" s="28"/>
      <c r="H17086" s="28"/>
    </row>
    <row r="17087" spans="4:8" x14ac:dyDescent="0.25">
      <c r="D17087" s="28"/>
      <c r="F17087" s="28"/>
      <c r="H17087" s="28"/>
    </row>
    <row r="17088" spans="4:8" x14ac:dyDescent="0.25">
      <c r="D17088" s="28"/>
      <c r="F17088" s="28"/>
      <c r="H17088" s="28"/>
    </row>
    <row r="17089" spans="4:8" x14ac:dyDescent="0.25">
      <c r="D17089" s="28"/>
      <c r="F17089" s="28"/>
      <c r="H17089" s="28"/>
    </row>
    <row r="17090" spans="4:8" x14ac:dyDescent="0.25">
      <c r="D17090" s="28"/>
      <c r="F17090" s="28"/>
      <c r="H17090" s="28"/>
    </row>
    <row r="17091" spans="4:8" x14ac:dyDescent="0.25">
      <c r="D17091" s="28"/>
      <c r="F17091" s="28"/>
      <c r="H17091" s="28"/>
    </row>
    <row r="17092" spans="4:8" x14ac:dyDescent="0.25">
      <c r="D17092" s="28"/>
      <c r="F17092" s="28"/>
      <c r="H17092" s="28"/>
    </row>
    <row r="17093" spans="4:8" x14ac:dyDescent="0.25">
      <c r="D17093" s="28"/>
      <c r="F17093" s="28"/>
      <c r="H17093" s="28"/>
    </row>
    <row r="17094" spans="4:8" x14ac:dyDescent="0.25">
      <c r="D17094" s="28"/>
      <c r="F17094" s="28"/>
      <c r="H17094" s="28"/>
    </row>
    <row r="17095" spans="4:8" x14ac:dyDescent="0.25">
      <c r="D17095" s="28"/>
      <c r="F17095" s="28"/>
      <c r="H17095" s="28"/>
    </row>
    <row r="17096" spans="4:8" x14ac:dyDescent="0.25">
      <c r="D17096" s="28"/>
      <c r="F17096" s="28"/>
      <c r="H17096" s="28"/>
    </row>
    <row r="17097" spans="4:8" x14ac:dyDescent="0.25">
      <c r="D17097" s="28"/>
      <c r="F17097" s="28"/>
      <c r="H17097" s="28"/>
    </row>
    <row r="17098" spans="4:8" x14ac:dyDescent="0.25">
      <c r="D17098" s="28"/>
      <c r="F17098" s="28"/>
      <c r="H17098" s="28"/>
    </row>
    <row r="17099" spans="4:8" x14ac:dyDescent="0.25">
      <c r="D17099" s="28"/>
      <c r="F17099" s="28"/>
      <c r="H17099" s="28"/>
    </row>
    <row r="17100" spans="4:8" x14ac:dyDescent="0.25">
      <c r="D17100" s="28"/>
      <c r="F17100" s="28"/>
      <c r="H17100" s="28"/>
    </row>
    <row r="17101" spans="4:8" x14ac:dyDescent="0.25">
      <c r="D17101" s="28"/>
      <c r="F17101" s="28"/>
      <c r="H17101" s="28"/>
    </row>
    <row r="17102" spans="4:8" x14ac:dyDescent="0.25">
      <c r="D17102" s="28"/>
      <c r="F17102" s="28"/>
      <c r="H17102" s="28"/>
    </row>
    <row r="17103" spans="4:8" x14ac:dyDescent="0.25">
      <c r="D17103" s="28"/>
      <c r="F17103" s="28"/>
      <c r="H17103" s="28"/>
    </row>
    <row r="17104" spans="4:8" x14ac:dyDescent="0.25">
      <c r="D17104" s="28"/>
      <c r="F17104" s="28"/>
      <c r="H17104" s="28"/>
    </row>
    <row r="17105" spans="4:8" x14ac:dyDescent="0.25">
      <c r="D17105" s="28"/>
      <c r="F17105" s="28"/>
      <c r="H17105" s="28"/>
    </row>
    <row r="17106" spans="4:8" x14ac:dyDescent="0.25">
      <c r="D17106" s="28"/>
      <c r="F17106" s="28"/>
      <c r="H17106" s="28"/>
    </row>
    <row r="17107" spans="4:8" x14ac:dyDescent="0.25">
      <c r="D17107" s="28"/>
      <c r="F17107" s="28"/>
      <c r="H17107" s="28"/>
    </row>
    <row r="17108" spans="4:8" x14ac:dyDescent="0.25">
      <c r="D17108" s="28"/>
      <c r="F17108" s="28"/>
      <c r="H17108" s="28"/>
    </row>
    <row r="17109" spans="4:8" x14ac:dyDescent="0.25">
      <c r="D17109" s="28"/>
      <c r="F17109" s="28"/>
      <c r="H17109" s="28"/>
    </row>
    <row r="17110" spans="4:8" x14ac:dyDescent="0.25">
      <c r="D17110" s="28"/>
      <c r="F17110" s="28"/>
      <c r="H17110" s="28"/>
    </row>
    <row r="17111" spans="4:8" x14ac:dyDescent="0.25">
      <c r="D17111" s="28"/>
      <c r="F17111" s="28"/>
      <c r="H17111" s="28"/>
    </row>
    <row r="17112" spans="4:8" x14ac:dyDescent="0.25">
      <c r="D17112" s="28"/>
      <c r="F17112" s="28"/>
      <c r="H17112" s="28"/>
    </row>
    <row r="17113" spans="4:8" x14ac:dyDescent="0.25">
      <c r="D17113" s="28"/>
      <c r="F17113" s="28"/>
      <c r="H17113" s="28"/>
    </row>
    <row r="17114" spans="4:8" x14ac:dyDescent="0.25">
      <c r="D17114" s="28"/>
      <c r="F17114" s="28"/>
      <c r="H17114" s="28"/>
    </row>
    <row r="17115" spans="4:8" x14ac:dyDescent="0.25">
      <c r="D17115" s="28"/>
      <c r="F17115" s="28"/>
      <c r="H17115" s="28"/>
    </row>
    <row r="17116" spans="4:8" x14ac:dyDescent="0.25">
      <c r="D17116" s="28"/>
      <c r="F17116" s="28"/>
      <c r="H17116" s="28"/>
    </row>
    <row r="17117" spans="4:8" x14ac:dyDescent="0.25">
      <c r="D17117" s="28"/>
      <c r="F17117" s="28"/>
      <c r="H17117" s="28"/>
    </row>
    <row r="17118" spans="4:8" x14ac:dyDescent="0.25">
      <c r="D17118" s="28"/>
      <c r="F17118" s="28"/>
      <c r="H17118" s="28"/>
    </row>
    <row r="17119" spans="4:8" x14ac:dyDescent="0.25">
      <c r="D17119" s="28"/>
      <c r="F17119" s="28"/>
      <c r="H17119" s="28"/>
    </row>
    <row r="17120" spans="4:8" x14ac:dyDescent="0.25">
      <c r="D17120" s="28"/>
      <c r="F17120" s="28"/>
      <c r="H17120" s="28"/>
    </row>
    <row r="17121" spans="4:8" x14ac:dyDescent="0.25">
      <c r="D17121" s="28"/>
      <c r="F17121" s="28"/>
      <c r="H17121" s="28"/>
    </row>
    <row r="17122" spans="4:8" x14ac:dyDescent="0.25">
      <c r="D17122" s="28"/>
      <c r="F17122" s="28"/>
      <c r="H17122" s="28"/>
    </row>
    <row r="17123" spans="4:8" x14ac:dyDescent="0.25">
      <c r="D17123" s="28"/>
      <c r="F17123" s="28"/>
      <c r="H17123" s="28"/>
    </row>
    <row r="17124" spans="4:8" x14ac:dyDescent="0.25">
      <c r="D17124" s="28"/>
      <c r="F17124" s="28"/>
      <c r="H17124" s="28"/>
    </row>
    <row r="17125" spans="4:8" x14ac:dyDescent="0.25">
      <c r="D17125" s="28"/>
      <c r="F17125" s="28"/>
      <c r="H17125" s="28"/>
    </row>
    <row r="17126" spans="4:8" x14ac:dyDescent="0.25">
      <c r="D17126" s="28"/>
      <c r="F17126" s="28"/>
      <c r="H17126" s="28"/>
    </row>
    <row r="17127" spans="4:8" x14ac:dyDescent="0.25">
      <c r="D17127" s="28"/>
      <c r="F17127" s="28"/>
      <c r="H17127" s="28"/>
    </row>
    <row r="17128" spans="4:8" x14ac:dyDescent="0.25">
      <c r="D17128" s="28"/>
      <c r="F17128" s="28"/>
      <c r="H17128" s="28"/>
    </row>
    <row r="17129" spans="4:8" x14ac:dyDescent="0.25">
      <c r="D17129" s="28"/>
      <c r="F17129" s="28"/>
      <c r="H17129" s="28"/>
    </row>
    <row r="17130" spans="4:8" x14ac:dyDescent="0.25">
      <c r="D17130" s="28"/>
      <c r="F17130" s="28"/>
      <c r="H17130" s="28"/>
    </row>
    <row r="17131" spans="4:8" x14ac:dyDescent="0.25">
      <c r="D17131" s="28"/>
      <c r="F17131" s="28"/>
      <c r="H17131" s="28"/>
    </row>
    <row r="17132" spans="4:8" x14ac:dyDescent="0.25">
      <c r="D17132" s="28"/>
      <c r="F17132" s="28"/>
      <c r="H17132" s="28"/>
    </row>
    <row r="17133" spans="4:8" x14ac:dyDescent="0.25">
      <c r="D17133" s="28"/>
      <c r="F17133" s="28"/>
      <c r="H17133" s="28"/>
    </row>
    <row r="17134" spans="4:8" x14ac:dyDescent="0.25">
      <c r="D17134" s="28"/>
      <c r="F17134" s="28"/>
      <c r="H17134" s="28"/>
    </row>
    <row r="17135" spans="4:8" x14ac:dyDescent="0.25">
      <c r="D17135" s="28"/>
      <c r="F17135" s="28"/>
      <c r="H17135" s="28"/>
    </row>
    <row r="17136" spans="4:8" x14ac:dyDescent="0.25">
      <c r="D17136" s="28"/>
      <c r="F17136" s="28"/>
      <c r="H17136" s="28"/>
    </row>
    <row r="17137" spans="4:8" x14ac:dyDescent="0.25">
      <c r="D17137" s="28"/>
      <c r="F17137" s="28"/>
      <c r="H17137" s="28"/>
    </row>
    <row r="17138" spans="4:8" x14ac:dyDescent="0.25">
      <c r="D17138" s="28"/>
      <c r="F17138" s="28"/>
      <c r="H17138" s="28"/>
    </row>
    <row r="17139" spans="4:8" x14ac:dyDescent="0.25">
      <c r="D17139" s="28"/>
      <c r="F17139" s="28"/>
      <c r="H17139" s="28"/>
    </row>
    <row r="17140" spans="4:8" x14ac:dyDescent="0.25">
      <c r="D17140" s="28"/>
      <c r="F17140" s="28"/>
      <c r="H17140" s="28"/>
    </row>
    <row r="17141" spans="4:8" x14ac:dyDescent="0.25">
      <c r="D17141" s="28"/>
      <c r="F17141" s="28"/>
      <c r="H17141" s="28"/>
    </row>
    <row r="17142" spans="4:8" x14ac:dyDescent="0.25">
      <c r="D17142" s="28"/>
      <c r="F17142" s="28"/>
      <c r="H17142" s="28"/>
    </row>
    <row r="17143" spans="4:8" x14ac:dyDescent="0.25">
      <c r="D17143" s="28"/>
      <c r="F17143" s="28"/>
      <c r="H17143" s="28"/>
    </row>
    <row r="17144" spans="4:8" x14ac:dyDescent="0.25">
      <c r="D17144" s="28"/>
      <c r="F17144" s="28"/>
      <c r="H17144" s="28"/>
    </row>
    <row r="17145" spans="4:8" x14ac:dyDescent="0.25">
      <c r="D17145" s="28"/>
      <c r="F17145" s="28"/>
      <c r="H17145" s="28"/>
    </row>
    <row r="17146" spans="4:8" x14ac:dyDescent="0.25">
      <c r="D17146" s="28"/>
      <c r="F17146" s="28"/>
      <c r="H17146" s="28"/>
    </row>
    <row r="17147" spans="4:8" x14ac:dyDescent="0.25">
      <c r="D17147" s="28"/>
      <c r="F17147" s="28"/>
      <c r="H17147" s="28"/>
    </row>
    <row r="17148" spans="4:8" x14ac:dyDescent="0.25">
      <c r="D17148" s="28"/>
      <c r="F17148" s="28"/>
      <c r="H17148" s="28"/>
    </row>
    <row r="17149" spans="4:8" x14ac:dyDescent="0.25">
      <c r="D17149" s="28"/>
      <c r="F17149" s="28"/>
      <c r="H17149" s="28"/>
    </row>
    <row r="17150" spans="4:8" x14ac:dyDescent="0.25">
      <c r="D17150" s="28"/>
      <c r="F17150" s="28"/>
      <c r="H17150" s="28"/>
    </row>
    <row r="17151" spans="4:8" x14ac:dyDescent="0.25">
      <c r="D17151" s="28"/>
      <c r="F17151" s="28"/>
      <c r="H17151" s="28"/>
    </row>
    <row r="17152" spans="4:8" x14ac:dyDescent="0.25">
      <c r="D17152" s="28"/>
      <c r="F17152" s="28"/>
      <c r="H17152" s="28"/>
    </row>
    <row r="17153" spans="4:8" x14ac:dyDescent="0.25">
      <c r="D17153" s="28"/>
      <c r="F17153" s="28"/>
      <c r="H17153" s="28"/>
    </row>
    <row r="17154" spans="4:8" x14ac:dyDescent="0.25">
      <c r="D17154" s="28"/>
      <c r="F17154" s="28"/>
      <c r="H17154" s="28"/>
    </row>
    <row r="17155" spans="4:8" x14ac:dyDescent="0.25">
      <c r="D17155" s="28"/>
      <c r="F17155" s="28"/>
      <c r="H17155" s="28"/>
    </row>
    <row r="17156" spans="4:8" x14ac:dyDescent="0.25">
      <c r="D17156" s="28"/>
      <c r="F17156" s="28"/>
      <c r="H17156" s="28"/>
    </row>
    <row r="17157" spans="4:8" x14ac:dyDescent="0.25">
      <c r="D17157" s="28"/>
      <c r="F17157" s="28"/>
      <c r="H17157" s="28"/>
    </row>
    <row r="17158" spans="4:8" x14ac:dyDescent="0.25">
      <c r="D17158" s="28"/>
      <c r="F17158" s="28"/>
      <c r="H17158" s="28"/>
    </row>
    <row r="17159" spans="4:8" x14ac:dyDescent="0.25">
      <c r="D17159" s="28"/>
      <c r="F17159" s="28"/>
      <c r="H17159" s="28"/>
    </row>
    <row r="17160" spans="4:8" x14ac:dyDescent="0.25">
      <c r="D17160" s="28"/>
      <c r="F17160" s="28"/>
      <c r="H17160" s="28"/>
    </row>
    <row r="17161" spans="4:8" x14ac:dyDescent="0.25">
      <c r="D17161" s="28"/>
      <c r="F17161" s="28"/>
      <c r="H17161" s="28"/>
    </row>
    <row r="17162" spans="4:8" x14ac:dyDescent="0.25">
      <c r="D17162" s="28"/>
      <c r="F17162" s="28"/>
      <c r="H17162" s="28"/>
    </row>
    <row r="17163" spans="4:8" x14ac:dyDescent="0.25">
      <c r="D17163" s="28"/>
      <c r="F17163" s="28"/>
      <c r="H17163" s="28"/>
    </row>
    <row r="17164" spans="4:8" x14ac:dyDescent="0.25">
      <c r="D17164" s="28"/>
      <c r="F17164" s="28"/>
      <c r="H17164" s="28"/>
    </row>
    <row r="17165" spans="4:8" x14ac:dyDescent="0.25">
      <c r="D17165" s="28"/>
      <c r="F17165" s="28"/>
      <c r="H17165" s="28"/>
    </row>
    <row r="17166" spans="4:8" x14ac:dyDescent="0.25">
      <c r="D17166" s="28"/>
      <c r="F17166" s="28"/>
      <c r="H17166" s="28"/>
    </row>
    <row r="17167" spans="4:8" x14ac:dyDescent="0.25">
      <c r="D17167" s="28"/>
      <c r="F17167" s="28"/>
      <c r="H17167" s="28"/>
    </row>
    <row r="17168" spans="4:8" x14ac:dyDescent="0.25">
      <c r="D17168" s="28"/>
      <c r="F17168" s="28"/>
      <c r="H17168" s="28"/>
    </row>
    <row r="17169" spans="4:8" x14ac:dyDescent="0.25">
      <c r="D17169" s="28"/>
      <c r="F17169" s="28"/>
      <c r="H17169" s="28"/>
    </row>
    <row r="17170" spans="4:8" x14ac:dyDescent="0.25">
      <c r="D17170" s="28"/>
      <c r="F17170" s="28"/>
      <c r="H17170" s="28"/>
    </row>
    <row r="17171" spans="4:8" x14ac:dyDescent="0.25">
      <c r="D17171" s="28"/>
      <c r="F17171" s="28"/>
      <c r="H17171" s="28"/>
    </row>
    <row r="17172" spans="4:8" x14ac:dyDescent="0.25">
      <c r="D17172" s="28"/>
      <c r="F17172" s="28"/>
      <c r="H17172" s="28"/>
    </row>
    <row r="17173" spans="4:8" x14ac:dyDescent="0.25">
      <c r="D17173" s="28"/>
      <c r="F17173" s="28"/>
      <c r="H17173" s="28"/>
    </row>
    <row r="17174" spans="4:8" x14ac:dyDescent="0.25">
      <c r="D17174" s="28"/>
      <c r="F17174" s="28"/>
      <c r="H17174" s="28"/>
    </row>
    <row r="17175" spans="4:8" x14ac:dyDescent="0.25">
      <c r="D17175" s="28"/>
      <c r="F17175" s="28"/>
      <c r="H17175" s="28"/>
    </row>
    <row r="17176" spans="4:8" x14ac:dyDescent="0.25">
      <c r="D17176" s="28"/>
      <c r="F17176" s="28"/>
      <c r="H17176" s="28"/>
    </row>
    <row r="17177" spans="4:8" x14ac:dyDescent="0.25">
      <c r="D17177" s="28"/>
      <c r="F17177" s="28"/>
      <c r="H17177" s="28"/>
    </row>
    <row r="17178" spans="4:8" x14ac:dyDescent="0.25">
      <c r="D17178" s="28"/>
      <c r="F17178" s="28"/>
      <c r="H17178" s="28"/>
    </row>
    <row r="17179" spans="4:8" x14ac:dyDescent="0.25">
      <c r="D17179" s="28"/>
      <c r="F17179" s="28"/>
      <c r="H17179" s="28"/>
    </row>
    <row r="17180" spans="4:8" x14ac:dyDescent="0.25">
      <c r="D17180" s="28"/>
      <c r="F17180" s="28"/>
      <c r="H17180" s="28"/>
    </row>
    <row r="17181" spans="4:8" x14ac:dyDescent="0.25">
      <c r="D17181" s="28"/>
      <c r="F17181" s="28"/>
      <c r="H17181" s="28"/>
    </row>
    <row r="17182" spans="4:8" x14ac:dyDescent="0.25">
      <c r="D17182" s="28"/>
      <c r="F17182" s="28"/>
      <c r="H17182" s="28"/>
    </row>
    <row r="17183" spans="4:8" x14ac:dyDescent="0.25">
      <c r="D17183" s="28"/>
      <c r="F17183" s="28"/>
      <c r="H17183" s="28"/>
    </row>
    <row r="17184" spans="4:8" x14ac:dyDescent="0.25">
      <c r="D17184" s="28"/>
      <c r="F17184" s="28"/>
      <c r="H17184" s="28"/>
    </row>
    <row r="17185" spans="4:8" x14ac:dyDescent="0.25">
      <c r="D17185" s="28"/>
      <c r="F17185" s="28"/>
      <c r="H17185" s="28"/>
    </row>
    <row r="17186" spans="4:8" x14ac:dyDescent="0.25">
      <c r="D17186" s="28"/>
      <c r="F17186" s="28"/>
      <c r="H17186" s="28"/>
    </row>
    <row r="17187" spans="4:8" x14ac:dyDescent="0.25">
      <c r="D17187" s="28"/>
      <c r="F17187" s="28"/>
      <c r="H17187" s="28"/>
    </row>
    <row r="17188" spans="4:8" x14ac:dyDescent="0.25">
      <c r="D17188" s="28"/>
      <c r="F17188" s="28"/>
      <c r="H17188" s="28"/>
    </row>
    <row r="17189" spans="4:8" x14ac:dyDescent="0.25">
      <c r="D17189" s="28"/>
      <c r="F17189" s="28"/>
      <c r="H17189" s="28"/>
    </row>
    <row r="17190" spans="4:8" x14ac:dyDescent="0.25">
      <c r="D17190" s="28"/>
      <c r="F17190" s="28"/>
      <c r="H17190" s="28"/>
    </row>
    <row r="17191" spans="4:8" x14ac:dyDescent="0.25">
      <c r="D17191" s="28"/>
      <c r="F17191" s="28"/>
      <c r="H17191" s="28"/>
    </row>
    <row r="17192" spans="4:8" x14ac:dyDescent="0.25">
      <c r="D17192" s="28"/>
      <c r="F17192" s="28"/>
      <c r="H17192" s="28"/>
    </row>
    <row r="17193" spans="4:8" x14ac:dyDescent="0.25">
      <c r="D17193" s="28"/>
      <c r="F17193" s="28"/>
      <c r="H17193" s="28"/>
    </row>
    <row r="17194" spans="4:8" x14ac:dyDescent="0.25">
      <c r="D17194" s="28"/>
      <c r="F17194" s="28"/>
      <c r="H17194" s="28"/>
    </row>
    <row r="17195" spans="4:8" x14ac:dyDescent="0.25">
      <c r="D17195" s="28"/>
      <c r="F17195" s="28"/>
      <c r="H17195" s="28"/>
    </row>
    <row r="17196" spans="4:8" x14ac:dyDescent="0.25">
      <c r="D17196" s="28"/>
      <c r="F17196" s="28"/>
      <c r="H17196" s="28"/>
    </row>
    <row r="17197" spans="4:8" x14ac:dyDescent="0.25">
      <c r="D17197" s="28"/>
      <c r="F17197" s="28"/>
      <c r="H17197" s="28"/>
    </row>
    <row r="17198" spans="4:8" x14ac:dyDescent="0.25">
      <c r="D17198" s="28"/>
      <c r="F17198" s="28"/>
      <c r="H17198" s="28"/>
    </row>
    <row r="17199" spans="4:8" x14ac:dyDescent="0.25">
      <c r="D17199" s="28"/>
      <c r="F17199" s="28"/>
      <c r="H17199" s="28"/>
    </row>
    <row r="17200" spans="4:8" x14ac:dyDescent="0.25">
      <c r="D17200" s="28"/>
      <c r="F17200" s="28"/>
      <c r="H17200" s="28"/>
    </row>
    <row r="17201" spans="4:8" x14ac:dyDescent="0.25">
      <c r="D17201" s="28"/>
      <c r="F17201" s="28"/>
      <c r="H17201" s="28"/>
    </row>
    <row r="17202" spans="4:8" x14ac:dyDescent="0.25">
      <c r="D17202" s="28"/>
      <c r="F17202" s="28"/>
      <c r="H17202" s="28"/>
    </row>
    <row r="17203" spans="4:8" x14ac:dyDescent="0.25">
      <c r="D17203" s="28"/>
      <c r="F17203" s="28"/>
      <c r="H17203" s="28"/>
    </row>
    <row r="17204" spans="4:8" x14ac:dyDescent="0.25">
      <c r="D17204" s="28"/>
      <c r="F17204" s="28"/>
      <c r="H17204" s="28"/>
    </row>
    <row r="17205" spans="4:8" x14ac:dyDescent="0.25">
      <c r="D17205" s="28"/>
      <c r="F17205" s="28"/>
      <c r="H17205" s="28"/>
    </row>
    <row r="17206" spans="4:8" x14ac:dyDescent="0.25">
      <c r="D17206" s="28"/>
      <c r="F17206" s="28"/>
      <c r="H17206" s="28"/>
    </row>
    <row r="17207" spans="4:8" x14ac:dyDescent="0.25">
      <c r="D17207" s="28"/>
      <c r="F17207" s="28"/>
      <c r="H17207" s="28"/>
    </row>
    <row r="17208" spans="4:8" x14ac:dyDescent="0.25">
      <c r="D17208" s="28"/>
      <c r="F17208" s="28"/>
      <c r="H17208" s="28"/>
    </row>
    <row r="17209" spans="4:8" x14ac:dyDescent="0.25">
      <c r="D17209" s="28"/>
      <c r="F17209" s="28"/>
      <c r="H17209" s="28"/>
    </row>
    <row r="17210" spans="4:8" x14ac:dyDescent="0.25">
      <c r="D17210" s="28"/>
      <c r="F17210" s="28"/>
      <c r="H17210" s="28"/>
    </row>
    <row r="17211" spans="4:8" x14ac:dyDescent="0.25">
      <c r="D17211" s="28"/>
      <c r="F17211" s="28"/>
      <c r="H17211" s="28"/>
    </row>
    <row r="17212" spans="4:8" x14ac:dyDescent="0.25">
      <c r="D17212" s="28"/>
      <c r="F17212" s="28"/>
      <c r="H17212" s="28"/>
    </row>
    <row r="17213" spans="4:8" x14ac:dyDescent="0.25">
      <c r="D17213" s="28"/>
      <c r="F17213" s="28"/>
      <c r="H17213" s="28"/>
    </row>
    <row r="17214" spans="4:8" x14ac:dyDescent="0.25">
      <c r="D17214" s="28"/>
      <c r="F17214" s="28"/>
      <c r="H17214" s="28"/>
    </row>
    <row r="17215" spans="4:8" x14ac:dyDescent="0.25">
      <c r="D17215" s="28"/>
      <c r="F17215" s="28"/>
      <c r="H17215" s="28"/>
    </row>
    <row r="17216" spans="4:8" x14ac:dyDescent="0.25">
      <c r="D17216" s="28"/>
      <c r="F17216" s="28"/>
      <c r="H17216" s="28"/>
    </row>
    <row r="17217" spans="4:8" x14ac:dyDescent="0.25">
      <c r="D17217" s="28"/>
      <c r="F17217" s="28"/>
      <c r="H17217" s="28"/>
    </row>
    <row r="17218" spans="4:8" x14ac:dyDescent="0.25">
      <c r="D17218" s="28"/>
      <c r="F17218" s="28"/>
      <c r="H17218" s="28"/>
    </row>
    <row r="17219" spans="4:8" x14ac:dyDescent="0.25">
      <c r="D17219" s="28"/>
      <c r="F17219" s="28"/>
      <c r="H17219" s="28"/>
    </row>
    <row r="17220" spans="4:8" x14ac:dyDescent="0.25">
      <c r="D17220" s="28"/>
      <c r="F17220" s="28"/>
      <c r="H17220" s="28"/>
    </row>
    <row r="17221" spans="4:8" x14ac:dyDescent="0.25">
      <c r="D17221" s="28"/>
      <c r="F17221" s="28"/>
      <c r="H17221" s="28"/>
    </row>
    <row r="17222" spans="4:8" x14ac:dyDescent="0.25">
      <c r="D17222" s="28"/>
      <c r="F17222" s="28"/>
      <c r="H17222" s="28"/>
    </row>
    <row r="17223" spans="4:8" x14ac:dyDescent="0.25">
      <c r="D17223" s="28"/>
      <c r="F17223" s="28"/>
      <c r="H17223" s="28"/>
    </row>
    <row r="17224" spans="4:8" x14ac:dyDescent="0.25">
      <c r="D17224" s="28"/>
      <c r="F17224" s="28"/>
      <c r="H17224" s="28"/>
    </row>
    <row r="17225" spans="4:8" x14ac:dyDescent="0.25">
      <c r="D17225" s="28"/>
      <c r="F17225" s="28"/>
      <c r="H17225" s="28"/>
    </row>
    <row r="17226" spans="4:8" x14ac:dyDescent="0.25">
      <c r="D17226" s="28"/>
      <c r="F17226" s="28"/>
      <c r="H17226" s="28"/>
    </row>
    <row r="17227" spans="4:8" x14ac:dyDescent="0.25">
      <c r="D17227" s="28"/>
      <c r="F17227" s="28"/>
      <c r="H17227" s="28"/>
    </row>
    <row r="17228" spans="4:8" x14ac:dyDescent="0.25">
      <c r="D17228" s="28"/>
      <c r="F17228" s="28"/>
      <c r="H17228" s="28"/>
    </row>
    <row r="17229" spans="4:8" x14ac:dyDescent="0.25">
      <c r="D17229" s="28"/>
      <c r="F17229" s="28"/>
      <c r="H17229" s="28"/>
    </row>
    <row r="17230" spans="4:8" x14ac:dyDescent="0.25">
      <c r="D17230" s="28"/>
      <c r="F17230" s="28"/>
      <c r="H17230" s="28"/>
    </row>
    <row r="17231" spans="4:8" x14ac:dyDescent="0.25">
      <c r="D17231" s="28"/>
      <c r="F17231" s="28"/>
      <c r="H17231" s="28"/>
    </row>
    <row r="17232" spans="4:8" x14ac:dyDescent="0.25">
      <c r="D17232" s="28"/>
      <c r="F17232" s="28"/>
      <c r="H17232" s="28"/>
    </row>
    <row r="17233" spans="4:8" x14ac:dyDescent="0.25">
      <c r="D17233" s="28"/>
      <c r="F17233" s="28"/>
      <c r="H17233" s="28"/>
    </row>
    <row r="17234" spans="4:8" x14ac:dyDescent="0.25">
      <c r="D17234" s="28"/>
      <c r="F17234" s="28"/>
      <c r="H17234" s="28"/>
    </row>
    <row r="17235" spans="4:8" x14ac:dyDescent="0.25">
      <c r="D17235" s="28"/>
      <c r="F17235" s="28"/>
      <c r="H17235" s="28"/>
    </row>
    <row r="17236" spans="4:8" x14ac:dyDescent="0.25">
      <c r="D17236" s="28"/>
      <c r="F17236" s="28"/>
      <c r="H17236" s="28"/>
    </row>
    <row r="17237" spans="4:8" x14ac:dyDescent="0.25">
      <c r="D17237" s="28"/>
      <c r="F17237" s="28"/>
      <c r="H17237" s="28"/>
    </row>
    <row r="17238" spans="4:8" x14ac:dyDescent="0.25">
      <c r="D17238" s="28"/>
      <c r="F17238" s="28"/>
      <c r="H17238" s="28"/>
    </row>
    <row r="17239" spans="4:8" x14ac:dyDescent="0.25">
      <c r="D17239" s="28"/>
      <c r="F17239" s="28"/>
      <c r="H17239" s="28"/>
    </row>
    <row r="17240" spans="4:8" x14ac:dyDescent="0.25">
      <c r="D17240" s="28"/>
      <c r="F17240" s="28"/>
      <c r="H17240" s="28"/>
    </row>
    <row r="17241" spans="4:8" x14ac:dyDescent="0.25">
      <c r="D17241" s="28"/>
      <c r="F17241" s="28"/>
      <c r="H17241" s="28"/>
    </row>
    <row r="17242" spans="4:8" x14ac:dyDescent="0.25">
      <c r="D17242" s="28"/>
      <c r="F17242" s="28"/>
      <c r="H17242" s="28"/>
    </row>
    <row r="17243" spans="4:8" x14ac:dyDescent="0.25">
      <c r="D17243" s="28"/>
      <c r="F17243" s="28"/>
      <c r="H17243" s="28"/>
    </row>
    <row r="17244" spans="4:8" x14ac:dyDescent="0.25">
      <c r="D17244" s="28"/>
      <c r="F17244" s="28"/>
      <c r="H17244" s="28"/>
    </row>
    <row r="17245" spans="4:8" x14ac:dyDescent="0.25">
      <c r="D17245" s="28"/>
      <c r="F17245" s="28"/>
      <c r="H17245" s="28"/>
    </row>
    <row r="17246" spans="4:8" x14ac:dyDescent="0.25">
      <c r="D17246" s="28"/>
      <c r="F17246" s="28"/>
      <c r="H17246" s="28"/>
    </row>
    <row r="17247" spans="4:8" x14ac:dyDescent="0.25">
      <c r="D17247" s="28"/>
      <c r="F17247" s="28"/>
      <c r="H17247" s="28"/>
    </row>
    <row r="17248" spans="4:8" x14ac:dyDescent="0.25">
      <c r="D17248" s="28"/>
      <c r="F17248" s="28"/>
      <c r="H17248" s="28"/>
    </row>
    <row r="17249" spans="4:8" x14ac:dyDescent="0.25">
      <c r="D17249" s="28"/>
      <c r="F17249" s="28"/>
      <c r="H17249" s="28"/>
    </row>
    <row r="17250" spans="4:8" x14ac:dyDescent="0.25">
      <c r="D17250" s="28"/>
      <c r="F17250" s="28"/>
      <c r="H17250" s="28"/>
    </row>
    <row r="17251" spans="4:8" x14ac:dyDescent="0.25">
      <c r="D17251" s="28"/>
      <c r="F17251" s="28"/>
      <c r="H17251" s="28"/>
    </row>
    <row r="17252" spans="4:8" x14ac:dyDescent="0.25">
      <c r="D17252" s="28"/>
      <c r="F17252" s="28"/>
      <c r="H17252" s="28"/>
    </row>
    <row r="17253" spans="4:8" x14ac:dyDescent="0.25">
      <c r="D17253" s="28"/>
      <c r="F17253" s="28"/>
      <c r="H17253" s="28"/>
    </row>
    <row r="17254" spans="4:8" x14ac:dyDescent="0.25">
      <c r="D17254" s="28"/>
      <c r="F17254" s="28"/>
      <c r="H17254" s="28"/>
    </row>
    <row r="17255" spans="4:8" x14ac:dyDescent="0.25">
      <c r="D17255" s="28"/>
      <c r="F17255" s="28"/>
      <c r="H17255" s="28"/>
    </row>
    <row r="17256" spans="4:8" x14ac:dyDescent="0.25">
      <c r="D17256" s="28"/>
      <c r="F17256" s="28"/>
      <c r="H17256" s="28"/>
    </row>
    <row r="17257" spans="4:8" x14ac:dyDescent="0.25">
      <c r="D17257" s="28"/>
      <c r="F17257" s="28"/>
      <c r="H17257" s="28"/>
    </row>
    <row r="17258" spans="4:8" x14ac:dyDescent="0.25">
      <c r="D17258" s="28"/>
      <c r="F17258" s="28"/>
      <c r="H17258" s="28"/>
    </row>
    <row r="17259" spans="4:8" x14ac:dyDescent="0.25">
      <c r="D17259" s="28"/>
      <c r="F17259" s="28"/>
      <c r="H17259" s="28"/>
    </row>
    <row r="17260" spans="4:8" x14ac:dyDescent="0.25">
      <c r="D17260" s="28"/>
      <c r="F17260" s="28"/>
      <c r="H17260" s="28"/>
    </row>
    <row r="17261" spans="4:8" x14ac:dyDescent="0.25">
      <c r="D17261" s="28"/>
      <c r="F17261" s="28"/>
      <c r="H17261" s="28"/>
    </row>
    <row r="17262" spans="4:8" x14ac:dyDescent="0.25">
      <c r="D17262" s="28"/>
      <c r="F17262" s="28"/>
      <c r="H17262" s="28"/>
    </row>
    <row r="17263" spans="4:8" x14ac:dyDescent="0.25">
      <c r="D17263" s="28"/>
      <c r="F17263" s="28"/>
      <c r="H17263" s="28"/>
    </row>
    <row r="17264" spans="4:8" x14ac:dyDescent="0.25">
      <c r="D17264" s="28"/>
      <c r="F17264" s="28"/>
      <c r="H17264" s="28"/>
    </row>
    <row r="17265" spans="4:8" x14ac:dyDescent="0.25">
      <c r="D17265" s="28"/>
      <c r="F17265" s="28"/>
      <c r="H17265" s="28"/>
    </row>
    <row r="17266" spans="4:8" x14ac:dyDescent="0.25">
      <c r="D17266" s="28"/>
      <c r="F17266" s="28"/>
      <c r="H17266" s="28"/>
    </row>
    <row r="17267" spans="4:8" x14ac:dyDescent="0.25">
      <c r="D17267" s="28"/>
      <c r="F17267" s="28"/>
      <c r="H17267" s="28"/>
    </row>
    <row r="17268" spans="4:8" x14ac:dyDescent="0.25">
      <c r="D17268" s="28"/>
      <c r="F17268" s="28"/>
      <c r="H17268" s="28"/>
    </row>
    <row r="17269" spans="4:8" x14ac:dyDescent="0.25">
      <c r="D17269" s="28"/>
      <c r="F17269" s="28"/>
      <c r="H17269" s="28"/>
    </row>
    <row r="17270" spans="4:8" x14ac:dyDescent="0.25">
      <c r="D17270" s="28"/>
      <c r="F17270" s="28"/>
      <c r="H17270" s="28"/>
    </row>
    <row r="17271" spans="4:8" x14ac:dyDescent="0.25">
      <c r="D17271" s="28"/>
      <c r="F17271" s="28"/>
      <c r="H17271" s="28"/>
    </row>
    <row r="17272" spans="4:8" x14ac:dyDescent="0.25">
      <c r="D17272" s="28"/>
      <c r="F17272" s="28"/>
      <c r="H17272" s="28"/>
    </row>
    <row r="17273" spans="4:8" x14ac:dyDescent="0.25">
      <c r="D17273" s="28"/>
      <c r="F17273" s="28"/>
      <c r="H17273" s="28"/>
    </row>
    <row r="17274" spans="4:8" x14ac:dyDescent="0.25">
      <c r="D17274" s="28"/>
      <c r="F17274" s="28"/>
      <c r="H17274" s="28"/>
    </row>
    <row r="17275" spans="4:8" x14ac:dyDescent="0.25">
      <c r="D17275" s="28"/>
      <c r="F17275" s="28"/>
      <c r="H17275" s="28"/>
    </row>
    <row r="17276" spans="4:8" x14ac:dyDescent="0.25">
      <c r="D17276" s="28"/>
      <c r="F17276" s="28"/>
      <c r="H17276" s="28"/>
    </row>
    <row r="17277" spans="4:8" x14ac:dyDescent="0.25">
      <c r="D17277" s="28"/>
      <c r="F17277" s="28"/>
      <c r="H17277" s="28"/>
    </row>
    <row r="17278" spans="4:8" x14ac:dyDescent="0.25">
      <c r="D17278" s="28"/>
      <c r="F17278" s="28"/>
      <c r="H17278" s="28"/>
    </row>
    <row r="17279" spans="4:8" x14ac:dyDescent="0.25">
      <c r="D17279" s="28"/>
      <c r="F17279" s="28"/>
      <c r="H17279" s="28"/>
    </row>
    <row r="17280" spans="4:8" x14ac:dyDescent="0.25">
      <c r="D17280" s="28"/>
      <c r="F17280" s="28"/>
      <c r="H17280" s="28"/>
    </row>
    <row r="17281" spans="4:8" x14ac:dyDescent="0.25">
      <c r="D17281" s="28"/>
      <c r="F17281" s="28"/>
      <c r="H17281" s="28"/>
    </row>
    <row r="17282" spans="4:8" x14ac:dyDescent="0.25">
      <c r="D17282" s="28"/>
      <c r="F17282" s="28"/>
      <c r="H17282" s="28"/>
    </row>
    <row r="17283" spans="4:8" x14ac:dyDescent="0.25">
      <c r="D17283" s="28"/>
      <c r="F17283" s="28"/>
      <c r="H17283" s="28"/>
    </row>
    <row r="17284" spans="4:8" x14ac:dyDescent="0.25">
      <c r="D17284" s="28"/>
      <c r="F17284" s="28"/>
      <c r="H17284" s="28"/>
    </row>
    <row r="17285" spans="4:8" x14ac:dyDescent="0.25">
      <c r="D17285" s="28"/>
      <c r="F17285" s="28"/>
      <c r="H17285" s="28"/>
    </row>
    <row r="17286" spans="4:8" x14ac:dyDescent="0.25">
      <c r="D17286" s="28"/>
      <c r="F17286" s="28"/>
      <c r="H17286" s="28"/>
    </row>
    <row r="17287" spans="4:8" x14ac:dyDescent="0.25">
      <c r="D17287" s="28"/>
      <c r="F17287" s="28"/>
      <c r="H17287" s="28"/>
    </row>
    <row r="17288" spans="4:8" x14ac:dyDescent="0.25">
      <c r="D17288" s="28"/>
      <c r="F17288" s="28"/>
      <c r="H17288" s="28"/>
    </row>
    <row r="17289" spans="4:8" x14ac:dyDescent="0.25">
      <c r="D17289" s="28"/>
      <c r="F17289" s="28"/>
      <c r="H17289" s="28"/>
    </row>
    <row r="17290" spans="4:8" x14ac:dyDescent="0.25">
      <c r="D17290" s="28"/>
      <c r="F17290" s="28"/>
      <c r="H17290" s="28"/>
    </row>
    <row r="17291" spans="4:8" x14ac:dyDescent="0.25">
      <c r="D17291" s="28"/>
      <c r="F17291" s="28"/>
      <c r="H17291" s="28"/>
    </row>
    <row r="17292" spans="4:8" x14ac:dyDescent="0.25">
      <c r="D17292" s="28"/>
      <c r="F17292" s="28"/>
      <c r="H17292" s="28"/>
    </row>
    <row r="17293" spans="4:8" x14ac:dyDescent="0.25">
      <c r="D17293" s="28"/>
      <c r="F17293" s="28"/>
      <c r="H17293" s="28"/>
    </row>
    <row r="17294" spans="4:8" x14ac:dyDescent="0.25">
      <c r="D17294" s="28"/>
      <c r="F17294" s="28"/>
      <c r="H17294" s="28"/>
    </row>
    <row r="17295" spans="4:8" x14ac:dyDescent="0.25">
      <c r="D17295" s="28"/>
      <c r="F17295" s="28"/>
      <c r="H17295" s="28"/>
    </row>
    <row r="17296" spans="4:8" x14ac:dyDescent="0.25">
      <c r="D17296" s="28"/>
      <c r="F17296" s="28"/>
      <c r="H17296" s="28"/>
    </row>
    <row r="17297" spans="4:8" x14ac:dyDescent="0.25">
      <c r="D17297" s="28"/>
      <c r="F17297" s="28"/>
      <c r="H17297" s="28"/>
    </row>
    <row r="17298" spans="4:8" x14ac:dyDescent="0.25">
      <c r="D17298" s="28"/>
      <c r="F17298" s="28"/>
      <c r="H17298" s="28"/>
    </row>
    <row r="17299" spans="4:8" x14ac:dyDescent="0.25">
      <c r="D17299" s="28"/>
      <c r="F17299" s="28"/>
      <c r="H17299" s="28"/>
    </row>
    <row r="17300" spans="4:8" x14ac:dyDescent="0.25">
      <c r="D17300" s="28"/>
      <c r="F17300" s="28"/>
      <c r="H17300" s="28"/>
    </row>
    <row r="17301" spans="4:8" x14ac:dyDescent="0.25">
      <c r="D17301" s="28"/>
      <c r="F17301" s="28"/>
      <c r="H17301" s="28"/>
    </row>
    <row r="17302" spans="4:8" x14ac:dyDescent="0.25">
      <c r="D17302" s="28"/>
      <c r="F17302" s="28"/>
      <c r="H17302" s="28"/>
    </row>
    <row r="17303" spans="4:8" x14ac:dyDescent="0.25">
      <c r="D17303" s="28"/>
      <c r="F17303" s="28"/>
      <c r="H17303" s="28"/>
    </row>
    <row r="17304" spans="4:8" x14ac:dyDescent="0.25">
      <c r="D17304" s="28"/>
      <c r="F17304" s="28"/>
      <c r="H17304" s="28"/>
    </row>
    <row r="17305" spans="4:8" x14ac:dyDescent="0.25">
      <c r="D17305" s="28"/>
      <c r="F17305" s="28"/>
      <c r="H17305" s="28"/>
    </row>
    <row r="17306" spans="4:8" x14ac:dyDescent="0.25">
      <c r="D17306" s="28"/>
      <c r="F17306" s="28"/>
      <c r="H17306" s="28"/>
    </row>
    <row r="17307" spans="4:8" x14ac:dyDescent="0.25">
      <c r="D17307" s="28"/>
      <c r="F17307" s="28"/>
      <c r="H17307" s="28"/>
    </row>
    <row r="17308" spans="4:8" x14ac:dyDescent="0.25">
      <c r="D17308" s="28"/>
      <c r="F17308" s="28"/>
      <c r="H17308" s="28"/>
    </row>
    <row r="17309" spans="4:8" x14ac:dyDescent="0.25">
      <c r="D17309" s="28"/>
      <c r="F17309" s="28"/>
      <c r="H17309" s="28"/>
    </row>
    <row r="17310" spans="4:8" x14ac:dyDescent="0.25">
      <c r="D17310" s="28"/>
      <c r="F17310" s="28"/>
      <c r="H17310" s="28"/>
    </row>
    <row r="17311" spans="4:8" x14ac:dyDescent="0.25">
      <c r="D17311" s="28"/>
      <c r="F17311" s="28"/>
      <c r="H17311" s="28"/>
    </row>
    <row r="17312" spans="4:8" x14ac:dyDescent="0.25">
      <c r="D17312" s="28"/>
      <c r="F17312" s="28"/>
      <c r="H17312" s="28"/>
    </row>
    <row r="17313" spans="4:8" x14ac:dyDescent="0.25">
      <c r="D17313" s="28"/>
      <c r="F17313" s="28"/>
      <c r="H17313" s="28"/>
    </row>
    <row r="17314" spans="4:8" x14ac:dyDescent="0.25">
      <c r="D17314" s="28"/>
      <c r="F17314" s="28"/>
      <c r="H17314" s="28"/>
    </row>
    <row r="17315" spans="4:8" x14ac:dyDescent="0.25">
      <c r="D17315" s="28"/>
      <c r="F17315" s="28"/>
      <c r="H17315" s="28"/>
    </row>
    <row r="17316" spans="4:8" x14ac:dyDescent="0.25">
      <c r="D17316" s="28"/>
      <c r="F17316" s="28"/>
      <c r="H17316" s="28"/>
    </row>
    <row r="17317" spans="4:8" x14ac:dyDescent="0.25">
      <c r="D17317" s="28"/>
      <c r="F17317" s="28"/>
      <c r="H17317" s="28"/>
    </row>
    <row r="17318" spans="4:8" x14ac:dyDescent="0.25">
      <c r="D17318" s="28"/>
      <c r="F17318" s="28"/>
      <c r="H17318" s="28"/>
    </row>
    <row r="17319" spans="4:8" x14ac:dyDescent="0.25">
      <c r="D17319" s="28"/>
      <c r="F17319" s="28"/>
      <c r="H17319" s="28"/>
    </row>
    <row r="17320" spans="4:8" x14ac:dyDescent="0.25">
      <c r="D17320" s="28"/>
      <c r="F17320" s="28"/>
      <c r="H17320" s="28"/>
    </row>
    <row r="17321" spans="4:8" x14ac:dyDescent="0.25">
      <c r="D17321" s="28"/>
      <c r="F17321" s="28"/>
      <c r="H17321" s="28"/>
    </row>
    <row r="17322" spans="4:8" x14ac:dyDescent="0.25">
      <c r="D17322" s="28"/>
      <c r="F17322" s="28"/>
      <c r="H17322" s="28"/>
    </row>
    <row r="17323" spans="4:8" x14ac:dyDescent="0.25">
      <c r="D17323" s="28"/>
      <c r="F17323" s="28"/>
      <c r="H17323" s="28"/>
    </row>
    <row r="17324" spans="4:8" x14ac:dyDescent="0.25">
      <c r="D17324" s="28"/>
      <c r="F17324" s="28"/>
      <c r="H17324" s="28"/>
    </row>
    <row r="17325" spans="4:8" x14ac:dyDescent="0.25">
      <c r="D17325" s="28"/>
      <c r="F17325" s="28"/>
      <c r="H17325" s="28"/>
    </row>
    <row r="17326" spans="4:8" x14ac:dyDescent="0.25">
      <c r="D17326" s="28"/>
      <c r="F17326" s="28"/>
      <c r="H17326" s="28"/>
    </row>
    <row r="17327" spans="4:8" x14ac:dyDescent="0.25">
      <c r="D17327" s="28"/>
      <c r="F17327" s="28"/>
      <c r="H17327" s="28"/>
    </row>
    <row r="17328" spans="4:8" x14ac:dyDescent="0.25">
      <c r="D17328" s="28"/>
      <c r="F17328" s="28"/>
      <c r="H17328" s="28"/>
    </row>
    <row r="17329" spans="4:8" x14ac:dyDescent="0.25">
      <c r="D17329" s="28"/>
      <c r="F17329" s="28"/>
      <c r="H17329" s="28"/>
    </row>
    <row r="17330" spans="4:8" x14ac:dyDescent="0.25">
      <c r="D17330" s="28"/>
      <c r="F17330" s="28"/>
      <c r="H17330" s="28"/>
    </row>
    <row r="17331" spans="4:8" x14ac:dyDescent="0.25">
      <c r="D17331" s="28"/>
      <c r="F17331" s="28"/>
      <c r="H17331" s="28"/>
    </row>
    <row r="17332" spans="4:8" x14ac:dyDescent="0.25">
      <c r="D17332" s="28"/>
      <c r="F17332" s="28"/>
      <c r="H17332" s="28"/>
    </row>
    <row r="17333" spans="4:8" x14ac:dyDescent="0.25">
      <c r="D17333" s="28"/>
      <c r="F17333" s="28"/>
      <c r="H17333" s="28"/>
    </row>
    <row r="17334" spans="4:8" x14ac:dyDescent="0.25">
      <c r="D17334" s="28"/>
      <c r="F17334" s="28"/>
      <c r="H17334" s="28"/>
    </row>
    <row r="17335" spans="4:8" x14ac:dyDescent="0.25">
      <c r="D17335" s="28"/>
      <c r="F17335" s="28"/>
      <c r="H17335" s="28"/>
    </row>
    <row r="17336" spans="4:8" x14ac:dyDescent="0.25">
      <c r="D17336" s="28"/>
      <c r="F17336" s="28"/>
      <c r="H17336" s="28"/>
    </row>
    <row r="17337" spans="4:8" x14ac:dyDescent="0.25">
      <c r="D17337" s="28"/>
      <c r="F17337" s="28"/>
      <c r="H17337" s="28"/>
    </row>
    <row r="17338" spans="4:8" x14ac:dyDescent="0.25">
      <c r="D17338" s="28"/>
      <c r="F17338" s="28"/>
      <c r="H17338" s="28"/>
    </row>
    <row r="17339" spans="4:8" x14ac:dyDescent="0.25">
      <c r="D17339" s="28"/>
      <c r="F17339" s="28"/>
      <c r="H17339" s="28"/>
    </row>
    <row r="17340" spans="4:8" x14ac:dyDescent="0.25">
      <c r="D17340" s="28"/>
      <c r="F17340" s="28"/>
      <c r="H17340" s="28"/>
    </row>
    <row r="17341" spans="4:8" x14ac:dyDescent="0.25">
      <c r="D17341" s="28"/>
      <c r="F17341" s="28"/>
      <c r="H17341" s="28"/>
    </row>
    <row r="17342" spans="4:8" x14ac:dyDescent="0.25">
      <c r="D17342" s="28"/>
      <c r="F17342" s="28"/>
      <c r="H17342" s="28"/>
    </row>
    <row r="17343" spans="4:8" x14ac:dyDescent="0.25">
      <c r="D17343" s="28"/>
      <c r="F17343" s="28"/>
      <c r="H17343" s="28"/>
    </row>
    <row r="17344" spans="4:8" x14ac:dyDescent="0.25">
      <c r="D17344" s="28"/>
      <c r="F17344" s="28"/>
      <c r="H17344" s="28"/>
    </row>
    <row r="17345" spans="4:8" x14ac:dyDescent="0.25">
      <c r="D17345" s="28"/>
      <c r="F17345" s="28"/>
      <c r="H17345" s="28"/>
    </row>
    <row r="17346" spans="4:8" x14ac:dyDescent="0.25">
      <c r="D17346" s="28"/>
      <c r="F17346" s="28"/>
      <c r="H17346" s="28"/>
    </row>
    <row r="17347" spans="4:8" x14ac:dyDescent="0.25">
      <c r="D17347" s="28"/>
      <c r="F17347" s="28"/>
      <c r="H17347" s="28"/>
    </row>
    <row r="17348" spans="4:8" x14ac:dyDescent="0.25">
      <c r="D17348" s="28"/>
      <c r="F17348" s="28"/>
      <c r="H17348" s="28"/>
    </row>
    <row r="17349" spans="4:8" x14ac:dyDescent="0.25">
      <c r="D17349" s="28"/>
      <c r="F17349" s="28"/>
      <c r="H17349" s="28"/>
    </row>
    <row r="17350" spans="4:8" x14ac:dyDescent="0.25">
      <c r="D17350" s="28"/>
      <c r="F17350" s="28"/>
      <c r="H17350" s="28"/>
    </row>
    <row r="17351" spans="4:8" x14ac:dyDescent="0.25">
      <c r="D17351" s="28"/>
      <c r="F17351" s="28"/>
      <c r="H17351" s="28"/>
    </row>
    <row r="17352" spans="4:8" x14ac:dyDescent="0.25">
      <c r="D17352" s="28"/>
      <c r="F17352" s="28"/>
      <c r="H17352" s="28"/>
    </row>
    <row r="17353" spans="4:8" x14ac:dyDescent="0.25">
      <c r="D17353" s="28"/>
      <c r="F17353" s="28"/>
      <c r="H17353" s="28"/>
    </row>
    <row r="17354" spans="4:8" x14ac:dyDescent="0.25">
      <c r="D17354" s="28"/>
      <c r="F17354" s="28"/>
      <c r="H17354" s="28"/>
    </row>
    <row r="17355" spans="4:8" x14ac:dyDescent="0.25">
      <c r="D17355" s="28"/>
      <c r="F17355" s="28"/>
      <c r="H17355" s="28"/>
    </row>
    <row r="17356" spans="4:8" x14ac:dyDescent="0.25">
      <c r="D17356" s="28"/>
      <c r="F17356" s="28"/>
      <c r="H17356" s="28"/>
    </row>
    <row r="17357" spans="4:8" x14ac:dyDescent="0.25">
      <c r="D17357" s="28"/>
      <c r="F17357" s="28"/>
      <c r="H17357" s="28"/>
    </row>
    <row r="17358" spans="4:8" x14ac:dyDescent="0.25">
      <c r="D17358" s="28"/>
      <c r="F17358" s="28"/>
      <c r="H17358" s="28"/>
    </row>
    <row r="17359" spans="4:8" x14ac:dyDescent="0.25">
      <c r="D17359" s="28"/>
      <c r="F17359" s="28"/>
      <c r="H17359" s="28"/>
    </row>
    <row r="17360" spans="4:8" x14ac:dyDescent="0.25">
      <c r="D17360" s="28"/>
      <c r="F17360" s="28"/>
      <c r="H17360" s="28"/>
    </row>
    <row r="17361" spans="4:8" x14ac:dyDescent="0.25">
      <c r="D17361" s="28"/>
      <c r="F17361" s="28"/>
      <c r="H17361" s="28"/>
    </row>
    <row r="17362" spans="4:8" x14ac:dyDescent="0.25">
      <c r="D17362" s="28"/>
      <c r="F17362" s="28"/>
      <c r="H17362" s="28"/>
    </row>
    <row r="17363" spans="4:8" x14ac:dyDescent="0.25">
      <c r="D17363" s="28"/>
      <c r="F17363" s="28"/>
      <c r="H17363" s="28"/>
    </row>
    <row r="17364" spans="4:8" x14ac:dyDescent="0.25">
      <c r="D17364" s="28"/>
      <c r="F17364" s="28"/>
      <c r="H17364" s="28"/>
    </row>
    <row r="17365" spans="4:8" x14ac:dyDescent="0.25">
      <c r="D17365" s="28"/>
      <c r="F17365" s="28"/>
      <c r="H17365" s="28"/>
    </row>
    <row r="17366" spans="4:8" x14ac:dyDescent="0.25">
      <c r="D17366" s="28"/>
      <c r="F17366" s="28"/>
      <c r="H17366" s="28"/>
    </row>
    <row r="17367" spans="4:8" x14ac:dyDescent="0.25">
      <c r="D17367" s="28"/>
      <c r="F17367" s="28"/>
      <c r="H17367" s="28"/>
    </row>
    <row r="17368" spans="4:8" x14ac:dyDescent="0.25">
      <c r="D17368" s="28"/>
      <c r="F17368" s="28"/>
      <c r="H17368" s="28"/>
    </row>
    <row r="17369" spans="4:8" x14ac:dyDescent="0.25">
      <c r="D17369" s="28"/>
      <c r="F17369" s="28"/>
      <c r="H17369" s="28"/>
    </row>
    <row r="17370" spans="4:8" x14ac:dyDescent="0.25">
      <c r="D17370" s="28"/>
      <c r="F17370" s="28"/>
      <c r="H17370" s="28"/>
    </row>
    <row r="17371" spans="4:8" x14ac:dyDescent="0.25">
      <c r="D17371" s="28"/>
      <c r="F17371" s="28"/>
      <c r="H17371" s="28"/>
    </row>
    <row r="17372" spans="4:8" x14ac:dyDescent="0.25">
      <c r="D17372" s="28"/>
      <c r="F17372" s="28"/>
      <c r="H17372" s="28"/>
    </row>
    <row r="17373" spans="4:8" x14ac:dyDescent="0.25">
      <c r="D17373" s="28"/>
      <c r="F17373" s="28"/>
      <c r="H17373" s="28"/>
    </row>
    <row r="17374" spans="4:8" x14ac:dyDescent="0.25">
      <c r="D17374" s="28"/>
      <c r="F17374" s="28"/>
      <c r="H17374" s="28"/>
    </row>
    <row r="17375" spans="4:8" x14ac:dyDescent="0.25">
      <c r="D17375" s="28"/>
      <c r="F17375" s="28"/>
      <c r="H17375" s="28"/>
    </row>
    <row r="17376" spans="4:8" x14ac:dyDescent="0.25">
      <c r="D17376" s="28"/>
      <c r="F17376" s="28"/>
      <c r="H17376" s="28"/>
    </row>
    <row r="17377" spans="4:8" x14ac:dyDescent="0.25">
      <c r="D17377" s="28"/>
      <c r="F17377" s="28"/>
      <c r="H17377" s="28"/>
    </row>
    <row r="17378" spans="4:8" x14ac:dyDescent="0.25">
      <c r="D17378" s="28"/>
      <c r="F17378" s="28"/>
      <c r="H17378" s="28"/>
    </row>
    <row r="17379" spans="4:8" x14ac:dyDescent="0.25">
      <c r="D17379" s="28"/>
      <c r="F17379" s="28"/>
      <c r="H17379" s="28"/>
    </row>
    <row r="17380" spans="4:8" x14ac:dyDescent="0.25">
      <c r="D17380" s="28"/>
      <c r="F17380" s="28"/>
      <c r="H17380" s="28"/>
    </row>
    <row r="17381" spans="4:8" x14ac:dyDescent="0.25">
      <c r="D17381" s="28"/>
      <c r="F17381" s="28"/>
      <c r="H17381" s="28"/>
    </row>
    <row r="17382" spans="4:8" x14ac:dyDescent="0.25">
      <c r="D17382" s="28"/>
      <c r="F17382" s="28"/>
      <c r="H17382" s="28"/>
    </row>
    <row r="17383" spans="4:8" x14ac:dyDescent="0.25">
      <c r="D17383" s="28"/>
      <c r="F17383" s="28"/>
      <c r="H17383" s="28"/>
    </row>
    <row r="17384" spans="4:8" x14ac:dyDescent="0.25">
      <c r="D17384" s="28"/>
      <c r="F17384" s="28"/>
      <c r="H17384" s="28"/>
    </row>
    <row r="17385" spans="4:8" x14ac:dyDescent="0.25">
      <c r="D17385" s="28"/>
      <c r="F17385" s="28"/>
      <c r="H17385" s="28"/>
    </row>
    <row r="17386" spans="4:8" x14ac:dyDescent="0.25">
      <c r="D17386" s="28"/>
      <c r="F17386" s="28"/>
      <c r="H17386" s="28"/>
    </row>
    <row r="17387" spans="4:8" x14ac:dyDescent="0.25">
      <c r="D17387" s="28"/>
      <c r="F17387" s="28"/>
      <c r="H17387" s="28"/>
    </row>
    <row r="17388" spans="4:8" x14ac:dyDescent="0.25">
      <c r="D17388" s="28"/>
      <c r="F17388" s="28"/>
      <c r="H17388" s="28"/>
    </row>
    <row r="17389" spans="4:8" x14ac:dyDescent="0.25">
      <c r="D17389" s="28"/>
      <c r="F17389" s="28"/>
      <c r="H17389" s="28"/>
    </row>
    <row r="17390" spans="4:8" x14ac:dyDescent="0.25">
      <c r="D17390" s="28"/>
      <c r="F17390" s="28"/>
      <c r="H17390" s="28"/>
    </row>
    <row r="17391" spans="4:8" x14ac:dyDescent="0.25">
      <c r="D17391" s="28"/>
      <c r="F17391" s="28"/>
      <c r="H17391" s="28"/>
    </row>
    <row r="17392" spans="4:8" x14ac:dyDescent="0.25">
      <c r="D17392" s="28"/>
      <c r="F17392" s="28"/>
      <c r="H17392" s="28"/>
    </row>
    <row r="17393" spans="4:8" x14ac:dyDescent="0.25">
      <c r="D17393" s="28"/>
      <c r="F17393" s="28"/>
      <c r="H17393" s="28"/>
    </row>
    <row r="17394" spans="4:8" x14ac:dyDescent="0.25">
      <c r="D17394" s="28"/>
      <c r="F17394" s="28"/>
      <c r="H17394" s="28"/>
    </row>
    <row r="17395" spans="4:8" x14ac:dyDescent="0.25">
      <c r="D17395" s="28"/>
      <c r="F17395" s="28"/>
      <c r="H17395" s="28"/>
    </row>
    <row r="17396" spans="4:8" x14ac:dyDescent="0.25">
      <c r="D17396" s="28"/>
      <c r="F17396" s="28"/>
      <c r="H17396" s="28"/>
    </row>
    <row r="17397" spans="4:8" x14ac:dyDescent="0.25">
      <c r="D17397" s="28"/>
      <c r="F17397" s="28"/>
      <c r="H17397" s="28"/>
    </row>
    <row r="17398" spans="4:8" x14ac:dyDescent="0.25">
      <c r="D17398" s="28"/>
      <c r="F17398" s="28"/>
      <c r="H17398" s="28"/>
    </row>
    <row r="17399" spans="4:8" x14ac:dyDescent="0.25">
      <c r="D17399" s="28"/>
      <c r="F17399" s="28"/>
      <c r="H17399" s="28"/>
    </row>
    <row r="17400" spans="4:8" x14ac:dyDescent="0.25">
      <c r="D17400" s="28"/>
      <c r="F17400" s="28"/>
      <c r="H17400" s="28"/>
    </row>
    <row r="17401" spans="4:8" x14ac:dyDescent="0.25">
      <c r="D17401" s="28"/>
      <c r="F17401" s="28"/>
      <c r="H17401" s="28"/>
    </row>
    <row r="17402" spans="4:8" x14ac:dyDescent="0.25">
      <c r="D17402" s="28"/>
      <c r="F17402" s="28"/>
      <c r="H17402" s="28"/>
    </row>
    <row r="17403" spans="4:8" x14ac:dyDescent="0.25">
      <c r="D17403" s="28"/>
      <c r="F17403" s="28"/>
      <c r="H17403" s="28"/>
    </row>
    <row r="17404" spans="4:8" x14ac:dyDescent="0.25">
      <c r="D17404" s="28"/>
      <c r="F17404" s="28"/>
      <c r="H17404" s="28"/>
    </row>
    <row r="17405" spans="4:8" x14ac:dyDescent="0.25">
      <c r="D17405" s="28"/>
      <c r="F17405" s="28"/>
      <c r="H17405" s="28"/>
    </row>
    <row r="17406" spans="4:8" x14ac:dyDescent="0.25">
      <c r="D17406" s="28"/>
      <c r="F17406" s="28"/>
      <c r="H17406" s="28"/>
    </row>
    <row r="17407" spans="4:8" x14ac:dyDescent="0.25">
      <c r="D17407" s="28"/>
      <c r="F17407" s="28"/>
      <c r="H17407" s="28"/>
    </row>
    <row r="17408" spans="4:8" x14ac:dyDescent="0.25">
      <c r="D17408" s="28"/>
      <c r="F17408" s="28"/>
      <c r="H17408" s="28"/>
    </row>
    <row r="17409" spans="4:8" x14ac:dyDescent="0.25">
      <c r="D17409" s="28"/>
      <c r="F17409" s="28"/>
      <c r="H17409" s="28"/>
    </row>
    <row r="17410" spans="4:8" x14ac:dyDescent="0.25">
      <c r="D17410" s="28"/>
      <c r="F17410" s="28"/>
      <c r="H17410" s="28"/>
    </row>
    <row r="17411" spans="4:8" x14ac:dyDescent="0.25">
      <c r="D17411" s="28"/>
      <c r="F17411" s="28"/>
      <c r="H17411" s="28"/>
    </row>
    <row r="17412" spans="4:8" x14ac:dyDescent="0.25">
      <c r="D17412" s="28"/>
      <c r="F17412" s="28"/>
      <c r="H17412" s="28"/>
    </row>
    <row r="17413" spans="4:8" x14ac:dyDescent="0.25">
      <c r="D17413" s="28"/>
      <c r="F17413" s="28"/>
      <c r="H17413" s="28"/>
    </row>
    <row r="17414" spans="4:8" x14ac:dyDescent="0.25">
      <c r="D17414" s="28"/>
      <c r="F17414" s="28"/>
      <c r="H17414" s="28"/>
    </row>
    <row r="17415" spans="4:8" x14ac:dyDescent="0.25">
      <c r="D17415" s="28"/>
      <c r="F17415" s="28"/>
      <c r="H17415" s="28"/>
    </row>
    <row r="17416" spans="4:8" x14ac:dyDescent="0.25">
      <c r="D17416" s="28"/>
      <c r="F17416" s="28"/>
      <c r="H17416" s="28"/>
    </row>
    <row r="17417" spans="4:8" x14ac:dyDescent="0.25">
      <c r="D17417" s="28"/>
      <c r="F17417" s="28"/>
      <c r="H17417" s="28"/>
    </row>
    <row r="17418" spans="4:8" x14ac:dyDescent="0.25">
      <c r="D17418" s="28"/>
      <c r="F17418" s="28"/>
      <c r="H17418" s="28"/>
    </row>
    <row r="17419" spans="4:8" x14ac:dyDescent="0.25">
      <c r="D17419" s="28"/>
      <c r="F17419" s="28"/>
      <c r="H17419" s="28"/>
    </row>
    <row r="17420" spans="4:8" x14ac:dyDescent="0.25">
      <c r="D17420" s="28"/>
      <c r="F17420" s="28"/>
      <c r="H17420" s="28"/>
    </row>
    <row r="17421" spans="4:8" x14ac:dyDescent="0.25">
      <c r="D17421" s="28"/>
      <c r="F17421" s="28"/>
      <c r="H17421" s="28"/>
    </row>
    <row r="17422" spans="4:8" x14ac:dyDescent="0.25">
      <c r="D17422" s="28"/>
      <c r="F17422" s="28"/>
      <c r="H17422" s="28"/>
    </row>
    <row r="17423" spans="4:8" x14ac:dyDescent="0.25">
      <c r="D17423" s="28"/>
      <c r="F17423" s="28"/>
      <c r="H17423" s="28"/>
    </row>
    <row r="17424" spans="4:8" x14ac:dyDescent="0.25">
      <c r="D17424" s="28"/>
      <c r="F17424" s="28"/>
      <c r="H17424" s="28"/>
    </row>
    <row r="17425" spans="4:8" x14ac:dyDescent="0.25">
      <c r="D17425" s="28"/>
      <c r="F17425" s="28"/>
      <c r="H17425" s="28"/>
    </row>
    <row r="17426" spans="4:8" x14ac:dyDescent="0.25">
      <c r="D17426" s="28"/>
      <c r="F17426" s="28"/>
      <c r="H17426" s="28"/>
    </row>
    <row r="17427" spans="4:8" x14ac:dyDescent="0.25">
      <c r="D17427" s="28"/>
      <c r="F17427" s="28"/>
      <c r="H17427" s="28"/>
    </row>
    <row r="17428" spans="4:8" x14ac:dyDescent="0.25">
      <c r="D17428" s="28"/>
      <c r="F17428" s="28"/>
      <c r="H17428" s="28"/>
    </row>
    <row r="17429" spans="4:8" x14ac:dyDescent="0.25">
      <c r="D17429" s="28"/>
      <c r="F17429" s="28"/>
      <c r="H17429" s="28"/>
    </row>
    <row r="17430" spans="4:8" x14ac:dyDescent="0.25">
      <c r="D17430" s="28"/>
      <c r="F17430" s="28"/>
      <c r="H17430" s="28"/>
    </row>
    <row r="17431" spans="4:8" x14ac:dyDescent="0.25">
      <c r="D17431" s="28"/>
      <c r="F17431" s="28"/>
      <c r="H17431" s="28"/>
    </row>
    <row r="17432" spans="4:8" x14ac:dyDescent="0.25">
      <c r="D17432" s="28"/>
      <c r="F17432" s="28"/>
      <c r="H17432" s="28"/>
    </row>
    <row r="17433" spans="4:8" x14ac:dyDescent="0.25">
      <c r="D17433" s="28"/>
      <c r="F17433" s="28"/>
      <c r="H17433" s="28"/>
    </row>
    <row r="17434" spans="4:8" x14ac:dyDescent="0.25">
      <c r="D17434" s="28"/>
      <c r="F17434" s="28"/>
      <c r="H17434" s="28"/>
    </row>
    <row r="17435" spans="4:8" x14ac:dyDescent="0.25">
      <c r="D17435" s="28"/>
      <c r="F17435" s="28"/>
      <c r="H17435" s="28"/>
    </row>
    <row r="17436" spans="4:8" x14ac:dyDescent="0.25">
      <c r="D17436" s="28"/>
      <c r="F17436" s="28"/>
      <c r="H17436" s="28"/>
    </row>
    <row r="17437" spans="4:8" x14ac:dyDescent="0.25">
      <c r="D17437" s="28"/>
      <c r="F17437" s="28"/>
      <c r="H17437" s="28"/>
    </row>
    <row r="17438" spans="4:8" x14ac:dyDescent="0.25">
      <c r="D17438" s="28"/>
      <c r="F17438" s="28"/>
      <c r="H17438" s="28"/>
    </row>
    <row r="17439" spans="4:8" x14ac:dyDescent="0.25">
      <c r="D17439" s="28"/>
      <c r="F17439" s="28"/>
      <c r="H17439" s="28"/>
    </row>
    <row r="17440" spans="4:8" x14ac:dyDescent="0.25">
      <c r="D17440" s="28"/>
      <c r="F17440" s="28"/>
      <c r="H17440" s="28"/>
    </row>
    <row r="17441" spans="4:8" x14ac:dyDescent="0.25">
      <c r="D17441" s="28"/>
      <c r="F17441" s="28"/>
      <c r="H17441" s="28"/>
    </row>
    <row r="17442" spans="4:8" x14ac:dyDescent="0.25">
      <c r="D17442" s="28"/>
      <c r="F17442" s="28"/>
      <c r="H17442" s="28"/>
    </row>
    <row r="17443" spans="4:8" x14ac:dyDescent="0.25">
      <c r="D17443" s="28"/>
      <c r="F17443" s="28"/>
      <c r="H17443" s="28"/>
    </row>
    <row r="17444" spans="4:8" x14ac:dyDescent="0.25">
      <c r="D17444" s="28"/>
      <c r="F17444" s="28"/>
      <c r="H17444" s="28"/>
    </row>
    <row r="17445" spans="4:8" x14ac:dyDescent="0.25">
      <c r="D17445" s="28"/>
      <c r="F17445" s="28"/>
      <c r="H17445" s="28"/>
    </row>
    <row r="17446" spans="4:8" x14ac:dyDescent="0.25">
      <c r="D17446" s="28"/>
      <c r="F17446" s="28"/>
      <c r="H17446" s="28"/>
    </row>
    <row r="17447" spans="4:8" x14ac:dyDescent="0.25">
      <c r="D17447" s="28"/>
      <c r="F17447" s="28"/>
      <c r="H17447" s="28"/>
    </row>
    <row r="17448" spans="4:8" x14ac:dyDescent="0.25">
      <c r="D17448" s="28"/>
      <c r="F17448" s="28"/>
      <c r="H17448" s="28"/>
    </row>
    <row r="17449" spans="4:8" x14ac:dyDescent="0.25">
      <c r="D17449" s="28"/>
      <c r="F17449" s="28"/>
      <c r="H17449" s="28"/>
    </row>
    <row r="17450" spans="4:8" x14ac:dyDescent="0.25">
      <c r="D17450" s="28"/>
      <c r="F17450" s="28"/>
      <c r="H17450" s="28"/>
    </row>
    <row r="17451" spans="4:8" x14ac:dyDescent="0.25">
      <c r="D17451" s="28"/>
      <c r="F17451" s="28"/>
      <c r="H17451" s="28"/>
    </row>
    <row r="17452" spans="4:8" x14ac:dyDescent="0.25">
      <c r="D17452" s="28"/>
      <c r="F17452" s="28"/>
      <c r="H17452" s="28"/>
    </row>
    <row r="17453" spans="4:8" x14ac:dyDescent="0.25">
      <c r="D17453" s="28"/>
      <c r="F17453" s="28"/>
      <c r="H17453" s="28"/>
    </row>
    <row r="17454" spans="4:8" x14ac:dyDescent="0.25">
      <c r="D17454" s="28"/>
      <c r="F17454" s="28"/>
      <c r="H17454" s="28"/>
    </row>
    <row r="17455" spans="4:8" x14ac:dyDescent="0.25">
      <c r="D17455" s="28"/>
      <c r="F17455" s="28"/>
      <c r="H17455" s="28"/>
    </row>
    <row r="17456" spans="4:8" x14ac:dyDescent="0.25">
      <c r="D17456" s="28"/>
      <c r="F17456" s="28"/>
      <c r="H17456" s="28"/>
    </row>
    <row r="17457" spans="4:8" x14ac:dyDescent="0.25">
      <c r="D17457" s="28"/>
      <c r="F17457" s="28"/>
      <c r="H17457" s="28"/>
    </row>
    <row r="17458" spans="4:8" x14ac:dyDescent="0.25">
      <c r="D17458" s="28"/>
      <c r="F17458" s="28"/>
      <c r="H17458" s="28"/>
    </row>
    <row r="17459" spans="4:8" x14ac:dyDescent="0.25">
      <c r="D17459" s="28"/>
      <c r="F17459" s="28"/>
      <c r="H17459" s="28"/>
    </row>
    <row r="17460" spans="4:8" x14ac:dyDescent="0.25">
      <c r="D17460" s="28"/>
      <c r="F17460" s="28"/>
      <c r="H17460" s="28"/>
    </row>
    <row r="17461" spans="4:8" x14ac:dyDescent="0.25">
      <c r="D17461" s="28"/>
      <c r="F17461" s="28"/>
      <c r="H17461" s="28"/>
    </row>
    <row r="17462" spans="4:8" x14ac:dyDescent="0.25">
      <c r="D17462" s="28"/>
      <c r="F17462" s="28"/>
      <c r="H17462" s="28"/>
    </row>
    <row r="17463" spans="4:8" x14ac:dyDescent="0.25">
      <c r="D17463" s="28"/>
      <c r="F17463" s="28"/>
      <c r="H17463" s="28"/>
    </row>
    <row r="17464" spans="4:8" x14ac:dyDescent="0.25">
      <c r="D17464" s="28"/>
      <c r="F17464" s="28"/>
      <c r="H17464" s="28"/>
    </row>
    <row r="17465" spans="4:8" x14ac:dyDescent="0.25">
      <c r="D17465" s="28"/>
      <c r="F17465" s="28"/>
      <c r="H17465" s="28"/>
    </row>
    <row r="17466" spans="4:8" x14ac:dyDescent="0.25">
      <c r="D17466" s="28"/>
      <c r="F17466" s="28"/>
      <c r="H17466" s="28"/>
    </row>
    <row r="17467" spans="4:8" x14ac:dyDescent="0.25">
      <c r="D17467" s="28"/>
      <c r="F17467" s="28"/>
      <c r="H17467" s="28"/>
    </row>
    <row r="17468" spans="4:8" x14ac:dyDescent="0.25">
      <c r="D17468" s="28"/>
      <c r="F17468" s="28"/>
      <c r="H17468" s="28"/>
    </row>
    <row r="17469" spans="4:8" x14ac:dyDescent="0.25">
      <c r="D17469" s="28"/>
      <c r="F17469" s="28"/>
      <c r="H17469" s="28"/>
    </row>
    <row r="17470" spans="4:8" x14ac:dyDescent="0.25">
      <c r="D17470" s="28"/>
      <c r="F17470" s="28"/>
      <c r="H17470" s="28"/>
    </row>
    <row r="17471" spans="4:8" x14ac:dyDescent="0.25">
      <c r="D17471" s="28"/>
      <c r="F17471" s="28"/>
      <c r="H17471" s="28"/>
    </row>
    <row r="17472" spans="4:8" x14ac:dyDescent="0.25">
      <c r="D17472" s="28"/>
      <c r="F17472" s="28"/>
      <c r="H17472" s="28"/>
    </row>
    <row r="17473" spans="4:8" x14ac:dyDescent="0.25">
      <c r="D17473" s="28"/>
      <c r="F17473" s="28"/>
      <c r="H17473" s="28"/>
    </row>
    <row r="17474" spans="4:8" x14ac:dyDescent="0.25">
      <c r="D17474" s="28"/>
      <c r="F17474" s="28"/>
      <c r="H17474" s="28"/>
    </row>
    <row r="17475" spans="4:8" x14ac:dyDescent="0.25">
      <c r="D17475" s="28"/>
      <c r="F17475" s="28"/>
      <c r="H17475" s="28"/>
    </row>
    <row r="17476" spans="4:8" x14ac:dyDescent="0.25">
      <c r="D17476" s="28"/>
      <c r="F17476" s="28"/>
      <c r="H17476" s="28"/>
    </row>
    <row r="17477" spans="4:8" x14ac:dyDescent="0.25">
      <c r="D17477" s="28"/>
      <c r="F17477" s="28"/>
      <c r="H17477" s="28"/>
    </row>
    <row r="17478" spans="4:8" x14ac:dyDescent="0.25">
      <c r="D17478" s="28"/>
      <c r="F17478" s="28"/>
      <c r="H17478" s="28"/>
    </row>
    <row r="17479" spans="4:8" x14ac:dyDescent="0.25">
      <c r="D17479" s="28"/>
      <c r="F17479" s="28"/>
      <c r="H17479" s="28"/>
    </row>
    <row r="17480" spans="4:8" x14ac:dyDescent="0.25">
      <c r="D17480" s="28"/>
      <c r="F17480" s="28"/>
      <c r="H17480" s="28"/>
    </row>
    <row r="17481" spans="4:8" x14ac:dyDescent="0.25">
      <c r="D17481" s="28"/>
      <c r="F17481" s="28"/>
      <c r="H17481" s="28"/>
    </row>
    <row r="17482" spans="4:8" x14ac:dyDescent="0.25">
      <c r="D17482" s="28"/>
      <c r="F17482" s="28"/>
      <c r="H17482" s="28"/>
    </row>
    <row r="17483" spans="4:8" x14ac:dyDescent="0.25">
      <c r="D17483" s="28"/>
      <c r="F17483" s="28"/>
      <c r="H17483" s="28"/>
    </row>
    <row r="17484" spans="4:8" x14ac:dyDescent="0.25">
      <c r="D17484" s="28"/>
      <c r="F17484" s="28"/>
      <c r="H17484" s="28"/>
    </row>
    <row r="17485" spans="4:8" x14ac:dyDescent="0.25">
      <c r="D17485" s="28"/>
      <c r="F17485" s="28"/>
      <c r="H17485" s="28"/>
    </row>
    <row r="17486" spans="4:8" x14ac:dyDescent="0.25">
      <c r="D17486" s="28"/>
      <c r="F17486" s="28"/>
      <c r="H17486" s="28"/>
    </row>
    <row r="17487" spans="4:8" x14ac:dyDescent="0.25">
      <c r="D17487" s="28"/>
      <c r="F17487" s="28"/>
      <c r="H17487" s="28"/>
    </row>
    <row r="17488" spans="4:8" x14ac:dyDescent="0.25">
      <c r="D17488" s="28"/>
      <c r="F17488" s="28"/>
      <c r="H17488" s="28"/>
    </row>
    <row r="17489" spans="4:8" x14ac:dyDescent="0.25">
      <c r="D17489" s="28"/>
      <c r="F17489" s="28"/>
      <c r="H17489" s="28"/>
    </row>
    <row r="17490" spans="4:8" x14ac:dyDescent="0.25">
      <c r="D17490" s="28"/>
      <c r="F17490" s="28"/>
      <c r="H17490" s="28"/>
    </row>
    <row r="17491" spans="4:8" x14ac:dyDescent="0.25">
      <c r="D17491" s="28"/>
      <c r="F17491" s="28"/>
      <c r="H17491" s="28"/>
    </row>
    <row r="17492" spans="4:8" x14ac:dyDescent="0.25">
      <c r="D17492" s="28"/>
      <c r="F17492" s="28"/>
      <c r="H17492" s="28"/>
    </row>
    <row r="17493" spans="4:8" x14ac:dyDescent="0.25">
      <c r="D17493" s="28"/>
      <c r="F17493" s="28"/>
      <c r="H17493" s="28"/>
    </row>
    <row r="17494" spans="4:8" x14ac:dyDescent="0.25">
      <c r="D17494" s="28"/>
      <c r="F17494" s="28"/>
      <c r="H17494" s="28"/>
    </row>
    <row r="17495" spans="4:8" x14ac:dyDescent="0.25">
      <c r="D17495" s="28"/>
      <c r="F17495" s="28"/>
      <c r="H17495" s="28"/>
    </row>
    <row r="17496" spans="4:8" x14ac:dyDescent="0.25">
      <c r="D17496" s="28"/>
      <c r="F17496" s="28"/>
      <c r="H17496" s="28"/>
    </row>
    <row r="17497" spans="4:8" x14ac:dyDescent="0.25">
      <c r="D17497" s="28"/>
      <c r="F17497" s="28"/>
      <c r="H17497" s="28"/>
    </row>
    <row r="17498" spans="4:8" x14ac:dyDescent="0.25">
      <c r="D17498" s="28"/>
      <c r="F17498" s="28"/>
      <c r="H17498" s="28"/>
    </row>
    <row r="17499" spans="4:8" x14ac:dyDescent="0.25">
      <c r="D17499" s="28"/>
      <c r="F17499" s="28"/>
      <c r="H17499" s="28"/>
    </row>
    <row r="17500" spans="4:8" x14ac:dyDescent="0.25">
      <c r="D17500" s="28"/>
      <c r="F17500" s="28"/>
      <c r="H17500" s="28"/>
    </row>
    <row r="17501" spans="4:8" x14ac:dyDescent="0.25">
      <c r="D17501" s="28"/>
      <c r="F17501" s="28"/>
      <c r="H17501" s="28"/>
    </row>
    <row r="17502" spans="4:8" x14ac:dyDescent="0.25">
      <c r="D17502" s="28"/>
      <c r="F17502" s="28"/>
      <c r="H17502" s="28"/>
    </row>
    <row r="17503" spans="4:8" x14ac:dyDescent="0.25">
      <c r="D17503" s="28"/>
      <c r="F17503" s="28"/>
      <c r="H17503" s="28"/>
    </row>
    <row r="17504" spans="4:8" x14ac:dyDescent="0.25">
      <c r="D17504" s="28"/>
      <c r="F17504" s="28"/>
      <c r="H17504" s="28"/>
    </row>
    <row r="17505" spans="4:8" x14ac:dyDescent="0.25">
      <c r="D17505" s="28"/>
      <c r="F17505" s="28"/>
      <c r="H17505" s="28"/>
    </row>
    <row r="17506" spans="4:8" x14ac:dyDescent="0.25">
      <c r="D17506" s="28"/>
      <c r="F17506" s="28"/>
      <c r="H17506" s="28"/>
    </row>
    <row r="17507" spans="4:8" x14ac:dyDescent="0.25">
      <c r="D17507" s="28"/>
      <c r="F17507" s="28"/>
      <c r="H17507" s="28"/>
    </row>
    <row r="17508" spans="4:8" x14ac:dyDescent="0.25">
      <c r="D17508" s="28"/>
      <c r="F17508" s="28"/>
      <c r="H17508" s="28"/>
    </row>
    <row r="17509" spans="4:8" x14ac:dyDescent="0.25">
      <c r="D17509" s="28"/>
      <c r="F17509" s="28"/>
      <c r="H17509" s="28"/>
    </row>
    <row r="17510" spans="4:8" x14ac:dyDescent="0.25">
      <c r="D17510" s="28"/>
      <c r="F17510" s="28"/>
      <c r="H17510" s="28"/>
    </row>
    <row r="17511" spans="4:8" x14ac:dyDescent="0.25">
      <c r="D17511" s="28"/>
      <c r="F17511" s="28"/>
      <c r="H17511" s="28"/>
    </row>
    <row r="17512" spans="4:8" x14ac:dyDescent="0.25">
      <c r="D17512" s="28"/>
      <c r="F17512" s="28"/>
      <c r="H17512" s="28"/>
    </row>
    <row r="17513" spans="4:8" x14ac:dyDescent="0.25">
      <c r="D17513" s="28"/>
      <c r="F17513" s="28"/>
      <c r="H17513" s="28"/>
    </row>
    <row r="17514" spans="4:8" x14ac:dyDescent="0.25">
      <c r="D17514" s="28"/>
      <c r="F17514" s="28"/>
      <c r="H17514" s="28"/>
    </row>
    <row r="17515" spans="4:8" x14ac:dyDescent="0.25">
      <c r="D17515" s="28"/>
      <c r="F17515" s="28"/>
      <c r="H17515" s="28"/>
    </row>
    <row r="17516" spans="4:8" x14ac:dyDescent="0.25">
      <c r="D17516" s="28"/>
      <c r="F17516" s="28"/>
      <c r="H17516" s="28"/>
    </row>
    <row r="17517" spans="4:8" x14ac:dyDescent="0.25">
      <c r="D17517" s="28"/>
      <c r="F17517" s="28"/>
      <c r="H17517" s="28"/>
    </row>
    <row r="17518" spans="4:8" x14ac:dyDescent="0.25">
      <c r="D17518" s="28"/>
      <c r="F17518" s="28"/>
      <c r="H17518" s="28"/>
    </row>
    <row r="17519" spans="4:8" x14ac:dyDescent="0.25">
      <c r="D17519" s="28"/>
      <c r="F17519" s="28"/>
      <c r="H17519" s="28"/>
    </row>
    <row r="17520" spans="4:8" x14ac:dyDescent="0.25">
      <c r="D17520" s="28"/>
      <c r="F17520" s="28"/>
      <c r="H17520" s="28"/>
    </row>
    <row r="17521" spans="4:8" x14ac:dyDescent="0.25">
      <c r="D17521" s="28"/>
      <c r="F17521" s="28"/>
      <c r="H17521" s="28"/>
    </row>
    <row r="17522" spans="4:8" x14ac:dyDescent="0.25">
      <c r="D17522" s="28"/>
      <c r="F17522" s="28"/>
      <c r="H17522" s="28"/>
    </row>
    <row r="17523" spans="4:8" x14ac:dyDescent="0.25">
      <c r="D17523" s="28"/>
      <c r="F17523" s="28"/>
      <c r="H17523" s="28"/>
    </row>
    <row r="17524" spans="4:8" x14ac:dyDescent="0.25">
      <c r="D17524" s="28"/>
      <c r="F17524" s="28"/>
      <c r="H17524" s="28"/>
    </row>
    <row r="17525" spans="4:8" x14ac:dyDescent="0.25">
      <c r="D17525" s="28"/>
      <c r="F17525" s="28"/>
      <c r="H17525" s="28"/>
    </row>
    <row r="17526" spans="4:8" x14ac:dyDescent="0.25">
      <c r="D17526" s="28"/>
      <c r="F17526" s="28"/>
      <c r="H17526" s="28"/>
    </row>
    <row r="17527" spans="4:8" x14ac:dyDescent="0.25">
      <c r="D17527" s="28"/>
      <c r="F17527" s="28"/>
      <c r="H17527" s="28"/>
    </row>
    <row r="17528" spans="4:8" x14ac:dyDescent="0.25">
      <c r="D17528" s="28"/>
      <c r="F17528" s="28"/>
      <c r="H17528" s="28"/>
    </row>
    <row r="17529" spans="4:8" x14ac:dyDescent="0.25">
      <c r="D17529" s="28"/>
      <c r="F17529" s="28"/>
      <c r="H17529" s="28"/>
    </row>
    <row r="17530" spans="4:8" x14ac:dyDescent="0.25">
      <c r="D17530" s="28"/>
      <c r="F17530" s="28"/>
      <c r="H17530" s="28"/>
    </row>
    <row r="17531" spans="4:8" x14ac:dyDescent="0.25">
      <c r="D17531" s="28"/>
      <c r="F17531" s="28"/>
      <c r="H17531" s="28"/>
    </row>
    <row r="17532" spans="4:8" x14ac:dyDescent="0.25">
      <c r="D17532" s="28"/>
      <c r="F17532" s="28"/>
      <c r="H17532" s="28"/>
    </row>
    <row r="17533" spans="4:8" x14ac:dyDescent="0.25">
      <c r="D17533" s="28"/>
      <c r="F17533" s="28"/>
      <c r="H17533" s="28"/>
    </row>
    <row r="17534" spans="4:8" x14ac:dyDescent="0.25">
      <c r="D17534" s="28"/>
      <c r="F17534" s="28"/>
      <c r="H17534" s="28"/>
    </row>
    <row r="17535" spans="4:8" x14ac:dyDescent="0.25">
      <c r="D17535" s="28"/>
      <c r="F17535" s="28"/>
      <c r="H17535" s="28"/>
    </row>
    <row r="17536" spans="4:8" x14ac:dyDescent="0.25">
      <c r="D17536" s="28"/>
      <c r="F17536" s="28"/>
      <c r="H17536" s="28"/>
    </row>
    <row r="17537" spans="4:8" x14ac:dyDescent="0.25">
      <c r="D17537" s="28"/>
      <c r="F17537" s="28"/>
      <c r="H17537" s="28"/>
    </row>
    <row r="17538" spans="4:8" x14ac:dyDescent="0.25">
      <c r="D17538" s="28"/>
      <c r="F17538" s="28"/>
      <c r="H17538" s="28"/>
    </row>
    <row r="17539" spans="4:8" x14ac:dyDescent="0.25">
      <c r="D17539" s="28"/>
      <c r="F17539" s="28"/>
      <c r="H17539" s="28"/>
    </row>
    <row r="17540" spans="4:8" x14ac:dyDescent="0.25">
      <c r="D17540" s="28"/>
      <c r="F17540" s="28"/>
      <c r="H17540" s="28"/>
    </row>
    <row r="17541" spans="4:8" x14ac:dyDescent="0.25">
      <c r="D17541" s="28"/>
      <c r="F17541" s="28"/>
      <c r="H17541" s="28"/>
    </row>
    <row r="17542" spans="4:8" x14ac:dyDescent="0.25">
      <c r="D17542" s="28"/>
      <c r="F17542" s="28"/>
      <c r="H17542" s="28"/>
    </row>
    <row r="17543" spans="4:8" x14ac:dyDescent="0.25">
      <c r="D17543" s="28"/>
      <c r="F17543" s="28"/>
      <c r="H17543" s="28"/>
    </row>
    <row r="17544" spans="4:8" x14ac:dyDescent="0.25">
      <c r="D17544" s="28"/>
      <c r="F17544" s="28"/>
      <c r="H17544" s="28"/>
    </row>
    <row r="17545" spans="4:8" x14ac:dyDescent="0.25">
      <c r="D17545" s="28"/>
      <c r="F17545" s="28"/>
      <c r="H17545" s="28"/>
    </row>
    <row r="17546" spans="4:8" x14ac:dyDescent="0.25">
      <c r="D17546" s="28"/>
      <c r="F17546" s="28"/>
      <c r="H17546" s="28"/>
    </row>
    <row r="17547" spans="4:8" x14ac:dyDescent="0.25">
      <c r="D17547" s="28"/>
      <c r="F17547" s="28"/>
      <c r="H17547" s="28"/>
    </row>
    <row r="17548" spans="4:8" x14ac:dyDescent="0.25">
      <c r="D17548" s="28"/>
      <c r="F17548" s="28"/>
      <c r="H17548" s="28"/>
    </row>
    <row r="17549" spans="4:8" x14ac:dyDescent="0.25">
      <c r="D17549" s="28"/>
      <c r="F17549" s="28"/>
      <c r="H17549" s="28"/>
    </row>
    <row r="17550" spans="4:8" x14ac:dyDescent="0.25">
      <c r="D17550" s="28"/>
      <c r="F17550" s="28"/>
      <c r="H17550" s="28"/>
    </row>
    <row r="17551" spans="4:8" x14ac:dyDescent="0.25">
      <c r="D17551" s="28"/>
      <c r="F17551" s="28"/>
      <c r="H17551" s="28"/>
    </row>
    <row r="17552" spans="4:8" x14ac:dyDescent="0.25">
      <c r="D17552" s="28"/>
      <c r="F17552" s="28"/>
      <c r="H17552" s="28"/>
    </row>
    <row r="17553" spans="4:8" x14ac:dyDescent="0.25">
      <c r="D17553" s="28"/>
      <c r="F17553" s="28"/>
      <c r="H17553" s="28"/>
    </row>
    <row r="17554" spans="4:8" x14ac:dyDescent="0.25">
      <c r="D17554" s="28"/>
      <c r="F17554" s="28"/>
      <c r="H17554" s="28"/>
    </row>
    <row r="17555" spans="4:8" x14ac:dyDescent="0.25">
      <c r="D17555" s="28"/>
      <c r="F17555" s="28"/>
      <c r="H17555" s="28"/>
    </row>
    <row r="17556" spans="4:8" x14ac:dyDescent="0.25">
      <c r="D17556" s="28"/>
      <c r="F17556" s="28"/>
      <c r="H17556" s="28"/>
    </row>
    <row r="17557" spans="4:8" x14ac:dyDescent="0.25">
      <c r="D17557" s="28"/>
      <c r="F17557" s="28"/>
      <c r="H17557" s="28"/>
    </row>
    <row r="17558" spans="4:8" x14ac:dyDescent="0.25">
      <c r="D17558" s="28"/>
      <c r="F17558" s="28"/>
      <c r="H17558" s="28"/>
    </row>
    <row r="17559" spans="4:8" x14ac:dyDescent="0.25">
      <c r="D17559" s="28"/>
      <c r="F17559" s="28"/>
      <c r="H17559" s="28"/>
    </row>
    <row r="17560" spans="4:8" x14ac:dyDescent="0.25">
      <c r="D17560" s="28"/>
      <c r="F17560" s="28"/>
      <c r="H17560" s="28"/>
    </row>
    <row r="17561" spans="4:8" x14ac:dyDescent="0.25">
      <c r="D17561" s="28"/>
      <c r="F17561" s="28"/>
      <c r="H17561" s="28"/>
    </row>
    <row r="17562" spans="4:8" x14ac:dyDescent="0.25">
      <c r="D17562" s="28"/>
      <c r="F17562" s="28"/>
      <c r="H17562" s="28"/>
    </row>
    <row r="17563" spans="4:8" x14ac:dyDescent="0.25">
      <c r="D17563" s="28"/>
      <c r="F17563" s="28"/>
      <c r="H17563" s="28"/>
    </row>
    <row r="17564" spans="4:8" x14ac:dyDescent="0.25">
      <c r="D17564" s="28"/>
      <c r="F17564" s="28"/>
      <c r="H17564" s="28"/>
    </row>
    <row r="17565" spans="4:8" x14ac:dyDescent="0.25">
      <c r="D17565" s="28"/>
      <c r="F17565" s="28"/>
      <c r="H17565" s="28"/>
    </row>
    <row r="17566" spans="4:8" x14ac:dyDescent="0.25">
      <c r="D17566" s="28"/>
      <c r="F17566" s="28"/>
      <c r="H17566" s="28"/>
    </row>
    <row r="17567" spans="4:8" x14ac:dyDescent="0.25">
      <c r="D17567" s="28"/>
      <c r="F17567" s="28"/>
      <c r="H17567" s="28"/>
    </row>
    <row r="17568" spans="4:8" x14ac:dyDescent="0.25">
      <c r="D17568" s="28"/>
      <c r="F17568" s="28"/>
      <c r="H17568" s="28"/>
    </row>
    <row r="17569" spans="4:8" x14ac:dyDescent="0.25">
      <c r="D17569" s="28"/>
      <c r="F17569" s="28"/>
      <c r="H17569" s="28"/>
    </row>
    <row r="17570" spans="4:8" x14ac:dyDescent="0.25">
      <c r="D17570" s="28"/>
      <c r="F17570" s="28"/>
      <c r="H17570" s="28"/>
    </row>
    <row r="17571" spans="4:8" x14ac:dyDescent="0.25">
      <c r="D17571" s="28"/>
      <c r="F17571" s="28"/>
      <c r="H17571" s="28"/>
    </row>
    <row r="17572" spans="4:8" x14ac:dyDescent="0.25">
      <c r="D17572" s="28"/>
      <c r="F17572" s="28"/>
      <c r="H17572" s="28"/>
    </row>
    <row r="17573" spans="4:8" x14ac:dyDescent="0.25">
      <c r="D17573" s="28"/>
      <c r="F17573" s="28"/>
      <c r="H17573" s="28"/>
    </row>
    <row r="17574" spans="4:8" x14ac:dyDescent="0.25">
      <c r="D17574" s="28"/>
      <c r="F17574" s="28"/>
      <c r="H17574" s="28"/>
    </row>
    <row r="17575" spans="4:8" x14ac:dyDescent="0.25">
      <c r="D17575" s="28"/>
      <c r="F17575" s="28"/>
      <c r="H17575" s="28"/>
    </row>
    <row r="17576" spans="4:8" x14ac:dyDescent="0.25">
      <c r="D17576" s="28"/>
      <c r="F17576" s="28"/>
      <c r="H17576" s="28"/>
    </row>
    <row r="17577" spans="4:8" x14ac:dyDescent="0.25">
      <c r="D17577" s="28"/>
      <c r="F17577" s="28"/>
      <c r="H17577" s="28"/>
    </row>
    <row r="17578" spans="4:8" x14ac:dyDescent="0.25">
      <c r="D17578" s="28"/>
      <c r="F17578" s="28"/>
      <c r="H17578" s="28"/>
    </row>
    <row r="17579" spans="4:8" x14ac:dyDescent="0.25">
      <c r="D17579" s="28"/>
      <c r="F17579" s="28"/>
      <c r="H17579" s="28"/>
    </row>
    <row r="17580" spans="4:8" x14ac:dyDescent="0.25">
      <c r="D17580" s="28"/>
      <c r="F17580" s="28"/>
      <c r="H17580" s="28"/>
    </row>
    <row r="17581" spans="4:8" x14ac:dyDescent="0.25">
      <c r="D17581" s="28"/>
      <c r="F17581" s="28"/>
      <c r="H17581" s="28"/>
    </row>
    <row r="17582" spans="4:8" x14ac:dyDescent="0.25">
      <c r="D17582" s="28"/>
      <c r="F17582" s="28"/>
      <c r="H17582" s="28"/>
    </row>
    <row r="17583" spans="4:8" x14ac:dyDescent="0.25">
      <c r="D17583" s="28"/>
      <c r="F17583" s="28"/>
      <c r="H17583" s="28"/>
    </row>
    <row r="17584" spans="4:8" x14ac:dyDescent="0.25">
      <c r="D17584" s="28"/>
      <c r="F17584" s="28"/>
      <c r="H17584" s="28"/>
    </row>
    <row r="17585" spans="4:8" x14ac:dyDescent="0.25">
      <c r="D17585" s="28"/>
      <c r="F17585" s="28"/>
      <c r="H17585" s="28"/>
    </row>
    <row r="17586" spans="4:8" x14ac:dyDescent="0.25">
      <c r="D17586" s="28"/>
      <c r="F17586" s="28"/>
      <c r="H17586" s="28"/>
    </row>
    <row r="17587" spans="4:8" x14ac:dyDescent="0.25">
      <c r="D17587" s="28"/>
      <c r="F17587" s="28"/>
      <c r="H17587" s="28"/>
    </row>
    <row r="17588" spans="4:8" x14ac:dyDescent="0.25">
      <c r="D17588" s="28"/>
      <c r="F17588" s="28"/>
      <c r="H17588" s="28"/>
    </row>
    <row r="17589" spans="4:8" x14ac:dyDescent="0.25">
      <c r="D17589" s="28"/>
      <c r="F17589" s="28"/>
      <c r="H17589" s="28"/>
    </row>
    <row r="17590" spans="4:8" x14ac:dyDescent="0.25">
      <c r="D17590" s="28"/>
      <c r="F17590" s="28"/>
      <c r="H17590" s="28"/>
    </row>
    <row r="17591" spans="4:8" x14ac:dyDescent="0.25">
      <c r="D17591" s="28"/>
      <c r="F17591" s="28"/>
      <c r="H17591" s="28"/>
    </row>
    <row r="17592" spans="4:8" x14ac:dyDescent="0.25">
      <c r="D17592" s="28"/>
      <c r="F17592" s="28"/>
      <c r="H17592" s="28"/>
    </row>
    <row r="17593" spans="4:8" x14ac:dyDescent="0.25">
      <c r="D17593" s="28"/>
      <c r="F17593" s="28"/>
      <c r="H17593" s="28"/>
    </row>
    <row r="17594" spans="4:8" x14ac:dyDescent="0.25">
      <c r="D17594" s="28"/>
      <c r="F17594" s="28"/>
      <c r="H17594" s="28"/>
    </row>
    <row r="17595" spans="4:8" x14ac:dyDescent="0.25">
      <c r="D17595" s="28"/>
      <c r="F17595" s="28"/>
      <c r="H17595" s="28"/>
    </row>
    <row r="17596" spans="4:8" x14ac:dyDescent="0.25">
      <c r="D17596" s="28"/>
      <c r="F17596" s="28"/>
      <c r="H17596" s="28"/>
    </row>
    <row r="17597" spans="4:8" x14ac:dyDescent="0.25">
      <c r="D17597" s="28"/>
      <c r="F17597" s="28"/>
      <c r="H17597" s="28"/>
    </row>
    <row r="17598" spans="4:8" x14ac:dyDescent="0.25">
      <c r="D17598" s="28"/>
      <c r="F17598" s="28"/>
      <c r="H17598" s="28"/>
    </row>
    <row r="17599" spans="4:8" x14ac:dyDescent="0.25">
      <c r="D17599" s="28"/>
      <c r="F17599" s="28"/>
      <c r="H17599" s="28"/>
    </row>
    <row r="17600" spans="4:8" x14ac:dyDescent="0.25">
      <c r="D17600" s="28"/>
      <c r="F17600" s="28"/>
      <c r="H17600" s="28"/>
    </row>
    <row r="17601" spans="4:8" x14ac:dyDescent="0.25">
      <c r="D17601" s="28"/>
      <c r="F17601" s="28"/>
      <c r="H17601" s="28"/>
    </row>
    <row r="17602" spans="4:8" x14ac:dyDescent="0.25">
      <c r="D17602" s="28"/>
      <c r="F17602" s="28"/>
      <c r="H17602" s="28"/>
    </row>
    <row r="17603" spans="4:8" x14ac:dyDescent="0.25">
      <c r="D17603" s="28"/>
      <c r="F17603" s="28"/>
      <c r="H17603" s="28"/>
    </row>
    <row r="17604" spans="4:8" x14ac:dyDescent="0.25">
      <c r="D17604" s="28"/>
      <c r="F17604" s="28"/>
      <c r="H17604" s="28"/>
    </row>
    <row r="17605" spans="4:8" x14ac:dyDescent="0.25">
      <c r="D17605" s="28"/>
      <c r="F17605" s="28"/>
      <c r="H17605" s="28"/>
    </row>
    <row r="17606" spans="4:8" x14ac:dyDescent="0.25">
      <c r="D17606" s="28"/>
      <c r="F17606" s="28"/>
      <c r="H17606" s="28"/>
    </row>
    <row r="17607" spans="4:8" x14ac:dyDescent="0.25">
      <c r="D17607" s="28"/>
      <c r="F17607" s="28"/>
      <c r="H17607" s="28"/>
    </row>
    <row r="17608" spans="4:8" x14ac:dyDescent="0.25">
      <c r="D17608" s="28"/>
      <c r="F17608" s="28"/>
      <c r="H17608" s="28"/>
    </row>
    <row r="17609" spans="4:8" x14ac:dyDescent="0.25">
      <c r="D17609" s="28"/>
      <c r="F17609" s="28"/>
      <c r="H17609" s="28"/>
    </row>
    <row r="17610" spans="4:8" x14ac:dyDescent="0.25">
      <c r="D17610" s="28"/>
      <c r="F17610" s="28"/>
      <c r="H17610" s="28"/>
    </row>
    <row r="17611" spans="4:8" x14ac:dyDescent="0.25">
      <c r="D17611" s="28"/>
      <c r="F17611" s="28"/>
      <c r="H17611" s="28"/>
    </row>
    <row r="17612" spans="4:8" x14ac:dyDescent="0.25">
      <c r="D17612" s="28"/>
      <c r="F17612" s="28"/>
      <c r="H17612" s="28"/>
    </row>
    <row r="17613" spans="4:8" x14ac:dyDescent="0.25">
      <c r="D17613" s="28"/>
      <c r="F17613" s="28"/>
      <c r="H17613" s="28"/>
    </row>
    <row r="17614" spans="4:8" x14ac:dyDescent="0.25">
      <c r="D17614" s="28"/>
      <c r="F17614" s="28"/>
      <c r="H17614" s="28"/>
    </row>
    <row r="17615" spans="4:8" x14ac:dyDescent="0.25">
      <c r="D17615" s="28"/>
      <c r="F17615" s="28"/>
      <c r="H17615" s="28"/>
    </row>
    <row r="17616" spans="4:8" x14ac:dyDescent="0.25">
      <c r="D17616" s="28"/>
      <c r="F17616" s="28"/>
      <c r="H17616" s="28"/>
    </row>
    <row r="17617" spans="4:8" x14ac:dyDescent="0.25">
      <c r="D17617" s="28"/>
      <c r="F17617" s="28"/>
      <c r="H17617" s="28"/>
    </row>
    <row r="17618" spans="4:8" x14ac:dyDescent="0.25">
      <c r="D17618" s="28"/>
      <c r="F17618" s="28"/>
      <c r="H17618" s="28"/>
    </row>
    <row r="17619" spans="4:8" x14ac:dyDescent="0.25">
      <c r="D17619" s="28"/>
      <c r="F17619" s="28"/>
      <c r="H17619" s="28"/>
    </row>
    <row r="17620" spans="4:8" x14ac:dyDescent="0.25">
      <c r="D17620" s="28"/>
      <c r="F17620" s="28"/>
      <c r="H17620" s="28"/>
    </row>
    <row r="17621" spans="4:8" x14ac:dyDescent="0.25">
      <c r="D17621" s="28"/>
      <c r="F17621" s="28"/>
      <c r="H17621" s="28"/>
    </row>
    <row r="17622" spans="4:8" x14ac:dyDescent="0.25">
      <c r="D17622" s="28"/>
      <c r="F17622" s="28"/>
      <c r="H17622" s="28"/>
    </row>
    <row r="17623" spans="4:8" x14ac:dyDescent="0.25">
      <c r="D17623" s="28"/>
      <c r="F17623" s="28"/>
      <c r="H17623" s="28"/>
    </row>
    <row r="17624" spans="4:8" x14ac:dyDescent="0.25">
      <c r="D17624" s="28"/>
      <c r="F17624" s="28"/>
      <c r="H17624" s="28"/>
    </row>
    <row r="17625" spans="4:8" x14ac:dyDescent="0.25">
      <c r="D17625" s="28"/>
      <c r="F17625" s="28"/>
      <c r="H17625" s="28"/>
    </row>
    <row r="17626" spans="4:8" x14ac:dyDescent="0.25">
      <c r="D17626" s="28"/>
      <c r="F17626" s="28"/>
      <c r="H17626" s="28"/>
    </row>
    <row r="17627" spans="4:8" x14ac:dyDescent="0.25">
      <c r="D17627" s="28"/>
      <c r="F17627" s="28"/>
      <c r="H17627" s="28"/>
    </row>
    <row r="17628" spans="4:8" x14ac:dyDescent="0.25">
      <c r="D17628" s="28"/>
      <c r="F17628" s="28"/>
      <c r="H17628" s="28"/>
    </row>
    <row r="17629" spans="4:8" x14ac:dyDescent="0.25">
      <c r="D17629" s="28"/>
      <c r="F17629" s="28"/>
      <c r="H17629" s="28"/>
    </row>
    <row r="17630" spans="4:8" x14ac:dyDescent="0.25">
      <c r="D17630" s="28"/>
      <c r="F17630" s="28"/>
      <c r="H17630" s="28"/>
    </row>
    <row r="17631" spans="4:8" x14ac:dyDescent="0.25">
      <c r="D17631" s="28"/>
      <c r="F17631" s="28"/>
      <c r="H17631" s="28"/>
    </row>
    <row r="17632" spans="4:8" x14ac:dyDescent="0.25">
      <c r="D17632" s="28"/>
      <c r="F17632" s="28"/>
      <c r="H17632" s="28"/>
    </row>
    <row r="17633" spans="4:8" x14ac:dyDescent="0.25">
      <c r="D17633" s="28"/>
      <c r="F17633" s="28"/>
      <c r="H17633" s="28"/>
    </row>
    <row r="17634" spans="4:8" x14ac:dyDescent="0.25">
      <c r="D17634" s="28"/>
      <c r="F17634" s="28"/>
      <c r="H17634" s="28"/>
    </row>
    <row r="17635" spans="4:8" x14ac:dyDescent="0.25">
      <c r="D17635" s="28"/>
      <c r="F17635" s="28"/>
      <c r="H17635" s="28"/>
    </row>
    <row r="17636" spans="4:8" x14ac:dyDescent="0.25">
      <c r="D17636" s="28"/>
      <c r="F17636" s="28"/>
      <c r="H17636" s="28"/>
    </row>
    <row r="17637" spans="4:8" x14ac:dyDescent="0.25">
      <c r="D17637" s="28"/>
      <c r="F17637" s="28"/>
      <c r="H17637" s="28"/>
    </row>
    <row r="17638" spans="4:8" x14ac:dyDescent="0.25">
      <c r="D17638" s="28"/>
      <c r="F17638" s="28"/>
      <c r="H17638" s="28"/>
    </row>
    <row r="17639" spans="4:8" x14ac:dyDescent="0.25">
      <c r="D17639" s="28"/>
      <c r="F17639" s="28"/>
      <c r="H17639" s="28"/>
    </row>
    <row r="17640" spans="4:8" x14ac:dyDescent="0.25">
      <c r="D17640" s="28"/>
      <c r="F17640" s="28"/>
      <c r="H17640" s="28"/>
    </row>
    <row r="17641" spans="4:8" x14ac:dyDescent="0.25">
      <c r="D17641" s="28"/>
      <c r="F17641" s="28"/>
      <c r="H17641" s="28"/>
    </row>
    <row r="17642" spans="4:8" x14ac:dyDescent="0.25">
      <c r="D17642" s="28"/>
      <c r="F17642" s="28"/>
      <c r="H17642" s="28"/>
    </row>
    <row r="17643" spans="4:8" x14ac:dyDescent="0.25">
      <c r="D17643" s="28"/>
      <c r="F17643" s="28"/>
      <c r="H17643" s="28"/>
    </row>
    <row r="17644" spans="4:8" x14ac:dyDescent="0.25">
      <c r="D17644" s="28"/>
      <c r="F17644" s="28"/>
      <c r="H17644" s="28"/>
    </row>
    <row r="17645" spans="4:8" x14ac:dyDescent="0.25">
      <c r="D17645" s="28"/>
      <c r="F17645" s="28"/>
      <c r="H17645" s="28"/>
    </row>
    <row r="17646" spans="4:8" x14ac:dyDescent="0.25">
      <c r="D17646" s="28"/>
      <c r="F17646" s="28"/>
      <c r="H17646" s="28"/>
    </row>
    <row r="17647" spans="4:8" x14ac:dyDescent="0.25">
      <c r="D17647" s="28"/>
      <c r="F17647" s="28"/>
      <c r="H17647" s="28"/>
    </row>
    <row r="17648" spans="4:8" x14ac:dyDescent="0.25">
      <c r="D17648" s="28"/>
      <c r="F17648" s="28"/>
      <c r="H17648" s="28"/>
    </row>
    <row r="17649" spans="4:8" x14ac:dyDescent="0.25">
      <c r="D17649" s="28"/>
      <c r="F17649" s="28"/>
      <c r="H17649" s="28"/>
    </row>
    <row r="17650" spans="4:8" x14ac:dyDescent="0.25">
      <c r="D17650" s="28"/>
      <c r="F17650" s="28"/>
      <c r="H17650" s="28"/>
    </row>
    <row r="17651" spans="4:8" x14ac:dyDescent="0.25">
      <c r="D17651" s="28"/>
      <c r="F17651" s="28"/>
      <c r="H17651" s="28"/>
    </row>
    <row r="17652" spans="4:8" x14ac:dyDescent="0.25">
      <c r="D17652" s="28"/>
      <c r="F17652" s="28"/>
      <c r="H17652" s="28"/>
    </row>
    <row r="17653" spans="4:8" x14ac:dyDescent="0.25">
      <c r="D17653" s="28"/>
      <c r="F17653" s="28"/>
      <c r="H17653" s="28"/>
    </row>
    <row r="17654" spans="4:8" x14ac:dyDescent="0.25">
      <c r="D17654" s="28"/>
      <c r="F17654" s="28"/>
      <c r="H17654" s="28"/>
    </row>
    <row r="17655" spans="4:8" x14ac:dyDescent="0.25">
      <c r="D17655" s="28"/>
      <c r="F17655" s="28"/>
      <c r="H17655" s="28"/>
    </row>
    <row r="17656" spans="4:8" x14ac:dyDescent="0.25">
      <c r="D17656" s="28"/>
      <c r="F17656" s="28"/>
      <c r="H17656" s="28"/>
    </row>
    <row r="17657" spans="4:8" x14ac:dyDescent="0.25">
      <c r="D17657" s="28"/>
      <c r="F17657" s="28"/>
      <c r="H17657" s="28"/>
    </row>
    <row r="17658" spans="4:8" x14ac:dyDescent="0.25">
      <c r="D17658" s="28"/>
      <c r="F17658" s="28"/>
      <c r="H17658" s="28"/>
    </row>
    <row r="17659" spans="4:8" x14ac:dyDescent="0.25">
      <c r="D17659" s="28"/>
      <c r="F17659" s="28"/>
      <c r="H17659" s="28"/>
    </row>
    <row r="17660" spans="4:8" x14ac:dyDescent="0.25">
      <c r="D17660" s="28"/>
      <c r="F17660" s="28"/>
      <c r="H17660" s="28"/>
    </row>
    <row r="17661" spans="4:8" x14ac:dyDescent="0.25">
      <c r="D17661" s="28"/>
      <c r="F17661" s="28"/>
      <c r="H17661" s="28"/>
    </row>
    <row r="17662" spans="4:8" x14ac:dyDescent="0.25">
      <c r="D17662" s="28"/>
      <c r="F17662" s="28"/>
      <c r="H17662" s="28"/>
    </row>
    <row r="17663" spans="4:8" x14ac:dyDescent="0.25">
      <c r="D17663" s="28"/>
      <c r="F17663" s="28"/>
      <c r="H17663" s="28"/>
    </row>
    <row r="17664" spans="4:8" x14ac:dyDescent="0.25">
      <c r="D17664" s="28"/>
      <c r="F17664" s="28"/>
      <c r="H17664" s="28"/>
    </row>
    <row r="17665" spans="4:8" x14ac:dyDescent="0.25">
      <c r="D17665" s="28"/>
      <c r="F17665" s="28"/>
      <c r="H17665" s="28"/>
    </row>
    <row r="17666" spans="4:8" x14ac:dyDescent="0.25">
      <c r="D17666" s="28"/>
      <c r="F17666" s="28"/>
      <c r="H17666" s="28"/>
    </row>
    <row r="17667" spans="4:8" x14ac:dyDescent="0.25">
      <c r="D17667" s="28"/>
      <c r="F17667" s="28"/>
      <c r="H17667" s="28"/>
    </row>
    <row r="17668" spans="4:8" x14ac:dyDescent="0.25">
      <c r="D17668" s="28"/>
      <c r="F17668" s="28"/>
      <c r="H17668" s="28"/>
    </row>
    <row r="17669" spans="4:8" x14ac:dyDescent="0.25">
      <c r="D17669" s="28"/>
      <c r="F17669" s="28"/>
      <c r="H17669" s="28"/>
    </row>
    <row r="17670" spans="4:8" x14ac:dyDescent="0.25">
      <c r="D17670" s="28"/>
      <c r="F17670" s="28"/>
      <c r="H17670" s="28"/>
    </row>
    <row r="17671" spans="4:8" x14ac:dyDescent="0.25">
      <c r="D17671" s="28"/>
      <c r="F17671" s="28"/>
      <c r="H17671" s="28"/>
    </row>
    <row r="17672" spans="4:8" x14ac:dyDescent="0.25">
      <c r="D17672" s="28"/>
      <c r="F17672" s="28"/>
      <c r="H17672" s="28"/>
    </row>
    <row r="17673" spans="4:8" x14ac:dyDescent="0.25">
      <c r="D17673" s="28"/>
      <c r="F17673" s="28"/>
      <c r="H17673" s="28"/>
    </row>
    <row r="17674" spans="4:8" x14ac:dyDescent="0.25">
      <c r="D17674" s="28"/>
      <c r="F17674" s="28"/>
      <c r="H17674" s="28"/>
    </row>
    <row r="17675" spans="4:8" x14ac:dyDescent="0.25">
      <c r="D17675" s="28"/>
      <c r="F17675" s="28"/>
      <c r="H17675" s="28"/>
    </row>
    <row r="17676" spans="4:8" x14ac:dyDescent="0.25">
      <c r="D17676" s="28"/>
      <c r="F17676" s="28"/>
      <c r="H17676" s="28"/>
    </row>
    <row r="17677" spans="4:8" x14ac:dyDescent="0.25">
      <c r="D17677" s="28"/>
      <c r="F17677" s="28"/>
      <c r="H17677" s="28"/>
    </row>
    <row r="17678" spans="4:8" x14ac:dyDescent="0.25">
      <c r="D17678" s="28"/>
      <c r="F17678" s="28"/>
      <c r="H17678" s="28"/>
    </row>
    <row r="17679" spans="4:8" x14ac:dyDescent="0.25">
      <c r="D17679" s="28"/>
      <c r="F17679" s="28"/>
      <c r="H17679" s="28"/>
    </row>
    <row r="17680" spans="4:8" x14ac:dyDescent="0.25">
      <c r="D17680" s="28"/>
      <c r="F17680" s="28"/>
      <c r="H17680" s="28"/>
    </row>
    <row r="17681" spans="4:8" x14ac:dyDescent="0.25">
      <c r="D17681" s="28"/>
      <c r="F17681" s="28"/>
      <c r="H17681" s="28"/>
    </row>
    <row r="17682" spans="4:8" x14ac:dyDescent="0.25">
      <c r="D17682" s="28"/>
      <c r="F17682" s="28"/>
      <c r="H17682" s="28"/>
    </row>
    <row r="17683" spans="4:8" x14ac:dyDescent="0.25">
      <c r="D17683" s="28"/>
      <c r="F17683" s="28"/>
      <c r="H17683" s="28"/>
    </row>
    <row r="17684" spans="4:8" x14ac:dyDescent="0.25">
      <c r="D17684" s="28"/>
      <c r="F17684" s="28"/>
      <c r="H17684" s="28"/>
    </row>
    <row r="17685" spans="4:8" x14ac:dyDescent="0.25">
      <c r="D17685" s="28"/>
      <c r="F17685" s="28"/>
      <c r="H17685" s="28"/>
    </row>
    <row r="17686" spans="4:8" x14ac:dyDescent="0.25">
      <c r="D17686" s="28"/>
      <c r="F17686" s="28"/>
      <c r="H17686" s="28"/>
    </row>
    <row r="17687" spans="4:8" x14ac:dyDescent="0.25">
      <c r="D17687" s="28"/>
      <c r="F17687" s="28"/>
      <c r="H17687" s="28"/>
    </row>
    <row r="17688" spans="4:8" x14ac:dyDescent="0.25">
      <c r="D17688" s="28"/>
      <c r="F17688" s="28"/>
      <c r="H17688" s="28"/>
    </row>
    <row r="17689" spans="4:8" x14ac:dyDescent="0.25">
      <c r="D17689" s="28"/>
      <c r="F17689" s="28"/>
      <c r="H17689" s="28"/>
    </row>
    <row r="17690" spans="4:8" x14ac:dyDescent="0.25">
      <c r="D17690" s="28"/>
      <c r="F17690" s="28"/>
      <c r="H17690" s="28"/>
    </row>
    <row r="17691" spans="4:8" x14ac:dyDescent="0.25">
      <c r="D17691" s="28"/>
      <c r="F17691" s="28"/>
      <c r="H17691" s="28"/>
    </row>
    <row r="17692" spans="4:8" x14ac:dyDescent="0.25">
      <c r="D17692" s="28"/>
      <c r="F17692" s="28"/>
      <c r="H17692" s="28"/>
    </row>
    <row r="17693" spans="4:8" x14ac:dyDescent="0.25">
      <c r="D17693" s="28"/>
      <c r="F17693" s="28"/>
      <c r="H17693" s="28"/>
    </row>
    <row r="17694" spans="4:8" x14ac:dyDescent="0.25">
      <c r="D17694" s="28"/>
      <c r="F17694" s="28"/>
      <c r="H17694" s="28"/>
    </row>
    <row r="17695" spans="4:8" x14ac:dyDescent="0.25">
      <c r="D17695" s="28"/>
      <c r="F17695" s="28"/>
      <c r="H17695" s="28"/>
    </row>
    <row r="17696" spans="4:8" x14ac:dyDescent="0.25">
      <c r="D17696" s="28"/>
      <c r="F17696" s="28"/>
      <c r="H17696" s="28"/>
    </row>
    <row r="17697" spans="4:8" x14ac:dyDescent="0.25">
      <c r="D17697" s="28"/>
      <c r="F17697" s="28"/>
      <c r="H17697" s="28"/>
    </row>
    <row r="17698" spans="4:8" x14ac:dyDescent="0.25">
      <c r="D17698" s="28"/>
      <c r="F17698" s="28"/>
      <c r="H17698" s="28"/>
    </row>
    <row r="17699" spans="4:8" x14ac:dyDescent="0.25">
      <c r="D17699" s="28"/>
      <c r="F17699" s="28"/>
      <c r="H17699" s="28"/>
    </row>
    <row r="17700" spans="4:8" x14ac:dyDescent="0.25">
      <c r="D17700" s="28"/>
      <c r="F17700" s="28"/>
      <c r="H17700" s="28"/>
    </row>
    <row r="17701" spans="4:8" x14ac:dyDescent="0.25">
      <c r="D17701" s="28"/>
      <c r="F17701" s="28"/>
      <c r="H17701" s="28"/>
    </row>
    <row r="17702" spans="4:8" x14ac:dyDescent="0.25">
      <c r="D17702" s="28"/>
      <c r="F17702" s="28"/>
      <c r="H17702" s="28"/>
    </row>
    <row r="17703" spans="4:8" x14ac:dyDescent="0.25">
      <c r="D17703" s="28"/>
      <c r="F17703" s="28"/>
      <c r="H17703" s="28"/>
    </row>
    <row r="17704" spans="4:8" x14ac:dyDescent="0.25">
      <c r="D17704" s="28"/>
      <c r="F17704" s="28"/>
      <c r="H17704" s="28"/>
    </row>
    <row r="17705" spans="4:8" x14ac:dyDescent="0.25">
      <c r="D17705" s="28"/>
      <c r="F17705" s="28"/>
      <c r="H17705" s="28"/>
    </row>
    <row r="17706" spans="4:8" x14ac:dyDescent="0.25">
      <c r="D17706" s="28"/>
      <c r="F17706" s="28"/>
      <c r="H17706" s="28"/>
    </row>
    <row r="17707" spans="4:8" x14ac:dyDescent="0.25">
      <c r="D17707" s="28"/>
      <c r="F17707" s="28"/>
      <c r="H17707" s="28"/>
    </row>
    <row r="17708" spans="4:8" x14ac:dyDescent="0.25">
      <c r="D17708" s="28"/>
      <c r="F17708" s="28"/>
      <c r="H17708" s="28"/>
    </row>
    <row r="17709" spans="4:8" x14ac:dyDescent="0.25">
      <c r="D17709" s="28"/>
      <c r="F17709" s="28"/>
      <c r="H17709" s="28"/>
    </row>
    <row r="17710" spans="4:8" x14ac:dyDescent="0.25">
      <c r="D17710" s="28"/>
      <c r="F17710" s="28"/>
      <c r="H17710" s="28"/>
    </row>
    <row r="17711" spans="4:8" x14ac:dyDescent="0.25">
      <c r="D17711" s="28"/>
      <c r="F17711" s="28"/>
      <c r="H17711" s="28"/>
    </row>
    <row r="17712" spans="4:8" x14ac:dyDescent="0.25">
      <c r="D17712" s="28"/>
      <c r="F17712" s="28"/>
      <c r="H17712" s="28"/>
    </row>
    <row r="17713" spans="4:8" x14ac:dyDescent="0.25">
      <c r="D17713" s="28"/>
      <c r="F17713" s="28"/>
      <c r="H17713" s="28"/>
    </row>
    <row r="17714" spans="4:8" x14ac:dyDescent="0.25">
      <c r="D17714" s="28"/>
      <c r="F17714" s="28"/>
      <c r="H17714" s="28"/>
    </row>
    <row r="17715" spans="4:8" x14ac:dyDescent="0.25">
      <c r="D17715" s="28"/>
      <c r="F17715" s="28"/>
      <c r="H17715" s="28"/>
    </row>
    <row r="17716" spans="4:8" x14ac:dyDescent="0.25">
      <c r="D17716" s="28"/>
      <c r="F17716" s="28"/>
      <c r="H17716" s="28"/>
    </row>
    <row r="17717" spans="4:8" x14ac:dyDescent="0.25">
      <c r="D17717" s="28"/>
      <c r="F17717" s="28"/>
      <c r="H17717" s="28"/>
    </row>
    <row r="17718" spans="4:8" x14ac:dyDescent="0.25">
      <c r="D17718" s="28"/>
      <c r="F17718" s="28"/>
      <c r="H17718" s="28"/>
    </row>
    <row r="17719" spans="4:8" x14ac:dyDescent="0.25">
      <c r="D17719" s="28"/>
      <c r="F17719" s="28"/>
      <c r="H17719" s="28"/>
    </row>
    <row r="17720" spans="4:8" x14ac:dyDescent="0.25">
      <c r="D17720" s="28"/>
      <c r="F17720" s="28"/>
      <c r="H17720" s="28"/>
    </row>
    <row r="17721" spans="4:8" x14ac:dyDescent="0.25">
      <c r="D17721" s="28"/>
      <c r="F17721" s="28"/>
      <c r="H17721" s="28"/>
    </row>
    <row r="17722" spans="4:8" x14ac:dyDescent="0.25">
      <c r="D17722" s="28"/>
      <c r="F17722" s="28"/>
      <c r="H17722" s="28"/>
    </row>
    <row r="17723" spans="4:8" x14ac:dyDescent="0.25">
      <c r="D17723" s="28"/>
      <c r="F17723" s="28"/>
      <c r="H17723" s="28"/>
    </row>
    <row r="17724" spans="4:8" x14ac:dyDescent="0.25">
      <c r="D17724" s="28"/>
      <c r="F17724" s="28"/>
      <c r="H17724" s="28"/>
    </row>
    <row r="17725" spans="4:8" x14ac:dyDescent="0.25">
      <c r="D17725" s="28"/>
      <c r="F17725" s="28"/>
      <c r="H17725" s="28"/>
    </row>
    <row r="17726" spans="4:8" x14ac:dyDescent="0.25">
      <c r="D17726" s="28"/>
      <c r="F17726" s="28"/>
      <c r="H17726" s="28"/>
    </row>
    <row r="17727" spans="4:8" x14ac:dyDescent="0.25">
      <c r="D17727" s="28"/>
      <c r="F17727" s="28"/>
      <c r="H17727" s="28"/>
    </row>
    <row r="17728" spans="4:8" x14ac:dyDescent="0.25">
      <c r="D17728" s="28"/>
      <c r="F17728" s="28"/>
      <c r="H17728" s="28"/>
    </row>
    <row r="17729" spans="4:8" x14ac:dyDescent="0.25">
      <c r="D17729" s="28"/>
      <c r="F17729" s="28"/>
      <c r="H17729" s="28"/>
    </row>
    <row r="17730" spans="4:8" x14ac:dyDescent="0.25">
      <c r="D17730" s="28"/>
      <c r="F17730" s="28"/>
      <c r="H17730" s="28"/>
    </row>
    <row r="17731" spans="4:8" x14ac:dyDescent="0.25">
      <c r="D17731" s="28"/>
      <c r="F17731" s="28"/>
      <c r="H17731" s="28"/>
    </row>
    <row r="17732" spans="4:8" x14ac:dyDescent="0.25">
      <c r="D17732" s="28"/>
      <c r="F17732" s="28"/>
      <c r="H17732" s="28"/>
    </row>
    <row r="17733" spans="4:8" x14ac:dyDescent="0.25">
      <c r="D17733" s="28"/>
      <c r="F17733" s="28"/>
      <c r="H17733" s="28"/>
    </row>
    <row r="17734" spans="4:8" x14ac:dyDescent="0.25">
      <c r="D17734" s="28"/>
      <c r="F17734" s="28"/>
      <c r="H17734" s="28"/>
    </row>
    <row r="17735" spans="4:8" x14ac:dyDescent="0.25">
      <c r="D17735" s="28"/>
      <c r="F17735" s="28"/>
      <c r="H17735" s="28"/>
    </row>
    <row r="17736" spans="4:8" x14ac:dyDescent="0.25">
      <c r="D17736" s="28"/>
      <c r="F17736" s="28"/>
      <c r="H17736" s="28"/>
    </row>
    <row r="17737" spans="4:8" x14ac:dyDescent="0.25">
      <c r="D17737" s="28"/>
      <c r="F17737" s="28"/>
      <c r="H17737" s="28"/>
    </row>
    <row r="17738" spans="4:8" x14ac:dyDescent="0.25">
      <c r="D17738" s="28"/>
      <c r="F17738" s="28"/>
      <c r="H17738" s="28"/>
    </row>
    <row r="17739" spans="4:8" x14ac:dyDescent="0.25">
      <c r="D17739" s="28"/>
      <c r="F17739" s="28"/>
      <c r="H17739" s="28"/>
    </row>
    <row r="17740" spans="4:8" x14ac:dyDescent="0.25">
      <c r="D17740" s="28"/>
      <c r="F17740" s="28"/>
      <c r="H17740" s="28"/>
    </row>
    <row r="17741" spans="4:8" x14ac:dyDescent="0.25">
      <c r="D17741" s="28"/>
      <c r="F17741" s="28"/>
      <c r="H17741" s="28"/>
    </row>
    <row r="17742" spans="4:8" x14ac:dyDescent="0.25">
      <c r="D17742" s="28"/>
      <c r="F17742" s="28"/>
      <c r="H17742" s="28"/>
    </row>
    <row r="17743" spans="4:8" x14ac:dyDescent="0.25">
      <c r="D17743" s="28"/>
      <c r="F17743" s="28"/>
      <c r="H17743" s="28"/>
    </row>
    <row r="17744" spans="4:8" x14ac:dyDescent="0.25">
      <c r="D17744" s="28"/>
      <c r="F17744" s="28"/>
      <c r="H17744" s="28"/>
    </row>
    <row r="17745" spans="4:8" x14ac:dyDescent="0.25">
      <c r="D17745" s="28"/>
      <c r="F17745" s="28"/>
      <c r="H17745" s="28"/>
    </row>
    <row r="17746" spans="4:8" x14ac:dyDescent="0.25">
      <c r="D17746" s="28"/>
      <c r="F17746" s="28"/>
      <c r="H17746" s="28"/>
    </row>
    <row r="17747" spans="4:8" x14ac:dyDescent="0.25">
      <c r="D17747" s="28"/>
      <c r="F17747" s="28"/>
      <c r="H17747" s="28"/>
    </row>
    <row r="17748" spans="4:8" x14ac:dyDescent="0.25">
      <c r="D17748" s="28"/>
      <c r="F17748" s="28"/>
      <c r="H17748" s="28"/>
    </row>
    <row r="17749" spans="4:8" x14ac:dyDescent="0.25">
      <c r="D17749" s="28"/>
      <c r="F17749" s="28"/>
      <c r="H17749" s="28"/>
    </row>
    <row r="17750" spans="4:8" x14ac:dyDescent="0.25">
      <c r="D17750" s="28"/>
      <c r="F17750" s="28"/>
      <c r="H17750" s="28"/>
    </row>
    <row r="17751" spans="4:8" x14ac:dyDescent="0.25">
      <c r="D17751" s="28"/>
      <c r="F17751" s="28"/>
      <c r="H17751" s="28"/>
    </row>
    <row r="17752" spans="4:8" x14ac:dyDescent="0.25">
      <c r="D17752" s="28"/>
      <c r="F17752" s="28"/>
      <c r="H17752" s="28"/>
    </row>
    <row r="17753" spans="4:8" x14ac:dyDescent="0.25">
      <c r="D17753" s="28"/>
      <c r="F17753" s="28"/>
      <c r="H17753" s="28"/>
    </row>
    <row r="17754" spans="4:8" x14ac:dyDescent="0.25">
      <c r="D17754" s="28"/>
      <c r="F17754" s="28"/>
      <c r="H17754" s="28"/>
    </row>
    <row r="17755" spans="4:8" x14ac:dyDescent="0.25">
      <c r="D17755" s="28"/>
      <c r="F17755" s="28"/>
      <c r="H17755" s="28"/>
    </row>
    <row r="17756" spans="4:8" x14ac:dyDescent="0.25">
      <c r="D17756" s="28"/>
      <c r="F17756" s="28"/>
      <c r="H17756" s="28"/>
    </row>
    <row r="17757" spans="4:8" x14ac:dyDescent="0.25">
      <c r="D17757" s="28"/>
      <c r="F17757" s="28"/>
      <c r="H17757" s="28"/>
    </row>
    <row r="17758" spans="4:8" x14ac:dyDescent="0.25">
      <c r="D17758" s="28"/>
      <c r="F17758" s="28"/>
      <c r="H17758" s="28"/>
    </row>
    <row r="17759" spans="4:8" x14ac:dyDescent="0.25">
      <c r="D17759" s="28"/>
      <c r="F17759" s="28"/>
      <c r="H17759" s="28"/>
    </row>
    <row r="17760" spans="4:8" x14ac:dyDescent="0.25">
      <c r="D17760" s="28"/>
      <c r="F17760" s="28"/>
      <c r="H17760" s="28"/>
    </row>
    <row r="17761" spans="4:8" x14ac:dyDescent="0.25">
      <c r="D17761" s="28"/>
      <c r="F17761" s="28"/>
      <c r="H17761" s="28"/>
    </row>
    <row r="17762" spans="4:8" x14ac:dyDescent="0.25">
      <c r="D17762" s="28"/>
      <c r="F17762" s="28"/>
      <c r="H17762" s="28"/>
    </row>
    <row r="17763" spans="4:8" x14ac:dyDescent="0.25">
      <c r="D17763" s="28"/>
      <c r="F17763" s="28"/>
      <c r="H17763" s="28"/>
    </row>
    <row r="17764" spans="4:8" x14ac:dyDescent="0.25">
      <c r="D17764" s="28"/>
      <c r="F17764" s="28"/>
      <c r="H17764" s="28"/>
    </row>
    <row r="17765" spans="4:8" x14ac:dyDescent="0.25">
      <c r="D17765" s="28"/>
      <c r="F17765" s="28"/>
      <c r="H17765" s="28"/>
    </row>
    <row r="17766" spans="4:8" x14ac:dyDescent="0.25">
      <c r="D17766" s="28"/>
      <c r="F17766" s="28"/>
      <c r="H17766" s="28"/>
    </row>
    <row r="17767" spans="4:8" x14ac:dyDescent="0.25">
      <c r="D17767" s="28"/>
      <c r="F17767" s="28"/>
      <c r="H17767" s="28"/>
    </row>
    <row r="17768" spans="4:8" x14ac:dyDescent="0.25">
      <c r="D17768" s="28"/>
      <c r="F17768" s="28"/>
      <c r="H17768" s="28"/>
    </row>
    <row r="17769" spans="4:8" x14ac:dyDescent="0.25">
      <c r="D17769" s="28"/>
      <c r="F17769" s="28"/>
      <c r="H17769" s="28"/>
    </row>
    <row r="17770" spans="4:8" x14ac:dyDescent="0.25">
      <c r="D17770" s="28"/>
      <c r="F17770" s="28"/>
      <c r="H17770" s="28"/>
    </row>
    <row r="17771" spans="4:8" x14ac:dyDescent="0.25">
      <c r="D17771" s="28"/>
      <c r="F17771" s="28"/>
      <c r="H17771" s="28"/>
    </row>
    <row r="17772" spans="4:8" x14ac:dyDescent="0.25">
      <c r="D17772" s="28"/>
      <c r="F17772" s="28"/>
      <c r="H17772" s="28"/>
    </row>
    <row r="17773" spans="4:8" x14ac:dyDescent="0.25">
      <c r="D17773" s="28"/>
      <c r="F17773" s="28"/>
      <c r="H17773" s="28"/>
    </row>
    <row r="17774" spans="4:8" x14ac:dyDescent="0.25">
      <c r="D17774" s="28"/>
      <c r="F17774" s="28"/>
      <c r="H17774" s="28"/>
    </row>
    <row r="17775" spans="4:8" x14ac:dyDescent="0.25">
      <c r="D17775" s="28"/>
      <c r="F17775" s="28"/>
      <c r="H17775" s="28"/>
    </row>
    <row r="17776" spans="4:8" x14ac:dyDescent="0.25">
      <c r="D17776" s="28"/>
      <c r="F17776" s="28"/>
      <c r="H17776" s="28"/>
    </row>
    <row r="17777" spans="4:8" x14ac:dyDescent="0.25">
      <c r="D17777" s="28"/>
      <c r="F17777" s="28"/>
      <c r="H17777" s="28"/>
    </row>
    <row r="17778" spans="4:8" x14ac:dyDescent="0.25">
      <c r="D17778" s="28"/>
      <c r="F17778" s="28"/>
      <c r="H17778" s="28"/>
    </row>
    <row r="17779" spans="4:8" x14ac:dyDescent="0.25">
      <c r="D17779" s="28"/>
      <c r="F17779" s="28"/>
      <c r="H17779" s="28"/>
    </row>
    <row r="17780" spans="4:8" x14ac:dyDescent="0.25">
      <c r="D17780" s="28"/>
      <c r="F17780" s="28"/>
      <c r="H17780" s="28"/>
    </row>
    <row r="17781" spans="4:8" x14ac:dyDescent="0.25">
      <c r="D17781" s="28"/>
      <c r="F17781" s="28"/>
      <c r="H17781" s="28"/>
    </row>
    <row r="17782" spans="4:8" x14ac:dyDescent="0.25">
      <c r="D17782" s="28"/>
      <c r="F17782" s="28"/>
      <c r="H17782" s="28"/>
    </row>
    <row r="17783" spans="4:8" x14ac:dyDescent="0.25">
      <c r="D17783" s="28"/>
      <c r="F17783" s="28"/>
      <c r="H17783" s="28"/>
    </row>
    <row r="17784" spans="4:8" x14ac:dyDescent="0.25">
      <c r="D17784" s="28"/>
      <c r="F17784" s="28"/>
      <c r="H17784" s="28"/>
    </row>
    <row r="17785" spans="4:8" x14ac:dyDescent="0.25">
      <c r="D17785" s="28"/>
      <c r="F17785" s="28"/>
      <c r="H17785" s="28"/>
    </row>
    <row r="17786" spans="4:8" x14ac:dyDescent="0.25">
      <c r="D17786" s="28"/>
      <c r="F17786" s="28"/>
      <c r="H17786" s="28"/>
    </row>
    <row r="17787" spans="4:8" x14ac:dyDescent="0.25">
      <c r="D17787" s="28"/>
      <c r="F17787" s="28"/>
      <c r="H17787" s="28"/>
    </row>
    <row r="17788" spans="4:8" x14ac:dyDescent="0.25">
      <c r="D17788" s="28"/>
      <c r="F17788" s="28"/>
      <c r="H17788" s="28"/>
    </row>
    <row r="17789" spans="4:8" x14ac:dyDescent="0.25">
      <c r="D17789" s="28"/>
      <c r="F17789" s="28"/>
      <c r="H17789" s="28"/>
    </row>
    <row r="17790" spans="4:8" x14ac:dyDescent="0.25">
      <c r="D17790" s="28"/>
      <c r="F17790" s="28"/>
      <c r="H17790" s="28"/>
    </row>
    <row r="17791" spans="4:8" x14ac:dyDescent="0.25">
      <c r="D17791" s="28"/>
      <c r="F17791" s="28"/>
      <c r="H17791" s="28"/>
    </row>
    <row r="17792" spans="4:8" x14ac:dyDescent="0.25">
      <c r="D17792" s="28"/>
      <c r="F17792" s="28"/>
      <c r="H17792" s="28"/>
    </row>
    <row r="17793" spans="4:8" x14ac:dyDescent="0.25">
      <c r="D17793" s="28"/>
      <c r="F17793" s="28"/>
      <c r="H17793" s="28"/>
    </row>
    <row r="17794" spans="4:8" x14ac:dyDescent="0.25">
      <c r="D17794" s="28"/>
      <c r="F17794" s="28"/>
      <c r="H17794" s="28"/>
    </row>
    <row r="17795" spans="4:8" x14ac:dyDescent="0.25">
      <c r="D17795" s="28"/>
      <c r="F17795" s="28"/>
      <c r="H17795" s="28"/>
    </row>
    <row r="17796" spans="4:8" x14ac:dyDescent="0.25">
      <c r="D17796" s="28"/>
      <c r="F17796" s="28"/>
      <c r="H17796" s="28"/>
    </row>
    <row r="17797" spans="4:8" x14ac:dyDescent="0.25">
      <c r="D17797" s="28"/>
      <c r="F17797" s="28"/>
      <c r="H17797" s="28"/>
    </row>
    <row r="17798" spans="4:8" x14ac:dyDescent="0.25">
      <c r="D17798" s="28"/>
      <c r="F17798" s="28"/>
      <c r="H17798" s="28"/>
    </row>
    <row r="17799" spans="4:8" x14ac:dyDescent="0.25">
      <c r="D17799" s="28"/>
      <c r="F17799" s="28"/>
      <c r="H17799" s="28"/>
    </row>
    <row r="17800" spans="4:8" x14ac:dyDescent="0.25">
      <c r="D17800" s="28"/>
      <c r="F17800" s="28"/>
      <c r="H17800" s="28"/>
    </row>
    <row r="17801" spans="4:8" x14ac:dyDescent="0.25">
      <c r="D17801" s="28"/>
      <c r="F17801" s="28"/>
      <c r="H17801" s="28"/>
    </row>
    <row r="17802" spans="4:8" x14ac:dyDescent="0.25">
      <c r="D17802" s="28"/>
      <c r="F17802" s="28"/>
      <c r="H17802" s="28"/>
    </row>
    <row r="17803" spans="4:8" x14ac:dyDescent="0.25">
      <c r="D17803" s="28"/>
      <c r="F17803" s="28"/>
      <c r="H17803" s="28"/>
    </row>
    <row r="17804" spans="4:8" x14ac:dyDescent="0.25">
      <c r="D17804" s="28"/>
      <c r="F17804" s="28"/>
      <c r="H17804" s="28"/>
    </row>
    <row r="17805" spans="4:8" x14ac:dyDescent="0.25">
      <c r="D17805" s="28"/>
      <c r="F17805" s="28"/>
      <c r="H17805" s="28"/>
    </row>
    <row r="17806" spans="4:8" x14ac:dyDescent="0.25">
      <c r="D17806" s="28"/>
      <c r="F17806" s="28"/>
      <c r="H17806" s="28"/>
    </row>
    <row r="17807" spans="4:8" x14ac:dyDescent="0.25">
      <c r="D17807" s="28"/>
      <c r="F17807" s="28"/>
      <c r="H17807" s="28"/>
    </row>
    <row r="17808" spans="4:8" x14ac:dyDescent="0.25">
      <c r="D17808" s="28"/>
      <c r="F17808" s="28"/>
      <c r="H17808" s="28"/>
    </row>
    <row r="17809" spans="4:8" x14ac:dyDescent="0.25">
      <c r="D17809" s="28"/>
      <c r="F17809" s="28"/>
      <c r="H17809" s="28"/>
    </row>
    <row r="17810" spans="4:8" x14ac:dyDescent="0.25">
      <c r="D17810" s="28"/>
      <c r="F17810" s="28"/>
      <c r="H17810" s="28"/>
    </row>
    <row r="17811" spans="4:8" x14ac:dyDescent="0.25">
      <c r="D17811" s="28"/>
      <c r="F17811" s="28"/>
      <c r="H17811" s="28"/>
    </row>
    <row r="17812" spans="4:8" x14ac:dyDescent="0.25">
      <c r="D17812" s="28"/>
      <c r="F17812" s="28"/>
      <c r="H17812" s="28"/>
    </row>
    <row r="17813" spans="4:8" x14ac:dyDescent="0.25">
      <c r="D17813" s="28"/>
      <c r="F17813" s="28"/>
      <c r="H17813" s="28"/>
    </row>
    <row r="17814" spans="4:8" x14ac:dyDescent="0.25">
      <c r="D17814" s="28"/>
      <c r="F17814" s="28"/>
      <c r="H17814" s="28"/>
    </row>
    <row r="17815" spans="4:8" x14ac:dyDescent="0.25">
      <c r="D17815" s="28"/>
      <c r="F17815" s="28"/>
      <c r="H17815" s="28"/>
    </row>
    <row r="17816" spans="4:8" x14ac:dyDescent="0.25">
      <c r="D17816" s="28"/>
      <c r="F17816" s="28"/>
      <c r="H17816" s="28"/>
    </row>
    <row r="17817" spans="4:8" x14ac:dyDescent="0.25">
      <c r="D17817" s="28"/>
      <c r="F17817" s="28"/>
      <c r="H17817" s="28"/>
    </row>
    <row r="17818" spans="4:8" x14ac:dyDescent="0.25">
      <c r="D17818" s="28"/>
      <c r="F17818" s="28"/>
      <c r="H17818" s="28"/>
    </row>
    <row r="17819" spans="4:8" x14ac:dyDescent="0.25">
      <c r="D17819" s="28"/>
      <c r="F17819" s="28"/>
      <c r="H17819" s="28"/>
    </row>
    <row r="17820" spans="4:8" x14ac:dyDescent="0.25">
      <c r="D17820" s="28"/>
      <c r="F17820" s="28"/>
      <c r="H17820" s="28"/>
    </row>
    <row r="17821" spans="4:8" x14ac:dyDescent="0.25">
      <c r="D17821" s="28"/>
      <c r="F17821" s="28"/>
      <c r="H17821" s="28"/>
    </row>
    <row r="17822" spans="4:8" x14ac:dyDescent="0.25">
      <c r="D17822" s="28"/>
      <c r="F17822" s="28"/>
      <c r="H17822" s="28"/>
    </row>
    <row r="17823" spans="4:8" x14ac:dyDescent="0.25">
      <c r="D17823" s="28"/>
      <c r="F17823" s="28"/>
      <c r="H17823" s="28"/>
    </row>
    <row r="17824" spans="4:8" x14ac:dyDescent="0.25">
      <c r="D17824" s="28"/>
      <c r="F17824" s="28"/>
      <c r="H17824" s="28"/>
    </row>
    <row r="17825" spans="4:8" x14ac:dyDescent="0.25">
      <c r="D17825" s="28"/>
      <c r="F17825" s="28"/>
      <c r="H17825" s="28"/>
    </row>
    <row r="17826" spans="4:8" x14ac:dyDescent="0.25">
      <c r="D17826" s="28"/>
      <c r="F17826" s="28"/>
      <c r="H17826" s="28"/>
    </row>
    <row r="17827" spans="4:8" x14ac:dyDescent="0.25">
      <c r="D17827" s="28"/>
      <c r="F17827" s="28"/>
      <c r="H17827" s="28"/>
    </row>
    <row r="17828" spans="4:8" x14ac:dyDescent="0.25">
      <c r="D17828" s="28"/>
      <c r="F17828" s="28"/>
      <c r="H17828" s="28"/>
    </row>
    <row r="17829" spans="4:8" x14ac:dyDescent="0.25">
      <c r="D17829" s="28"/>
      <c r="F17829" s="28"/>
      <c r="H17829" s="28"/>
    </row>
    <row r="17830" spans="4:8" x14ac:dyDescent="0.25">
      <c r="D17830" s="28"/>
      <c r="F17830" s="28"/>
      <c r="H17830" s="28"/>
    </row>
    <row r="17831" spans="4:8" x14ac:dyDescent="0.25">
      <c r="D17831" s="28"/>
      <c r="F17831" s="28"/>
      <c r="H17831" s="28"/>
    </row>
    <row r="17832" spans="4:8" x14ac:dyDescent="0.25">
      <c r="D17832" s="28"/>
      <c r="F17832" s="28"/>
      <c r="H17832" s="28"/>
    </row>
    <row r="17833" spans="4:8" x14ac:dyDescent="0.25">
      <c r="D17833" s="28"/>
      <c r="F17833" s="28"/>
      <c r="H17833" s="28"/>
    </row>
    <row r="17834" spans="4:8" x14ac:dyDescent="0.25">
      <c r="D17834" s="28"/>
      <c r="F17834" s="28"/>
      <c r="H17834" s="28"/>
    </row>
    <row r="17835" spans="4:8" x14ac:dyDescent="0.25">
      <c r="D17835" s="28"/>
      <c r="F17835" s="28"/>
      <c r="H17835" s="28"/>
    </row>
    <row r="17836" spans="4:8" x14ac:dyDescent="0.25">
      <c r="D17836" s="28"/>
      <c r="F17836" s="28"/>
      <c r="H17836" s="28"/>
    </row>
    <row r="17837" spans="4:8" x14ac:dyDescent="0.25">
      <c r="D17837" s="28"/>
      <c r="F17837" s="28"/>
      <c r="H17837" s="28"/>
    </row>
    <row r="17838" spans="4:8" x14ac:dyDescent="0.25">
      <c r="D17838" s="28"/>
      <c r="F17838" s="28"/>
      <c r="H17838" s="28"/>
    </row>
    <row r="17839" spans="4:8" x14ac:dyDescent="0.25">
      <c r="D17839" s="28"/>
      <c r="F17839" s="28"/>
      <c r="H17839" s="28"/>
    </row>
    <row r="17840" spans="4:8" x14ac:dyDescent="0.25">
      <c r="D17840" s="28"/>
      <c r="F17840" s="28"/>
      <c r="H17840" s="28"/>
    </row>
    <row r="17841" spans="4:8" x14ac:dyDescent="0.25">
      <c r="D17841" s="28"/>
      <c r="F17841" s="28"/>
      <c r="H17841" s="28"/>
    </row>
    <row r="17842" spans="4:8" x14ac:dyDescent="0.25">
      <c r="D17842" s="28"/>
      <c r="F17842" s="28"/>
      <c r="H17842" s="28"/>
    </row>
    <row r="17843" spans="4:8" x14ac:dyDescent="0.25">
      <c r="D17843" s="28"/>
      <c r="F17843" s="28"/>
      <c r="H17843" s="28"/>
    </row>
    <row r="17844" spans="4:8" x14ac:dyDescent="0.25">
      <c r="D17844" s="28"/>
      <c r="F17844" s="28"/>
      <c r="H17844" s="28"/>
    </row>
    <row r="17845" spans="4:8" x14ac:dyDescent="0.25">
      <c r="D17845" s="28"/>
      <c r="F17845" s="28"/>
      <c r="H17845" s="28"/>
    </row>
    <row r="17846" spans="4:8" x14ac:dyDescent="0.25">
      <c r="D17846" s="28"/>
      <c r="F17846" s="28"/>
      <c r="H17846" s="28"/>
    </row>
    <row r="17847" spans="4:8" x14ac:dyDescent="0.25">
      <c r="D17847" s="28"/>
      <c r="F17847" s="28"/>
      <c r="H17847" s="28"/>
    </row>
    <row r="17848" spans="4:8" x14ac:dyDescent="0.25">
      <c r="D17848" s="28"/>
      <c r="F17848" s="28"/>
      <c r="H17848" s="28"/>
    </row>
    <row r="17849" spans="4:8" x14ac:dyDescent="0.25">
      <c r="D17849" s="28"/>
      <c r="F17849" s="28"/>
      <c r="H17849" s="28"/>
    </row>
    <row r="17850" spans="4:8" x14ac:dyDescent="0.25">
      <c r="D17850" s="28"/>
      <c r="F17850" s="28"/>
      <c r="H17850" s="28"/>
    </row>
    <row r="17851" spans="4:8" x14ac:dyDescent="0.25">
      <c r="D17851" s="28"/>
      <c r="F17851" s="28"/>
      <c r="H17851" s="28"/>
    </row>
    <row r="17852" spans="4:8" x14ac:dyDescent="0.25">
      <c r="D17852" s="28"/>
      <c r="F17852" s="28"/>
      <c r="H17852" s="28"/>
    </row>
    <row r="17853" spans="4:8" x14ac:dyDescent="0.25">
      <c r="D17853" s="28"/>
      <c r="F17853" s="28"/>
      <c r="H17853" s="28"/>
    </row>
    <row r="17854" spans="4:8" x14ac:dyDescent="0.25">
      <c r="D17854" s="28"/>
      <c r="F17854" s="28"/>
      <c r="H17854" s="28"/>
    </row>
    <row r="17855" spans="4:8" x14ac:dyDescent="0.25">
      <c r="D17855" s="28"/>
      <c r="F17855" s="28"/>
      <c r="H17855" s="28"/>
    </row>
    <row r="17856" spans="4:8" x14ac:dyDescent="0.25">
      <c r="D17856" s="28"/>
      <c r="F17856" s="28"/>
      <c r="H17856" s="28"/>
    </row>
    <row r="17857" spans="4:8" x14ac:dyDescent="0.25">
      <c r="D17857" s="28"/>
      <c r="F17857" s="28"/>
      <c r="H17857" s="28"/>
    </row>
    <row r="17858" spans="4:8" x14ac:dyDescent="0.25">
      <c r="D17858" s="28"/>
      <c r="F17858" s="28"/>
      <c r="H17858" s="28"/>
    </row>
    <row r="17859" spans="4:8" x14ac:dyDescent="0.25">
      <c r="D17859" s="28"/>
      <c r="F17859" s="28"/>
      <c r="H17859" s="28"/>
    </row>
    <row r="17860" spans="4:8" x14ac:dyDescent="0.25">
      <c r="D17860" s="28"/>
      <c r="F17860" s="28"/>
      <c r="H17860" s="28"/>
    </row>
    <row r="17861" spans="4:8" x14ac:dyDescent="0.25">
      <c r="D17861" s="28"/>
      <c r="F17861" s="28"/>
      <c r="H17861" s="28"/>
    </row>
    <row r="17862" spans="4:8" x14ac:dyDescent="0.25">
      <c r="D17862" s="28"/>
      <c r="F17862" s="28"/>
      <c r="H17862" s="28"/>
    </row>
    <row r="17863" spans="4:8" x14ac:dyDescent="0.25">
      <c r="D17863" s="28"/>
      <c r="F17863" s="28"/>
      <c r="H17863" s="28"/>
    </row>
    <row r="17864" spans="4:8" x14ac:dyDescent="0.25">
      <c r="D17864" s="28"/>
      <c r="F17864" s="28"/>
      <c r="H17864" s="28"/>
    </row>
    <row r="17865" spans="4:8" x14ac:dyDescent="0.25">
      <c r="D17865" s="28"/>
      <c r="F17865" s="28"/>
      <c r="H17865" s="28"/>
    </row>
    <row r="17866" spans="4:8" x14ac:dyDescent="0.25">
      <c r="D17866" s="28"/>
      <c r="F17866" s="28"/>
      <c r="H17866" s="28"/>
    </row>
    <row r="17867" spans="4:8" x14ac:dyDescent="0.25">
      <c r="D17867" s="28"/>
      <c r="F17867" s="28"/>
      <c r="H17867" s="28"/>
    </row>
    <row r="17868" spans="4:8" x14ac:dyDescent="0.25">
      <c r="D17868" s="28"/>
      <c r="F17868" s="28"/>
      <c r="H17868" s="28"/>
    </row>
    <row r="17869" spans="4:8" x14ac:dyDescent="0.25">
      <c r="D17869" s="28"/>
      <c r="F17869" s="28"/>
      <c r="H17869" s="28"/>
    </row>
    <row r="17870" spans="4:8" x14ac:dyDescent="0.25">
      <c r="D17870" s="28"/>
      <c r="F17870" s="28"/>
      <c r="H17870" s="28"/>
    </row>
    <row r="17871" spans="4:8" x14ac:dyDescent="0.25">
      <c r="D17871" s="28"/>
      <c r="F17871" s="28"/>
      <c r="H17871" s="28"/>
    </row>
    <row r="17872" spans="4:8" x14ac:dyDescent="0.25">
      <c r="D17872" s="28"/>
      <c r="F17872" s="28"/>
      <c r="H17872" s="28"/>
    </row>
    <row r="17873" spans="4:8" x14ac:dyDescent="0.25">
      <c r="D17873" s="28"/>
      <c r="F17873" s="28"/>
      <c r="H17873" s="28"/>
    </row>
    <row r="17874" spans="4:8" x14ac:dyDescent="0.25">
      <c r="D17874" s="28"/>
      <c r="F17874" s="28"/>
      <c r="H17874" s="28"/>
    </row>
    <row r="17875" spans="4:8" x14ac:dyDescent="0.25">
      <c r="D17875" s="28"/>
      <c r="F17875" s="28"/>
      <c r="H17875" s="28"/>
    </row>
    <row r="17876" spans="4:8" x14ac:dyDescent="0.25">
      <c r="D17876" s="28"/>
      <c r="F17876" s="28"/>
      <c r="H17876" s="28"/>
    </row>
    <row r="17877" spans="4:8" x14ac:dyDescent="0.25">
      <c r="D17877" s="28"/>
      <c r="F17877" s="28"/>
      <c r="H17877" s="28"/>
    </row>
    <row r="17878" spans="4:8" x14ac:dyDescent="0.25">
      <c r="D17878" s="28"/>
      <c r="F17878" s="28"/>
      <c r="H17878" s="28"/>
    </row>
    <row r="17879" spans="4:8" x14ac:dyDescent="0.25">
      <c r="D17879" s="28"/>
      <c r="F17879" s="28"/>
      <c r="H17879" s="28"/>
    </row>
    <row r="17880" spans="4:8" x14ac:dyDescent="0.25">
      <c r="D17880" s="28"/>
      <c r="F17880" s="28"/>
      <c r="H17880" s="28"/>
    </row>
    <row r="17881" spans="4:8" x14ac:dyDescent="0.25">
      <c r="D17881" s="28"/>
      <c r="F17881" s="28"/>
      <c r="H17881" s="28"/>
    </row>
    <row r="17882" spans="4:8" x14ac:dyDescent="0.25">
      <c r="D17882" s="28"/>
      <c r="F17882" s="28"/>
      <c r="H17882" s="28"/>
    </row>
    <row r="17883" spans="4:8" x14ac:dyDescent="0.25">
      <c r="D17883" s="28"/>
      <c r="F17883" s="28"/>
      <c r="H17883" s="28"/>
    </row>
    <row r="17884" spans="4:8" x14ac:dyDescent="0.25">
      <c r="D17884" s="28"/>
      <c r="F17884" s="28"/>
      <c r="H17884" s="28"/>
    </row>
    <row r="17885" spans="4:8" x14ac:dyDescent="0.25">
      <c r="D17885" s="28"/>
      <c r="F17885" s="28"/>
      <c r="H17885" s="28"/>
    </row>
    <row r="17886" spans="4:8" x14ac:dyDescent="0.25">
      <c r="D17886" s="28"/>
      <c r="F17886" s="28"/>
      <c r="H17886" s="28"/>
    </row>
    <row r="17887" spans="4:8" x14ac:dyDescent="0.25">
      <c r="D17887" s="28"/>
      <c r="F17887" s="28"/>
      <c r="H17887" s="28"/>
    </row>
    <row r="17888" spans="4:8" x14ac:dyDescent="0.25">
      <c r="D17888" s="28"/>
      <c r="F17888" s="28"/>
      <c r="H17888" s="28"/>
    </row>
    <row r="17889" spans="4:8" x14ac:dyDescent="0.25">
      <c r="D17889" s="28"/>
      <c r="F17889" s="28"/>
      <c r="H17889" s="28"/>
    </row>
    <row r="17890" spans="4:8" x14ac:dyDescent="0.25">
      <c r="D17890" s="28"/>
      <c r="F17890" s="28"/>
      <c r="H17890" s="28"/>
    </row>
    <row r="17891" spans="4:8" x14ac:dyDescent="0.25">
      <c r="D17891" s="28"/>
      <c r="F17891" s="28"/>
      <c r="H17891" s="28"/>
    </row>
    <row r="17892" spans="4:8" x14ac:dyDescent="0.25">
      <c r="D17892" s="28"/>
      <c r="F17892" s="28"/>
      <c r="H17892" s="28"/>
    </row>
    <row r="17893" spans="4:8" x14ac:dyDescent="0.25">
      <c r="D17893" s="28"/>
      <c r="F17893" s="28"/>
      <c r="H17893" s="28"/>
    </row>
    <row r="17894" spans="4:8" x14ac:dyDescent="0.25">
      <c r="D17894" s="28"/>
      <c r="F17894" s="28"/>
      <c r="H17894" s="28"/>
    </row>
    <row r="17895" spans="4:8" x14ac:dyDescent="0.25">
      <c r="D17895" s="28"/>
      <c r="F17895" s="28"/>
      <c r="H17895" s="28"/>
    </row>
    <row r="17896" spans="4:8" x14ac:dyDescent="0.25">
      <c r="D17896" s="28"/>
      <c r="F17896" s="28"/>
      <c r="H17896" s="28"/>
    </row>
    <row r="17897" spans="4:8" x14ac:dyDescent="0.25">
      <c r="D17897" s="28"/>
      <c r="F17897" s="28"/>
      <c r="H17897" s="28"/>
    </row>
    <row r="17898" spans="4:8" x14ac:dyDescent="0.25">
      <c r="D17898" s="28"/>
      <c r="F17898" s="28"/>
      <c r="H17898" s="28"/>
    </row>
    <row r="17899" spans="4:8" x14ac:dyDescent="0.25">
      <c r="D17899" s="28"/>
      <c r="F17899" s="28"/>
      <c r="H17899" s="28"/>
    </row>
    <row r="17900" spans="4:8" x14ac:dyDescent="0.25">
      <c r="D17900" s="28"/>
      <c r="F17900" s="28"/>
      <c r="H17900" s="28"/>
    </row>
    <row r="17901" spans="4:8" x14ac:dyDescent="0.25">
      <c r="D17901" s="28"/>
      <c r="F17901" s="28"/>
      <c r="H17901" s="28"/>
    </row>
    <row r="17902" spans="4:8" x14ac:dyDescent="0.25">
      <c r="D17902" s="28"/>
      <c r="F17902" s="28"/>
      <c r="H17902" s="28"/>
    </row>
    <row r="17903" spans="4:8" x14ac:dyDescent="0.25">
      <c r="D17903" s="28"/>
      <c r="F17903" s="28"/>
      <c r="H17903" s="28"/>
    </row>
    <row r="17904" spans="4:8" x14ac:dyDescent="0.25">
      <c r="D17904" s="28"/>
      <c r="F17904" s="28"/>
      <c r="H17904" s="28"/>
    </row>
    <row r="17905" spans="4:8" x14ac:dyDescent="0.25">
      <c r="D17905" s="28"/>
      <c r="F17905" s="28"/>
      <c r="H17905" s="28"/>
    </row>
    <row r="17906" spans="4:8" x14ac:dyDescent="0.25">
      <c r="D17906" s="28"/>
      <c r="F17906" s="28"/>
      <c r="H17906" s="28"/>
    </row>
    <row r="17907" spans="4:8" x14ac:dyDescent="0.25">
      <c r="D17907" s="28"/>
      <c r="F17907" s="28"/>
      <c r="H17907" s="28"/>
    </row>
    <row r="17908" spans="4:8" x14ac:dyDescent="0.25">
      <c r="D17908" s="28"/>
      <c r="F17908" s="28"/>
      <c r="H17908" s="28"/>
    </row>
    <row r="17909" spans="4:8" x14ac:dyDescent="0.25">
      <c r="D17909" s="28"/>
      <c r="F17909" s="28"/>
      <c r="H17909" s="28"/>
    </row>
    <row r="17910" spans="4:8" x14ac:dyDescent="0.25">
      <c r="D17910" s="28"/>
      <c r="F17910" s="28"/>
      <c r="H17910" s="28"/>
    </row>
    <row r="17911" spans="4:8" x14ac:dyDescent="0.25">
      <c r="D17911" s="28"/>
      <c r="F17911" s="28"/>
      <c r="H17911" s="28"/>
    </row>
    <row r="17912" spans="4:8" x14ac:dyDescent="0.25">
      <c r="D17912" s="28"/>
      <c r="F17912" s="28"/>
      <c r="H17912" s="28"/>
    </row>
    <row r="17913" spans="4:8" x14ac:dyDescent="0.25">
      <c r="D17913" s="28"/>
      <c r="F17913" s="28"/>
      <c r="H17913" s="28"/>
    </row>
    <row r="17914" spans="4:8" x14ac:dyDescent="0.25">
      <c r="D17914" s="28"/>
      <c r="F17914" s="28"/>
      <c r="H17914" s="28"/>
    </row>
    <row r="17915" spans="4:8" x14ac:dyDescent="0.25">
      <c r="D17915" s="28"/>
      <c r="F17915" s="28"/>
      <c r="H17915" s="28"/>
    </row>
    <row r="17916" spans="4:8" x14ac:dyDescent="0.25">
      <c r="D17916" s="28"/>
      <c r="F17916" s="28"/>
      <c r="H17916" s="28"/>
    </row>
    <row r="17917" spans="4:8" x14ac:dyDescent="0.25">
      <c r="D17917" s="28"/>
      <c r="F17917" s="28"/>
      <c r="H17917" s="28"/>
    </row>
    <row r="17918" spans="4:8" x14ac:dyDescent="0.25">
      <c r="D17918" s="28"/>
      <c r="F17918" s="28"/>
      <c r="H17918" s="28"/>
    </row>
    <row r="17919" spans="4:8" x14ac:dyDescent="0.25">
      <c r="D17919" s="28"/>
      <c r="F17919" s="28"/>
      <c r="H17919" s="28"/>
    </row>
    <row r="17920" spans="4:8" x14ac:dyDescent="0.25">
      <c r="D17920" s="28"/>
      <c r="F17920" s="28"/>
      <c r="H17920" s="28"/>
    </row>
    <row r="17921" spans="4:8" x14ac:dyDescent="0.25">
      <c r="D17921" s="28"/>
      <c r="F17921" s="28"/>
      <c r="H17921" s="28"/>
    </row>
    <row r="17922" spans="4:8" x14ac:dyDescent="0.25">
      <c r="D17922" s="28"/>
      <c r="F17922" s="28"/>
      <c r="H17922" s="28"/>
    </row>
    <row r="17923" spans="4:8" x14ac:dyDescent="0.25">
      <c r="D17923" s="28"/>
      <c r="F17923" s="28"/>
      <c r="H17923" s="28"/>
    </row>
    <row r="17924" spans="4:8" x14ac:dyDescent="0.25">
      <c r="D17924" s="28"/>
      <c r="F17924" s="28"/>
      <c r="H17924" s="28"/>
    </row>
    <row r="17925" spans="4:8" x14ac:dyDescent="0.25">
      <c r="D17925" s="28"/>
      <c r="F17925" s="28"/>
      <c r="H17925" s="28"/>
    </row>
    <row r="17926" spans="4:8" x14ac:dyDescent="0.25">
      <c r="D17926" s="28"/>
      <c r="F17926" s="28"/>
      <c r="H17926" s="28"/>
    </row>
    <row r="17927" spans="4:8" x14ac:dyDescent="0.25">
      <c r="D17927" s="28"/>
      <c r="F17927" s="28"/>
      <c r="H17927" s="28"/>
    </row>
    <row r="17928" spans="4:8" x14ac:dyDescent="0.25">
      <c r="D17928" s="28"/>
      <c r="F17928" s="28"/>
      <c r="H17928" s="28"/>
    </row>
    <row r="17929" spans="4:8" x14ac:dyDescent="0.25">
      <c r="D17929" s="28"/>
      <c r="F17929" s="28"/>
      <c r="H17929" s="28"/>
    </row>
    <row r="17930" spans="4:8" x14ac:dyDescent="0.25">
      <c r="D17930" s="28"/>
      <c r="F17930" s="28"/>
      <c r="H17930" s="28"/>
    </row>
    <row r="17931" spans="4:8" x14ac:dyDescent="0.25">
      <c r="D17931" s="28"/>
      <c r="F17931" s="28"/>
      <c r="H17931" s="28"/>
    </row>
    <row r="17932" spans="4:8" x14ac:dyDescent="0.25">
      <c r="D17932" s="28"/>
      <c r="F17932" s="28"/>
      <c r="H17932" s="28"/>
    </row>
    <row r="17933" spans="4:8" x14ac:dyDescent="0.25">
      <c r="D17933" s="28"/>
      <c r="F17933" s="28"/>
      <c r="H17933" s="28"/>
    </row>
    <row r="17934" spans="4:8" x14ac:dyDescent="0.25">
      <c r="D17934" s="28"/>
      <c r="F17934" s="28"/>
      <c r="H17934" s="28"/>
    </row>
    <row r="17935" spans="4:8" x14ac:dyDescent="0.25">
      <c r="D17935" s="28"/>
      <c r="F17935" s="28"/>
      <c r="H17935" s="28"/>
    </row>
    <row r="17936" spans="4:8" x14ac:dyDescent="0.25">
      <c r="D17936" s="28"/>
      <c r="F17936" s="28"/>
      <c r="H17936" s="28"/>
    </row>
    <row r="17937" spans="4:8" x14ac:dyDescent="0.25">
      <c r="D17937" s="28"/>
      <c r="F17937" s="28"/>
      <c r="H17937" s="28"/>
    </row>
    <row r="17938" spans="4:8" x14ac:dyDescent="0.25">
      <c r="D17938" s="28"/>
      <c r="F17938" s="28"/>
      <c r="H17938" s="28"/>
    </row>
    <row r="17939" spans="4:8" x14ac:dyDescent="0.25">
      <c r="D17939" s="28"/>
      <c r="F17939" s="28"/>
      <c r="H17939" s="28"/>
    </row>
    <row r="17940" spans="4:8" x14ac:dyDescent="0.25">
      <c r="D17940" s="28"/>
      <c r="F17940" s="28"/>
      <c r="H17940" s="28"/>
    </row>
    <row r="17941" spans="4:8" x14ac:dyDescent="0.25">
      <c r="D17941" s="28"/>
      <c r="F17941" s="28"/>
      <c r="H17941" s="28"/>
    </row>
    <row r="17942" spans="4:8" x14ac:dyDescent="0.25">
      <c r="D17942" s="28"/>
      <c r="F17942" s="28"/>
      <c r="H17942" s="28"/>
    </row>
    <row r="17943" spans="4:8" x14ac:dyDescent="0.25">
      <c r="D17943" s="28"/>
      <c r="F17943" s="28"/>
      <c r="H17943" s="28"/>
    </row>
    <row r="17944" spans="4:8" x14ac:dyDescent="0.25">
      <c r="D17944" s="28"/>
      <c r="F17944" s="28"/>
      <c r="H17944" s="28"/>
    </row>
    <row r="17945" spans="4:8" x14ac:dyDescent="0.25">
      <c r="D17945" s="28"/>
      <c r="F17945" s="28"/>
      <c r="H17945" s="28"/>
    </row>
    <row r="17946" spans="4:8" x14ac:dyDescent="0.25">
      <c r="D17946" s="28"/>
      <c r="F17946" s="28"/>
      <c r="H17946" s="28"/>
    </row>
    <row r="17947" spans="4:8" x14ac:dyDescent="0.25">
      <c r="D17947" s="28"/>
      <c r="F17947" s="28"/>
      <c r="H17947" s="28"/>
    </row>
    <row r="17948" spans="4:8" x14ac:dyDescent="0.25">
      <c r="D17948" s="28"/>
      <c r="F17948" s="28"/>
      <c r="H17948" s="28"/>
    </row>
    <row r="17949" spans="4:8" x14ac:dyDescent="0.25">
      <c r="D17949" s="28"/>
      <c r="F17949" s="28"/>
      <c r="H17949" s="28"/>
    </row>
    <row r="17950" spans="4:8" x14ac:dyDescent="0.25">
      <c r="D17950" s="28"/>
      <c r="F17950" s="28"/>
      <c r="H17950" s="28"/>
    </row>
    <row r="17951" spans="4:8" x14ac:dyDescent="0.25">
      <c r="D17951" s="28"/>
      <c r="F17951" s="28"/>
      <c r="H17951" s="28"/>
    </row>
    <row r="17952" spans="4:8" x14ac:dyDescent="0.25">
      <c r="D17952" s="28"/>
      <c r="F17952" s="28"/>
      <c r="H17952" s="28"/>
    </row>
    <row r="17953" spans="4:8" x14ac:dyDescent="0.25">
      <c r="D17953" s="28"/>
      <c r="F17953" s="28"/>
      <c r="H17953" s="28"/>
    </row>
    <row r="17954" spans="4:8" x14ac:dyDescent="0.25">
      <c r="D17954" s="28"/>
      <c r="F17954" s="28"/>
      <c r="H17954" s="28"/>
    </row>
    <row r="17955" spans="4:8" x14ac:dyDescent="0.25">
      <c r="D17955" s="28"/>
      <c r="F17955" s="28"/>
      <c r="H17955" s="28"/>
    </row>
    <row r="17956" spans="4:8" x14ac:dyDescent="0.25">
      <c r="D17956" s="28"/>
      <c r="F17956" s="28"/>
      <c r="H17956" s="28"/>
    </row>
    <row r="17957" spans="4:8" x14ac:dyDescent="0.25">
      <c r="D17957" s="28"/>
      <c r="F17957" s="28"/>
      <c r="H17957" s="28"/>
    </row>
    <row r="17958" spans="4:8" x14ac:dyDescent="0.25">
      <c r="D17958" s="28"/>
      <c r="F17958" s="28"/>
      <c r="H17958" s="28"/>
    </row>
    <row r="17959" spans="4:8" x14ac:dyDescent="0.25">
      <c r="D17959" s="28"/>
      <c r="F17959" s="28"/>
      <c r="H17959" s="28"/>
    </row>
    <row r="17960" spans="4:8" x14ac:dyDescent="0.25">
      <c r="D17960" s="28"/>
      <c r="F17960" s="28"/>
      <c r="H17960" s="28"/>
    </row>
    <row r="17961" spans="4:8" x14ac:dyDescent="0.25">
      <c r="D17961" s="28"/>
      <c r="F17961" s="28"/>
      <c r="H17961" s="28"/>
    </row>
    <row r="17962" spans="4:8" x14ac:dyDescent="0.25">
      <c r="D17962" s="28"/>
      <c r="F17962" s="28"/>
      <c r="H17962" s="28"/>
    </row>
    <row r="17963" spans="4:8" x14ac:dyDescent="0.25">
      <c r="D17963" s="28"/>
      <c r="F17963" s="28"/>
      <c r="H17963" s="28"/>
    </row>
    <row r="17964" spans="4:8" x14ac:dyDescent="0.25">
      <c r="D17964" s="28"/>
      <c r="F17964" s="28"/>
      <c r="H17964" s="28"/>
    </row>
    <row r="17965" spans="4:8" x14ac:dyDescent="0.25">
      <c r="D17965" s="28"/>
      <c r="F17965" s="28"/>
      <c r="H17965" s="28"/>
    </row>
    <row r="17966" spans="4:8" x14ac:dyDescent="0.25">
      <c r="D17966" s="28"/>
      <c r="F17966" s="28"/>
      <c r="H17966" s="28"/>
    </row>
    <row r="17967" spans="4:8" x14ac:dyDescent="0.25">
      <c r="D17967" s="28"/>
      <c r="F17967" s="28"/>
      <c r="H17967" s="28"/>
    </row>
    <row r="17968" spans="4:8" x14ac:dyDescent="0.25">
      <c r="D17968" s="28"/>
      <c r="F17968" s="28"/>
      <c r="H17968" s="28"/>
    </row>
    <row r="17969" spans="4:8" x14ac:dyDescent="0.25">
      <c r="D17969" s="28"/>
      <c r="F17969" s="28"/>
      <c r="H17969" s="28"/>
    </row>
    <row r="17970" spans="4:8" x14ac:dyDescent="0.25">
      <c r="D17970" s="28"/>
      <c r="F17970" s="28"/>
      <c r="H17970" s="28"/>
    </row>
    <row r="17971" spans="4:8" x14ac:dyDescent="0.25">
      <c r="D17971" s="28"/>
      <c r="F17971" s="28"/>
      <c r="H17971" s="28"/>
    </row>
    <row r="17972" spans="4:8" x14ac:dyDescent="0.25">
      <c r="D17972" s="28"/>
      <c r="F17972" s="28"/>
      <c r="H17972" s="28"/>
    </row>
    <row r="17973" spans="4:8" x14ac:dyDescent="0.25">
      <c r="D17973" s="28"/>
      <c r="F17973" s="28"/>
      <c r="H17973" s="28"/>
    </row>
    <row r="17974" spans="4:8" x14ac:dyDescent="0.25">
      <c r="D17974" s="28"/>
      <c r="F17974" s="28"/>
      <c r="H17974" s="28"/>
    </row>
    <row r="17975" spans="4:8" x14ac:dyDescent="0.25">
      <c r="D17975" s="28"/>
      <c r="F17975" s="28"/>
      <c r="H17975" s="28"/>
    </row>
    <row r="17976" spans="4:8" x14ac:dyDescent="0.25">
      <c r="D17976" s="28"/>
      <c r="F17976" s="28"/>
      <c r="H17976" s="28"/>
    </row>
    <row r="17977" spans="4:8" x14ac:dyDescent="0.25">
      <c r="D17977" s="28"/>
      <c r="F17977" s="28"/>
      <c r="H17977" s="28"/>
    </row>
    <row r="17978" spans="4:8" x14ac:dyDescent="0.25">
      <c r="D17978" s="28"/>
      <c r="F17978" s="28"/>
      <c r="H17978" s="28"/>
    </row>
    <row r="17979" spans="4:8" x14ac:dyDescent="0.25">
      <c r="D17979" s="28"/>
      <c r="F17979" s="28"/>
      <c r="H17979" s="28"/>
    </row>
    <row r="17980" spans="4:8" x14ac:dyDescent="0.25">
      <c r="D17980" s="28"/>
      <c r="F17980" s="28"/>
      <c r="H17980" s="28"/>
    </row>
    <row r="17981" spans="4:8" x14ac:dyDescent="0.25">
      <c r="D17981" s="28"/>
      <c r="F17981" s="28"/>
      <c r="H17981" s="28"/>
    </row>
    <row r="17982" spans="4:8" x14ac:dyDescent="0.25">
      <c r="D17982" s="28"/>
      <c r="F17982" s="28"/>
      <c r="H17982" s="28"/>
    </row>
    <row r="17983" spans="4:8" x14ac:dyDescent="0.25">
      <c r="D17983" s="28"/>
      <c r="F17983" s="28"/>
      <c r="H17983" s="28"/>
    </row>
    <row r="17984" spans="4:8" x14ac:dyDescent="0.25">
      <c r="D17984" s="28"/>
      <c r="F17984" s="28"/>
      <c r="H17984" s="28"/>
    </row>
    <row r="17985" spans="4:8" x14ac:dyDescent="0.25">
      <c r="D17985" s="28"/>
      <c r="F17985" s="28"/>
      <c r="H17985" s="28"/>
    </row>
    <row r="17986" spans="4:8" x14ac:dyDescent="0.25">
      <c r="D17986" s="28"/>
      <c r="F17986" s="28"/>
      <c r="H17986" s="28"/>
    </row>
    <row r="17987" spans="4:8" x14ac:dyDescent="0.25">
      <c r="D17987" s="28"/>
      <c r="F17987" s="28"/>
      <c r="H17987" s="28"/>
    </row>
    <row r="17988" spans="4:8" x14ac:dyDescent="0.25">
      <c r="D17988" s="28"/>
      <c r="F17988" s="28"/>
      <c r="H17988" s="28"/>
    </row>
    <row r="17989" spans="4:8" x14ac:dyDescent="0.25">
      <c r="D17989" s="28"/>
      <c r="F17989" s="28"/>
      <c r="H17989" s="28"/>
    </row>
    <row r="17990" spans="4:8" x14ac:dyDescent="0.25">
      <c r="D17990" s="28"/>
      <c r="F17990" s="28"/>
      <c r="H17990" s="28"/>
    </row>
    <row r="17991" spans="4:8" x14ac:dyDescent="0.25">
      <c r="D17991" s="28"/>
      <c r="F17991" s="28"/>
      <c r="H17991" s="28"/>
    </row>
    <row r="17992" spans="4:8" x14ac:dyDescent="0.25">
      <c r="D17992" s="28"/>
      <c r="F17992" s="28"/>
      <c r="H17992" s="28"/>
    </row>
    <row r="17993" spans="4:8" x14ac:dyDescent="0.25">
      <c r="D17993" s="28"/>
      <c r="F17993" s="28"/>
      <c r="H17993" s="28"/>
    </row>
    <row r="17994" spans="4:8" x14ac:dyDescent="0.25">
      <c r="D17994" s="28"/>
      <c r="F17994" s="28"/>
      <c r="H17994" s="28"/>
    </row>
    <row r="17995" spans="4:8" x14ac:dyDescent="0.25">
      <c r="D17995" s="28"/>
      <c r="F17995" s="28"/>
      <c r="H17995" s="28"/>
    </row>
    <row r="17996" spans="4:8" x14ac:dyDescent="0.25">
      <c r="D17996" s="28"/>
      <c r="F17996" s="28"/>
      <c r="H17996" s="28"/>
    </row>
    <row r="17997" spans="4:8" x14ac:dyDescent="0.25">
      <c r="D17997" s="28"/>
      <c r="F17997" s="28"/>
      <c r="H17997" s="28"/>
    </row>
    <row r="17998" spans="4:8" x14ac:dyDescent="0.25">
      <c r="D17998" s="28"/>
      <c r="F17998" s="28"/>
      <c r="H17998" s="28"/>
    </row>
    <row r="17999" spans="4:8" x14ac:dyDescent="0.25">
      <c r="D17999" s="28"/>
      <c r="F17999" s="28"/>
      <c r="H17999" s="28"/>
    </row>
    <row r="18000" spans="4:8" x14ac:dyDescent="0.25">
      <c r="D18000" s="28"/>
      <c r="F18000" s="28"/>
      <c r="H18000" s="28"/>
    </row>
    <row r="18001" spans="4:8" x14ac:dyDescent="0.25">
      <c r="D18001" s="28"/>
      <c r="F18001" s="28"/>
      <c r="H18001" s="28"/>
    </row>
    <row r="18002" spans="4:8" x14ac:dyDescent="0.25">
      <c r="D18002" s="28"/>
      <c r="F18002" s="28"/>
      <c r="H18002" s="28"/>
    </row>
    <row r="18003" spans="4:8" x14ac:dyDescent="0.25">
      <c r="D18003" s="28"/>
      <c r="F18003" s="28"/>
      <c r="H18003" s="28"/>
    </row>
    <row r="18004" spans="4:8" x14ac:dyDescent="0.25">
      <c r="D18004" s="28"/>
      <c r="F18004" s="28"/>
      <c r="H18004" s="28"/>
    </row>
    <row r="18005" spans="4:8" x14ac:dyDescent="0.25">
      <c r="D18005" s="28"/>
      <c r="F18005" s="28"/>
      <c r="H18005" s="28"/>
    </row>
    <row r="18006" spans="4:8" x14ac:dyDescent="0.25">
      <c r="D18006" s="28"/>
      <c r="F18006" s="28"/>
      <c r="H18006" s="28"/>
    </row>
    <row r="18007" spans="4:8" x14ac:dyDescent="0.25">
      <c r="D18007" s="28"/>
      <c r="F18007" s="28"/>
      <c r="H18007" s="28"/>
    </row>
    <row r="18008" spans="4:8" x14ac:dyDescent="0.25">
      <c r="D18008" s="28"/>
      <c r="F18008" s="28"/>
      <c r="H18008" s="28"/>
    </row>
    <row r="18009" spans="4:8" x14ac:dyDescent="0.25">
      <c r="D18009" s="28"/>
      <c r="F18009" s="28"/>
      <c r="H18009" s="28"/>
    </row>
    <row r="18010" spans="4:8" x14ac:dyDescent="0.25">
      <c r="D18010" s="28"/>
      <c r="F18010" s="28"/>
      <c r="H18010" s="28"/>
    </row>
    <row r="18011" spans="4:8" x14ac:dyDescent="0.25">
      <c r="D18011" s="28"/>
      <c r="F18011" s="28"/>
      <c r="H18011" s="28"/>
    </row>
    <row r="18012" spans="4:8" x14ac:dyDescent="0.25">
      <c r="D18012" s="28"/>
      <c r="F18012" s="28"/>
      <c r="H18012" s="28"/>
    </row>
    <row r="18013" spans="4:8" x14ac:dyDescent="0.25">
      <c r="D18013" s="28"/>
      <c r="F18013" s="28"/>
      <c r="H18013" s="28"/>
    </row>
    <row r="18014" spans="4:8" x14ac:dyDescent="0.25">
      <c r="D18014" s="28"/>
      <c r="F18014" s="28"/>
      <c r="H18014" s="28"/>
    </row>
    <row r="18015" spans="4:8" x14ac:dyDescent="0.25">
      <c r="D18015" s="28"/>
      <c r="F18015" s="28"/>
      <c r="H18015" s="28"/>
    </row>
    <row r="18016" spans="4:8" x14ac:dyDescent="0.25">
      <c r="D18016" s="28"/>
      <c r="F18016" s="28"/>
      <c r="H18016" s="28"/>
    </row>
    <row r="18017" spans="4:8" x14ac:dyDescent="0.25">
      <c r="D18017" s="28"/>
      <c r="F18017" s="28"/>
      <c r="H18017" s="28"/>
    </row>
    <row r="18018" spans="4:8" x14ac:dyDescent="0.25">
      <c r="D18018" s="28"/>
      <c r="F18018" s="28"/>
      <c r="H18018" s="28"/>
    </row>
    <row r="18019" spans="4:8" x14ac:dyDescent="0.25">
      <c r="D18019" s="28"/>
      <c r="F18019" s="28"/>
      <c r="H18019" s="28"/>
    </row>
    <row r="18020" spans="4:8" x14ac:dyDescent="0.25">
      <c r="D18020" s="28"/>
      <c r="F18020" s="28"/>
      <c r="H18020" s="28"/>
    </row>
    <row r="18021" spans="4:8" x14ac:dyDescent="0.25">
      <c r="D18021" s="28"/>
      <c r="F18021" s="28"/>
      <c r="H18021" s="28"/>
    </row>
    <row r="18022" spans="4:8" x14ac:dyDescent="0.25">
      <c r="D18022" s="28"/>
      <c r="F18022" s="28"/>
      <c r="H18022" s="28"/>
    </row>
    <row r="18023" spans="4:8" x14ac:dyDescent="0.25">
      <c r="D18023" s="28"/>
      <c r="F18023" s="28"/>
      <c r="H18023" s="28"/>
    </row>
    <row r="18024" spans="4:8" x14ac:dyDescent="0.25">
      <c r="D18024" s="28"/>
      <c r="F18024" s="28"/>
      <c r="H18024" s="28"/>
    </row>
    <row r="18025" spans="4:8" x14ac:dyDescent="0.25">
      <c r="D18025" s="28"/>
      <c r="F18025" s="28"/>
      <c r="H18025" s="28"/>
    </row>
    <row r="18026" spans="4:8" x14ac:dyDescent="0.25">
      <c r="D18026" s="28"/>
      <c r="F18026" s="28"/>
      <c r="H18026" s="28"/>
    </row>
    <row r="18027" spans="4:8" x14ac:dyDescent="0.25">
      <c r="D18027" s="28"/>
      <c r="F18027" s="28"/>
      <c r="H18027" s="28"/>
    </row>
    <row r="18028" spans="4:8" x14ac:dyDescent="0.25">
      <c r="D18028" s="28"/>
      <c r="F18028" s="28"/>
      <c r="H18028" s="28"/>
    </row>
    <row r="18029" spans="4:8" x14ac:dyDescent="0.25">
      <c r="D18029" s="28"/>
      <c r="F18029" s="28"/>
      <c r="H18029" s="28"/>
    </row>
    <row r="18030" spans="4:8" x14ac:dyDescent="0.25">
      <c r="D18030" s="28"/>
      <c r="F18030" s="28"/>
      <c r="H18030" s="28"/>
    </row>
    <row r="18031" spans="4:8" x14ac:dyDescent="0.25">
      <c r="D18031" s="28"/>
      <c r="F18031" s="28"/>
      <c r="H18031" s="28"/>
    </row>
    <row r="18032" spans="4:8" x14ac:dyDescent="0.25">
      <c r="D18032" s="28"/>
      <c r="F18032" s="28"/>
      <c r="H18032" s="28"/>
    </row>
    <row r="18033" spans="4:8" x14ac:dyDescent="0.25">
      <c r="D18033" s="28"/>
      <c r="F18033" s="28"/>
      <c r="H18033" s="28"/>
    </row>
    <row r="18034" spans="4:8" x14ac:dyDescent="0.25">
      <c r="D18034" s="28"/>
      <c r="F18034" s="28"/>
      <c r="H18034" s="28"/>
    </row>
    <row r="18035" spans="4:8" x14ac:dyDescent="0.25">
      <c r="D18035" s="28"/>
      <c r="F18035" s="28"/>
      <c r="H18035" s="28"/>
    </row>
    <row r="18036" spans="4:8" x14ac:dyDescent="0.25">
      <c r="D18036" s="28"/>
      <c r="F18036" s="28"/>
      <c r="H18036" s="28"/>
    </row>
    <row r="18037" spans="4:8" x14ac:dyDescent="0.25">
      <c r="D18037" s="28"/>
      <c r="F18037" s="28"/>
      <c r="H18037" s="28"/>
    </row>
    <row r="18038" spans="4:8" x14ac:dyDescent="0.25">
      <c r="D18038" s="28"/>
      <c r="F18038" s="28"/>
      <c r="H18038" s="28"/>
    </row>
    <row r="18039" spans="4:8" x14ac:dyDescent="0.25">
      <c r="D18039" s="28"/>
      <c r="F18039" s="28"/>
      <c r="H18039" s="28"/>
    </row>
    <row r="18040" spans="4:8" x14ac:dyDescent="0.25">
      <c r="D18040" s="28"/>
      <c r="F18040" s="28"/>
      <c r="H18040" s="28"/>
    </row>
    <row r="18041" spans="4:8" x14ac:dyDescent="0.25">
      <c r="D18041" s="28"/>
      <c r="F18041" s="28"/>
      <c r="H18041" s="28"/>
    </row>
    <row r="18042" spans="4:8" x14ac:dyDescent="0.25">
      <c r="D18042" s="28"/>
      <c r="F18042" s="28"/>
      <c r="H18042" s="28"/>
    </row>
    <row r="18043" spans="4:8" x14ac:dyDescent="0.25">
      <c r="D18043" s="28"/>
      <c r="F18043" s="28"/>
      <c r="H18043" s="28"/>
    </row>
    <row r="18044" spans="4:8" x14ac:dyDescent="0.25">
      <c r="D18044" s="28"/>
      <c r="F18044" s="28"/>
      <c r="H18044" s="28"/>
    </row>
    <row r="18045" spans="4:8" x14ac:dyDescent="0.25">
      <c r="D18045" s="28"/>
      <c r="F18045" s="28"/>
      <c r="H18045" s="28"/>
    </row>
    <row r="18046" spans="4:8" x14ac:dyDescent="0.25">
      <c r="D18046" s="28"/>
      <c r="F18046" s="28"/>
      <c r="H18046" s="28"/>
    </row>
    <row r="18047" spans="4:8" x14ac:dyDescent="0.25">
      <c r="D18047" s="28"/>
      <c r="F18047" s="28"/>
      <c r="H18047" s="28"/>
    </row>
    <row r="18048" spans="4:8" x14ac:dyDescent="0.25">
      <c r="D18048" s="28"/>
      <c r="F18048" s="28"/>
      <c r="H18048" s="28"/>
    </row>
    <row r="18049" spans="4:8" x14ac:dyDescent="0.25">
      <c r="D18049" s="28"/>
      <c r="F18049" s="28"/>
      <c r="H18049" s="28"/>
    </row>
    <row r="18050" spans="4:8" x14ac:dyDescent="0.25">
      <c r="D18050" s="28"/>
      <c r="F18050" s="28"/>
      <c r="H18050" s="28"/>
    </row>
    <row r="18051" spans="4:8" x14ac:dyDescent="0.25">
      <c r="D18051" s="28"/>
      <c r="F18051" s="28"/>
      <c r="H18051" s="28"/>
    </row>
    <row r="18052" spans="4:8" x14ac:dyDescent="0.25">
      <c r="D18052" s="28"/>
      <c r="F18052" s="28"/>
      <c r="H18052" s="28"/>
    </row>
    <row r="18053" spans="4:8" x14ac:dyDescent="0.25">
      <c r="D18053" s="28"/>
      <c r="F18053" s="28"/>
      <c r="H18053" s="28"/>
    </row>
    <row r="18054" spans="4:8" x14ac:dyDescent="0.25">
      <c r="D18054" s="28"/>
      <c r="F18054" s="28"/>
      <c r="H18054" s="28"/>
    </row>
    <row r="18055" spans="4:8" x14ac:dyDescent="0.25">
      <c r="D18055" s="28"/>
      <c r="F18055" s="28"/>
      <c r="H18055" s="28"/>
    </row>
    <row r="18056" spans="4:8" x14ac:dyDescent="0.25">
      <c r="D18056" s="28"/>
      <c r="F18056" s="28"/>
      <c r="H18056" s="28"/>
    </row>
    <row r="18057" spans="4:8" x14ac:dyDescent="0.25">
      <c r="D18057" s="28"/>
      <c r="F18057" s="28"/>
      <c r="H18057" s="28"/>
    </row>
    <row r="18058" spans="4:8" x14ac:dyDescent="0.25">
      <c r="D18058" s="28"/>
      <c r="F18058" s="28"/>
      <c r="H18058" s="28"/>
    </row>
    <row r="18059" spans="4:8" x14ac:dyDescent="0.25">
      <c r="D18059" s="28"/>
      <c r="F18059" s="28"/>
      <c r="H18059" s="28"/>
    </row>
    <row r="18060" spans="4:8" x14ac:dyDescent="0.25">
      <c r="D18060" s="28"/>
      <c r="F18060" s="28"/>
      <c r="H18060" s="28"/>
    </row>
    <row r="18061" spans="4:8" x14ac:dyDescent="0.25">
      <c r="D18061" s="28"/>
      <c r="F18061" s="28"/>
      <c r="H18061" s="28"/>
    </row>
    <row r="18062" spans="4:8" x14ac:dyDescent="0.25">
      <c r="D18062" s="28"/>
      <c r="F18062" s="28"/>
      <c r="H18062" s="28"/>
    </row>
    <row r="18063" spans="4:8" x14ac:dyDescent="0.25">
      <c r="D18063" s="28"/>
      <c r="F18063" s="28"/>
      <c r="H18063" s="28"/>
    </row>
    <row r="18064" spans="4:8" x14ac:dyDescent="0.25">
      <c r="D18064" s="28"/>
      <c r="F18064" s="28"/>
      <c r="H18064" s="28"/>
    </row>
    <row r="18065" spans="4:8" x14ac:dyDescent="0.25">
      <c r="D18065" s="28"/>
      <c r="F18065" s="28"/>
      <c r="H18065" s="28"/>
    </row>
    <row r="18066" spans="4:8" x14ac:dyDescent="0.25">
      <c r="D18066" s="28"/>
      <c r="F18066" s="28"/>
      <c r="H18066" s="28"/>
    </row>
    <row r="18067" spans="4:8" x14ac:dyDescent="0.25">
      <c r="D18067" s="28"/>
      <c r="F18067" s="28"/>
      <c r="H18067" s="28"/>
    </row>
    <row r="18068" spans="4:8" x14ac:dyDescent="0.25">
      <c r="D18068" s="28"/>
      <c r="F18068" s="28"/>
      <c r="H18068" s="28"/>
    </row>
    <row r="18069" spans="4:8" x14ac:dyDescent="0.25">
      <c r="D18069" s="28"/>
      <c r="F18069" s="28"/>
      <c r="H18069" s="28"/>
    </row>
    <row r="18070" spans="4:8" x14ac:dyDescent="0.25">
      <c r="D18070" s="28"/>
      <c r="F18070" s="28"/>
      <c r="H18070" s="28"/>
    </row>
    <row r="18071" spans="4:8" x14ac:dyDescent="0.25">
      <c r="D18071" s="28"/>
      <c r="F18071" s="28"/>
      <c r="H18071" s="28"/>
    </row>
    <row r="18072" spans="4:8" x14ac:dyDescent="0.25">
      <c r="D18072" s="28"/>
      <c r="F18072" s="28"/>
      <c r="H18072" s="28"/>
    </row>
    <row r="18073" spans="4:8" x14ac:dyDescent="0.25">
      <c r="D18073" s="28"/>
      <c r="F18073" s="28"/>
      <c r="H18073" s="28"/>
    </row>
    <row r="18074" spans="4:8" x14ac:dyDescent="0.25">
      <c r="D18074" s="28"/>
      <c r="F18074" s="28"/>
      <c r="H18074" s="28"/>
    </row>
    <row r="18075" spans="4:8" x14ac:dyDescent="0.25">
      <c r="D18075" s="28"/>
      <c r="F18075" s="28"/>
      <c r="H18075" s="28"/>
    </row>
    <row r="18076" spans="4:8" x14ac:dyDescent="0.25">
      <c r="D18076" s="28"/>
      <c r="F18076" s="28"/>
      <c r="H18076" s="28"/>
    </row>
    <row r="18077" spans="4:8" x14ac:dyDescent="0.25">
      <c r="D18077" s="28"/>
      <c r="F18077" s="28"/>
      <c r="H18077" s="28"/>
    </row>
    <row r="18078" spans="4:8" x14ac:dyDescent="0.25">
      <c r="D18078" s="28"/>
      <c r="F18078" s="28"/>
      <c r="H18078" s="28"/>
    </row>
    <row r="18079" spans="4:8" x14ac:dyDescent="0.25">
      <c r="D18079" s="28"/>
      <c r="F18079" s="28"/>
      <c r="H18079" s="28"/>
    </row>
    <row r="18080" spans="4:8" x14ac:dyDescent="0.25">
      <c r="D18080" s="28"/>
      <c r="F18080" s="28"/>
      <c r="H18080" s="28"/>
    </row>
    <row r="18081" spans="4:8" x14ac:dyDescent="0.25">
      <c r="D18081" s="28"/>
      <c r="F18081" s="28"/>
      <c r="H18081" s="28"/>
    </row>
    <row r="18082" spans="4:8" x14ac:dyDescent="0.25">
      <c r="D18082" s="28"/>
      <c r="F18082" s="28"/>
      <c r="H18082" s="28"/>
    </row>
    <row r="18083" spans="4:8" x14ac:dyDescent="0.25">
      <c r="D18083" s="28"/>
      <c r="F18083" s="28"/>
      <c r="H18083" s="28"/>
    </row>
    <row r="18084" spans="4:8" x14ac:dyDescent="0.25">
      <c r="D18084" s="28"/>
      <c r="F18084" s="28"/>
      <c r="H18084" s="28"/>
    </row>
    <row r="18085" spans="4:8" x14ac:dyDescent="0.25">
      <c r="D18085" s="28"/>
      <c r="F18085" s="28"/>
      <c r="H18085" s="28"/>
    </row>
    <row r="18086" spans="4:8" x14ac:dyDescent="0.25">
      <c r="D18086" s="28"/>
      <c r="F18086" s="28"/>
      <c r="H18086" s="28"/>
    </row>
    <row r="18087" spans="4:8" x14ac:dyDescent="0.25">
      <c r="D18087" s="28"/>
      <c r="F18087" s="28"/>
      <c r="H18087" s="28"/>
    </row>
    <row r="18088" spans="4:8" x14ac:dyDescent="0.25">
      <c r="D18088" s="28"/>
      <c r="F18088" s="28"/>
      <c r="H18088" s="28"/>
    </row>
    <row r="18089" spans="4:8" x14ac:dyDescent="0.25">
      <c r="D18089" s="28"/>
      <c r="F18089" s="28"/>
      <c r="H18089" s="28"/>
    </row>
    <row r="18090" spans="4:8" x14ac:dyDescent="0.25">
      <c r="D18090" s="28"/>
      <c r="F18090" s="28"/>
      <c r="H18090" s="28"/>
    </row>
    <row r="18091" spans="4:8" x14ac:dyDescent="0.25">
      <c r="D18091" s="28"/>
      <c r="F18091" s="28"/>
      <c r="H18091" s="28"/>
    </row>
    <row r="18092" spans="4:8" x14ac:dyDescent="0.25">
      <c r="D18092" s="28"/>
      <c r="F18092" s="28"/>
      <c r="H18092" s="28"/>
    </row>
    <row r="18093" spans="4:8" x14ac:dyDescent="0.25">
      <c r="D18093" s="28"/>
      <c r="F18093" s="28"/>
      <c r="H18093" s="28"/>
    </row>
    <row r="18094" spans="4:8" x14ac:dyDescent="0.25">
      <c r="D18094" s="28"/>
      <c r="F18094" s="28"/>
      <c r="H18094" s="28"/>
    </row>
    <row r="18095" spans="4:8" x14ac:dyDescent="0.25">
      <c r="D18095" s="28"/>
      <c r="F18095" s="28"/>
      <c r="H18095" s="28"/>
    </row>
    <row r="18096" spans="4:8" x14ac:dyDescent="0.25">
      <c r="D18096" s="28"/>
      <c r="F18096" s="28"/>
      <c r="H18096" s="28"/>
    </row>
    <row r="18097" spans="4:8" x14ac:dyDescent="0.25">
      <c r="D18097" s="28"/>
      <c r="F18097" s="28"/>
      <c r="H18097" s="28"/>
    </row>
    <row r="18098" spans="4:8" x14ac:dyDescent="0.25">
      <c r="D18098" s="28"/>
      <c r="F18098" s="28"/>
      <c r="H18098" s="28"/>
    </row>
    <row r="18099" spans="4:8" x14ac:dyDescent="0.25">
      <c r="D18099" s="28"/>
      <c r="F18099" s="28"/>
      <c r="H18099" s="28"/>
    </row>
    <row r="18100" spans="4:8" x14ac:dyDescent="0.25">
      <c r="D18100" s="28"/>
      <c r="F18100" s="28"/>
      <c r="H18100" s="28"/>
    </row>
    <row r="18101" spans="4:8" x14ac:dyDescent="0.25">
      <c r="D18101" s="28"/>
      <c r="F18101" s="28"/>
      <c r="H18101" s="28"/>
    </row>
    <row r="18102" spans="4:8" x14ac:dyDescent="0.25">
      <c r="D18102" s="28"/>
      <c r="F18102" s="28"/>
      <c r="H18102" s="28"/>
    </row>
    <row r="18103" spans="4:8" x14ac:dyDescent="0.25">
      <c r="D18103" s="28"/>
      <c r="F18103" s="28"/>
      <c r="H18103" s="28"/>
    </row>
    <row r="18104" spans="4:8" x14ac:dyDescent="0.25">
      <c r="D18104" s="28"/>
      <c r="F18104" s="28"/>
      <c r="H18104" s="28"/>
    </row>
    <row r="18105" spans="4:8" x14ac:dyDescent="0.25">
      <c r="D18105" s="28"/>
      <c r="F18105" s="28"/>
      <c r="H18105" s="28"/>
    </row>
    <row r="18106" spans="4:8" x14ac:dyDescent="0.25">
      <c r="D18106" s="28"/>
      <c r="F18106" s="28"/>
      <c r="H18106" s="28"/>
    </row>
    <row r="18107" spans="4:8" x14ac:dyDescent="0.25">
      <c r="D18107" s="28"/>
      <c r="F18107" s="28"/>
      <c r="H18107" s="28"/>
    </row>
    <row r="18108" spans="4:8" x14ac:dyDescent="0.25">
      <c r="D18108" s="28"/>
      <c r="F18108" s="28"/>
      <c r="H18108" s="28"/>
    </row>
    <row r="18109" spans="4:8" x14ac:dyDescent="0.25">
      <c r="D18109" s="28"/>
      <c r="F18109" s="28"/>
      <c r="H18109" s="28"/>
    </row>
    <row r="18110" spans="4:8" x14ac:dyDescent="0.25">
      <c r="D18110" s="28"/>
      <c r="F18110" s="28"/>
      <c r="H18110" s="28"/>
    </row>
    <row r="18111" spans="4:8" x14ac:dyDescent="0.25">
      <c r="D18111" s="28"/>
      <c r="F18111" s="28"/>
      <c r="H18111" s="28"/>
    </row>
    <row r="18112" spans="4:8" x14ac:dyDescent="0.25">
      <c r="D18112" s="28"/>
      <c r="F18112" s="28"/>
      <c r="H18112" s="28"/>
    </row>
    <row r="18113" spans="4:8" x14ac:dyDescent="0.25">
      <c r="D18113" s="28"/>
      <c r="F18113" s="28"/>
      <c r="H18113" s="28"/>
    </row>
    <row r="18114" spans="4:8" x14ac:dyDescent="0.25">
      <c r="D18114" s="28"/>
      <c r="F18114" s="28"/>
      <c r="H18114" s="28"/>
    </row>
    <row r="18115" spans="4:8" x14ac:dyDescent="0.25">
      <c r="D18115" s="28"/>
      <c r="F18115" s="28"/>
      <c r="H18115" s="28"/>
    </row>
    <row r="18116" spans="4:8" x14ac:dyDescent="0.25">
      <c r="D18116" s="28"/>
      <c r="F18116" s="28"/>
      <c r="H18116" s="28"/>
    </row>
    <row r="18117" spans="4:8" x14ac:dyDescent="0.25">
      <c r="D18117" s="28"/>
      <c r="F18117" s="28"/>
      <c r="H18117" s="28"/>
    </row>
    <row r="18118" spans="4:8" x14ac:dyDescent="0.25">
      <c r="D18118" s="28"/>
      <c r="F18118" s="28"/>
      <c r="H18118" s="28"/>
    </row>
    <row r="18119" spans="4:8" x14ac:dyDescent="0.25">
      <c r="D18119" s="28"/>
      <c r="F18119" s="28"/>
      <c r="H18119" s="28"/>
    </row>
    <row r="18120" spans="4:8" x14ac:dyDescent="0.25">
      <c r="D18120" s="28"/>
      <c r="F18120" s="28"/>
      <c r="H18120" s="28"/>
    </row>
    <row r="18121" spans="4:8" x14ac:dyDescent="0.25">
      <c r="D18121" s="28"/>
      <c r="F18121" s="28"/>
      <c r="H18121" s="28"/>
    </row>
    <row r="18122" spans="4:8" x14ac:dyDescent="0.25">
      <c r="D18122" s="28"/>
      <c r="F18122" s="28"/>
      <c r="H18122" s="28"/>
    </row>
    <row r="18123" spans="4:8" x14ac:dyDescent="0.25">
      <c r="D18123" s="28"/>
      <c r="F18123" s="28"/>
      <c r="H18123" s="28"/>
    </row>
    <row r="18124" spans="4:8" x14ac:dyDescent="0.25">
      <c r="D18124" s="28"/>
      <c r="F18124" s="28"/>
      <c r="H18124" s="28"/>
    </row>
    <row r="18125" spans="4:8" x14ac:dyDescent="0.25">
      <c r="D18125" s="28"/>
      <c r="F18125" s="28"/>
      <c r="H18125" s="28"/>
    </row>
    <row r="18126" spans="4:8" x14ac:dyDescent="0.25">
      <c r="D18126" s="28"/>
      <c r="F18126" s="28"/>
      <c r="H18126" s="28"/>
    </row>
    <row r="18127" spans="4:8" x14ac:dyDescent="0.25">
      <c r="D18127" s="28"/>
      <c r="F18127" s="28"/>
      <c r="H18127" s="28"/>
    </row>
    <row r="18128" spans="4:8" x14ac:dyDescent="0.25">
      <c r="D18128" s="28"/>
      <c r="F18128" s="28"/>
      <c r="H18128" s="28"/>
    </row>
    <row r="18129" spans="4:8" x14ac:dyDescent="0.25">
      <c r="D18129" s="28"/>
      <c r="F18129" s="28"/>
      <c r="H18129" s="28"/>
    </row>
    <row r="18130" spans="4:8" x14ac:dyDescent="0.25">
      <c r="D18130" s="28"/>
      <c r="F18130" s="28"/>
      <c r="H18130" s="28"/>
    </row>
    <row r="18131" spans="4:8" x14ac:dyDescent="0.25">
      <c r="D18131" s="28"/>
      <c r="F18131" s="28"/>
      <c r="H18131" s="28"/>
    </row>
    <row r="18132" spans="4:8" x14ac:dyDescent="0.25">
      <c r="D18132" s="28"/>
      <c r="F18132" s="28"/>
      <c r="H18132" s="28"/>
    </row>
    <row r="18133" spans="4:8" x14ac:dyDescent="0.25">
      <c r="D18133" s="28"/>
      <c r="F18133" s="28"/>
      <c r="H18133" s="28"/>
    </row>
    <row r="18134" spans="4:8" x14ac:dyDescent="0.25">
      <c r="D18134" s="28"/>
      <c r="F18134" s="28"/>
      <c r="H18134" s="28"/>
    </row>
    <row r="18135" spans="4:8" x14ac:dyDescent="0.25">
      <c r="D18135" s="28"/>
      <c r="F18135" s="28"/>
      <c r="H18135" s="28"/>
    </row>
    <row r="18136" spans="4:8" x14ac:dyDescent="0.25">
      <c r="D18136" s="28"/>
      <c r="F18136" s="28"/>
      <c r="H18136" s="28"/>
    </row>
    <row r="18137" spans="4:8" x14ac:dyDescent="0.25">
      <c r="D18137" s="28"/>
      <c r="F18137" s="28"/>
      <c r="H18137" s="28"/>
    </row>
    <row r="18138" spans="4:8" x14ac:dyDescent="0.25">
      <c r="D18138" s="28"/>
      <c r="F18138" s="28"/>
      <c r="H18138" s="28"/>
    </row>
    <row r="18139" spans="4:8" x14ac:dyDescent="0.25">
      <c r="D18139" s="28"/>
      <c r="F18139" s="28"/>
      <c r="H18139" s="28"/>
    </row>
    <row r="18140" spans="4:8" x14ac:dyDescent="0.25">
      <c r="D18140" s="28"/>
      <c r="F18140" s="28"/>
      <c r="H18140" s="28"/>
    </row>
    <row r="18141" spans="4:8" x14ac:dyDescent="0.25">
      <c r="D18141" s="28"/>
      <c r="F18141" s="28"/>
      <c r="H18141" s="28"/>
    </row>
    <row r="18142" spans="4:8" x14ac:dyDescent="0.25">
      <c r="D18142" s="28"/>
      <c r="F18142" s="28"/>
      <c r="H18142" s="28"/>
    </row>
    <row r="18143" spans="4:8" x14ac:dyDescent="0.25">
      <c r="D18143" s="28"/>
      <c r="F18143" s="28"/>
      <c r="H18143" s="28"/>
    </row>
    <row r="18144" spans="4:8" x14ac:dyDescent="0.25">
      <c r="D18144" s="28"/>
      <c r="F18144" s="28"/>
      <c r="H18144" s="28"/>
    </row>
    <row r="18145" spans="4:8" x14ac:dyDescent="0.25">
      <c r="D18145" s="28"/>
      <c r="F18145" s="28"/>
      <c r="H18145" s="28"/>
    </row>
    <row r="18146" spans="4:8" x14ac:dyDescent="0.25">
      <c r="D18146" s="28"/>
      <c r="F18146" s="28"/>
      <c r="H18146" s="28"/>
    </row>
    <row r="18147" spans="4:8" x14ac:dyDescent="0.25">
      <c r="D18147" s="28"/>
      <c r="F18147" s="28"/>
      <c r="H18147" s="28"/>
    </row>
    <row r="18148" spans="4:8" x14ac:dyDescent="0.25">
      <c r="D18148" s="28"/>
      <c r="F18148" s="28"/>
      <c r="H18148" s="28"/>
    </row>
    <row r="18149" spans="4:8" x14ac:dyDescent="0.25">
      <c r="D18149" s="28"/>
      <c r="F18149" s="28"/>
      <c r="H18149" s="28"/>
    </row>
    <row r="18150" spans="4:8" x14ac:dyDescent="0.25">
      <c r="D18150" s="28"/>
      <c r="F18150" s="28"/>
      <c r="H18150" s="28"/>
    </row>
    <row r="18151" spans="4:8" x14ac:dyDescent="0.25">
      <c r="D18151" s="28"/>
      <c r="F18151" s="28"/>
      <c r="H18151" s="28"/>
    </row>
    <row r="18152" spans="4:8" x14ac:dyDescent="0.25">
      <c r="D18152" s="28"/>
      <c r="F18152" s="28"/>
      <c r="H18152" s="28"/>
    </row>
    <row r="18153" spans="4:8" x14ac:dyDescent="0.25">
      <c r="D18153" s="28"/>
      <c r="F18153" s="28"/>
      <c r="H18153" s="28"/>
    </row>
    <row r="18154" spans="4:8" x14ac:dyDescent="0.25">
      <c r="D18154" s="28"/>
      <c r="F18154" s="28"/>
      <c r="H18154" s="28"/>
    </row>
    <row r="18155" spans="4:8" x14ac:dyDescent="0.25">
      <c r="D18155" s="28"/>
      <c r="F18155" s="28"/>
      <c r="H18155" s="28"/>
    </row>
    <row r="18156" spans="4:8" x14ac:dyDescent="0.25">
      <c r="D18156" s="28"/>
      <c r="F18156" s="28"/>
      <c r="H18156" s="28"/>
    </row>
    <row r="18157" spans="4:8" x14ac:dyDescent="0.25">
      <c r="D18157" s="28"/>
      <c r="F18157" s="28"/>
      <c r="H18157" s="28"/>
    </row>
    <row r="18158" spans="4:8" x14ac:dyDescent="0.25">
      <c r="D18158" s="28"/>
      <c r="F18158" s="28"/>
      <c r="H18158" s="28"/>
    </row>
    <row r="18159" spans="4:8" x14ac:dyDescent="0.25">
      <c r="D18159" s="28"/>
      <c r="F18159" s="28"/>
      <c r="H18159" s="28"/>
    </row>
    <row r="18160" spans="4:8" x14ac:dyDescent="0.25">
      <c r="D18160" s="28"/>
      <c r="F18160" s="28"/>
      <c r="H18160" s="28"/>
    </row>
    <row r="18161" spans="4:8" x14ac:dyDescent="0.25">
      <c r="D18161" s="28"/>
      <c r="F18161" s="28"/>
      <c r="H18161" s="28"/>
    </row>
    <row r="18162" spans="4:8" x14ac:dyDescent="0.25">
      <c r="D18162" s="28"/>
      <c r="F18162" s="28"/>
      <c r="H18162" s="28"/>
    </row>
    <row r="18163" spans="4:8" x14ac:dyDescent="0.25">
      <c r="D18163" s="28"/>
      <c r="F18163" s="28"/>
      <c r="H18163" s="28"/>
    </row>
    <row r="18164" spans="4:8" x14ac:dyDescent="0.25">
      <c r="D18164" s="28"/>
      <c r="F18164" s="28"/>
      <c r="H18164" s="28"/>
    </row>
    <row r="18165" spans="4:8" x14ac:dyDescent="0.25">
      <c r="D18165" s="28"/>
      <c r="F18165" s="28"/>
      <c r="H18165" s="28"/>
    </row>
    <row r="18166" spans="4:8" x14ac:dyDescent="0.25">
      <c r="D18166" s="28"/>
      <c r="F18166" s="28"/>
      <c r="H18166" s="28"/>
    </row>
    <row r="18167" spans="4:8" x14ac:dyDescent="0.25">
      <c r="D18167" s="28"/>
      <c r="F18167" s="28"/>
      <c r="H18167" s="28"/>
    </row>
    <row r="18168" spans="4:8" x14ac:dyDescent="0.25">
      <c r="D18168" s="28"/>
      <c r="F18168" s="28"/>
      <c r="H18168" s="28"/>
    </row>
    <row r="18169" spans="4:8" x14ac:dyDescent="0.25">
      <c r="D18169" s="28"/>
      <c r="F18169" s="28"/>
      <c r="H18169" s="28"/>
    </row>
    <row r="18170" spans="4:8" x14ac:dyDescent="0.25">
      <c r="D18170" s="28"/>
      <c r="F18170" s="28"/>
      <c r="H18170" s="28"/>
    </row>
    <row r="18171" spans="4:8" x14ac:dyDescent="0.25">
      <c r="D18171" s="28"/>
      <c r="F18171" s="28"/>
      <c r="H18171" s="28"/>
    </row>
    <row r="18172" spans="4:8" x14ac:dyDescent="0.25">
      <c r="D18172" s="28"/>
      <c r="F18172" s="28"/>
      <c r="H18172" s="28"/>
    </row>
    <row r="18173" spans="4:8" x14ac:dyDescent="0.25">
      <c r="D18173" s="28"/>
      <c r="F18173" s="28"/>
      <c r="H18173" s="28"/>
    </row>
    <row r="18174" spans="4:8" x14ac:dyDescent="0.25">
      <c r="D18174" s="28"/>
      <c r="F18174" s="28"/>
      <c r="H18174" s="28"/>
    </row>
    <row r="18175" spans="4:8" x14ac:dyDescent="0.25">
      <c r="D18175" s="28"/>
      <c r="F18175" s="28"/>
      <c r="H18175" s="28"/>
    </row>
    <row r="18176" spans="4:8" x14ac:dyDescent="0.25">
      <c r="D18176" s="28"/>
      <c r="F18176" s="28"/>
      <c r="H18176" s="28"/>
    </row>
    <row r="18177" spans="4:8" x14ac:dyDescent="0.25">
      <c r="D18177" s="28"/>
      <c r="F18177" s="28"/>
      <c r="H18177" s="28"/>
    </row>
    <row r="18178" spans="4:8" x14ac:dyDescent="0.25">
      <c r="D18178" s="28"/>
      <c r="F18178" s="28"/>
      <c r="H18178" s="28"/>
    </row>
    <row r="18179" spans="4:8" x14ac:dyDescent="0.25">
      <c r="D18179" s="28"/>
      <c r="F18179" s="28"/>
      <c r="H18179" s="28"/>
    </row>
    <row r="18180" spans="4:8" x14ac:dyDescent="0.25">
      <c r="D18180" s="28"/>
      <c r="F18180" s="28"/>
      <c r="H18180" s="28"/>
    </row>
    <row r="18181" spans="4:8" x14ac:dyDescent="0.25">
      <c r="D18181" s="28"/>
      <c r="F18181" s="28"/>
      <c r="H18181" s="28"/>
    </row>
    <row r="18182" spans="4:8" x14ac:dyDescent="0.25">
      <c r="D18182" s="28"/>
      <c r="F18182" s="28"/>
      <c r="H18182" s="28"/>
    </row>
    <row r="18183" spans="4:8" x14ac:dyDescent="0.25">
      <c r="D18183" s="28"/>
      <c r="F18183" s="28"/>
      <c r="H18183" s="28"/>
    </row>
    <row r="18184" spans="4:8" x14ac:dyDescent="0.25">
      <c r="D18184" s="28"/>
      <c r="F18184" s="28"/>
      <c r="H18184" s="28"/>
    </row>
    <row r="18185" spans="4:8" x14ac:dyDescent="0.25">
      <c r="D18185" s="28"/>
      <c r="F18185" s="28"/>
      <c r="H18185" s="28"/>
    </row>
    <row r="18186" spans="4:8" x14ac:dyDescent="0.25">
      <c r="D18186" s="28"/>
      <c r="F18186" s="28"/>
      <c r="H18186" s="28"/>
    </row>
    <row r="18187" spans="4:8" x14ac:dyDescent="0.25">
      <c r="D18187" s="28"/>
      <c r="F18187" s="28"/>
      <c r="H18187" s="28"/>
    </row>
    <row r="18188" spans="4:8" x14ac:dyDescent="0.25">
      <c r="D18188" s="28"/>
      <c r="F18188" s="28"/>
      <c r="H18188" s="28"/>
    </row>
    <row r="18189" spans="4:8" x14ac:dyDescent="0.25">
      <c r="D18189" s="28"/>
      <c r="F18189" s="28"/>
      <c r="H18189" s="28"/>
    </row>
    <row r="18190" spans="4:8" x14ac:dyDescent="0.25">
      <c r="D18190" s="28"/>
      <c r="F18190" s="28"/>
      <c r="H18190" s="28"/>
    </row>
    <row r="18191" spans="4:8" x14ac:dyDescent="0.25">
      <c r="D18191" s="28"/>
      <c r="F18191" s="28"/>
      <c r="H18191" s="28"/>
    </row>
    <row r="18192" spans="4:8" x14ac:dyDescent="0.25">
      <c r="D18192" s="28"/>
      <c r="F18192" s="28"/>
      <c r="H18192" s="28"/>
    </row>
    <row r="18193" spans="4:8" x14ac:dyDescent="0.25">
      <c r="D18193" s="28"/>
      <c r="F18193" s="28"/>
      <c r="H18193" s="28"/>
    </row>
    <row r="18194" spans="4:8" x14ac:dyDescent="0.25">
      <c r="D18194" s="28"/>
      <c r="F18194" s="28"/>
      <c r="H18194" s="28"/>
    </row>
    <row r="18195" spans="4:8" x14ac:dyDescent="0.25">
      <c r="D18195" s="28"/>
      <c r="F18195" s="28"/>
      <c r="H18195" s="28"/>
    </row>
    <row r="18196" spans="4:8" x14ac:dyDescent="0.25">
      <c r="D18196" s="28"/>
      <c r="F18196" s="28"/>
      <c r="H18196" s="28"/>
    </row>
    <row r="18197" spans="4:8" x14ac:dyDescent="0.25">
      <c r="D18197" s="28"/>
      <c r="F18197" s="28"/>
      <c r="H18197" s="28"/>
    </row>
    <row r="18198" spans="4:8" x14ac:dyDescent="0.25">
      <c r="D18198" s="28"/>
      <c r="F18198" s="28"/>
      <c r="H18198" s="28"/>
    </row>
    <row r="18199" spans="4:8" x14ac:dyDescent="0.25">
      <c r="D18199" s="28"/>
      <c r="F18199" s="28"/>
      <c r="H18199" s="28"/>
    </row>
    <row r="18200" spans="4:8" x14ac:dyDescent="0.25">
      <c r="D18200" s="28"/>
      <c r="F18200" s="28"/>
      <c r="H18200" s="28"/>
    </row>
    <row r="18201" spans="4:8" x14ac:dyDescent="0.25">
      <c r="D18201" s="28"/>
      <c r="F18201" s="28"/>
      <c r="H18201" s="28"/>
    </row>
    <row r="18202" spans="4:8" x14ac:dyDescent="0.25">
      <c r="D18202" s="28"/>
      <c r="F18202" s="28"/>
      <c r="H18202" s="28"/>
    </row>
    <row r="18203" spans="4:8" x14ac:dyDescent="0.25">
      <c r="D18203" s="28"/>
      <c r="F18203" s="28"/>
      <c r="H18203" s="28"/>
    </row>
    <row r="18204" spans="4:8" x14ac:dyDescent="0.25">
      <c r="D18204" s="28"/>
      <c r="F18204" s="28"/>
      <c r="H18204" s="28"/>
    </row>
    <row r="18205" spans="4:8" x14ac:dyDescent="0.25">
      <c r="D18205" s="28"/>
      <c r="F18205" s="28"/>
      <c r="H18205" s="28"/>
    </row>
    <row r="18206" spans="4:8" x14ac:dyDescent="0.25">
      <c r="D18206" s="28"/>
      <c r="F18206" s="28"/>
      <c r="H18206" s="28"/>
    </row>
    <row r="18207" spans="4:8" x14ac:dyDescent="0.25">
      <c r="D18207" s="28"/>
      <c r="F18207" s="28"/>
      <c r="H18207" s="28"/>
    </row>
    <row r="18208" spans="4:8" x14ac:dyDescent="0.25">
      <c r="D18208" s="28"/>
      <c r="F18208" s="28"/>
      <c r="H18208" s="28"/>
    </row>
    <row r="18209" spans="4:8" x14ac:dyDescent="0.25">
      <c r="D18209" s="28"/>
      <c r="F18209" s="28"/>
      <c r="H18209" s="28"/>
    </row>
    <row r="18210" spans="4:8" x14ac:dyDescent="0.25">
      <c r="D18210" s="28"/>
      <c r="F18210" s="28"/>
      <c r="H18210" s="28"/>
    </row>
    <row r="18211" spans="4:8" x14ac:dyDescent="0.25">
      <c r="D18211" s="28"/>
      <c r="F18211" s="28"/>
      <c r="H18211" s="28"/>
    </row>
    <row r="18212" spans="4:8" x14ac:dyDescent="0.25">
      <c r="D18212" s="28"/>
      <c r="F18212" s="28"/>
      <c r="H18212" s="28"/>
    </row>
    <row r="18213" spans="4:8" x14ac:dyDescent="0.25">
      <c r="D18213" s="28"/>
      <c r="F18213" s="28"/>
      <c r="H18213" s="28"/>
    </row>
    <row r="18214" spans="4:8" x14ac:dyDescent="0.25">
      <c r="D18214" s="28"/>
      <c r="F18214" s="28"/>
      <c r="H18214" s="28"/>
    </row>
    <row r="18215" spans="4:8" x14ac:dyDescent="0.25">
      <c r="D18215" s="28"/>
      <c r="F18215" s="28"/>
      <c r="H18215" s="28"/>
    </row>
    <row r="18216" spans="4:8" x14ac:dyDescent="0.25">
      <c r="D18216" s="28"/>
      <c r="F18216" s="28"/>
      <c r="H18216" s="28"/>
    </row>
    <row r="18217" spans="4:8" x14ac:dyDescent="0.25">
      <c r="D18217" s="28"/>
      <c r="F18217" s="28"/>
      <c r="H18217" s="28"/>
    </row>
    <row r="18218" spans="4:8" x14ac:dyDescent="0.25">
      <c r="D18218" s="28"/>
      <c r="F18218" s="28"/>
      <c r="H18218" s="28"/>
    </row>
    <row r="18219" spans="4:8" x14ac:dyDescent="0.25">
      <c r="D18219" s="28"/>
      <c r="F18219" s="28"/>
      <c r="H18219" s="28"/>
    </row>
    <row r="18220" spans="4:8" x14ac:dyDescent="0.25">
      <c r="D18220" s="28"/>
      <c r="F18220" s="28"/>
      <c r="H18220" s="28"/>
    </row>
    <row r="18221" spans="4:8" x14ac:dyDescent="0.25">
      <c r="D18221" s="28"/>
      <c r="F18221" s="28"/>
      <c r="H18221" s="28"/>
    </row>
    <row r="18222" spans="4:8" x14ac:dyDescent="0.25">
      <c r="D18222" s="28"/>
      <c r="F18222" s="28"/>
      <c r="H18222" s="28"/>
    </row>
    <row r="18223" spans="4:8" x14ac:dyDescent="0.25">
      <c r="D18223" s="28"/>
      <c r="F18223" s="28"/>
      <c r="H18223" s="28"/>
    </row>
    <row r="18224" spans="4:8" x14ac:dyDescent="0.25">
      <c r="D18224" s="28"/>
      <c r="F18224" s="28"/>
      <c r="H18224" s="28"/>
    </row>
    <row r="18225" spans="4:8" x14ac:dyDescent="0.25">
      <c r="D18225" s="28"/>
      <c r="F18225" s="28"/>
      <c r="H18225" s="28"/>
    </row>
    <row r="18226" spans="4:8" x14ac:dyDescent="0.25">
      <c r="D18226" s="28"/>
      <c r="F18226" s="28"/>
      <c r="H18226" s="28"/>
    </row>
    <row r="18227" spans="4:8" x14ac:dyDescent="0.25">
      <c r="D18227" s="28"/>
      <c r="F18227" s="28"/>
      <c r="H18227" s="28"/>
    </row>
    <row r="18228" spans="4:8" x14ac:dyDescent="0.25">
      <c r="D18228" s="28"/>
      <c r="F18228" s="28"/>
      <c r="H18228" s="28"/>
    </row>
    <row r="18229" spans="4:8" x14ac:dyDescent="0.25">
      <c r="D18229" s="28"/>
      <c r="F18229" s="28"/>
      <c r="H18229" s="28"/>
    </row>
    <row r="18230" spans="4:8" x14ac:dyDescent="0.25">
      <c r="D18230" s="28"/>
      <c r="F18230" s="28"/>
      <c r="H18230" s="28"/>
    </row>
    <row r="18231" spans="4:8" x14ac:dyDescent="0.25">
      <c r="D18231" s="28"/>
      <c r="F18231" s="28"/>
      <c r="H18231" s="28"/>
    </row>
    <row r="18232" spans="4:8" x14ac:dyDescent="0.25">
      <c r="D18232" s="28"/>
      <c r="F18232" s="28"/>
      <c r="H18232" s="28"/>
    </row>
    <row r="18233" spans="4:8" x14ac:dyDescent="0.25">
      <c r="D18233" s="28"/>
      <c r="F18233" s="28"/>
      <c r="H18233" s="28"/>
    </row>
    <row r="18234" spans="4:8" x14ac:dyDescent="0.25">
      <c r="D18234" s="28"/>
      <c r="F18234" s="28"/>
      <c r="H18234" s="28"/>
    </row>
    <row r="18235" spans="4:8" x14ac:dyDescent="0.25">
      <c r="D18235" s="28"/>
      <c r="F18235" s="28"/>
      <c r="H18235" s="28"/>
    </row>
    <row r="18236" spans="4:8" x14ac:dyDescent="0.25">
      <c r="D18236" s="28"/>
      <c r="F18236" s="28"/>
      <c r="H18236" s="28"/>
    </row>
    <row r="18237" spans="4:8" x14ac:dyDescent="0.25">
      <c r="D18237" s="28"/>
      <c r="F18237" s="28"/>
      <c r="H18237" s="28"/>
    </row>
    <row r="18238" spans="4:8" x14ac:dyDescent="0.25">
      <c r="D18238" s="28"/>
      <c r="F18238" s="28"/>
      <c r="H18238" s="28"/>
    </row>
    <row r="18239" spans="4:8" x14ac:dyDescent="0.25">
      <c r="D18239" s="28"/>
      <c r="F18239" s="28"/>
      <c r="H18239" s="28"/>
    </row>
    <row r="18240" spans="4:8" x14ac:dyDescent="0.25">
      <c r="D18240" s="28"/>
      <c r="F18240" s="28"/>
      <c r="H18240" s="28"/>
    </row>
    <row r="18241" spans="4:8" x14ac:dyDescent="0.25">
      <c r="D18241" s="28"/>
      <c r="F18241" s="28"/>
      <c r="H18241" s="28"/>
    </row>
    <row r="18242" spans="4:8" x14ac:dyDescent="0.25">
      <c r="D18242" s="28"/>
      <c r="F18242" s="28"/>
      <c r="H18242" s="28"/>
    </row>
    <row r="18243" spans="4:8" x14ac:dyDescent="0.25">
      <c r="D18243" s="28"/>
      <c r="F18243" s="28"/>
      <c r="H18243" s="28"/>
    </row>
    <row r="18244" spans="4:8" x14ac:dyDescent="0.25">
      <c r="D18244" s="28"/>
      <c r="F18244" s="28"/>
      <c r="H18244" s="28"/>
    </row>
    <row r="18245" spans="4:8" x14ac:dyDescent="0.25">
      <c r="D18245" s="28"/>
      <c r="F18245" s="28"/>
      <c r="H18245" s="28"/>
    </row>
    <row r="18246" spans="4:8" x14ac:dyDescent="0.25">
      <c r="D18246" s="28"/>
      <c r="F18246" s="28"/>
      <c r="H18246" s="28"/>
    </row>
    <row r="18247" spans="4:8" x14ac:dyDescent="0.25">
      <c r="D18247" s="28"/>
      <c r="F18247" s="28"/>
      <c r="H18247" s="28"/>
    </row>
    <row r="18248" spans="4:8" x14ac:dyDescent="0.25">
      <c r="D18248" s="28"/>
      <c r="F18248" s="28"/>
      <c r="H18248" s="28"/>
    </row>
    <row r="18249" spans="4:8" x14ac:dyDescent="0.25">
      <c r="D18249" s="28"/>
      <c r="F18249" s="28"/>
      <c r="H18249" s="28"/>
    </row>
    <row r="18250" spans="4:8" x14ac:dyDescent="0.25">
      <c r="D18250" s="28"/>
      <c r="F18250" s="28"/>
      <c r="H18250" s="28"/>
    </row>
    <row r="18251" spans="4:8" x14ac:dyDescent="0.25">
      <c r="D18251" s="28"/>
      <c r="F18251" s="28"/>
      <c r="H18251" s="28"/>
    </row>
    <row r="18252" spans="4:8" x14ac:dyDescent="0.25">
      <c r="D18252" s="28"/>
      <c r="F18252" s="28"/>
      <c r="H18252" s="28"/>
    </row>
    <row r="18253" spans="4:8" x14ac:dyDescent="0.25">
      <c r="D18253" s="28"/>
      <c r="F18253" s="28"/>
      <c r="H18253" s="28"/>
    </row>
    <row r="18254" spans="4:8" x14ac:dyDescent="0.25">
      <c r="D18254" s="28"/>
      <c r="F18254" s="28"/>
      <c r="H18254" s="28"/>
    </row>
    <row r="18255" spans="4:8" x14ac:dyDescent="0.25">
      <c r="D18255" s="28"/>
      <c r="F18255" s="28"/>
      <c r="H18255" s="28"/>
    </row>
    <row r="18256" spans="4:8" x14ac:dyDescent="0.25">
      <c r="D18256" s="28"/>
      <c r="F18256" s="28"/>
      <c r="H18256" s="28"/>
    </row>
    <row r="18257" spans="4:8" x14ac:dyDescent="0.25">
      <c r="D18257" s="28"/>
      <c r="F18257" s="28"/>
      <c r="H18257" s="28"/>
    </row>
    <row r="18258" spans="4:8" x14ac:dyDescent="0.25">
      <c r="D18258" s="28"/>
      <c r="F18258" s="28"/>
      <c r="H18258" s="28"/>
    </row>
    <row r="18259" spans="4:8" x14ac:dyDescent="0.25">
      <c r="D18259" s="28"/>
      <c r="F18259" s="28"/>
      <c r="H18259" s="28"/>
    </row>
    <row r="18260" spans="4:8" x14ac:dyDescent="0.25">
      <c r="D18260" s="28"/>
      <c r="F18260" s="28"/>
      <c r="H18260" s="28"/>
    </row>
    <row r="18261" spans="4:8" x14ac:dyDescent="0.25">
      <c r="D18261" s="28"/>
      <c r="F18261" s="28"/>
      <c r="H18261" s="28"/>
    </row>
    <row r="18262" spans="4:8" x14ac:dyDescent="0.25">
      <c r="D18262" s="28"/>
      <c r="F18262" s="28"/>
      <c r="H18262" s="28"/>
    </row>
    <row r="18263" spans="4:8" x14ac:dyDescent="0.25">
      <c r="D18263" s="28"/>
      <c r="F18263" s="28"/>
      <c r="H18263" s="28"/>
    </row>
    <row r="18264" spans="4:8" x14ac:dyDescent="0.25">
      <c r="D18264" s="28"/>
      <c r="F18264" s="28"/>
      <c r="H18264" s="28"/>
    </row>
    <row r="18265" spans="4:8" x14ac:dyDescent="0.25">
      <c r="D18265" s="28"/>
      <c r="F18265" s="28"/>
      <c r="H18265" s="28"/>
    </row>
    <row r="18266" spans="4:8" x14ac:dyDescent="0.25">
      <c r="D18266" s="28"/>
      <c r="F18266" s="28"/>
      <c r="H18266" s="28"/>
    </row>
    <row r="18267" spans="4:8" x14ac:dyDescent="0.25">
      <c r="D18267" s="28"/>
      <c r="F18267" s="28"/>
      <c r="H18267" s="28"/>
    </row>
    <row r="18268" spans="4:8" x14ac:dyDescent="0.25">
      <c r="D18268" s="28"/>
      <c r="F18268" s="28"/>
      <c r="H18268" s="28"/>
    </row>
    <row r="18269" spans="4:8" x14ac:dyDescent="0.25">
      <c r="D18269" s="28"/>
      <c r="F18269" s="28"/>
      <c r="H18269" s="28"/>
    </row>
    <row r="18270" spans="4:8" x14ac:dyDescent="0.25">
      <c r="D18270" s="28"/>
      <c r="F18270" s="28"/>
      <c r="H18270" s="28"/>
    </row>
    <row r="18271" spans="4:8" x14ac:dyDescent="0.25">
      <c r="D18271" s="28"/>
      <c r="F18271" s="28"/>
      <c r="H18271" s="28"/>
    </row>
    <row r="18272" spans="4:8" x14ac:dyDescent="0.25">
      <c r="D18272" s="28"/>
      <c r="F18272" s="28"/>
      <c r="H18272" s="28"/>
    </row>
    <row r="18273" spans="4:8" x14ac:dyDescent="0.25">
      <c r="D18273" s="28"/>
      <c r="F18273" s="28"/>
      <c r="H18273" s="28"/>
    </row>
    <row r="18274" spans="4:8" x14ac:dyDescent="0.25">
      <c r="D18274" s="28"/>
      <c r="F18274" s="28"/>
      <c r="H18274" s="28"/>
    </row>
    <row r="18275" spans="4:8" x14ac:dyDescent="0.25">
      <c r="D18275" s="28"/>
      <c r="F18275" s="28"/>
      <c r="H18275" s="28"/>
    </row>
    <row r="18276" spans="4:8" x14ac:dyDescent="0.25">
      <c r="D18276" s="28"/>
      <c r="F18276" s="28"/>
      <c r="H18276" s="28"/>
    </row>
    <row r="18277" spans="4:8" x14ac:dyDescent="0.25">
      <c r="D18277" s="28"/>
      <c r="F18277" s="28"/>
      <c r="H18277" s="28"/>
    </row>
    <row r="18278" spans="4:8" x14ac:dyDescent="0.25">
      <c r="D18278" s="28"/>
      <c r="F18278" s="28"/>
      <c r="H18278" s="28"/>
    </row>
    <row r="18279" spans="4:8" x14ac:dyDescent="0.25">
      <c r="D18279" s="28"/>
      <c r="F18279" s="28"/>
      <c r="H18279" s="28"/>
    </row>
    <row r="18280" spans="4:8" x14ac:dyDescent="0.25">
      <c r="D18280" s="28"/>
      <c r="F18280" s="28"/>
      <c r="H18280" s="28"/>
    </row>
    <row r="18281" spans="4:8" x14ac:dyDescent="0.25">
      <c r="D18281" s="28"/>
      <c r="F18281" s="28"/>
      <c r="H18281" s="28"/>
    </row>
    <row r="18282" spans="4:8" x14ac:dyDescent="0.25">
      <c r="D18282" s="28"/>
      <c r="F18282" s="28"/>
      <c r="H18282" s="28"/>
    </row>
    <row r="18283" spans="4:8" x14ac:dyDescent="0.25">
      <c r="D18283" s="28"/>
      <c r="F18283" s="28"/>
      <c r="H18283" s="28"/>
    </row>
    <row r="18284" spans="4:8" x14ac:dyDescent="0.25">
      <c r="D18284" s="28"/>
      <c r="F18284" s="28"/>
      <c r="H18284" s="28"/>
    </row>
    <row r="18285" spans="4:8" x14ac:dyDescent="0.25">
      <c r="D18285" s="28"/>
      <c r="F18285" s="28"/>
      <c r="H18285" s="28"/>
    </row>
    <row r="18286" spans="4:8" x14ac:dyDescent="0.25">
      <c r="D18286" s="28"/>
      <c r="F18286" s="28"/>
      <c r="H18286" s="28"/>
    </row>
    <row r="18287" spans="4:8" x14ac:dyDescent="0.25">
      <c r="D18287" s="28"/>
      <c r="F18287" s="28"/>
      <c r="H18287" s="28"/>
    </row>
    <row r="18288" spans="4:8" x14ac:dyDescent="0.25">
      <c r="D18288" s="28"/>
      <c r="F18288" s="28"/>
      <c r="H18288" s="28"/>
    </row>
    <row r="18289" spans="4:8" x14ac:dyDescent="0.25">
      <c r="D18289" s="28"/>
      <c r="F18289" s="28"/>
      <c r="H18289" s="28"/>
    </row>
    <row r="18290" spans="4:8" x14ac:dyDescent="0.25">
      <c r="D18290" s="28"/>
      <c r="F18290" s="28"/>
      <c r="H18290" s="28"/>
    </row>
    <row r="18291" spans="4:8" x14ac:dyDescent="0.25">
      <c r="D18291" s="28"/>
      <c r="F18291" s="28"/>
      <c r="H18291" s="28"/>
    </row>
    <row r="18292" spans="4:8" x14ac:dyDescent="0.25">
      <c r="D18292" s="28"/>
      <c r="F18292" s="28"/>
      <c r="H18292" s="28"/>
    </row>
    <row r="18293" spans="4:8" x14ac:dyDescent="0.25">
      <c r="D18293" s="28"/>
      <c r="F18293" s="28"/>
      <c r="H18293" s="28"/>
    </row>
    <row r="18294" spans="4:8" x14ac:dyDescent="0.25">
      <c r="D18294" s="28"/>
      <c r="F18294" s="28"/>
      <c r="H18294" s="28"/>
    </row>
    <row r="18295" spans="4:8" x14ac:dyDescent="0.25">
      <c r="D18295" s="28"/>
      <c r="F18295" s="28"/>
      <c r="H18295" s="28"/>
    </row>
    <row r="18296" spans="4:8" x14ac:dyDescent="0.25">
      <c r="D18296" s="28"/>
      <c r="F18296" s="28"/>
      <c r="H18296" s="28"/>
    </row>
    <row r="18297" spans="4:8" x14ac:dyDescent="0.25">
      <c r="D18297" s="28"/>
      <c r="F18297" s="28"/>
      <c r="H18297" s="28"/>
    </row>
    <row r="18298" spans="4:8" x14ac:dyDescent="0.25">
      <c r="D18298" s="28"/>
      <c r="F18298" s="28"/>
      <c r="H18298" s="28"/>
    </row>
    <row r="18299" spans="4:8" x14ac:dyDescent="0.25">
      <c r="D18299" s="28"/>
      <c r="F18299" s="28"/>
      <c r="H18299" s="28"/>
    </row>
    <row r="18300" spans="4:8" x14ac:dyDescent="0.25">
      <c r="D18300" s="28"/>
      <c r="F18300" s="28"/>
      <c r="H18300" s="28"/>
    </row>
    <row r="18301" spans="4:8" x14ac:dyDescent="0.25">
      <c r="D18301" s="28"/>
      <c r="F18301" s="28"/>
      <c r="H18301" s="28"/>
    </row>
    <row r="18302" spans="4:8" x14ac:dyDescent="0.25">
      <c r="D18302" s="28"/>
      <c r="F18302" s="28"/>
      <c r="H18302" s="28"/>
    </row>
    <row r="18303" spans="4:8" x14ac:dyDescent="0.25">
      <c r="D18303" s="28"/>
      <c r="F18303" s="28"/>
      <c r="H18303" s="28"/>
    </row>
    <row r="18304" spans="4:8" x14ac:dyDescent="0.25">
      <c r="D18304" s="28"/>
      <c r="F18304" s="28"/>
      <c r="H18304" s="28"/>
    </row>
    <row r="18305" spans="4:8" x14ac:dyDescent="0.25">
      <c r="D18305" s="28"/>
      <c r="F18305" s="28"/>
      <c r="H18305" s="28"/>
    </row>
    <row r="18306" spans="4:8" x14ac:dyDescent="0.25">
      <c r="D18306" s="28"/>
      <c r="F18306" s="28"/>
      <c r="H18306" s="28"/>
    </row>
    <row r="18307" spans="4:8" x14ac:dyDescent="0.25">
      <c r="D18307" s="28"/>
      <c r="F18307" s="28"/>
      <c r="H18307" s="28"/>
    </row>
    <row r="18308" spans="4:8" x14ac:dyDescent="0.25">
      <c r="D18308" s="28"/>
      <c r="F18308" s="28"/>
      <c r="H18308" s="28"/>
    </row>
    <row r="18309" spans="4:8" x14ac:dyDescent="0.25">
      <c r="D18309" s="28"/>
      <c r="F18309" s="28"/>
      <c r="H18309" s="28"/>
    </row>
    <row r="18310" spans="4:8" x14ac:dyDescent="0.25">
      <c r="D18310" s="28"/>
      <c r="F18310" s="28"/>
      <c r="H18310" s="28"/>
    </row>
    <row r="18311" spans="4:8" x14ac:dyDescent="0.25">
      <c r="D18311" s="28"/>
      <c r="F18311" s="28"/>
      <c r="H18311" s="28"/>
    </row>
    <row r="18312" spans="4:8" x14ac:dyDescent="0.25">
      <c r="D18312" s="28"/>
      <c r="F18312" s="28"/>
      <c r="H18312" s="28"/>
    </row>
    <row r="18313" spans="4:8" x14ac:dyDescent="0.25">
      <c r="D18313" s="28"/>
      <c r="F18313" s="28"/>
      <c r="H18313" s="28"/>
    </row>
    <row r="18314" spans="4:8" x14ac:dyDescent="0.25">
      <c r="D18314" s="28"/>
      <c r="F18314" s="28"/>
      <c r="H18314" s="28"/>
    </row>
    <row r="18315" spans="4:8" x14ac:dyDescent="0.25">
      <c r="D18315" s="28"/>
      <c r="F18315" s="28"/>
      <c r="H18315" s="28"/>
    </row>
    <row r="18316" spans="4:8" x14ac:dyDescent="0.25">
      <c r="D18316" s="28"/>
      <c r="F18316" s="28"/>
      <c r="H18316" s="28"/>
    </row>
    <row r="18317" spans="4:8" x14ac:dyDescent="0.25">
      <c r="D18317" s="28"/>
      <c r="F18317" s="28"/>
      <c r="H18317" s="28"/>
    </row>
    <row r="18318" spans="4:8" x14ac:dyDescent="0.25">
      <c r="D18318" s="28"/>
      <c r="F18318" s="28"/>
      <c r="H18318" s="28"/>
    </row>
    <row r="18319" spans="4:8" x14ac:dyDescent="0.25">
      <c r="D18319" s="28"/>
      <c r="F18319" s="28"/>
      <c r="H18319" s="28"/>
    </row>
    <row r="18320" spans="4:8" x14ac:dyDescent="0.25">
      <c r="D18320" s="28"/>
      <c r="F18320" s="28"/>
      <c r="H18320" s="28"/>
    </row>
    <row r="18321" spans="4:8" x14ac:dyDescent="0.25">
      <c r="D18321" s="28"/>
      <c r="F18321" s="28"/>
      <c r="H18321" s="28"/>
    </row>
    <row r="18322" spans="4:8" x14ac:dyDescent="0.25">
      <c r="D18322" s="28"/>
      <c r="F18322" s="28"/>
      <c r="H18322" s="28"/>
    </row>
    <row r="18323" spans="4:8" x14ac:dyDescent="0.25">
      <c r="D18323" s="28"/>
      <c r="F18323" s="28"/>
      <c r="H18323" s="28"/>
    </row>
    <row r="18324" spans="4:8" x14ac:dyDescent="0.25">
      <c r="D18324" s="28"/>
      <c r="F18324" s="28"/>
      <c r="H18324" s="28"/>
    </row>
    <row r="18325" spans="4:8" x14ac:dyDescent="0.25">
      <c r="D18325" s="28"/>
      <c r="F18325" s="28"/>
      <c r="H18325" s="28"/>
    </row>
    <row r="18326" spans="4:8" x14ac:dyDescent="0.25">
      <c r="D18326" s="28"/>
      <c r="F18326" s="28"/>
      <c r="H18326" s="28"/>
    </row>
    <row r="18327" spans="4:8" x14ac:dyDescent="0.25">
      <c r="D18327" s="28"/>
      <c r="F18327" s="28"/>
      <c r="H18327" s="28"/>
    </row>
    <row r="18328" spans="4:8" x14ac:dyDescent="0.25">
      <c r="D18328" s="28"/>
      <c r="F18328" s="28"/>
      <c r="H18328" s="28"/>
    </row>
    <row r="18329" spans="4:8" x14ac:dyDescent="0.25">
      <c r="D18329" s="28"/>
      <c r="F18329" s="28"/>
      <c r="H18329" s="28"/>
    </row>
    <row r="18330" spans="4:8" x14ac:dyDescent="0.25">
      <c r="D18330" s="28"/>
      <c r="F18330" s="28"/>
      <c r="H18330" s="28"/>
    </row>
    <row r="18331" spans="4:8" x14ac:dyDescent="0.25">
      <c r="D18331" s="28"/>
      <c r="F18331" s="28"/>
      <c r="H18331" s="28"/>
    </row>
    <row r="18332" spans="4:8" x14ac:dyDescent="0.25">
      <c r="D18332" s="28"/>
      <c r="F18332" s="28"/>
      <c r="H18332" s="28"/>
    </row>
    <row r="18333" spans="4:8" x14ac:dyDescent="0.25">
      <c r="D18333" s="28"/>
      <c r="F18333" s="28"/>
      <c r="H18333" s="28"/>
    </row>
    <row r="18334" spans="4:8" x14ac:dyDescent="0.25">
      <c r="D18334" s="28"/>
      <c r="F18334" s="28"/>
      <c r="H18334" s="28"/>
    </row>
    <row r="18335" spans="4:8" x14ac:dyDescent="0.25">
      <c r="D18335" s="28"/>
      <c r="F18335" s="28"/>
      <c r="H18335" s="28"/>
    </row>
    <row r="18336" spans="4:8" x14ac:dyDescent="0.25">
      <c r="D18336" s="28"/>
      <c r="F18336" s="28"/>
      <c r="H18336" s="28"/>
    </row>
    <row r="18337" spans="4:8" x14ac:dyDescent="0.25">
      <c r="D18337" s="28"/>
      <c r="F18337" s="28"/>
      <c r="H18337" s="28"/>
    </row>
    <row r="18338" spans="4:8" x14ac:dyDescent="0.25">
      <c r="D18338" s="28"/>
      <c r="F18338" s="28"/>
      <c r="H18338" s="28"/>
    </row>
    <row r="18339" spans="4:8" x14ac:dyDescent="0.25">
      <c r="D18339" s="28"/>
      <c r="F18339" s="28"/>
      <c r="H18339" s="28"/>
    </row>
    <row r="18340" spans="4:8" x14ac:dyDescent="0.25">
      <c r="D18340" s="28"/>
      <c r="F18340" s="28"/>
      <c r="H18340" s="28"/>
    </row>
    <row r="18341" spans="4:8" x14ac:dyDescent="0.25">
      <c r="D18341" s="28"/>
      <c r="F18341" s="28"/>
      <c r="H18341" s="28"/>
    </row>
    <row r="18342" spans="4:8" x14ac:dyDescent="0.25">
      <c r="D18342" s="28"/>
      <c r="F18342" s="28"/>
      <c r="H18342" s="28"/>
    </row>
    <row r="18343" spans="4:8" x14ac:dyDescent="0.25">
      <c r="D18343" s="28"/>
      <c r="F18343" s="28"/>
      <c r="H18343" s="28"/>
    </row>
    <row r="18344" spans="4:8" x14ac:dyDescent="0.25">
      <c r="D18344" s="28"/>
      <c r="F18344" s="28"/>
      <c r="H18344" s="28"/>
    </row>
    <row r="18345" spans="4:8" x14ac:dyDescent="0.25">
      <c r="D18345" s="28"/>
      <c r="F18345" s="28"/>
      <c r="H18345" s="28"/>
    </row>
    <row r="18346" spans="4:8" x14ac:dyDescent="0.25">
      <c r="D18346" s="28"/>
      <c r="F18346" s="28"/>
      <c r="H18346" s="28"/>
    </row>
    <row r="18347" spans="4:8" x14ac:dyDescent="0.25">
      <c r="D18347" s="28"/>
      <c r="F18347" s="28"/>
      <c r="H18347" s="28"/>
    </row>
    <row r="18348" spans="4:8" x14ac:dyDescent="0.25">
      <c r="D18348" s="28"/>
      <c r="F18348" s="28"/>
      <c r="H18348" s="28"/>
    </row>
    <row r="18349" spans="4:8" x14ac:dyDescent="0.25">
      <c r="D18349" s="28"/>
      <c r="F18349" s="28"/>
      <c r="H18349" s="28"/>
    </row>
    <row r="18350" spans="4:8" x14ac:dyDescent="0.25">
      <c r="D18350" s="28"/>
      <c r="F18350" s="28"/>
      <c r="H18350" s="28"/>
    </row>
    <row r="18351" spans="4:8" x14ac:dyDescent="0.25">
      <c r="D18351" s="28"/>
      <c r="F18351" s="28"/>
      <c r="H18351" s="28"/>
    </row>
    <row r="18352" spans="4:8" x14ac:dyDescent="0.25">
      <c r="D18352" s="28"/>
      <c r="F18352" s="28"/>
      <c r="H18352" s="28"/>
    </row>
    <row r="18353" spans="4:8" x14ac:dyDescent="0.25">
      <c r="D18353" s="28"/>
      <c r="F18353" s="28"/>
      <c r="H18353" s="28"/>
    </row>
    <row r="18354" spans="4:8" x14ac:dyDescent="0.25">
      <c r="D18354" s="28"/>
      <c r="F18354" s="28"/>
      <c r="H18354" s="28"/>
    </row>
    <row r="18355" spans="4:8" x14ac:dyDescent="0.25">
      <c r="D18355" s="28"/>
      <c r="F18355" s="28"/>
      <c r="H18355" s="28"/>
    </row>
    <row r="18356" spans="4:8" x14ac:dyDescent="0.25">
      <c r="D18356" s="28"/>
      <c r="F18356" s="28"/>
      <c r="H18356" s="28"/>
    </row>
    <row r="18357" spans="4:8" x14ac:dyDescent="0.25">
      <c r="D18357" s="28"/>
      <c r="F18357" s="28"/>
      <c r="H18357" s="28"/>
    </row>
    <row r="18358" spans="4:8" x14ac:dyDescent="0.25">
      <c r="D18358" s="28"/>
      <c r="F18358" s="28"/>
      <c r="H18358" s="28"/>
    </row>
    <row r="18359" spans="4:8" x14ac:dyDescent="0.25">
      <c r="D18359" s="28"/>
      <c r="F18359" s="28"/>
      <c r="H18359" s="28"/>
    </row>
    <row r="18360" spans="4:8" x14ac:dyDescent="0.25">
      <c r="D18360" s="28"/>
      <c r="F18360" s="28"/>
      <c r="H18360" s="28"/>
    </row>
    <row r="18361" spans="4:8" x14ac:dyDescent="0.25">
      <c r="D18361" s="28"/>
      <c r="F18361" s="28"/>
      <c r="H18361" s="28"/>
    </row>
    <row r="18362" spans="4:8" x14ac:dyDescent="0.25">
      <c r="D18362" s="28"/>
      <c r="F18362" s="28"/>
      <c r="H18362" s="28"/>
    </row>
    <row r="18363" spans="4:8" x14ac:dyDescent="0.25">
      <c r="D18363" s="28"/>
      <c r="F18363" s="28"/>
      <c r="H18363" s="28"/>
    </row>
    <row r="18364" spans="4:8" x14ac:dyDescent="0.25">
      <c r="D18364" s="28"/>
      <c r="F18364" s="28"/>
      <c r="H18364" s="28"/>
    </row>
    <row r="18365" spans="4:8" x14ac:dyDescent="0.25">
      <c r="D18365" s="28"/>
      <c r="F18365" s="28"/>
      <c r="H18365" s="28"/>
    </row>
    <row r="18366" spans="4:8" x14ac:dyDescent="0.25">
      <c r="D18366" s="28"/>
      <c r="F18366" s="28"/>
      <c r="H18366" s="28"/>
    </row>
    <row r="18367" spans="4:8" x14ac:dyDescent="0.25">
      <c r="D18367" s="28"/>
      <c r="F18367" s="28"/>
      <c r="H18367" s="28"/>
    </row>
    <row r="18368" spans="4:8" x14ac:dyDescent="0.25">
      <c r="D18368" s="28"/>
      <c r="F18368" s="28"/>
      <c r="H18368" s="28"/>
    </row>
    <row r="18369" spans="4:8" x14ac:dyDescent="0.25">
      <c r="D18369" s="28"/>
      <c r="F18369" s="28"/>
      <c r="H18369" s="28"/>
    </row>
    <row r="18370" spans="4:8" x14ac:dyDescent="0.25">
      <c r="D18370" s="28"/>
      <c r="F18370" s="28"/>
      <c r="H18370" s="28"/>
    </row>
    <row r="18371" spans="4:8" x14ac:dyDescent="0.25">
      <c r="D18371" s="28"/>
      <c r="F18371" s="28"/>
      <c r="H18371" s="28"/>
    </row>
    <row r="18372" spans="4:8" x14ac:dyDescent="0.25">
      <c r="D18372" s="28"/>
      <c r="F18372" s="28"/>
      <c r="H18372" s="28"/>
    </row>
    <row r="18373" spans="4:8" x14ac:dyDescent="0.25">
      <c r="D18373" s="28"/>
      <c r="F18373" s="28"/>
      <c r="H18373" s="28"/>
    </row>
    <row r="18374" spans="4:8" x14ac:dyDescent="0.25">
      <c r="D18374" s="28"/>
      <c r="F18374" s="28"/>
      <c r="H18374" s="28"/>
    </row>
    <row r="18375" spans="4:8" x14ac:dyDescent="0.25">
      <c r="D18375" s="28"/>
      <c r="F18375" s="28"/>
      <c r="H18375" s="28"/>
    </row>
    <row r="18376" spans="4:8" x14ac:dyDescent="0.25">
      <c r="D18376" s="28"/>
      <c r="F18376" s="28"/>
      <c r="H18376" s="28"/>
    </row>
    <row r="18377" spans="4:8" x14ac:dyDescent="0.25">
      <c r="D18377" s="28"/>
      <c r="F18377" s="28"/>
      <c r="H18377" s="28"/>
    </row>
    <row r="18378" spans="4:8" x14ac:dyDescent="0.25">
      <c r="D18378" s="28"/>
      <c r="F18378" s="28"/>
      <c r="H18378" s="28"/>
    </row>
    <row r="18379" spans="4:8" x14ac:dyDescent="0.25">
      <c r="D18379" s="28"/>
      <c r="F18379" s="28"/>
      <c r="H18379" s="28"/>
    </row>
    <row r="18380" spans="4:8" x14ac:dyDescent="0.25">
      <c r="D18380" s="28"/>
      <c r="F18380" s="28"/>
      <c r="H18380" s="28"/>
    </row>
    <row r="18381" spans="4:8" x14ac:dyDescent="0.25">
      <c r="D18381" s="28"/>
      <c r="F18381" s="28"/>
      <c r="H18381" s="28"/>
    </row>
    <row r="18382" spans="4:8" x14ac:dyDescent="0.25">
      <c r="D18382" s="28"/>
      <c r="F18382" s="28"/>
      <c r="H18382" s="28"/>
    </row>
    <row r="18383" spans="4:8" x14ac:dyDescent="0.25">
      <c r="D18383" s="28"/>
      <c r="F18383" s="28"/>
      <c r="H18383" s="28"/>
    </row>
    <row r="18384" spans="4:8" x14ac:dyDescent="0.25">
      <c r="D18384" s="28"/>
      <c r="F18384" s="28"/>
      <c r="H18384" s="28"/>
    </row>
    <row r="18385" spans="4:8" x14ac:dyDescent="0.25">
      <c r="D18385" s="28"/>
      <c r="F18385" s="28"/>
      <c r="H18385" s="28"/>
    </row>
    <row r="18386" spans="4:8" x14ac:dyDescent="0.25">
      <c r="D18386" s="28"/>
      <c r="F18386" s="28"/>
      <c r="H18386" s="28"/>
    </row>
    <row r="18387" spans="4:8" x14ac:dyDescent="0.25">
      <c r="D18387" s="28"/>
      <c r="F18387" s="28"/>
      <c r="H18387" s="28"/>
    </row>
    <row r="18388" spans="4:8" x14ac:dyDescent="0.25">
      <c r="D18388" s="28"/>
      <c r="F18388" s="28"/>
      <c r="H18388" s="28"/>
    </row>
    <row r="18389" spans="4:8" x14ac:dyDescent="0.25">
      <c r="D18389" s="28"/>
      <c r="F18389" s="28"/>
      <c r="H18389" s="28"/>
    </row>
    <row r="18390" spans="4:8" x14ac:dyDescent="0.25">
      <c r="D18390" s="28"/>
      <c r="F18390" s="28"/>
      <c r="H18390" s="28"/>
    </row>
    <row r="18391" spans="4:8" x14ac:dyDescent="0.25">
      <c r="D18391" s="28"/>
      <c r="F18391" s="28"/>
      <c r="H18391" s="28"/>
    </row>
    <row r="18392" spans="4:8" x14ac:dyDescent="0.25">
      <c r="D18392" s="28"/>
      <c r="F18392" s="28"/>
      <c r="H18392" s="28"/>
    </row>
    <row r="18393" spans="4:8" x14ac:dyDescent="0.25">
      <c r="D18393" s="28"/>
      <c r="F18393" s="28"/>
      <c r="H18393" s="28"/>
    </row>
    <row r="18394" spans="4:8" x14ac:dyDescent="0.25">
      <c r="D18394" s="28"/>
      <c r="F18394" s="28"/>
      <c r="H18394" s="28"/>
    </row>
    <row r="18395" spans="4:8" x14ac:dyDescent="0.25">
      <c r="D18395" s="28"/>
      <c r="F18395" s="28"/>
      <c r="H18395" s="28"/>
    </row>
    <row r="18396" spans="4:8" x14ac:dyDescent="0.25">
      <c r="D18396" s="28"/>
      <c r="F18396" s="28"/>
      <c r="H18396" s="28"/>
    </row>
    <row r="18397" spans="4:8" x14ac:dyDescent="0.25">
      <c r="D18397" s="28"/>
      <c r="F18397" s="28"/>
      <c r="H18397" s="28"/>
    </row>
    <row r="18398" spans="4:8" x14ac:dyDescent="0.25">
      <c r="D18398" s="28"/>
      <c r="F18398" s="28"/>
      <c r="H18398" s="28"/>
    </row>
    <row r="18399" spans="4:8" x14ac:dyDescent="0.25">
      <c r="D18399" s="28"/>
      <c r="F18399" s="28"/>
      <c r="H18399" s="28"/>
    </row>
    <row r="18400" spans="4:8" x14ac:dyDescent="0.25">
      <c r="D18400" s="28"/>
      <c r="F18400" s="28"/>
      <c r="H18400" s="28"/>
    </row>
    <row r="18401" spans="4:8" x14ac:dyDescent="0.25">
      <c r="D18401" s="28"/>
      <c r="F18401" s="28"/>
      <c r="H18401" s="28"/>
    </row>
    <row r="18402" spans="4:8" x14ac:dyDescent="0.25">
      <c r="D18402" s="28"/>
      <c r="F18402" s="28"/>
      <c r="H18402" s="28"/>
    </row>
    <row r="18403" spans="4:8" x14ac:dyDescent="0.25">
      <c r="D18403" s="28"/>
      <c r="F18403" s="28"/>
      <c r="H18403" s="28"/>
    </row>
    <row r="18404" spans="4:8" x14ac:dyDescent="0.25">
      <c r="D18404" s="28"/>
      <c r="F18404" s="28"/>
      <c r="H18404" s="28"/>
    </row>
    <row r="18405" spans="4:8" x14ac:dyDescent="0.25">
      <c r="D18405" s="28"/>
      <c r="F18405" s="28"/>
      <c r="H18405" s="28"/>
    </row>
    <row r="18406" spans="4:8" x14ac:dyDescent="0.25">
      <c r="D18406" s="28"/>
      <c r="F18406" s="28"/>
      <c r="H18406" s="28"/>
    </row>
    <row r="18407" spans="4:8" x14ac:dyDescent="0.25">
      <c r="D18407" s="28"/>
      <c r="F18407" s="28"/>
      <c r="H18407" s="28"/>
    </row>
    <row r="18408" spans="4:8" x14ac:dyDescent="0.25">
      <c r="D18408" s="28"/>
      <c r="F18408" s="28"/>
      <c r="H18408" s="28"/>
    </row>
    <row r="18409" spans="4:8" x14ac:dyDescent="0.25">
      <c r="D18409" s="28"/>
      <c r="F18409" s="28"/>
      <c r="H18409" s="28"/>
    </row>
    <row r="18410" spans="4:8" x14ac:dyDescent="0.25">
      <c r="D18410" s="28"/>
      <c r="F18410" s="28"/>
      <c r="H18410" s="28"/>
    </row>
    <row r="18411" spans="4:8" x14ac:dyDescent="0.25">
      <c r="D18411" s="28"/>
      <c r="F18411" s="28"/>
      <c r="H18411" s="28"/>
    </row>
    <row r="18412" spans="4:8" x14ac:dyDescent="0.25">
      <c r="D18412" s="28"/>
      <c r="F18412" s="28"/>
      <c r="H18412" s="28"/>
    </row>
    <row r="18413" spans="4:8" x14ac:dyDescent="0.25">
      <c r="D18413" s="28"/>
      <c r="F18413" s="28"/>
      <c r="H18413" s="28"/>
    </row>
    <row r="18414" spans="4:8" x14ac:dyDescent="0.25">
      <c r="D18414" s="28"/>
      <c r="F18414" s="28"/>
      <c r="H18414" s="28"/>
    </row>
    <row r="18415" spans="4:8" x14ac:dyDescent="0.25">
      <c r="D18415" s="28"/>
      <c r="F18415" s="28"/>
      <c r="H18415" s="28"/>
    </row>
    <row r="18416" spans="4:8" x14ac:dyDescent="0.25">
      <c r="D18416" s="28"/>
      <c r="F18416" s="28"/>
      <c r="H18416" s="28"/>
    </row>
    <row r="18417" spans="4:8" x14ac:dyDescent="0.25">
      <c r="D18417" s="28"/>
      <c r="F18417" s="28"/>
      <c r="H18417" s="28"/>
    </row>
    <row r="18418" spans="4:8" x14ac:dyDescent="0.25">
      <c r="D18418" s="28"/>
      <c r="F18418" s="28"/>
      <c r="H18418" s="28"/>
    </row>
    <row r="18419" spans="4:8" x14ac:dyDescent="0.25">
      <c r="D18419" s="28"/>
      <c r="F18419" s="28"/>
      <c r="H18419" s="28"/>
    </row>
    <row r="18420" spans="4:8" x14ac:dyDescent="0.25">
      <c r="D18420" s="28"/>
      <c r="F18420" s="28"/>
      <c r="H18420" s="28"/>
    </row>
    <row r="18421" spans="4:8" x14ac:dyDescent="0.25">
      <c r="D18421" s="28"/>
      <c r="F18421" s="28"/>
      <c r="H18421" s="28"/>
    </row>
    <row r="18422" spans="4:8" x14ac:dyDescent="0.25">
      <c r="D18422" s="28"/>
      <c r="F18422" s="28"/>
      <c r="H18422" s="28"/>
    </row>
    <row r="18423" spans="4:8" x14ac:dyDescent="0.25">
      <c r="D18423" s="28"/>
      <c r="F18423" s="28"/>
      <c r="H18423" s="28"/>
    </row>
    <row r="18424" spans="4:8" x14ac:dyDescent="0.25">
      <c r="D18424" s="28"/>
      <c r="F18424" s="28"/>
      <c r="H18424" s="28"/>
    </row>
    <row r="18425" spans="4:8" x14ac:dyDescent="0.25">
      <c r="D18425" s="28"/>
      <c r="F18425" s="28"/>
      <c r="H18425" s="28"/>
    </row>
    <row r="18426" spans="4:8" x14ac:dyDescent="0.25">
      <c r="D18426" s="28"/>
      <c r="F18426" s="28"/>
      <c r="H18426" s="28"/>
    </row>
    <row r="18427" spans="4:8" x14ac:dyDescent="0.25">
      <c r="D18427" s="28"/>
      <c r="F18427" s="28"/>
      <c r="H18427" s="28"/>
    </row>
    <row r="18428" spans="4:8" x14ac:dyDescent="0.25">
      <c r="D18428" s="28"/>
      <c r="F18428" s="28"/>
      <c r="H18428" s="28"/>
    </row>
    <row r="18429" spans="4:8" x14ac:dyDescent="0.25">
      <c r="D18429" s="28"/>
      <c r="F18429" s="28"/>
      <c r="H18429" s="28"/>
    </row>
    <row r="18430" spans="4:8" x14ac:dyDescent="0.25">
      <c r="D18430" s="28"/>
      <c r="F18430" s="28"/>
      <c r="H18430" s="28"/>
    </row>
    <row r="18431" spans="4:8" x14ac:dyDescent="0.25">
      <c r="D18431" s="28"/>
      <c r="F18431" s="28"/>
      <c r="H18431" s="28"/>
    </row>
    <row r="18432" spans="4:8" x14ac:dyDescent="0.25">
      <c r="D18432" s="28"/>
      <c r="F18432" s="28"/>
      <c r="H18432" s="28"/>
    </row>
    <row r="18433" spans="4:8" x14ac:dyDescent="0.25">
      <c r="D18433" s="28"/>
      <c r="F18433" s="28"/>
      <c r="H18433" s="28"/>
    </row>
    <row r="18434" spans="4:8" x14ac:dyDescent="0.25">
      <c r="D18434" s="28"/>
      <c r="F18434" s="28"/>
      <c r="H18434" s="28"/>
    </row>
    <row r="18435" spans="4:8" x14ac:dyDescent="0.25">
      <c r="D18435" s="28"/>
      <c r="F18435" s="28"/>
      <c r="H18435" s="28"/>
    </row>
    <row r="18436" spans="4:8" x14ac:dyDescent="0.25">
      <c r="D18436" s="28"/>
      <c r="F18436" s="28"/>
      <c r="H18436" s="28"/>
    </row>
    <row r="18437" spans="4:8" x14ac:dyDescent="0.25">
      <c r="D18437" s="28"/>
      <c r="F18437" s="28"/>
      <c r="H18437" s="28"/>
    </row>
    <row r="18438" spans="4:8" x14ac:dyDescent="0.25">
      <c r="D18438" s="28"/>
      <c r="F18438" s="28"/>
      <c r="H18438" s="28"/>
    </row>
    <row r="18439" spans="4:8" x14ac:dyDescent="0.25">
      <c r="D18439" s="28"/>
      <c r="F18439" s="28"/>
      <c r="H18439" s="28"/>
    </row>
    <row r="18440" spans="4:8" x14ac:dyDescent="0.25">
      <c r="D18440" s="28"/>
      <c r="F18440" s="28"/>
      <c r="H18440" s="28"/>
    </row>
    <row r="18441" spans="4:8" x14ac:dyDescent="0.25">
      <c r="D18441" s="28"/>
      <c r="F18441" s="28"/>
      <c r="H18441" s="28"/>
    </row>
    <row r="18442" spans="4:8" x14ac:dyDescent="0.25">
      <c r="D18442" s="28"/>
      <c r="F18442" s="28"/>
      <c r="H18442" s="28"/>
    </row>
    <row r="18443" spans="4:8" x14ac:dyDescent="0.25">
      <c r="D18443" s="28"/>
      <c r="F18443" s="28"/>
      <c r="H18443" s="28"/>
    </row>
    <row r="18444" spans="4:8" x14ac:dyDescent="0.25">
      <c r="D18444" s="28"/>
      <c r="F18444" s="28"/>
      <c r="H18444" s="28"/>
    </row>
    <row r="18445" spans="4:8" x14ac:dyDescent="0.25">
      <c r="D18445" s="28"/>
      <c r="F18445" s="28"/>
      <c r="H18445" s="28"/>
    </row>
    <row r="18446" spans="4:8" x14ac:dyDescent="0.25">
      <c r="D18446" s="28"/>
      <c r="F18446" s="28"/>
      <c r="H18446" s="28"/>
    </row>
    <row r="18447" spans="4:8" x14ac:dyDescent="0.25">
      <c r="D18447" s="28"/>
      <c r="F18447" s="28"/>
      <c r="H18447" s="28"/>
    </row>
    <row r="18448" spans="4:8" x14ac:dyDescent="0.25">
      <c r="D18448" s="28"/>
      <c r="F18448" s="28"/>
      <c r="H18448" s="28"/>
    </row>
    <row r="18449" spans="4:8" x14ac:dyDescent="0.25">
      <c r="D18449" s="28"/>
      <c r="F18449" s="28"/>
      <c r="H18449" s="28"/>
    </row>
    <row r="18450" spans="4:8" x14ac:dyDescent="0.25">
      <c r="D18450" s="28"/>
      <c r="F18450" s="28"/>
      <c r="H18450" s="28"/>
    </row>
    <row r="18451" spans="4:8" x14ac:dyDescent="0.25">
      <c r="D18451" s="28"/>
      <c r="F18451" s="28"/>
      <c r="H18451" s="28"/>
    </row>
    <row r="18452" spans="4:8" x14ac:dyDescent="0.25">
      <c r="D18452" s="28"/>
      <c r="F18452" s="28"/>
      <c r="H18452" s="28"/>
    </row>
    <row r="18453" spans="4:8" x14ac:dyDescent="0.25">
      <c r="D18453" s="28"/>
      <c r="F18453" s="28"/>
      <c r="H18453" s="28"/>
    </row>
    <row r="18454" spans="4:8" x14ac:dyDescent="0.25">
      <c r="D18454" s="28"/>
      <c r="F18454" s="28"/>
      <c r="H18454" s="28"/>
    </row>
    <row r="18455" spans="4:8" x14ac:dyDescent="0.25">
      <c r="D18455" s="28"/>
      <c r="F18455" s="28"/>
      <c r="H18455" s="28"/>
    </row>
    <row r="18456" spans="4:8" x14ac:dyDescent="0.25">
      <c r="D18456" s="28"/>
      <c r="F18456" s="28"/>
      <c r="H18456" s="28"/>
    </row>
    <row r="18457" spans="4:8" x14ac:dyDescent="0.25">
      <c r="D18457" s="28"/>
      <c r="F18457" s="28"/>
      <c r="H18457" s="28"/>
    </row>
    <row r="18458" spans="4:8" x14ac:dyDescent="0.25">
      <c r="D18458" s="28"/>
      <c r="F18458" s="28"/>
      <c r="H18458" s="28"/>
    </row>
    <row r="18459" spans="4:8" x14ac:dyDescent="0.25">
      <c r="D18459" s="28"/>
      <c r="F18459" s="28"/>
      <c r="H18459" s="28"/>
    </row>
    <row r="18460" spans="4:8" x14ac:dyDescent="0.25">
      <c r="D18460" s="28"/>
      <c r="F18460" s="28"/>
      <c r="H18460" s="28"/>
    </row>
    <row r="18461" spans="4:8" x14ac:dyDescent="0.25">
      <c r="D18461" s="28"/>
      <c r="F18461" s="28"/>
      <c r="H18461" s="28"/>
    </row>
    <row r="18462" spans="4:8" x14ac:dyDescent="0.25">
      <c r="D18462" s="28"/>
      <c r="F18462" s="28"/>
      <c r="H18462" s="28"/>
    </row>
    <row r="18463" spans="4:8" x14ac:dyDescent="0.25">
      <c r="D18463" s="28"/>
      <c r="F18463" s="28"/>
      <c r="H18463" s="28"/>
    </row>
    <row r="18464" spans="4:8" x14ac:dyDescent="0.25">
      <c r="D18464" s="28"/>
      <c r="F18464" s="28"/>
      <c r="H18464" s="28"/>
    </row>
    <row r="18465" spans="4:8" x14ac:dyDescent="0.25">
      <c r="D18465" s="28"/>
      <c r="F18465" s="28"/>
      <c r="H18465" s="28"/>
    </row>
    <row r="18466" spans="4:8" x14ac:dyDescent="0.25">
      <c r="D18466" s="28"/>
      <c r="F18466" s="28"/>
      <c r="H18466" s="28"/>
    </row>
    <row r="18467" spans="4:8" x14ac:dyDescent="0.25">
      <c r="D18467" s="28"/>
      <c r="F18467" s="28"/>
      <c r="H18467" s="28"/>
    </row>
    <row r="18468" spans="4:8" x14ac:dyDescent="0.25">
      <c r="D18468" s="28"/>
      <c r="F18468" s="28"/>
      <c r="H18468" s="28"/>
    </row>
    <row r="18469" spans="4:8" x14ac:dyDescent="0.25">
      <c r="D18469" s="28"/>
      <c r="F18469" s="28"/>
      <c r="H18469" s="28"/>
    </row>
    <row r="18470" spans="4:8" x14ac:dyDescent="0.25">
      <c r="D18470" s="28"/>
      <c r="F18470" s="28"/>
      <c r="H18470" s="28"/>
    </row>
    <row r="18471" spans="4:8" x14ac:dyDescent="0.25">
      <c r="D18471" s="28"/>
      <c r="F18471" s="28"/>
      <c r="H18471" s="28"/>
    </row>
    <row r="18472" spans="4:8" x14ac:dyDescent="0.25">
      <c r="D18472" s="28"/>
      <c r="F18472" s="28"/>
      <c r="H18472" s="28"/>
    </row>
    <row r="18473" spans="4:8" x14ac:dyDescent="0.25">
      <c r="D18473" s="28"/>
      <c r="F18473" s="28"/>
      <c r="H18473" s="28"/>
    </row>
    <row r="18474" spans="4:8" x14ac:dyDescent="0.25">
      <c r="D18474" s="28"/>
      <c r="F18474" s="28"/>
      <c r="H18474" s="28"/>
    </row>
    <row r="18475" spans="4:8" x14ac:dyDescent="0.25">
      <c r="D18475" s="28"/>
      <c r="F18475" s="28"/>
      <c r="H18475" s="28"/>
    </row>
    <row r="18476" spans="4:8" x14ac:dyDescent="0.25">
      <c r="D18476" s="28"/>
      <c r="F18476" s="28"/>
      <c r="H18476" s="28"/>
    </row>
    <row r="18477" spans="4:8" x14ac:dyDescent="0.25">
      <c r="D18477" s="28"/>
      <c r="F18477" s="28"/>
      <c r="H18477" s="28"/>
    </row>
    <row r="18478" spans="4:8" x14ac:dyDescent="0.25">
      <c r="D18478" s="28"/>
      <c r="F18478" s="28"/>
      <c r="H18478" s="28"/>
    </row>
    <row r="18479" spans="4:8" x14ac:dyDescent="0.25">
      <c r="D18479" s="28"/>
      <c r="F18479" s="28"/>
      <c r="H18479" s="28"/>
    </row>
    <row r="18480" spans="4:8" x14ac:dyDescent="0.25">
      <c r="D18480" s="28"/>
      <c r="F18480" s="28"/>
      <c r="H18480" s="28"/>
    </row>
    <row r="18481" spans="4:8" x14ac:dyDescent="0.25">
      <c r="D18481" s="28"/>
      <c r="F18481" s="28"/>
      <c r="H18481" s="28"/>
    </row>
    <row r="18482" spans="4:8" x14ac:dyDescent="0.25">
      <c r="D18482" s="28"/>
      <c r="F18482" s="28"/>
      <c r="H18482" s="28"/>
    </row>
    <row r="18483" spans="4:8" x14ac:dyDescent="0.25">
      <c r="D18483" s="28"/>
      <c r="F18483" s="28"/>
      <c r="H18483" s="28"/>
    </row>
    <row r="18484" spans="4:8" x14ac:dyDescent="0.25">
      <c r="D18484" s="28"/>
      <c r="F18484" s="28"/>
      <c r="H18484" s="28"/>
    </row>
    <row r="18485" spans="4:8" x14ac:dyDescent="0.25">
      <c r="D18485" s="28"/>
      <c r="F18485" s="28"/>
      <c r="H18485" s="28"/>
    </row>
    <row r="18486" spans="4:8" x14ac:dyDescent="0.25">
      <c r="D18486" s="28"/>
      <c r="F18486" s="28"/>
      <c r="H18486" s="28"/>
    </row>
    <row r="18487" spans="4:8" x14ac:dyDescent="0.25">
      <c r="D18487" s="28"/>
      <c r="F18487" s="28"/>
      <c r="H18487" s="28"/>
    </row>
    <row r="18488" spans="4:8" x14ac:dyDescent="0.25">
      <c r="D18488" s="28"/>
      <c r="F18488" s="28"/>
      <c r="H18488" s="28"/>
    </row>
    <row r="18489" spans="4:8" x14ac:dyDescent="0.25">
      <c r="D18489" s="28"/>
      <c r="F18489" s="28"/>
      <c r="H18489" s="28"/>
    </row>
    <row r="18490" spans="4:8" x14ac:dyDescent="0.25">
      <c r="D18490" s="28"/>
      <c r="F18490" s="28"/>
      <c r="H18490" s="28"/>
    </row>
    <row r="18491" spans="4:8" x14ac:dyDescent="0.25">
      <c r="D18491" s="28"/>
      <c r="F18491" s="28"/>
      <c r="H18491" s="28"/>
    </row>
    <row r="18492" spans="4:8" x14ac:dyDescent="0.25">
      <c r="D18492" s="28"/>
      <c r="F18492" s="28"/>
      <c r="H18492" s="28"/>
    </row>
    <row r="18493" spans="4:8" x14ac:dyDescent="0.25">
      <c r="D18493" s="28"/>
      <c r="F18493" s="28"/>
      <c r="H18493" s="28"/>
    </row>
    <row r="18494" spans="4:8" x14ac:dyDescent="0.25">
      <c r="D18494" s="28"/>
      <c r="F18494" s="28"/>
      <c r="H18494" s="28"/>
    </row>
    <row r="18495" spans="4:8" x14ac:dyDescent="0.25">
      <c r="D18495" s="28"/>
      <c r="F18495" s="28"/>
      <c r="H18495" s="28"/>
    </row>
    <row r="18496" spans="4:8" x14ac:dyDescent="0.25">
      <c r="D18496" s="28"/>
      <c r="F18496" s="28"/>
      <c r="H18496" s="28"/>
    </row>
    <row r="18497" spans="4:8" x14ac:dyDescent="0.25">
      <c r="D18497" s="28"/>
      <c r="F18497" s="28"/>
      <c r="H18497" s="28"/>
    </row>
    <row r="18498" spans="4:8" x14ac:dyDescent="0.25">
      <c r="D18498" s="28"/>
      <c r="F18498" s="28"/>
      <c r="H18498" s="28"/>
    </row>
    <row r="18499" spans="4:8" x14ac:dyDescent="0.25">
      <c r="D18499" s="28"/>
      <c r="F18499" s="28"/>
      <c r="H18499" s="28"/>
    </row>
    <row r="18500" spans="4:8" x14ac:dyDescent="0.25">
      <c r="D18500" s="28"/>
      <c r="F18500" s="28"/>
      <c r="H18500" s="28"/>
    </row>
    <row r="18501" spans="4:8" x14ac:dyDescent="0.25">
      <c r="D18501" s="28"/>
      <c r="F18501" s="28"/>
      <c r="H18501" s="28"/>
    </row>
    <row r="18502" spans="4:8" x14ac:dyDescent="0.25">
      <c r="D18502" s="28"/>
      <c r="F18502" s="28"/>
      <c r="H18502" s="28"/>
    </row>
    <row r="18503" spans="4:8" x14ac:dyDescent="0.25">
      <c r="D18503" s="28"/>
      <c r="F18503" s="28"/>
      <c r="H18503" s="28"/>
    </row>
    <row r="18504" spans="4:8" x14ac:dyDescent="0.25">
      <c r="D18504" s="28"/>
      <c r="F18504" s="28"/>
      <c r="H18504" s="28"/>
    </row>
    <row r="18505" spans="4:8" x14ac:dyDescent="0.25">
      <c r="D18505" s="28"/>
      <c r="F18505" s="28"/>
      <c r="H18505" s="28"/>
    </row>
    <row r="18506" spans="4:8" x14ac:dyDescent="0.25">
      <c r="D18506" s="28"/>
      <c r="F18506" s="28"/>
      <c r="H18506" s="28"/>
    </row>
    <row r="18507" spans="4:8" x14ac:dyDescent="0.25">
      <c r="D18507" s="28"/>
      <c r="F18507" s="28"/>
      <c r="H18507" s="28"/>
    </row>
    <row r="18508" spans="4:8" x14ac:dyDescent="0.25">
      <c r="D18508" s="28"/>
      <c r="F18508" s="28"/>
      <c r="H18508" s="28"/>
    </row>
    <row r="18509" spans="4:8" x14ac:dyDescent="0.25">
      <c r="D18509" s="28"/>
      <c r="F18509" s="28"/>
      <c r="H18509" s="28"/>
    </row>
    <row r="18510" spans="4:8" x14ac:dyDescent="0.25">
      <c r="D18510" s="28"/>
      <c r="F18510" s="28"/>
      <c r="H18510" s="28"/>
    </row>
    <row r="18511" spans="4:8" x14ac:dyDescent="0.25">
      <c r="D18511" s="28"/>
      <c r="F18511" s="28"/>
      <c r="H18511" s="28"/>
    </row>
    <row r="18512" spans="4:8" x14ac:dyDescent="0.25">
      <c r="D18512" s="28"/>
      <c r="F18512" s="28"/>
      <c r="H18512" s="28"/>
    </row>
    <row r="18513" spans="4:8" x14ac:dyDescent="0.25">
      <c r="D18513" s="28"/>
      <c r="F18513" s="28"/>
      <c r="H18513" s="28"/>
    </row>
    <row r="18514" spans="4:8" x14ac:dyDescent="0.25">
      <c r="D18514" s="28"/>
      <c r="F18514" s="28"/>
      <c r="H18514" s="28"/>
    </row>
    <row r="18515" spans="4:8" x14ac:dyDescent="0.25">
      <c r="D18515" s="28"/>
      <c r="F18515" s="28"/>
      <c r="H18515" s="28"/>
    </row>
    <row r="18516" spans="4:8" x14ac:dyDescent="0.25">
      <c r="D18516" s="28"/>
      <c r="F18516" s="28"/>
      <c r="H18516" s="28"/>
    </row>
    <row r="18517" spans="4:8" x14ac:dyDescent="0.25">
      <c r="D18517" s="28"/>
      <c r="F18517" s="28"/>
      <c r="H18517" s="28"/>
    </row>
    <row r="18518" spans="4:8" x14ac:dyDescent="0.25">
      <c r="D18518" s="28"/>
      <c r="F18518" s="28"/>
      <c r="H18518" s="28"/>
    </row>
    <row r="18519" spans="4:8" x14ac:dyDescent="0.25">
      <c r="D18519" s="28"/>
      <c r="F18519" s="28"/>
      <c r="H18519" s="28"/>
    </row>
    <row r="18520" spans="4:8" x14ac:dyDescent="0.25">
      <c r="D18520" s="28"/>
      <c r="F18520" s="28"/>
      <c r="H18520" s="28"/>
    </row>
    <row r="18521" spans="4:8" x14ac:dyDescent="0.25">
      <c r="D18521" s="28"/>
      <c r="F18521" s="28"/>
      <c r="H18521" s="28"/>
    </row>
    <row r="18522" spans="4:8" x14ac:dyDescent="0.25">
      <c r="D18522" s="28"/>
      <c r="F18522" s="28"/>
      <c r="H18522" s="28"/>
    </row>
    <row r="18523" spans="4:8" x14ac:dyDescent="0.25">
      <c r="D18523" s="28"/>
      <c r="F18523" s="28"/>
      <c r="H18523" s="28"/>
    </row>
    <row r="18524" spans="4:8" x14ac:dyDescent="0.25">
      <c r="D18524" s="28"/>
      <c r="F18524" s="28"/>
      <c r="H18524" s="28"/>
    </row>
    <row r="18525" spans="4:8" x14ac:dyDescent="0.25">
      <c r="D18525" s="28"/>
      <c r="F18525" s="28"/>
      <c r="H18525" s="28"/>
    </row>
    <row r="18526" spans="4:8" x14ac:dyDescent="0.25">
      <c r="D18526" s="28"/>
      <c r="F18526" s="28"/>
      <c r="H18526" s="28"/>
    </row>
    <row r="18527" spans="4:8" x14ac:dyDescent="0.25">
      <c r="D18527" s="28"/>
      <c r="F18527" s="28"/>
      <c r="H18527" s="28"/>
    </row>
    <row r="18528" spans="4:8" x14ac:dyDescent="0.25">
      <c r="D18528" s="28"/>
      <c r="F18528" s="28"/>
      <c r="H18528" s="28"/>
    </row>
    <row r="18529" spans="4:8" x14ac:dyDescent="0.25">
      <c r="D18529" s="28"/>
      <c r="F18529" s="28"/>
      <c r="H18529" s="28"/>
    </row>
    <row r="18530" spans="4:8" x14ac:dyDescent="0.25">
      <c r="D18530" s="28"/>
      <c r="F18530" s="28"/>
      <c r="H18530" s="28"/>
    </row>
    <row r="18531" spans="4:8" x14ac:dyDescent="0.25">
      <c r="D18531" s="28"/>
      <c r="F18531" s="28"/>
      <c r="H18531" s="28"/>
    </row>
    <row r="18532" spans="4:8" x14ac:dyDescent="0.25">
      <c r="D18532" s="28"/>
      <c r="F18532" s="28"/>
      <c r="H18532" s="28"/>
    </row>
    <row r="18533" spans="4:8" x14ac:dyDescent="0.25">
      <c r="D18533" s="28"/>
      <c r="F18533" s="28"/>
      <c r="H18533" s="28"/>
    </row>
    <row r="18534" spans="4:8" x14ac:dyDescent="0.25">
      <c r="D18534" s="28"/>
      <c r="F18534" s="28"/>
      <c r="H18534" s="28"/>
    </row>
    <row r="18535" spans="4:8" x14ac:dyDescent="0.25">
      <c r="D18535" s="28"/>
      <c r="F18535" s="28"/>
      <c r="H18535" s="28"/>
    </row>
    <row r="18536" spans="4:8" x14ac:dyDescent="0.25">
      <c r="D18536" s="28"/>
      <c r="F18536" s="28"/>
      <c r="H18536" s="28"/>
    </row>
    <row r="18537" spans="4:8" x14ac:dyDescent="0.25">
      <c r="D18537" s="28"/>
      <c r="F18537" s="28"/>
      <c r="H18537" s="28"/>
    </row>
    <row r="18538" spans="4:8" x14ac:dyDescent="0.25">
      <c r="D18538" s="28"/>
      <c r="F18538" s="28"/>
      <c r="H18538" s="28"/>
    </row>
    <row r="18539" spans="4:8" x14ac:dyDescent="0.25">
      <c r="D18539" s="28"/>
      <c r="F18539" s="28"/>
      <c r="H18539" s="28"/>
    </row>
    <row r="18540" spans="4:8" x14ac:dyDescent="0.25">
      <c r="D18540" s="28"/>
      <c r="F18540" s="28"/>
      <c r="H18540" s="28"/>
    </row>
    <row r="18541" spans="4:8" x14ac:dyDescent="0.25">
      <c r="D18541" s="28"/>
      <c r="F18541" s="28"/>
      <c r="H18541" s="28"/>
    </row>
    <row r="18542" spans="4:8" x14ac:dyDescent="0.25">
      <c r="D18542" s="28"/>
      <c r="F18542" s="28"/>
      <c r="H18542" s="28"/>
    </row>
    <row r="18543" spans="4:8" x14ac:dyDescent="0.25">
      <c r="D18543" s="28"/>
      <c r="F18543" s="28"/>
      <c r="H18543" s="28"/>
    </row>
    <row r="18544" spans="4:8" x14ac:dyDescent="0.25">
      <c r="D18544" s="28"/>
      <c r="F18544" s="28"/>
      <c r="H18544" s="28"/>
    </row>
    <row r="18545" spans="4:8" x14ac:dyDescent="0.25">
      <c r="D18545" s="28"/>
      <c r="F18545" s="28"/>
      <c r="H18545" s="28"/>
    </row>
    <row r="18546" spans="4:8" x14ac:dyDescent="0.25">
      <c r="D18546" s="28"/>
      <c r="F18546" s="28"/>
      <c r="H18546" s="28"/>
    </row>
    <row r="18547" spans="4:8" x14ac:dyDescent="0.25">
      <c r="D18547" s="28"/>
      <c r="F18547" s="28"/>
      <c r="H18547" s="28"/>
    </row>
    <row r="18548" spans="4:8" x14ac:dyDescent="0.25">
      <c r="D18548" s="28"/>
      <c r="F18548" s="28"/>
      <c r="H18548" s="28"/>
    </row>
    <row r="18549" spans="4:8" x14ac:dyDescent="0.25">
      <c r="D18549" s="28"/>
      <c r="F18549" s="28"/>
      <c r="H18549" s="28"/>
    </row>
    <row r="18550" spans="4:8" x14ac:dyDescent="0.25">
      <c r="D18550" s="28"/>
      <c r="F18550" s="28"/>
      <c r="H18550" s="28"/>
    </row>
    <row r="18551" spans="4:8" x14ac:dyDescent="0.25">
      <c r="D18551" s="28"/>
      <c r="F18551" s="28"/>
      <c r="H18551" s="28"/>
    </row>
    <row r="18552" spans="4:8" x14ac:dyDescent="0.25">
      <c r="D18552" s="28"/>
      <c r="F18552" s="28"/>
      <c r="H18552" s="28"/>
    </row>
    <row r="18553" spans="4:8" x14ac:dyDescent="0.25">
      <c r="D18553" s="28"/>
      <c r="F18553" s="28"/>
      <c r="H18553" s="28"/>
    </row>
    <row r="18554" spans="4:8" x14ac:dyDescent="0.25">
      <c r="D18554" s="28"/>
      <c r="F18554" s="28"/>
      <c r="H18554" s="28"/>
    </row>
    <row r="18555" spans="4:8" x14ac:dyDescent="0.25">
      <c r="D18555" s="28"/>
      <c r="F18555" s="28"/>
      <c r="H18555" s="28"/>
    </row>
    <row r="18556" spans="4:8" x14ac:dyDescent="0.25">
      <c r="D18556" s="28"/>
      <c r="F18556" s="28"/>
      <c r="H18556" s="28"/>
    </row>
    <row r="18557" spans="4:8" x14ac:dyDescent="0.25">
      <c r="D18557" s="28"/>
      <c r="F18557" s="28"/>
      <c r="H18557" s="28"/>
    </row>
    <row r="18558" spans="4:8" x14ac:dyDescent="0.25">
      <c r="D18558" s="28"/>
      <c r="F18558" s="28"/>
      <c r="H18558" s="28"/>
    </row>
    <row r="18559" spans="4:8" x14ac:dyDescent="0.25">
      <c r="D18559" s="28"/>
      <c r="F18559" s="28"/>
      <c r="H18559" s="28"/>
    </row>
    <row r="18560" spans="4:8" x14ac:dyDescent="0.25">
      <c r="D18560" s="28"/>
      <c r="F18560" s="28"/>
      <c r="H18560" s="28"/>
    </row>
    <row r="18561" spans="4:8" x14ac:dyDescent="0.25">
      <c r="D18561" s="28"/>
      <c r="F18561" s="28"/>
      <c r="H18561" s="28"/>
    </row>
    <row r="18562" spans="4:8" x14ac:dyDescent="0.25">
      <c r="D18562" s="28"/>
      <c r="F18562" s="28"/>
      <c r="H18562" s="28"/>
    </row>
    <row r="18563" spans="4:8" x14ac:dyDescent="0.25">
      <c r="D18563" s="28"/>
      <c r="F18563" s="28"/>
      <c r="H18563" s="28"/>
    </row>
    <row r="18564" spans="4:8" x14ac:dyDescent="0.25">
      <c r="D18564" s="28"/>
      <c r="F18564" s="28"/>
      <c r="H18564" s="28"/>
    </row>
    <row r="18565" spans="4:8" x14ac:dyDescent="0.25">
      <c r="D18565" s="28"/>
      <c r="F18565" s="28"/>
      <c r="H18565" s="28"/>
    </row>
    <row r="18566" spans="4:8" x14ac:dyDescent="0.25">
      <c r="D18566" s="28"/>
      <c r="F18566" s="28"/>
      <c r="H18566" s="28"/>
    </row>
    <row r="18567" spans="4:8" x14ac:dyDescent="0.25">
      <c r="D18567" s="28"/>
      <c r="F18567" s="28"/>
      <c r="H18567" s="28"/>
    </row>
    <row r="18568" spans="4:8" x14ac:dyDescent="0.25">
      <c r="D18568" s="28"/>
      <c r="F18568" s="28"/>
      <c r="H18568" s="28"/>
    </row>
    <row r="18569" spans="4:8" x14ac:dyDescent="0.25">
      <c r="D18569" s="28"/>
      <c r="F18569" s="28"/>
      <c r="H18569" s="28"/>
    </row>
    <row r="18570" spans="4:8" x14ac:dyDescent="0.25">
      <c r="D18570" s="28"/>
      <c r="F18570" s="28"/>
      <c r="H18570" s="28"/>
    </row>
    <row r="18571" spans="4:8" x14ac:dyDescent="0.25">
      <c r="D18571" s="28"/>
      <c r="F18571" s="28"/>
      <c r="H18571" s="28"/>
    </row>
    <row r="18572" spans="4:8" x14ac:dyDescent="0.25">
      <c r="D18572" s="28"/>
      <c r="F18572" s="28"/>
      <c r="H18572" s="28"/>
    </row>
    <row r="18573" spans="4:8" x14ac:dyDescent="0.25">
      <c r="D18573" s="28"/>
      <c r="F18573" s="28"/>
      <c r="H18573" s="28"/>
    </row>
    <row r="18574" spans="4:8" x14ac:dyDescent="0.25">
      <c r="D18574" s="28"/>
      <c r="F18574" s="28"/>
      <c r="H18574" s="28"/>
    </row>
    <row r="18575" spans="4:8" x14ac:dyDescent="0.25">
      <c r="D18575" s="28"/>
      <c r="F18575" s="28"/>
      <c r="H18575" s="28"/>
    </row>
    <row r="18576" spans="4:8" x14ac:dyDescent="0.25">
      <c r="D18576" s="28"/>
      <c r="F18576" s="28"/>
      <c r="H18576" s="28"/>
    </row>
    <row r="18577" spans="4:8" x14ac:dyDescent="0.25">
      <c r="D18577" s="28"/>
      <c r="F18577" s="28"/>
      <c r="H18577" s="28"/>
    </row>
    <row r="18578" spans="4:8" x14ac:dyDescent="0.25">
      <c r="D18578" s="28"/>
      <c r="F18578" s="28"/>
      <c r="H18578" s="28"/>
    </row>
    <row r="18579" spans="4:8" x14ac:dyDescent="0.25">
      <c r="D18579" s="28"/>
      <c r="F18579" s="28"/>
      <c r="H18579" s="28"/>
    </row>
    <row r="18580" spans="4:8" x14ac:dyDescent="0.25">
      <c r="D18580" s="28"/>
      <c r="F18580" s="28"/>
      <c r="H18580" s="28"/>
    </row>
    <row r="18581" spans="4:8" x14ac:dyDescent="0.25">
      <c r="D18581" s="28"/>
      <c r="F18581" s="28"/>
      <c r="H18581" s="28"/>
    </row>
    <row r="18582" spans="4:8" x14ac:dyDescent="0.25">
      <c r="D18582" s="28"/>
      <c r="F18582" s="28"/>
      <c r="H18582" s="28"/>
    </row>
    <row r="18583" spans="4:8" x14ac:dyDescent="0.25">
      <c r="D18583" s="28"/>
      <c r="F18583" s="28"/>
      <c r="H18583" s="28"/>
    </row>
    <row r="18584" spans="4:8" x14ac:dyDescent="0.25">
      <c r="D18584" s="28"/>
      <c r="F18584" s="28"/>
      <c r="H18584" s="28"/>
    </row>
    <row r="18585" spans="4:8" x14ac:dyDescent="0.25">
      <c r="D18585" s="28"/>
      <c r="F18585" s="28"/>
      <c r="H18585" s="28"/>
    </row>
    <row r="18586" spans="4:8" x14ac:dyDescent="0.25">
      <c r="D18586" s="28"/>
      <c r="F18586" s="28"/>
      <c r="H18586" s="28"/>
    </row>
    <row r="18587" spans="4:8" x14ac:dyDescent="0.25">
      <c r="D18587" s="28"/>
      <c r="F18587" s="28"/>
      <c r="H18587" s="28"/>
    </row>
    <row r="18588" spans="4:8" x14ac:dyDescent="0.25">
      <c r="D18588" s="28"/>
      <c r="F18588" s="28"/>
      <c r="H18588" s="28"/>
    </row>
    <row r="18589" spans="4:8" x14ac:dyDescent="0.25">
      <c r="D18589" s="28"/>
      <c r="F18589" s="28"/>
      <c r="H18589" s="28"/>
    </row>
    <row r="18590" spans="4:8" x14ac:dyDescent="0.25">
      <c r="D18590" s="28"/>
      <c r="F18590" s="28"/>
      <c r="H18590" s="28"/>
    </row>
    <row r="18591" spans="4:8" x14ac:dyDescent="0.25">
      <c r="D18591" s="28"/>
      <c r="F18591" s="28"/>
      <c r="H18591" s="28"/>
    </row>
    <row r="18592" spans="4:8" x14ac:dyDescent="0.25">
      <c r="D18592" s="28"/>
      <c r="F18592" s="28"/>
      <c r="H18592" s="28"/>
    </row>
    <row r="18593" spans="4:8" x14ac:dyDescent="0.25">
      <c r="D18593" s="28"/>
      <c r="F18593" s="28"/>
      <c r="H18593" s="28"/>
    </row>
    <row r="18594" spans="4:8" x14ac:dyDescent="0.25">
      <c r="D18594" s="28"/>
      <c r="F18594" s="28"/>
      <c r="H18594" s="28"/>
    </row>
    <row r="18595" spans="4:8" x14ac:dyDescent="0.25">
      <c r="D18595" s="28"/>
      <c r="F18595" s="28"/>
      <c r="H18595" s="28"/>
    </row>
    <row r="18596" spans="4:8" x14ac:dyDescent="0.25">
      <c r="D18596" s="28"/>
      <c r="F18596" s="28"/>
      <c r="H18596" s="28"/>
    </row>
    <row r="18597" spans="4:8" x14ac:dyDescent="0.25">
      <c r="D18597" s="28"/>
      <c r="F18597" s="28"/>
      <c r="H18597" s="28"/>
    </row>
    <row r="18598" spans="4:8" x14ac:dyDescent="0.25">
      <c r="D18598" s="28"/>
      <c r="F18598" s="28"/>
      <c r="H18598" s="28"/>
    </row>
    <row r="18599" spans="4:8" x14ac:dyDescent="0.25">
      <c r="D18599" s="28"/>
      <c r="F18599" s="28"/>
      <c r="H18599" s="28"/>
    </row>
    <row r="18600" spans="4:8" x14ac:dyDescent="0.25">
      <c r="D18600" s="28"/>
      <c r="F18600" s="28"/>
      <c r="H18600" s="28"/>
    </row>
    <row r="18601" spans="4:8" x14ac:dyDescent="0.25">
      <c r="D18601" s="28"/>
      <c r="F18601" s="28"/>
      <c r="H18601" s="28"/>
    </row>
    <row r="18602" spans="4:8" x14ac:dyDescent="0.25">
      <c r="D18602" s="28"/>
      <c r="F18602" s="28"/>
      <c r="H18602" s="28"/>
    </row>
    <row r="18603" spans="4:8" x14ac:dyDescent="0.25">
      <c r="D18603" s="28"/>
      <c r="F18603" s="28"/>
      <c r="H18603" s="28"/>
    </row>
    <row r="18604" spans="4:8" x14ac:dyDescent="0.25">
      <c r="D18604" s="28"/>
      <c r="F18604" s="28"/>
      <c r="H18604" s="28"/>
    </row>
    <row r="18605" spans="4:8" x14ac:dyDescent="0.25">
      <c r="D18605" s="28"/>
      <c r="F18605" s="28"/>
      <c r="H18605" s="28"/>
    </row>
    <row r="18606" spans="4:8" x14ac:dyDescent="0.25">
      <c r="D18606" s="28"/>
      <c r="F18606" s="28"/>
      <c r="H18606" s="28"/>
    </row>
    <row r="18607" spans="4:8" x14ac:dyDescent="0.25">
      <c r="D18607" s="28"/>
      <c r="F18607" s="28"/>
      <c r="H18607" s="28"/>
    </row>
    <row r="18608" spans="4:8" x14ac:dyDescent="0.25">
      <c r="D18608" s="28"/>
      <c r="F18608" s="28"/>
      <c r="H18608" s="28"/>
    </row>
    <row r="18609" spans="4:8" x14ac:dyDescent="0.25">
      <c r="D18609" s="28"/>
      <c r="F18609" s="28"/>
      <c r="H18609" s="28"/>
    </row>
    <row r="18610" spans="4:8" x14ac:dyDescent="0.25">
      <c r="D18610" s="28"/>
      <c r="F18610" s="28"/>
      <c r="H18610" s="28"/>
    </row>
    <row r="18611" spans="4:8" x14ac:dyDescent="0.25">
      <c r="D18611" s="28"/>
      <c r="F18611" s="28"/>
      <c r="H18611" s="28"/>
    </row>
    <row r="18612" spans="4:8" x14ac:dyDescent="0.25">
      <c r="D18612" s="28"/>
      <c r="F18612" s="28"/>
      <c r="H18612" s="28"/>
    </row>
    <row r="18613" spans="4:8" x14ac:dyDescent="0.25">
      <c r="D18613" s="28"/>
      <c r="F18613" s="28"/>
      <c r="H18613" s="28"/>
    </row>
    <row r="18614" spans="4:8" x14ac:dyDescent="0.25">
      <c r="D18614" s="28"/>
      <c r="F18614" s="28"/>
      <c r="H18614" s="28"/>
    </row>
    <row r="18615" spans="4:8" x14ac:dyDescent="0.25">
      <c r="D18615" s="28"/>
      <c r="F18615" s="28"/>
      <c r="H18615" s="28"/>
    </row>
    <row r="18616" spans="4:8" x14ac:dyDescent="0.25">
      <c r="D18616" s="28"/>
      <c r="F18616" s="28"/>
      <c r="H18616" s="28"/>
    </row>
    <row r="18617" spans="4:8" x14ac:dyDescent="0.25">
      <c r="D18617" s="28"/>
      <c r="F18617" s="28"/>
      <c r="H18617" s="28"/>
    </row>
    <row r="18618" spans="4:8" x14ac:dyDescent="0.25">
      <c r="D18618" s="28"/>
      <c r="F18618" s="28"/>
      <c r="H18618" s="28"/>
    </row>
    <row r="18619" spans="4:8" x14ac:dyDescent="0.25">
      <c r="D18619" s="28"/>
      <c r="F18619" s="28"/>
      <c r="H18619" s="28"/>
    </row>
    <row r="18620" spans="4:8" x14ac:dyDescent="0.25">
      <c r="D18620" s="28"/>
      <c r="F18620" s="28"/>
      <c r="H18620" s="28"/>
    </row>
    <row r="18621" spans="4:8" x14ac:dyDescent="0.25">
      <c r="D18621" s="28"/>
      <c r="F18621" s="28"/>
      <c r="H18621" s="28"/>
    </row>
    <row r="18622" spans="4:8" x14ac:dyDescent="0.25">
      <c r="D18622" s="28"/>
      <c r="F18622" s="28"/>
      <c r="H18622" s="28"/>
    </row>
    <row r="18623" spans="4:8" x14ac:dyDescent="0.25">
      <c r="D18623" s="28"/>
      <c r="F18623" s="28"/>
      <c r="H18623" s="28"/>
    </row>
    <row r="18624" spans="4:8" x14ac:dyDescent="0.25">
      <c r="D18624" s="28"/>
      <c r="F18624" s="28"/>
      <c r="H18624" s="28"/>
    </row>
    <row r="18625" spans="4:8" x14ac:dyDescent="0.25">
      <c r="D18625" s="28"/>
      <c r="F18625" s="28"/>
      <c r="H18625" s="28"/>
    </row>
    <row r="18626" spans="4:8" x14ac:dyDescent="0.25">
      <c r="D18626" s="28"/>
      <c r="F18626" s="28"/>
      <c r="H18626" s="28"/>
    </row>
    <row r="18627" spans="4:8" x14ac:dyDescent="0.25">
      <c r="D18627" s="28"/>
      <c r="F18627" s="28"/>
      <c r="H18627" s="28"/>
    </row>
    <row r="18628" spans="4:8" x14ac:dyDescent="0.25">
      <c r="D18628" s="28"/>
      <c r="F18628" s="28"/>
      <c r="H18628" s="28"/>
    </row>
    <row r="18629" spans="4:8" x14ac:dyDescent="0.25">
      <c r="D18629" s="28"/>
      <c r="F18629" s="28"/>
      <c r="H18629" s="28"/>
    </row>
    <row r="18630" spans="4:8" x14ac:dyDescent="0.25">
      <c r="D18630" s="28"/>
      <c r="F18630" s="28"/>
      <c r="H18630" s="28"/>
    </row>
    <row r="18631" spans="4:8" x14ac:dyDescent="0.25">
      <c r="D18631" s="28"/>
      <c r="F18631" s="28"/>
      <c r="H18631" s="28"/>
    </row>
    <row r="18632" spans="4:8" x14ac:dyDescent="0.25">
      <c r="D18632" s="28"/>
      <c r="F18632" s="28"/>
      <c r="H18632" s="28"/>
    </row>
    <row r="18633" spans="4:8" x14ac:dyDescent="0.25">
      <c r="D18633" s="28"/>
      <c r="F18633" s="28"/>
      <c r="H18633" s="28"/>
    </row>
    <row r="18634" spans="4:8" x14ac:dyDescent="0.25">
      <c r="D18634" s="28"/>
      <c r="F18634" s="28"/>
      <c r="H18634" s="28"/>
    </row>
    <row r="18635" spans="4:8" x14ac:dyDescent="0.25">
      <c r="D18635" s="28"/>
      <c r="F18635" s="28"/>
      <c r="H18635" s="28"/>
    </row>
    <row r="18636" spans="4:8" x14ac:dyDescent="0.25">
      <c r="D18636" s="28"/>
      <c r="F18636" s="28"/>
      <c r="H18636" s="28"/>
    </row>
    <row r="18637" spans="4:8" x14ac:dyDescent="0.25">
      <c r="D18637" s="28"/>
      <c r="F18637" s="28"/>
      <c r="H18637" s="28"/>
    </row>
    <row r="18638" spans="4:8" x14ac:dyDescent="0.25">
      <c r="D18638" s="28"/>
      <c r="F18638" s="28"/>
      <c r="H18638" s="28"/>
    </row>
    <row r="18639" spans="4:8" x14ac:dyDescent="0.25">
      <c r="D18639" s="28"/>
      <c r="F18639" s="28"/>
      <c r="H18639" s="28"/>
    </row>
    <row r="18640" spans="4:8" x14ac:dyDescent="0.25">
      <c r="D18640" s="28"/>
      <c r="F18640" s="28"/>
      <c r="H18640" s="28"/>
    </row>
    <row r="18641" spans="4:8" x14ac:dyDescent="0.25">
      <c r="D18641" s="28"/>
      <c r="F18641" s="28"/>
      <c r="H18641" s="28"/>
    </row>
    <row r="18642" spans="4:8" x14ac:dyDescent="0.25">
      <c r="D18642" s="28"/>
      <c r="F18642" s="28"/>
      <c r="H18642" s="28"/>
    </row>
    <row r="18643" spans="4:8" x14ac:dyDescent="0.25">
      <c r="D18643" s="28"/>
      <c r="F18643" s="28"/>
      <c r="H18643" s="28"/>
    </row>
    <row r="18644" spans="4:8" x14ac:dyDescent="0.25">
      <c r="D18644" s="28"/>
      <c r="F18644" s="28"/>
      <c r="H18644" s="28"/>
    </row>
    <row r="18645" spans="4:8" x14ac:dyDescent="0.25">
      <c r="D18645" s="28"/>
      <c r="F18645" s="28"/>
      <c r="H18645" s="28"/>
    </row>
    <row r="18646" spans="4:8" x14ac:dyDescent="0.25">
      <c r="D18646" s="28"/>
      <c r="F18646" s="28"/>
      <c r="H18646" s="28"/>
    </row>
    <row r="18647" spans="4:8" x14ac:dyDescent="0.25">
      <c r="D18647" s="28"/>
      <c r="F18647" s="28"/>
      <c r="H18647" s="28"/>
    </row>
    <row r="18648" spans="4:8" x14ac:dyDescent="0.25">
      <c r="D18648" s="28"/>
      <c r="F18648" s="28"/>
      <c r="H18648" s="28"/>
    </row>
    <row r="18649" spans="4:8" x14ac:dyDescent="0.25">
      <c r="D18649" s="28"/>
      <c r="F18649" s="28"/>
      <c r="H18649" s="28"/>
    </row>
    <row r="18650" spans="4:8" x14ac:dyDescent="0.25">
      <c r="D18650" s="28"/>
      <c r="F18650" s="28"/>
      <c r="H18650" s="28"/>
    </row>
    <row r="18651" spans="4:8" x14ac:dyDescent="0.25">
      <c r="D18651" s="28"/>
      <c r="F18651" s="28"/>
      <c r="H18651" s="28"/>
    </row>
    <row r="18652" spans="4:8" x14ac:dyDescent="0.25">
      <c r="D18652" s="28"/>
      <c r="F18652" s="28"/>
      <c r="H18652" s="28"/>
    </row>
    <row r="18653" spans="4:8" x14ac:dyDescent="0.25">
      <c r="D18653" s="28"/>
      <c r="F18653" s="28"/>
      <c r="H18653" s="28"/>
    </row>
    <row r="18654" spans="4:8" x14ac:dyDescent="0.25">
      <c r="D18654" s="28"/>
      <c r="F18654" s="28"/>
      <c r="H18654" s="28"/>
    </row>
    <row r="18655" spans="4:8" x14ac:dyDescent="0.25">
      <c r="D18655" s="28"/>
      <c r="F18655" s="28"/>
      <c r="H18655" s="28"/>
    </row>
    <row r="18656" spans="4:8" x14ac:dyDescent="0.25">
      <c r="D18656" s="28"/>
      <c r="F18656" s="28"/>
      <c r="H18656" s="28"/>
    </row>
    <row r="18657" spans="4:8" x14ac:dyDescent="0.25">
      <c r="D18657" s="28"/>
      <c r="F18657" s="28"/>
      <c r="H18657" s="28"/>
    </row>
    <row r="18658" spans="4:8" x14ac:dyDescent="0.25">
      <c r="D18658" s="28"/>
      <c r="F18658" s="28"/>
      <c r="H18658" s="28"/>
    </row>
    <row r="18659" spans="4:8" x14ac:dyDescent="0.25">
      <c r="D18659" s="28"/>
      <c r="F18659" s="28"/>
      <c r="H18659" s="28"/>
    </row>
    <row r="18660" spans="4:8" x14ac:dyDescent="0.25">
      <c r="D18660" s="28"/>
      <c r="F18660" s="28"/>
      <c r="H18660" s="28"/>
    </row>
    <row r="18661" spans="4:8" x14ac:dyDescent="0.25">
      <c r="D18661" s="28"/>
      <c r="F18661" s="28"/>
      <c r="H18661" s="28"/>
    </row>
    <row r="18662" spans="4:8" x14ac:dyDescent="0.25">
      <c r="D18662" s="28"/>
      <c r="F18662" s="28"/>
      <c r="H18662" s="28"/>
    </row>
    <row r="18663" spans="4:8" x14ac:dyDescent="0.25">
      <c r="D18663" s="28"/>
      <c r="F18663" s="28"/>
      <c r="H18663" s="28"/>
    </row>
    <row r="18664" spans="4:8" x14ac:dyDescent="0.25">
      <c r="D18664" s="28"/>
      <c r="F18664" s="28"/>
      <c r="H18664" s="28"/>
    </row>
    <row r="18665" spans="4:8" x14ac:dyDescent="0.25">
      <c r="D18665" s="28"/>
      <c r="F18665" s="28"/>
      <c r="H18665" s="28"/>
    </row>
    <row r="18666" spans="4:8" x14ac:dyDescent="0.25">
      <c r="D18666" s="28"/>
      <c r="F18666" s="28"/>
      <c r="H18666" s="28"/>
    </row>
    <row r="18667" spans="4:8" x14ac:dyDescent="0.25">
      <c r="D18667" s="28"/>
      <c r="F18667" s="28"/>
      <c r="H18667" s="28"/>
    </row>
    <row r="18668" spans="4:8" x14ac:dyDescent="0.25">
      <c r="D18668" s="28"/>
      <c r="F18668" s="28"/>
      <c r="H18668" s="28"/>
    </row>
    <row r="18669" spans="4:8" x14ac:dyDescent="0.25">
      <c r="D18669" s="28"/>
      <c r="F18669" s="28"/>
      <c r="H18669" s="28"/>
    </row>
    <row r="18670" spans="4:8" x14ac:dyDescent="0.25">
      <c r="D18670" s="28"/>
      <c r="F18670" s="28"/>
      <c r="H18670" s="28"/>
    </row>
    <row r="18671" spans="4:8" x14ac:dyDescent="0.25">
      <c r="D18671" s="28"/>
      <c r="F18671" s="28"/>
      <c r="H18671" s="28"/>
    </row>
    <row r="18672" spans="4:8" x14ac:dyDescent="0.25">
      <c r="D18672" s="28"/>
      <c r="F18672" s="28"/>
      <c r="H18672" s="28"/>
    </row>
    <row r="18673" spans="4:8" x14ac:dyDescent="0.25">
      <c r="D18673" s="28"/>
      <c r="F18673" s="28"/>
      <c r="H18673" s="28"/>
    </row>
    <row r="18674" spans="4:8" x14ac:dyDescent="0.25">
      <c r="D18674" s="28"/>
      <c r="F18674" s="28"/>
      <c r="H18674" s="28"/>
    </row>
    <row r="18675" spans="4:8" x14ac:dyDescent="0.25">
      <c r="D18675" s="28"/>
      <c r="F18675" s="28"/>
      <c r="H18675" s="28"/>
    </row>
    <row r="18676" spans="4:8" x14ac:dyDescent="0.25">
      <c r="D18676" s="28"/>
      <c r="F18676" s="28"/>
      <c r="H18676" s="28"/>
    </row>
    <row r="18677" spans="4:8" x14ac:dyDescent="0.25">
      <c r="D18677" s="28"/>
      <c r="F18677" s="28"/>
      <c r="H18677" s="28"/>
    </row>
    <row r="18678" spans="4:8" x14ac:dyDescent="0.25">
      <c r="D18678" s="28"/>
      <c r="F18678" s="28"/>
      <c r="H18678" s="28"/>
    </row>
    <row r="18679" spans="4:8" x14ac:dyDescent="0.25">
      <c r="D18679" s="28"/>
      <c r="F18679" s="28"/>
      <c r="H18679" s="28"/>
    </row>
    <row r="18680" spans="4:8" x14ac:dyDescent="0.25">
      <c r="D18680" s="28"/>
      <c r="F18680" s="28"/>
      <c r="H18680" s="28"/>
    </row>
    <row r="18681" spans="4:8" x14ac:dyDescent="0.25">
      <c r="D18681" s="28"/>
      <c r="F18681" s="28"/>
      <c r="H18681" s="28"/>
    </row>
    <row r="18682" spans="4:8" x14ac:dyDescent="0.25">
      <c r="D18682" s="28"/>
      <c r="F18682" s="28"/>
      <c r="H18682" s="28"/>
    </row>
    <row r="18683" spans="4:8" x14ac:dyDescent="0.25">
      <c r="D18683" s="28"/>
      <c r="F18683" s="28"/>
      <c r="H18683" s="28"/>
    </row>
    <row r="18684" spans="4:8" x14ac:dyDescent="0.25">
      <c r="D18684" s="28"/>
      <c r="F18684" s="28"/>
      <c r="H18684" s="28"/>
    </row>
    <row r="18685" spans="4:8" x14ac:dyDescent="0.25">
      <c r="D18685" s="28"/>
      <c r="F18685" s="28"/>
      <c r="H18685" s="28"/>
    </row>
    <row r="18686" spans="4:8" x14ac:dyDescent="0.25">
      <c r="D18686" s="28"/>
      <c r="F18686" s="28"/>
      <c r="H18686" s="28"/>
    </row>
    <row r="18687" spans="4:8" x14ac:dyDescent="0.25">
      <c r="D18687" s="28"/>
      <c r="F18687" s="28"/>
      <c r="H18687" s="28"/>
    </row>
    <row r="18688" spans="4:8" x14ac:dyDescent="0.25">
      <c r="D18688" s="28"/>
      <c r="F18688" s="28"/>
      <c r="H18688" s="28"/>
    </row>
    <row r="18689" spans="4:8" x14ac:dyDescent="0.25">
      <c r="D18689" s="28"/>
      <c r="F18689" s="28"/>
      <c r="H18689" s="28"/>
    </row>
    <row r="18690" spans="4:8" x14ac:dyDescent="0.25">
      <c r="D18690" s="28"/>
      <c r="F18690" s="28"/>
      <c r="H18690" s="28"/>
    </row>
    <row r="18691" spans="4:8" x14ac:dyDescent="0.25">
      <c r="D18691" s="28"/>
      <c r="F18691" s="28"/>
      <c r="H18691" s="28"/>
    </row>
    <row r="18692" spans="4:8" x14ac:dyDescent="0.25">
      <c r="D18692" s="28"/>
      <c r="F18692" s="28"/>
      <c r="H18692" s="28"/>
    </row>
    <row r="18693" spans="4:8" x14ac:dyDescent="0.25">
      <c r="D18693" s="28"/>
      <c r="F18693" s="28"/>
      <c r="H18693" s="28"/>
    </row>
    <row r="18694" spans="4:8" x14ac:dyDescent="0.25">
      <c r="D18694" s="28"/>
      <c r="F18694" s="28"/>
      <c r="H18694" s="28"/>
    </row>
    <row r="18695" spans="4:8" x14ac:dyDescent="0.25">
      <c r="D18695" s="28"/>
      <c r="F18695" s="28"/>
      <c r="H18695" s="28"/>
    </row>
    <row r="18696" spans="4:8" x14ac:dyDescent="0.25">
      <c r="D18696" s="28"/>
      <c r="F18696" s="28"/>
      <c r="H18696" s="28"/>
    </row>
    <row r="18697" spans="4:8" x14ac:dyDescent="0.25">
      <c r="D18697" s="28"/>
      <c r="F18697" s="28"/>
      <c r="H18697" s="28"/>
    </row>
    <row r="18698" spans="4:8" x14ac:dyDescent="0.25">
      <c r="D18698" s="28"/>
      <c r="F18698" s="28"/>
      <c r="H18698" s="28"/>
    </row>
    <row r="18699" spans="4:8" x14ac:dyDescent="0.25">
      <c r="D18699" s="28"/>
      <c r="F18699" s="28"/>
      <c r="H18699" s="28"/>
    </row>
    <row r="18700" spans="4:8" x14ac:dyDescent="0.25">
      <c r="D18700" s="28"/>
      <c r="F18700" s="28"/>
      <c r="H18700" s="28"/>
    </row>
    <row r="18701" spans="4:8" x14ac:dyDescent="0.25">
      <c r="D18701" s="28"/>
      <c r="F18701" s="28"/>
      <c r="H18701" s="28"/>
    </row>
    <row r="18702" spans="4:8" x14ac:dyDescent="0.25">
      <c r="D18702" s="28"/>
      <c r="F18702" s="28"/>
      <c r="H18702" s="28"/>
    </row>
    <row r="18703" spans="4:8" x14ac:dyDescent="0.25">
      <c r="D18703" s="28"/>
      <c r="F18703" s="28"/>
      <c r="H18703" s="28"/>
    </row>
    <row r="18704" spans="4:8" x14ac:dyDescent="0.25">
      <c r="D18704" s="28"/>
      <c r="F18704" s="28"/>
      <c r="H18704" s="28"/>
    </row>
    <row r="18705" spans="4:8" x14ac:dyDescent="0.25">
      <c r="D18705" s="28"/>
      <c r="F18705" s="28"/>
      <c r="H18705" s="28"/>
    </row>
    <row r="18706" spans="4:8" x14ac:dyDescent="0.25">
      <c r="D18706" s="28"/>
      <c r="F18706" s="28"/>
      <c r="H18706" s="28"/>
    </row>
    <row r="18707" spans="4:8" x14ac:dyDescent="0.25">
      <c r="D18707" s="28"/>
      <c r="F18707" s="28"/>
      <c r="H18707" s="28"/>
    </row>
    <row r="18708" spans="4:8" x14ac:dyDescent="0.25">
      <c r="D18708" s="28"/>
      <c r="F18708" s="28"/>
      <c r="H18708" s="28"/>
    </row>
    <row r="18709" spans="4:8" x14ac:dyDescent="0.25">
      <c r="D18709" s="28"/>
      <c r="F18709" s="28"/>
      <c r="H18709" s="28"/>
    </row>
    <row r="18710" spans="4:8" x14ac:dyDescent="0.25">
      <c r="D18710" s="28"/>
      <c r="F18710" s="28"/>
      <c r="H18710" s="28"/>
    </row>
    <row r="18711" spans="4:8" x14ac:dyDescent="0.25">
      <c r="D18711" s="28"/>
      <c r="F18711" s="28"/>
      <c r="H18711" s="28"/>
    </row>
    <row r="18712" spans="4:8" x14ac:dyDescent="0.25">
      <c r="D18712" s="28"/>
      <c r="F18712" s="28"/>
      <c r="H18712" s="28"/>
    </row>
    <row r="18713" spans="4:8" x14ac:dyDescent="0.25">
      <c r="D18713" s="28"/>
      <c r="F18713" s="28"/>
      <c r="H18713" s="28"/>
    </row>
    <row r="18714" spans="4:8" x14ac:dyDescent="0.25">
      <c r="D18714" s="28"/>
      <c r="F18714" s="28"/>
      <c r="H18714" s="28"/>
    </row>
    <row r="18715" spans="4:8" x14ac:dyDescent="0.25">
      <c r="D18715" s="28"/>
      <c r="F18715" s="28"/>
      <c r="H18715" s="28"/>
    </row>
    <row r="18716" spans="4:8" x14ac:dyDescent="0.25">
      <c r="D18716" s="28"/>
      <c r="F18716" s="28"/>
      <c r="H18716" s="28"/>
    </row>
    <row r="18717" spans="4:8" x14ac:dyDescent="0.25">
      <c r="D18717" s="28"/>
      <c r="F18717" s="28"/>
      <c r="H18717" s="28"/>
    </row>
    <row r="18718" spans="4:8" x14ac:dyDescent="0.25">
      <c r="D18718" s="28"/>
      <c r="F18718" s="28"/>
      <c r="H18718" s="28"/>
    </row>
    <row r="18719" spans="4:8" x14ac:dyDescent="0.25">
      <c r="D18719" s="28"/>
      <c r="F18719" s="28"/>
      <c r="H18719" s="28"/>
    </row>
    <row r="18720" spans="4:8" x14ac:dyDescent="0.25">
      <c r="D18720" s="28"/>
      <c r="F18720" s="28"/>
      <c r="H18720" s="28"/>
    </row>
    <row r="18721" spans="4:8" x14ac:dyDescent="0.25">
      <c r="D18721" s="28"/>
      <c r="F18721" s="28"/>
      <c r="H18721" s="28"/>
    </row>
    <row r="18722" spans="4:8" x14ac:dyDescent="0.25">
      <c r="D18722" s="28"/>
      <c r="F18722" s="28"/>
      <c r="H18722" s="28"/>
    </row>
    <row r="18723" spans="4:8" x14ac:dyDescent="0.25">
      <c r="D18723" s="28"/>
      <c r="F18723" s="28"/>
      <c r="H18723" s="28"/>
    </row>
    <row r="18724" spans="4:8" x14ac:dyDescent="0.25">
      <c r="D18724" s="28"/>
      <c r="F18724" s="28"/>
      <c r="H18724" s="28"/>
    </row>
    <row r="18725" spans="4:8" x14ac:dyDescent="0.25">
      <c r="D18725" s="28"/>
      <c r="F18725" s="28"/>
      <c r="H18725" s="28"/>
    </row>
    <row r="18726" spans="4:8" x14ac:dyDescent="0.25">
      <c r="D18726" s="28"/>
      <c r="F18726" s="28"/>
      <c r="H18726" s="28"/>
    </row>
    <row r="18727" spans="4:8" x14ac:dyDescent="0.25">
      <c r="D18727" s="28"/>
      <c r="F18727" s="28"/>
      <c r="H18727" s="28"/>
    </row>
    <row r="18728" spans="4:8" x14ac:dyDescent="0.25">
      <c r="D18728" s="28"/>
      <c r="F18728" s="28"/>
      <c r="H18728" s="28"/>
    </row>
    <row r="18729" spans="4:8" x14ac:dyDescent="0.25">
      <c r="D18729" s="28"/>
      <c r="F18729" s="28"/>
      <c r="H18729" s="28"/>
    </row>
    <row r="18730" spans="4:8" x14ac:dyDescent="0.25">
      <c r="D18730" s="28"/>
      <c r="F18730" s="28"/>
      <c r="H18730" s="28"/>
    </row>
    <row r="18731" spans="4:8" x14ac:dyDescent="0.25">
      <c r="D18731" s="28"/>
      <c r="F18731" s="28"/>
      <c r="H18731" s="28"/>
    </row>
    <row r="18732" spans="4:8" x14ac:dyDescent="0.25">
      <c r="D18732" s="28"/>
      <c r="F18732" s="28"/>
      <c r="H18732" s="28"/>
    </row>
    <row r="18733" spans="4:8" x14ac:dyDescent="0.25">
      <c r="D18733" s="28"/>
      <c r="F18733" s="28"/>
      <c r="H18733" s="28"/>
    </row>
    <row r="18734" spans="4:8" x14ac:dyDescent="0.25">
      <c r="D18734" s="28"/>
      <c r="F18734" s="28"/>
      <c r="H18734" s="28"/>
    </row>
    <row r="18735" spans="4:8" x14ac:dyDescent="0.25">
      <c r="D18735" s="28"/>
      <c r="F18735" s="28"/>
      <c r="H18735" s="28"/>
    </row>
    <row r="18736" spans="4:8" x14ac:dyDescent="0.25">
      <c r="D18736" s="28"/>
      <c r="F18736" s="28"/>
      <c r="H18736" s="28"/>
    </row>
    <row r="18737" spans="4:8" x14ac:dyDescent="0.25">
      <c r="D18737" s="28"/>
      <c r="F18737" s="28"/>
      <c r="H18737" s="28"/>
    </row>
    <row r="18738" spans="4:8" x14ac:dyDescent="0.25">
      <c r="D18738" s="28"/>
      <c r="F18738" s="28"/>
      <c r="H18738" s="28"/>
    </row>
    <row r="18739" spans="4:8" x14ac:dyDescent="0.25">
      <c r="D18739" s="28"/>
      <c r="F18739" s="28"/>
      <c r="H18739" s="28"/>
    </row>
    <row r="18740" spans="4:8" x14ac:dyDescent="0.25">
      <c r="D18740" s="28"/>
      <c r="F18740" s="28"/>
      <c r="H18740" s="28"/>
    </row>
    <row r="18741" spans="4:8" x14ac:dyDescent="0.25">
      <c r="D18741" s="28"/>
      <c r="F18741" s="28"/>
      <c r="H18741" s="28"/>
    </row>
    <row r="18742" spans="4:8" x14ac:dyDescent="0.25">
      <c r="D18742" s="28"/>
      <c r="F18742" s="28"/>
      <c r="H18742" s="28"/>
    </row>
    <row r="18743" spans="4:8" x14ac:dyDescent="0.25">
      <c r="D18743" s="28"/>
      <c r="F18743" s="28"/>
      <c r="H18743" s="28"/>
    </row>
    <row r="18744" spans="4:8" x14ac:dyDescent="0.25">
      <c r="D18744" s="28"/>
      <c r="F18744" s="28"/>
      <c r="H18744" s="28"/>
    </row>
    <row r="18745" spans="4:8" x14ac:dyDescent="0.25">
      <c r="D18745" s="28"/>
      <c r="F18745" s="28"/>
      <c r="H18745" s="28"/>
    </row>
    <row r="18746" spans="4:8" x14ac:dyDescent="0.25">
      <c r="D18746" s="28"/>
      <c r="F18746" s="28"/>
      <c r="H18746" s="28"/>
    </row>
    <row r="18747" spans="4:8" x14ac:dyDescent="0.25">
      <c r="D18747" s="28"/>
      <c r="F18747" s="28"/>
      <c r="H18747" s="28"/>
    </row>
    <row r="18748" spans="4:8" x14ac:dyDescent="0.25">
      <c r="D18748" s="28"/>
      <c r="F18748" s="28"/>
      <c r="H18748" s="28"/>
    </row>
    <row r="18749" spans="4:8" x14ac:dyDescent="0.25">
      <c r="D18749" s="28"/>
      <c r="F18749" s="28"/>
      <c r="H18749" s="28"/>
    </row>
    <row r="18750" spans="4:8" x14ac:dyDescent="0.25">
      <c r="D18750" s="28"/>
      <c r="F18750" s="28"/>
      <c r="H18750" s="28"/>
    </row>
    <row r="18751" spans="4:8" x14ac:dyDescent="0.25">
      <c r="D18751" s="28"/>
      <c r="F18751" s="28"/>
      <c r="H18751" s="28"/>
    </row>
    <row r="18752" spans="4:8" x14ac:dyDescent="0.25">
      <c r="D18752" s="28"/>
      <c r="F18752" s="28"/>
      <c r="H18752" s="28"/>
    </row>
    <row r="18753" spans="4:8" x14ac:dyDescent="0.25">
      <c r="D18753" s="28"/>
      <c r="F18753" s="28"/>
      <c r="H18753" s="28"/>
    </row>
    <row r="18754" spans="4:8" x14ac:dyDescent="0.25">
      <c r="D18754" s="28"/>
      <c r="F18754" s="28"/>
      <c r="H18754" s="28"/>
    </row>
    <row r="18755" spans="4:8" x14ac:dyDescent="0.25">
      <c r="D18755" s="28"/>
      <c r="F18755" s="28"/>
      <c r="H18755" s="28"/>
    </row>
    <row r="18756" spans="4:8" x14ac:dyDescent="0.25">
      <c r="D18756" s="28"/>
      <c r="F18756" s="28"/>
      <c r="H18756" s="28"/>
    </row>
    <row r="18757" spans="4:8" x14ac:dyDescent="0.25">
      <c r="D18757" s="28"/>
      <c r="F18757" s="28"/>
      <c r="H18757" s="28"/>
    </row>
    <row r="18758" spans="4:8" x14ac:dyDescent="0.25">
      <c r="D18758" s="28"/>
      <c r="F18758" s="28"/>
      <c r="H18758" s="28"/>
    </row>
    <row r="18759" spans="4:8" x14ac:dyDescent="0.25">
      <c r="D18759" s="28"/>
      <c r="F18759" s="28"/>
      <c r="H18759" s="28"/>
    </row>
    <row r="18760" spans="4:8" x14ac:dyDescent="0.25">
      <c r="D18760" s="28"/>
      <c r="F18760" s="28"/>
      <c r="H18760" s="28"/>
    </row>
    <row r="18761" spans="4:8" x14ac:dyDescent="0.25">
      <c r="D18761" s="28"/>
      <c r="F18761" s="28"/>
      <c r="H18761" s="28"/>
    </row>
    <row r="18762" spans="4:8" x14ac:dyDescent="0.25">
      <c r="D18762" s="28"/>
      <c r="F18762" s="28"/>
      <c r="H18762" s="28"/>
    </row>
    <row r="18763" spans="4:8" x14ac:dyDescent="0.25">
      <c r="D18763" s="28"/>
      <c r="F18763" s="28"/>
      <c r="H18763" s="28"/>
    </row>
    <row r="18764" spans="4:8" x14ac:dyDescent="0.25">
      <c r="D18764" s="28"/>
      <c r="F18764" s="28"/>
      <c r="H18764" s="28"/>
    </row>
    <row r="18765" spans="4:8" x14ac:dyDescent="0.25">
      <c r="D18765" s="28"/>
      <c r="F18765" s="28"/>
      <c r="H18765" s="28"/>
    </row>
    <row r="18766" spans="4:8" x14ac:dyDescent="0.25">
      <c r="D18766" s="28"/>
      <c r="F18766" s="28"/>
      <c r="H18766" s="28"/>
    </row>
    <row r="18767" spans="4:8" x14ac:dyDescent="0.25">
      <c r="D18767" s="28"/>
      <c r="F18767" s="28"/>
      <c r="H18767" s="28"/>
    </row>
    <row r="18768" spans="4:8" x14ac:dyDescent="0.25">
      <c r="D18768" s="28"/>
      <c r="F18768" s="28"/>
      <c r="H18768" s="28"/>
    </row>
    <row r="18769" spans="4:8" x14ac:dyDescent="0.25">
      <c r="D18769" s="28"/>
      <c r="F18769" s="28"/>
      <c r="H18769" s="28"/>
    </row>
    <row r="18770" spans="4:8" x14ac:dyDescent="0.25">
      <c r="D18770" s="28"/>
      <c r="F18770" s="28"/>
      <c r="H18770" s="28"/>
    </row>
    <row r="18771" spans="4:8" x14ac:dyDescent="0.25">
      <c r="D18771" s="28"/>
      <c r="F18771" s="28"/>
      <c r="H18771" s="28"/>
    </row>
    <row r="18772" spans="4:8" x14ac:dyDescent="0.25">
      <c r="D18772" s="28"/>
      <c r="F18772" s="28"/>
      <c r="H18772" s="28"/>
    </row>
    <row r="18773" spans="4:8" x14ac:dyDescent="0.25">
      <c r="D18773" s="28"/>
      <c r="F18773" s="28"/>
      <c r="H18773" s="28"/>
    </row>
    <row r="18774" spans="4:8" x14ac:dyDescent="0.25">
      <c r="D18774" s="28"/>
      <c r="F18774" s="28"/>
      <c r="H18774" s="28"/>
    </row>
    <row r="18775" spans="4:8" x14ac:dyDescent="0.25">
      <c r="D18775" s="28"/>
      <c r="F18775" s="28"/>
      <c r="H18775" s="28"/>
    </row>
    <row r="18776" spans="4:8" x14ac:dyDescent="0.25">
      <c r="D18776" s="28"/>
      <c r="F18776" s="28"/>
      <c r="H18776" s="28"/>
    </row>
    <row r="18777" spans="4:8" x14ac:dyDescent="0.25">
      <c r="D18777" s="28"/>
      <c r="F18777" s="28"/>
      <c r="H18777" s="28"/>
    </row>
    <row r="18778" spans="4:8" x14ac:dyDescent="0.25">
      <c r="D18778" s="28"/>
      <c r="F18778" s="28"/>
      <c r="H18778" s="28"/>
    </row>
    <row r="18779" spans="4:8" x14ac:dyDescent="0.25">
      <c r="D18779" s="28"/>
      <c r="F18779" s="28"/>
      <c r="H18779" s="28"/>
    </row>
    <row r="18780" spans="4:8" x14ac:dyDescent="0.25">
      <c r="D18780" s="28"/>
      <c r="F18780" s="28"/>
      <c r="H18780" s="28"/>
    </row>
    <row r="18781" spans="4:8" x14ac:dyDescent="0.25">
      <c r="D18781" s="28"/>
      <c r="F18781" s="28"/>
      <c r="H18781" s="28"/>
    </row>
    <row r="18782" spans="4:8" x14ac:dyDescent="0.25">
      <c r="D18782" s="28"/>
      <c r="F18782" s="28"/>
      <c r="H18782" s="28"/>
    </row>
    <row r="18783" spans="4:8" x14ac:dyDescent="0.25">
      <c r="D18783" s="28"/>
      <c r="F18783" s="28"/>
      <c r="H18783" s="28"/>
    </row>
    <row r="18784" spans="4:8" x14ac:dyDescent="0.25">
      <c r="D18784" s="28"/>
      <c r="F18784" s="28"/>
      <c r="H18784" s="28"/>
    </row>
    <row r="18785" spans="4:8" x14ac:dyDescent="0.25">
      <c r="D18785" s="28"/>
      <c r="F18785" s="28"/>
      <c r="H18785" s="28"/>
    </row>
    <row r="18786" spans="4:8" x14ac:dyDescent="0.25">
      <c r="D18786" s="28"/>
      <c r="F18786" s="28"/>
      <c r="H18786" s="28"/>
    </row>
    <row r="18787" spans="4:8" x14ac:dyDescent="0.25">
      <c r="D18787" s="28"/>
      <c r="F18787" s="28"/>
      <c r="H18787" s="28"/>
    </row>
    <row r="18788" spans="4:8" x14ac:dyDescent="0.25">
      <c r="D18788" s="28"/>
      <c r="F18788" s="28"/>
      <c r="H18788" s="28"/>
    </row>
    <row r="18789" spans="4:8" x14ac:dyDescent="0.25">
      <c r="D18789" s="28"/>
      <c r="F18789" s="28"/>
      <c r="H18789" s="28"/>
    </row>
    <row r="18790" spans="4:8" x14ac:dyDescent="0.25">
      <c r="D18790" s="28"/>
      <c r="F18790" s="28"/>
      <c r="H18790" s="28"/>
    </row>
    <row r="18791" spans="4:8" x14ac:dyDescent="0.25">
      <c r="D18791" s="28"/>
      <c r="F18791" s="28"/>
      <c r="H18791" s="28"/>
    </row>
    <row r="18792" spans="4:8" x14ac:dyDescent="0.25">
      <c r="D18792" s="28"/>
      <c r="F18792" s="28"/>
      <c r="H18792" s="28"/>
    </row>
    <row r="18793" spans="4:8" x14ac:dyDescent="0.25">
      <c r="D18793" s="28"/>
      <c r="F18793" s="28"/>
      <c r="H18793" s="28"/>
    </row>
    <row r="18794" spans="4:8" x14ac:dyDescent="0.25">
      <c r="D18794" s="28"/>
      <c r="F18794" s="28"/>
      <c r="H18794" s="28"/>
    </row>
    <row r="18795" spans="4:8" x14ac:dyDescent="0.25">
      <c r="D18795" s="28"/>
      <c r="F18795" s="28"/>
      <c r="H18795" s="28"/>
    </row>
    <row r="18796" spans="4:8" x14ac:dyDescent="0.25">
      <c r="D18796" s="28"/>
      <c r="F18796" s="28"/>
      <c r="H18796" s="28"/>
    </row>
    <row r="18797" spans="4:8" x14ac:dyDescent="0.25">
      <c r="D18797" s="28"/>
      <c r="F18797" s="28"/>
      <c r="H18797" s="28"/>
    </row>
    <row r="18798" spans="4:8" x14ac:dyDescent="0.25">
      <c r="D18798" s="28"/>
      <c r="F18798" s="28"/>
      <c r="H18798" s="28"/>
    </row>
    <row r="18799" spans="4:8" x14ac:dyDescent="0.25">
      <c r="D18799" s="28"/>
      <c r="F18799" s="28"/>
      <c r="H18799" s="28"/>
    </row>
    <row r="18800" spans="4:8" x14ac:dyDescent="0.25">
      <c r="D18800" s="28"/>
      <c r="F18800" s="28"/>
      <c r="H18800" s="28"/>
    </row>
    <row r="18801" spans="4:8" x14ac:dyDescent="0.25">
      <c r="D18801" s="28"/>
      <c r="F18801" s="28"/>
      <c r="H18801" s="28"/>
    </row>
    <row r="18802" spans="4:8" x14ac:dyDescent="0.25">
      <c r="D18802" s="28"/>
      <c r="F18802" s="28"/>
      <c r="H18802" s="28"/>
    </row>
    <row r="18803" spans="4:8" x14ac:dyDescent="0.25">
      <c r="D18803" s="28"/>
      <c r="F18803" s="28"/>
      <c r="H18803" s="28"/>
    </row>
    <row r="18804" spans="4:8" x14ac:dyDescent="0.25">
      <c r="D18804" s="28"/>
      <c r="F18804" s="28"/>
      <c r="H18804" s="28"/>
    </row>
    <row r="18805" spans="4:8" x14ac:dyDescent="0.25">
      <c r="D18805" s="28"/>
      <c r="F18805" s="28"/>
      <c r="H18805" s="28"/>
    </row>
    <row r="18806" spans="4:8" x14ac:dyDescent="0.25">
      <c r="D18806" s="28"/>
      <c r="F18806" s="28"/>
      <c r="H18806" s="28"/>
    </row>
    <row r="18807" spans="4:8" x14ac:dyDescent="0.25">
      <c r="D18807" s="28"/>
      <c r="F18807" s="28"/>
      <c r="H18807" s="28"/>
    </row>
    <row r="18808" spans="4:8" x14ac:dyDescent="0.25">
      <c r="D18808" s="28"/>
      <c r="F18808" s="28"/>
      <c r="H18808" s="28"/>
    </row>
    <row r="18809" spans="4:8" x14ac:dyDescent="0.25">
      <c r="D18809" s="28"/>
      <c r="F18809" s="28"/>
      <c r="H18809" s="28"/>
    </row>
    <row r="18810" spans="4:8" x14ac:dyDescent="0.25">
      <c r="D18810" s="28"/>
      <c r="F18810" s="28"/>
      <c r="H18810" s="28"/>
    </row>
    <row r="18811" spans="4:8" x14ac:dyDescent="0.25">
      <c r="D18811" s="28"/>
      <c r="F18811" s="28"/>
      <c r="H18811" s="28"/>
    </row>
    <row r="18812" spans="4:8" x14ac:dyDescent="0.25">
      <c r="D18812" s="28"/>
      <c r="F18812" s="28"/>
      <c r="H18812" s="28"/>
    </row>
    <row r="18813" spans="4:8" x14ac:dyDescent="0.25">
      <c r="D18813" s="28"/>
      <c r="F18813" s="28"/>
      <c r="H18813" s="28"/>
    </row>
    <row r="18814" spans="4:8" x14ac:dyDescent="0.25">
      <c r="D18814" s="28"/>
      <c r="F18814" s="28"/>
      <c r="H18814" s="28"/>
    </row>
    <row r="18815" spans="4:8" x14ac:dyDescent="0.25">
      <c r="D18815" s="28"/>
      <c r="F18815" s="28"/>
      <c r="H18815" s="28"/>
    </row>
    <row r="18816" spans="4:8" x14ac:dyDescent="0.25">
      <c r="D18816" s="28"/>
      <c r="F18816" s="28"/>
      <c r="H18816" s="28"/>
    </row>
    <row r="18817" spans="4:8" x14ac:dyDescent="0.25">
      <c r="D18817" s="28"/>
      <c r="F18817" s="28"/>
      <c r="H18817" s="28"/>
    </row>
    <row r="18818" spans="4:8" x14ac:dyDescent="0.25">
      <c r="D18818" s="28"/>
      <c r="F18818" s="28"/>
      <c r="H18818" s="28"/>
    </row>
    <row r="18819" spans="4:8" x14ac:dyDescent="0.25">
      <c r="D18819" s="28"/>
      <c r="F18819" s="28"/>
      <c r="H18819" s="28"/>
    </row>
    <row r="18820" spans="4:8" x14ac:dyDescent="0.25">
      <c r="D18820" s="28"/>
      <c r="F18820" s="28"/>
      <c r="H18820" s="28"/>
    </row>
    <row r="18821" spans="4:8" x14ac:dyDescent="0.25">
      <c r="D18821" s="28"/>
      <c r="F18821" s="28"/>
      <c r="H18821" s="28"/>
    </row>
    <row r="18822" spans="4:8" x14ac:dyDescent="0.25">
      <c r="D18822" s="28"/>
      <c r="F18822" s="28"/>
      <c r="H18822" s="28"/>
    </row>
    <row r="18823" spans="4:8" x14ac:dyDescent="0.25">
      <c r="D18823" s="28"/>
      <c r="F18823" s="28"/>
      <c r="H18823" s="28"/>
    </row>
    <row r="18824" spans="4:8" x14ac:dyDescent="0.25">
      <c r="D18824" s="28"/>
      <c r="F18824" s="28"/>
      <c r="H18824" s="28"/>
    </row>
    <row r="18825" spans="4:8" x14ac:dyDescent="0.25">
      <c r="D18825" s="28"/>
      <c r="F18825" s="28"/>
      <c r="H18825" s="28"/>
    </row>
    <row r="18826" spans="4:8" x14ac:dyDescent="0.25">
      <c r="D18826" s="28"/>
      <c r="F18826" s="28"/>
      <c r="H18826" s="28"/>
    </row>
    <row r="18827" spans="4:8" x14ac:dyDescent="0.25">
      <c r="D18827" s="28"/>
      <c r="F18827" s="28"/>
      <c r="H18827" s="28"/>
    </row>
    <row r="18828" spans="4:8" x14ac:dyDescent="0.25">
      <c r="D18828" s="28"/>
      <c r="F18828" s="28"/>
      <c r="H18828" s="28"/>
    </row>
    <row r="18829" spans="4:8" x14ac:dyDescent="0.25">
      <c r="D18829" s="28"/>
      <c r="F18829" s="28"/>
      <c r="H18829" s="28"/>
    </row>
    <row r="18830" spans="4:8" x14ac:dyDescent="0.25">
      <c r="D18830" s="28"/>
      <c r="F18830" s="28"/>
      <c r="H18830" s="28"/>
    </row>
    <row r="18831" spans="4:8" x14ac:dyDescent="0.25">
      <c r="D18831" s="28"/>
      <c r="F18831" s="28"/>
      <c r="H18831" s="28"/>
    </row>
    <row r="18832" spans="4:8" x14ac:dyDescent="0.25">
      <c r="D18832" s="28"/>
      <c r="F18832" s="28"/>
      <c r="H18832" s="28"/>
    </row>
    <row r="18833" spans="4:8" x14ac:dyDescent="0.25">
      <c r="D18833" s="28"/>
      <c r="F18833" s="28"/>
      <c r="H18833" s="28"/>
    </row>
    <row r="18834" spans="4:8" x14ac:dyDescent="0.25">
      <c r="D18834" s="28"/>
      <c r="F18834" s="28"/>
      <c r="H18834" s="28"/>
    </row>
    <row r="18835" spans="4:8" x14ac:dyDescent="0.25">
      <c r="D18835" s="28"/>
      <c r="F18835" s="28"/>
      <c r="H18835" s="28"/>
    </row>
    <row r="18836" spans="4:8" x14ac:dyDescent="0.25">
      <c r="D18836" s="28"/>
      <c r="F18836" s="28"/>
      <c r="H18836" s="28"/>
    </row>
    <row r="18837" spans="4:8" x14ac:dyDescent="0.25">
      <c r="D18837" s="28"/>
      <c r="F18837" s="28"/>
      <c r="H18837" s="28"/>
    </row>
    <row r="18838" spans="4:8" x14ac:dyDescent="0.25">
      <c r="D18838" s="28"/>
      <c r="F18838" s="28"/>
      <c r="H18838" s="28"/>
    </row>
    <row r="18839" spans="4:8" x14ac:dyDescent="0.25">
      <c r="D18839" s="28"/>
      <c r="F18839" s="28"/>
      <c r="H18839" s="28"/>
    </row>
    <row r="18840" spans="4:8" x14ac:dyDescent="0.25">
      <c r="D18840" s="28"/>
      <c r="F18840" s="28"/>
      <c r="H18840" s="28"/>
    </row>
    <row r="18841" spans="4:8" x14ac:dyDescent="0.25">
      <c r="D18841" s="28"/>
      <c r="F18841" s="28"/>
      <c r="H18841" s="28"/>
    </row>
    <row r="18842" spans="4:8" x14ac:dyDescent="0.25">
      <c r="D18842" s="28"/>
      <c r="F18842" s="28"/>
      <c r="H18842" s="28"/>
    </row>
    <row r="18843" spans="4:8" x14ac:dyDescent="0.25">
      <c r="D18843" s="28"/>
      <c r="F18843" s="28"/>
      <c r="H18843" s="28"/>
    </row>
    <row r="18844" spans="4:8" x14ac:dyDescent="0.25">
      <c r="D18844" s="28"/>
      <c r="F18844" s="28"/>
      <c r="H18844" s="28"/>
    </row>
    <row r="18845" spans="4:8" x14ac:dyDescent="0.25">
      <c r="D18845" s="28"/>
      <c r="F18845" s="28"/>
      <c r="H18845" s="28"/>
    </row>
    <row r="18846" spans="4:8" x14ac:dyDescent="0.25">
      <c r="D18846" s="28"/>
      <c r="F18846" s="28"/>
      <c r="H18846" s="28"/>
    </row>
    <row r="18847" spans="4:8" x14ac:dyDescent="0.25">
      <c r="D18847" s="28"/>
      <c r="F18847" s="28"/>
      <c r="H18847" s="28"/>
    </row>
    <row r="18848" spans="4:8" x14ac:dyDescent="0.25">
      <c r="D18848" s="28"/>
      <c r="F18848" s="28"/>
      <c r="H18848" s="28"/>
    </row>
    <row r="18849" spans="4:8" x14ac:dyDescent="0.25">
      <c r="D18849" s="28"/>
      <c r="F18849" s="28"/>
      <c r="H18849" s="28"/>
    </row>
    <row r="18850" spans="4:8" x14ac:dyDescent="0.25">
      <c r="D18850" s="28"/>
      <c r="F18850" s="28"/>
      <c r="H18850" s="28"/>
    </row>
    <row r="18851" spans="4:8" x14ac:dyDescent="0.25">
      <c r="D18851" s="28"/>
      <c r="F18851" s="28"/>
      <c r="H18851" s="28"/>
    </row>
    <row r="18852" spans="4:8" x14ac:dyDescent="0.25">
      <c r="D18852" s="28"/>
      <c r="F18852" s="28"/>
      <c r="H18852" s="28"/>
    </row>
    <row r="18853" spans="4:8" x14ac:dyDescent="0.25">
      <c r="D18853" s="28"/>
      <c r="F18853" s="28"/>
      <c r="H18853" s="28"/>
    </row>
    <row r="18854" spans="4:8" x14ac:dyDescent="0.25">
      <c r="D18854" s="28"/>
      <c r="F18854" s="28"/>
      <c r="H18854" s="28"/>
    </row>
    <row r="18855" spans="4:8" x14ac:dyDescent="0.25">
      <c r="D18855" s="28"/>
      <c r="F18855" s="28"/>
      <c r="H18855" s="28"/>
    </row>
    <row r="18856" spans="4:8" x14ac:dyDescent="0.25">
      <c r="D18856" s="28"/>
      <c r="F18856" s="28"/>
      <c r="H18856" s="28"/>
    </row>
    <row r="18857" spans="4:8" x14ac:dyDescent="0.25">
      <c r="D18857" s="28"/>
      <c r="F18857" s="28"/>
      <c r="H18857" s="28"/>
    </row>
    <row r="18858" spans="4:8" x14ac:dyDescent="0.25">
      <c r="D18858" s="28"/>
      <c r="F18858" s="28"/>
      <c r="H18858" s="28"/>
    </row>
    <row r="18859" spans="4:8" x14ac:dyDescent="0.25">
      <c r="D18859" s="28"/>
      <c r="F18859" s="28"/>
      <c r="H18859" s="28"/>
    </row>
    <row r="18860" spans="4:8" x14ac:dyDescent="0.25">
      <c r="D18860" s="28"/>
      <c r="F18860" s="28"/>
      <c r="H18860" s="28"/>
    </row>
    <row r="18861" spans="4:8" x14ac:dyDescent="0.25">
      <c r="D18861" s="28"/>
      <c r="F18861" s="28"/>
      <c r="H18861" s="28"/>
    </row>
    <row r="18862" spans="4:8" x14ac:dyDescent="0.25">
      <c r="D18862" s="28"/>
      <c r="F18862" s="28"/>
      <c r="H18862" s="28"/>
    </row>
    <row r="18863" spans="4:8" x14ac:dyDescent="0.25">
      <c r="D18863" s="28"/>
      <c r="F18863" s="28"/>
      <c r="H18863" s="28"/>
    </row>
    <row r="18864" spans="4:8" x14ac:dyDescent="0.25">
      <c r="D18864" s="28"/>
      <c r="F18864" s="28"/>
      <c r="H18864" s="28"/>
    </row>
    <row r="18865" spans="4:8" x14ac:dyDescent="0.25">
      <c r="D18865" s="28"/>
      <c r="F18865" s="28"/>
      <c r="H18865" s="28"/>
    </row>
    <row r="18866" spans="4:8" x14ac:dyDescent="0.25">
      <c r="D18866" s="28"/>
      <c r="F18866" s="28"/>
      <c r="H18866" s="28"/>
    </row>
    <row r="18867" spans="4:8" x14ac:dyDescent="0.25">
      <c r="D18867" s="28"/>
      <c r="F18867" s="28"/>
      <c r="H18867" s="28"/>
    </row>
    <row r="18868" spans="4:8" x14ac:dyDescent="0.25">
      <c r="D18868" s="28"/>
      <c r="F18868" s="28"/>
      <c r="H18868" s="28"/>
    </row>
    <row r="18869" spans="4:8" x14ac:dyDescent="0.25">
      <c r="D18869" s="28"/>
      <c r="F18869" s="28"/>
      <c r="H18869" s="28"/>
    </row>
    <row r="18870" spans="4:8" x14ac:dyDescent="0.25">
      <c r="D18870" s="28"/>
      <c r="F18870" s="28"/>
      <c r="H18870" s="28"/>
    </row>
    <row r="18871" spans="4:8" x14ac:dyDescent="0.25">
      <c r="D18871" s="28"/>
      <c r="F18871" s="28"/>
      <c r="H18871" s="28"/>
    </row>
    <row r="18872" spans="4:8" x14ac:dyDescent="0.25">
      <c r="D18872" s="28"/>
      <c r="F18872" s="28"/>
      <c r="H18872" s="28"/>
    </row>
    <row r="18873" spans="4:8" x14ac:dyDescent="0.25">
      <c r="D18873" s="28"/>
      <c r="F18873" s="28"/>
      <c r="H18873" s="28"/>
    </row>
    <row r="18874" spans="4:8" x14ac:dyDescent="0.25">
      <c r="D18874" s="28"/>
      <c r="F18874" s="28"/>
      <c r="H18874" s="28"/>
    </row>
    <row r="18875" spans="4:8" x14ac:dyDescent="0.25">
      <c r="D18875" s="28"/>
      <c r="F18875" s="28"/>
      <c r="H18875" s="28"/>
    </row>
    <row r="18876" spans="4:8" x14ac:dyDescent="0.25">
      <c r="D18876" s="28"/>
      <c r="F18876" s="28"/>
      <c r="H18876" s="28"/>
    </row>
    <row r="18877" spans="4:8" x14ac:dyDescent="0.25">
      <c r="D18877" s="28"/>
      <c r="F18877" s="28"/>
      <c r="H18877" s="28"/>
    </row>
    <row r="18878" spans="4:8" x14ac:dyDescent="0.25">
      <c r="D18878" s="28"/>
      <c r="F18878" s="28"/>
      <c r="H18878" s="28"/>
    </row>
    <row r="18879" spans="4:8" x14ac:dyDescent="0.25">
      <c r="D18879" s="28"/>
      <c r="F18879" s="28"/>
      <c r="H18879" s="28"/>
    </row>
    <row r="18880" spans="4:8" x14ac:dyDescent="0.25">
      <c r="D18880" s="28"/>
      <c r="F18880" s="28"/>
      <c r="H18880" s="28"/>
    </row>
    <row r="18881" spans="4:8" x14ac:dyDescent="0.25">
      <c r="D18881" s="28"/>
      <c r="F18881" s="28"/>
      <c r="H18881" s="28"/>
    </row>
    <row r="18882" spans="4:8" x14ac:dyDescent="0.25">
      <c r="D18882" s="28"/>
      <c r="F18882" s="28"/>
      <c r="H18882" s="28"/>
    </row>
    <row r="18883" spans="4:8" x14ac:dyDescent="0.25">
      <c r="D18883" s="28"/>
      <c r="F18883" s="28"/>
      <c r="H18883" s="28"/>
    </row>
    <row r="18884" spans="4:8" x14ac:dyDescent="0.25">
      <c r="D18884" s="28"/>
      <c r="F18884" s="28"/>
      <c r="H18884" s="28"/>
    </row>
    <row r="18885" spans="4:8" x14ac:dyDescent="0.25">
      <c r="D18885" s="28"/>
      <c r="F18885" s="28"/>
      <c r="H18885" s="28"/>
    </row>
    <row r="18886" spans="4:8" x14ac:dyDescent="0.25">
      <c r="D18886" s="28"/>
      <c r="F18886" s="28"/>
      <c r="H18886" s="28"/>
    </row>
    <row r="18887" spans="4:8" x14ac:dyDescent="0.25">
      <c r="D18887" s="28"/>
      <c r="F18887" s="28"/>
      <c r="H18887" s="28"/>
    </row>
    <row r="18888" spans="4:8" x14ac:dyDescent="0.25">
      <c r="D18888" s="28"/>
      <c r="F18888" s="28"/>
      <c r="H18888" s="28"/>
    </row>
    <row r="18889" spans="4:8" x14ac:dyDescent="0.25">
      <c r="D18889" s="28"/>
      <c r="F18889" s="28"/>
      <c r="H18889" s="28"/>
    </row>
    <row r="18890" spans="4:8" x14ac:dyDescent="0.25">
      <c r="D18890" s="28"/>
      <c r="F18890" s="28"/>
      <c r="H18890" s="28"/>
    </row>
    <row r="18891" spans="4:8" x14ac:dyDescent="0.25">
      <c r="D18891" s="28"/>
      <c r="F18891" s="28"/>
      <c r="H18891" s="28"/>
    </row>
    <row r="18892" spans="4:8" x14ac:dyDescent="0.25">
      <c r="D18892" s="28"/>
      <c r="F18892" s="28"/>
      <c r="H18892" s="28"/>
    </row>
    <row r="18893" spans="4:8" x14ac:dyDescent="0.25">
      <c r="D18893" s="28"/>
      <c r="F18893" s="28"/>
      <c r="H18893" s="28"/>
    </row>
    <row r="18894" spans="4:8" x14ac:dyDescent="0.25">
      <c r="D18894" s="28"/>
      <c r="F18894" s="28"/>
      <c r="H18894" s="28"/>
    </row>
    <row r="18895" spans="4:8" x14ac:dyDescent="0.25">
      <c r="D18895" s="28"/>
      <c r="F18895" s="28"/>
      <c r="H18895" s="28"/>
    </row>
    <row r="18896" spans="4:8" x14ac:dyDescent="0.25">
      <c r="D18896" s="28"/>
      <c r="F18896" s="28"/>
      <c r="H18896" s="28"/>
    </row>
    <row r="18897" spans="4:8" x14ac:dyDescent="0.25">
      <c r="D18897" s="28"/>
      <c r="F18897" s="28"/>
      <c r="H18897" s="28"/>
    </row>
    <row r="18898" spans="4:8" x14ac:dyDescent="0.25">
      <c r="D18898" s="28"/>
      <c r="F18898" s="28"/>
      <c r="H18898" s="28"/>
    </row>
    <row r="18899" spans="4:8" x14ac:dyDescent="0.25">
      <c r="D18899" s="28"/>
      <c r="F18899" s="28"/>
      <c r="H18899" s="28"/>
    </row>
    <row r="18900" spans="4:8" x14ac:dyDescent="0.25">
      <c r="D18900" s="28"/>
      <c r="F18900" s="28"/>
      <c r="H18900" s="28"/>
    </row>
    <row r="18901" spans="4:8" x14ac:dyDescent="0.25">
      <c r="D18901" s="28"/>
      <c r="F18901" s="28"/>
      <c r="H18901" s="28"/>
    </row>
    <row r="18902" spans="4:8" x14ac:dyDescent="0.25">
      <c r="D18902" s="28"/>
      <c r="F18902" s="28"/>
      <c r="H18902" s="28"/>
    </row>
    <row r="18903" spans="4:8" x14ac:dyDescent="0.25">
      <c r="D18903" s="28"/>
      <c r="F18903" s="28"/>
      <c r="H18903" s="28"/>
    </row>
    <row r="18904" spans="4:8" x14ac:dyDescent="0.25">
      <c r="D18904" s="28"/>
      <c r="F18904" s="28"/>
      <c r="H18904" s="28"/>
    </row>
    <row r="18905" spans="4:8" x14ac:dyDescent="0.25">
      <c r="D18905" s="28"/>
      <c r="F18905" s="28"/>
      <c r="H18905" s="28"/>
    </row>
    <row r="18906" spans="4:8" x14ac:dyDescent="0.25">
      <c r="D18906" s="28"/>
      <c r="F18906" s="28"/>
      <c r="H18906" s="28"/>
    </row>
    <row r="18907" spans="4:8" x14ac:dyDescent="0.25">
      <c r="D18907" s="28"/>
      <c r="F18907" s="28"/>
      <c r="H18907" s="28"/>
    </row>
    <row r="18908" spans="4:8" x14ac:dyDescent="0.25">
      <c r="D18908" s="28"/>
      <c r="F18908" s="28"/>
      <c r="H18908" s="28"/>
    </row>
    <row r="18909" spans="4:8" x14ac:dyDescent="0.25">
      <c r="D18909" s="28"/>
      <c r="F18909" s="28"/>
      <c r="H18909" s="28"/>
    </row>
    <row r="18910" spans="4:8" x14ac:dyDescent="0.25">
      <c r="D18910" s="28"/>
      <c r="F18910" s="28"/>
      <c r="H18910" s="28"/>
    </row>
    <row r="18911" spans="4:8" x14ac:dyDescent="0.25">
      <c r="D18911" s="28"/>
      <c r="F18911" s="28"/>
      <c r="H18911" s="28"/>
    </row>
    <row r="18912" spans="4:8" x14ac:dyDescent="0.25">
      <c r="D18912" s="28"/>
      <c r="F18912" s="28"/>
      <c r="H18912" s="28"/>
    </row>
    <row r="18913" spans="4:8" x14ac:dyDescent="0.25">
      <c r="D18913" s="28"/>
      <c r="F18913" s="28"/>
      <c r="H18913" s="28"/>
    </row>
    <row r="18914" spans="4:8" x14ac:dyDescent="0.25">
      <c r="D18914" s="28"/>
      <c r="F18914" s="28"/>
      <c r="H18914" s="28"/>
    </row>
    <row r="18915" spans="4:8" x14ac:dyDescent="0.25">
      <c r="D18915" s="28"/>
      <c r="F18915" s="28"/>
      <c r="H18915" s="28"/>
    </row>
    <row r="18916" spans="4:8" x14ac:dyDescent="0.25">
      <c r="D18916" s="28"/>
      <c r="F18916" s="28"/>
      <c r="H18916" s="28"/>
    </row>
    <row r="18917" spans="4:8" x14ac:dyDescent="0.25">
      <c r="D18917" s="28"/>
      <c r="F18917" s="28"/>
      <c r="H18917" s="28"/>
    </row>
    <row r="18918" spans="4:8" x14ac:dyDescent="0.25">
      <c r="D18918" s="28"/>
      <c r="F18918" s="28"/>
      <c r="H18918" s="28"/>
    </row>
    <row r="18919" spans="4:8" x14ac:dyDescent="0.25">
      <c r="D18919" s="28"/>
      <c r="F18919" s="28"/>
      <c r="H18919" s="28"/>
    </row>
    <row r="18920" spans="4:8" x14ac:dyDescent="0.25">
      <c r="D18920" s="28"/>
      <c r="F18920" s="28"/>
      <c r="H18920" s="28"/>
    </row>
    <row r="18921" spans="4:8" x14ac:dyDescent="0.25">
      <c r="D18921" s="28"/>
      <c r="F18921" s="28"/>
      <c r="H18921" s="28"/>
    </row>
    <row r="18922" spans="4:8" x14ac:dyDescent="0.25">
      <c r="D18922" s="28"/>
      <c r="F18922" s="28"/>
      <c r="H18922" s="28"/>
    </row>
    <row r="18923" spans="4:8" x14ac:dyDescent="0.25">
      <c r="D18923" s="28"/>
      <c r="F18923" s="28"/>
      <c r="H18923" s="28"/>
    </row>
    <row r="18924" spans="4:8" x14ac:dyDescent="0.25">
      <c r="D18924" s="28"/>
      <c r="F18924" s="28"/>
      <c r="H18924" s="28"/>
    </row>
    <row r="18925" spans="4:8" x14ac:dyDescent="0.25">
      <c r="D18925" s="28"/>
      <c r="F18925" s="28"/>
      <c r="H18925" s="28"/>
    </row>
    <row r="18926" spans="4:8" x14ac:dyDescent="0.25">
      <c r="D18926" s="28"/>
      <c r="F18926" s="28"/>
      <c r="H18926" s="28"/>
    </row>
    <row r="18927" spans="4:8" x14ac:dyDescent="0.25">
      <c r="D18927" s="28"/>
      <c r="F18927" s="28"/>
      <c r="H18927" s="28"/>
    </row>
    <row r="18928" spans="4:8" x14ac:dyDescent="0.25">
      <c r="D18928" s="28"/>
      <c r="F18928" s="28"/>
      <c r="H18928" s="28"/>
    </row>
    <row r="18929" spans="4:8" x14ac:dyDescent="0.25">
      <c r="D18929" s="28"/>
      <c r="F18929" s="28"/>
      <c r="H18929" s="28"/>
    </row>
    <row r="18930" spans="4:8" x14ac:dyDescent="0.25">
      <c r="D18930" s="28"/>
      <c r="F18930" s="28"/>
      <c r="H18930" s="28"/>
    </row>
    <row r="18931" spans="4:8" x14ac:dyDescent="0.25">
      <c r="D18931" s="28"/>
      <c r="F18931" s="28"/>
      <c r="H18931" s="28"/>
    </row>
    <row r="18932" spans="4:8" x14ac:dyDescent="0.25">
      <c r="D18932" s="28"/>
      <c r="F18932" s="28"/>
      <c r="H18932" s="28"/>
    </row>
    <row r="18933" spans="4:8" x14ac:dyDescent="0.25">
      <c r="D18933" s="28"/>
      <c r="F18933" s="28"/>
      <c r="H18933" s="28"/>
    </row>
    <row r="18934" spans="4:8" x14ac:dyDescent="0.25">
      <c r="D18934" s="28"/>
      <c r="F18934" s="28"/>
      <c r="H18934" s="28"/>
    </row>
    <row r="18935" spans="4:8" x14ac:dyDescent="0.25">
      <c r="D18935" s="28"/>
      <c r="F18935" s="28"/>
      <c r="H18935" s="28"/>
    </row>
    <row r="18936" spans="4:8" x14ac:dyDescent="0.25">
      <c r="D18936" s="28"/>
      <c r="F18936" s="28"/>
      <c r="H18936" s="28"/>
    </row>
    <row r="18937" spans="4:8" x14ac:dyDescent="0.25">
      <c r="D18937" s="28"/>
      <c r="F18937" s="28"/>
      <c r="H18937" s="28"/>
    </row>
    <row r="18938" spans="4:8" x14ac:dyDescent="0.25">
      <c r="D18938" s="28"/>
      <c r="F18938" s="28"/>
      <c r="H18938" s="28"/>
    </row>
    <row r="18939" spans="4:8" x14ac:dyDescent="0.25">
      <c r="D18939" s="28"/>
      <c r="F18939" s="28"/>
      <c r="H18939" s="28"/>
    </row>
    <row r="18940" spans="4:8" x14ac:dyDescent="0.25">
      <c r="D18940" s="28"/>
      <c r="F18940" s="28"/>
      <c r="H18940" s="28"/>
    </row>
    <row r="18941" spans="4:8" x14ac:dyDescent="0.25">
      <c r="D18941" s="28"/>
      <c r="F18941" s="28"/>
      <c r="H18941" s="28"/>
    </row>
    <row r="18942" spans="4:8" x14ac:dyDescent="0.25">
      <c r="D18942" s="28"/>
      <c r="F18942" s="28"/>
      <c r="H18942" s="28"/>
    </row>
    <row r="18943" spans="4:8" x14ac:dyDescent="0.25">
      <c r="D18943" s="28"/>
      <c r="F18943" s="28"/>
      <c r="H18943" s="28"/>
    </row>
    <row r="18944" spans="4:8" x14ac:dyDescent="0.25">
      <c r="D18944" s="28"/>
      <c r="F18944" s="28"/>
      <c r="H18944" s="28"/>
    </row>
    <row r="18945" spans="4:8" x14ac:dyDescent="0.25">
      <c r="D18945" s="28"/>
      <c r="F18945" s="28"/>
      <c r="H18945" s="28"/>
    </row>
    <row r="18946" spans="4:8" x14ac:dyDescent="0.25">
      <c r="D18946" s="28"/>
      <c r="F18946" s="28"/>
      <c r="H18946" s="28"/>
    </row>
    <row r="18947" spans="4:8" x14ac:dyDescent="0.25">
      <c r="D18947" s="28"/>
      <c r="F18947" s="28"/>
      <c r="H18947" s="28"/>
    </row>
    <row r="18948" spans="4:8" x14ac:dyDescent="0.25">
      <c r="D18948" s="28"/>
      <c r="F18948" s="28"/>
      <c r="H18948" s="28"/>
    </row>
    <row r="18949" spans="4:8" x14ac:dyDescent="0.25">
      <c r="D18949" s="28"/>
      <c r="F18949" s="28"/>
      <c r="H18949" s="28"/>
    </row>
    <row r="18950" spans="4:8" x14ac:dyDescent="0.25">
      <c r="D18950" s="28"/>
      <c r="F18950" s="28"/>
      <c r="H18950" s="28"/>
    </row>
    <row r="18951" spans="4:8" x14ac:dyDescent="0.25">
      <c r="D18951" s="28"/>
      <c r="F18951" s="28"/>
      <c r="H18951" s="28"/>
    </row>
    <row r="18952" spans="4:8" x14ac:dyDescent="0.25">
      <c r="D18952" s="28"/>
      <c r="F18952" s="28"/>
      <c r="H18952" s="28"/>
    </row>
    <row r="18953" spans="4:8" x14ac:dyDescent="0.25">
      <c r="D18953" s="28"/>
      <c r="F18953" s="28"/>
      <c r="H18953" s="28"/>
    </row>
    <row r="18954" spans="4:8" x14ac:dyDescent="0.25">
      <c r="D18954" s="28"/>
      <c r="F18954" s="28"/>
      <c r="H18954" s="28"/>
    </row>
    <row r="18955" spans="4:8" x14ac:dyDescent="0.25">
      <c r="D18955" s="28"/>
      <c r="F18955" s="28"/>
      <c r="H18955" s="28"/>
    </row>
    <row r="18956" spans="4:8" x14ac:dyDescent="0.25">
      <c r="D18956" s="28"/>
      <c r="F18956" s="28"/>
      <c r="H18956" s="28"/>
    </row>
    <row r="18957" spans="4:8" x14ac:dyDescent="0.25">
      <c r="D18957" s="28"/>
      <c r="F18957" s="28"/>
      <c r="H18957" s="28"/>
    </row>
    <row r="18958" spans="4:8" x14ac:dyDescent="0.25">
      <c r="D18958" s="28"/>
      <c r="F18958" s="28"/>
      <c r="H18958" s="28"/>
    </row>
    <row r="18959" spans="4:8" x14ac:dyDescent="0.25">
      <c r="D18959" s="28"/>
      <c r="F18959" s="28"/>
      <c r="H18959" s="28"/>
    </row>
    <row r="18960" spans="4:8" x14ac:dyDescent="0.25">
      <c r="D18960" s="28"/>
      <c r="F18960" s="28"/>
      <c r="H18960" s="28"/>
    </row>
    <row r="18961" spans="4:8" x14ac:dyDescent="0.25">
      <c r="D18961" s="28"/>
      <c r="F18961" s="28"/>
      <c r="H18961" s="28"/>
    </row>
    <row r="18962" spans="4:8" x14ac:dyDescent="0.25">
      <c r="D18962" s="28"/>
      <c r="F18962" s="28"/>
      <c r="H18962" s="28"/>
    </row>
    <row r="18963" spans="4:8" x14ac:dyDescent="0.25">
      <c r="D18963" s="28"/>
      <c r="F18963" s="28"/>
      <c r="H18963" s="28"/>
    </row>
    <row r="18964" spans="4:8" x14ac:dyDescent="0.25">
      <c r="D18964" s="28"/>
      <c r="F18964" s="28"/>
      <c r="H18964" s="28"/>
    </row>
    <row r="18965" spans="4:8" x14ac:dyDescent="0.25">
      <c r="D18965" s="28"/>
      <c r="F18965" s="28"/>
      <c r="H18965" s="28"/>
    </row>
    <row r="18966" spans="4:8" x14ac:dyDescent="0.25">
      <c r="D18966" s="28"/>
      <c r="F18966" s="28"/>
      <c r="H18966" s="28"/>
    </row>
    <row r="18967" spans="4:8" x14ac:dyDescent="0.25">
      <c r="D18967" s="28"/>
      <c r="F18967" s="28"/>
      <c r="H18967" s="28"/>
    </row>
    <row r="18968" spans="4:8" x14ac:dyDescent="0.25">
      <c r="D18968" s="28"/>
      <c r="F18968" s="28"/>
      <c r="H18968" s="28"/>
    </row>
    <row r="18969" spans="4:8" x14ac:dyDescent="0.25">
      <c r="D18969" s="28"/>
      <c r="F18969" s="28"/>
      <c r="H18969" s="28"/>
    </row>
    <row r="18970" spans="4:8" x14ac:dyDescent="0.25">
      <c r="D18970" s="28"/>
      <c r="F18970" s="28"/>
      <c r="H18970" s="28"/>
    </row>
    <row r="18971" spans="4:8" x14ac:dyDescent="0.25">
      <c r="D18971" s="28"/>
      <c r="F18971" s="28"/>
      <c r="H18971" s="28"/>
    </row>
    <row r="18972" spans="4:8" x14ac:dyDescent="0.25">
      <c r="D18972" s="28"/>
      <c r="F18972" s="28"/>
      <c r="H18972" s="28"/>
    </row>
    <row r="18973" spans="4:8" x14ac:dyDescent="0.25">
      <c r="D18973" s="28"/>
      <c r="F18973" s="28"/>
      <c r="H18973" s="28"/>
    </row>
    <row r="18974" spans="4:8" x14ac:dyDescent="0.25">
      <c r="D18974" s="28"/>
      <c r="F18974" s="28"/>
      <c r="H18974" s="28"/>
    </row>
    <row r="18975" spans="4:8" x14ac:dyDescent="0.25">
      <c r="D18975" s="28"/>
      <c r="F18975" s="28"/>
      <c r="H18975" s="28"/>
    </row>
    <row r="18976" spans="4:8" x14ac:dyDescent="0.25">
      <c r="D18976" s="28"/>
      <c r="F18976" s="28"/>
      <c r="H18976" s="28"/>
    </row>
    <row r="18977" spans="4:8" x14ac:dyDescent="0.25">
      <c r="D18977" s="28"/>
      <c r="F18977" s="28"/>
      <c r="H18977" s="28"/>
    </row>
    <row r="18978" spans="4:8" x14ac:dyDescent="0.25">
      <c r="D18978" s="28"/>
      <c r="F18978" s="28"/>
      <c r="H18978" s="28"/>
    </row>
    <row r="18979" spans="4:8" x14ac:dyDescent="0.25">
      <c r="D18979" s="28"/>
      <c r="F18979" s="28"/>
      <c r="H18979" s="28"/>
    </row>
    <row r="18980" spans="4:8" x14ac:dyDescent="0.25">
      <c r="D18980" s="28"/>
      <c r="F18980" s="28"/>
      <c r="H18980" s="28"/>
    </row>
    <row r="18981" spans="4:8" x14ac:dyDescent="0.25">
      <c r="D18981" s="28"/>
      <c r="F18981" s="28"/>
      <c r="H18981" s="28"/>
    </row>
    <row r="18982" spans="4:8" x14ac:dyDescent="0.25">
      <c r="D18982" s="28"/>
      <c r="F18982" s="28"/>
      <c r="H18982" s="28"/>
    </row>
    <row r="18983" spans="4:8" x14ac:dyDescent="0.25">
      <c r="D18983" s="28"/>
      <c r="F18983" s="28"/>
      <c r="H18983" s="28"/>
    </row>
    <row r="18984" spans="4:8" x14ac:dyDescent="0.25">
      <c r="D18984" s="28"/>
      <c r="F18984" s="28"/>
      <c r="H18984" s="28"/>
    </row>
    <row r="18985" spans="4:8" x14ac:dyDescent="0.25">
      <c r="D18985" s="28"/>
      <c r="F18985" s="28"/>
      <c r="H18985" s="28"/>
    </row>
    <row r="18986" spans="4:8" x14ac:dyDescent="0.25">
      <c r="D18986" s="28"/>
      <c r="F18986" s="28"/>
      <c r="H18986" s="28"/>
    </row>
    <row r="18987" spans="4:8" x14ac:dyDescent="0.25">
      <c r="D18987" s="28"/>
      <c r="F18987" s="28"/>
      <c r="H18987" s="28"/>
    </row>
    <row r="18988" spans="4:8" x14ac:dyDescent="0.25">
      <c r="D18988" s="28"/>
      <c r="F18988" s="28"/>
      <c r="H18988" s="28"/>
    </row>
    <row r="18989" spans="4:8" x14ac:dyDescent="0.25">
      <c r="D18989" s="28"/>
      <c r="F18989" s="28"/>
      <c r="H18989" s="28"/>
    </row>
    <row r="18990" spans="4:8" x14ac:dyDescent="0.25">
      <c r="D18990" s="28"/>
      <c r="F18990" s="28"/>
      <c r="H18990" s="28"/>
    </row>
    <row r="18991" spans="4:8" x14ac:dyDescent="0.25">
      <c r="D18991" s="28"/>
      <c r="F18991" s="28"/>
      <c r="H18991" s="28"/>
    </row>
    <row r="18992" spans="4:8" x14ac:dyDescent="0.25">
      <c r="D18992" s="28"/>
      <c r="F18992" s="28"/>
      <c r="H18992" s="28"/>
    </row>
    <row r="18993" spans="4:8" x14ac:dyDescent="0.25">
      <c r="D18993" s="28"/>
      <c r="F18993" s="28"/>
      <c r="H18993" s="28"/>
    </row>
    <row r="18994" spans="4:8" x14ac:dyDescent="0.25">
      <c r="D18994" s="28"/>
      <c r="F18994" s="28"/>
      <c r="H18994" s="28"/>
    </row>
    <row r="18995" spans="4:8" x14ac:dyDescent="0.25">
      <c r="D18995" s="28"/>
      <c r="F18995" s="28"/>
      <c r="H18995" s="28"/>
    </row>
    <row r="18996" spans="4:8" x14ac:dyDescent="0.25">
      <c r="D18996" s="28"/>
      <c r="F18996" s="28"/>
      <c r="H18996" s="28"/>
    </row>
    <row r="18997" spans="4:8" x14ac:dyDescent="0.25">
      <c r="D18997" s="28"/>
      <c r="F18997" s="28"/>
      <c r="H18997" s="28"/>
    </row>
    <row r="18998" spans="4:8" x14ac:dyDescent="0.25">
      <c r="D18998" s="28"/>
      <c r="F18998" s="28"/>
      <c r="H18998" s="28"/>
    </row>
    <row r="18999" spans="4:8" x14ac:dyDescent="0.25">
      <c r="D18999" s="28"/>
      <c r="F18999" s="28"/>
      <c r="H18999" s="28"/>
    </row>
    <row r="19000" spans="4:8" x14ac:dyDescent="0.25">
      <c r="D19000" s="28"/>
      <c r="F19000" s="28"/>
      <c r="H19000" s="28"/>
    </row>
    <row r="19001" spans="4:8" x14ac:dyDescent="0.25">
      <c r="D19001" s="28"/>
      <c r="F19001" s="28"/>
      <c r="H19001" s="28"/>
    </row>
    <row r="19002" spans="4:8" x14ac:dyDescent="0.25">
      <c r="D19002" s="28"/>
      <c r="F19002" s="28"/>
      <c r="H19002" s="28"/>
    </row>
    <row r="19003" spans="4:8" x14ac:dyDescent="0.25">
      <c r="D19003" s="28"/>
      <c r="F19003" s="28"/>
      <c r="H19003" s="28"/>
    </row>
    <row r="19004" spans="4:8" x14ac:dyDescent="0.25">
      <c r="D19004" s="28"/>
      <c r="F19004" s="28"/>
      <c r="H19004" s="28"/>
    </row>
    <row r="19005" spans="4:8" x14ac:dyDescent="0.25">
      <c r="D19005" s="28"/>
      <c r="F19005" s="28"/>
      <c r="H19005" s="28"/>
    </row>
    <row r="19006" spans="4:8" x14ac:dyDescent="0.25">
      <c r="D19006" s="28"/>
      <c r="F19006" s="28"/>
      <c r="H19006" s="28"/>
    </row>
    <row r="19007" spans="4:8" x14ac:dyDescent="0.25">
      <c r="D19007" s="28"/>
      <c r="F19007" s="28"/>
      <c r="H19007" s="28"/>
    </row>
    <row r="19008" spans="4:8" x14ac:dyDescent="0.25">
      <c r="D19008" s="28"/>
      <c r="F19008" s="28"/>
      <c r="H19008" s="28"/>
    </row>
    <row r="19009" spans="4:8" x14ac:dyDescent="0.25">
      <c r="D19009" s="28"/>
      <c r="F19009" s="28"/>
      <c r="H19009" s="28"/>
    </row>
    <row r="19010" spans="4:8" x14ac:dyDescent="0.25">
      <c r="D19010" s="28"/>
      <c r="F19010" s="28"/>
      <c r="H19010" s="28"/>
    </row>
    <row r="19011" spans="4:8" x14ac:dyDescent="0.25">
      <c r="D19011" s="28"/>
      <c r="F19011" s="28"/>
      <c r="H19011" s="28"/>
    </row>
    <row r="19012" spans="4:8" x14ac:dyDescent="0.25">
      <c r="D19012" s="28"/>
      <c r="F19012" s="28"/>
      <c r="H19012" s="28"/>
    </row>
    <row r="19013" spans="4:8" x14ac:dyDescent="0.25">
      <c r="D19013" s="28"/>
      <c r="F19013" s="28"/>
      <c r="H19013" s="28"/>
    </row>
    <row r="19014" spans="4:8" x14ac:dyDescent="0.25">
      <c r="D19014" s="28"/>
      <c r="F19014" s="28"/>
      <c r="H19014" s="28"/>
    </row>
    <row r="19015" spans="4:8" x14ac:dyDescent="0.25">
      <c r="D19015" s="28"/>
      <c r="F19015" s="28"/>
      <c r="H19015" s="28"/>
    </row>
    <row r="19016" spans="4:8" x14ac:dyDescent="0.25">
      <c r="D19016" s="28"/>
      <c r="F19016" s="28"/>
      <c r="H19016" s="28"/>
    </row>
    <row r="19017" spans="4:8" x14ac:dyDescent="0.25">
      <c r="D19017" s="28"/>
      <c r="F19017" s="28"/>
      <c r="H19017" s="28"/>
    </row>
    <row r="19018" spans="4:8" x14ac:dyDescent="0.25">
      <c r="D19018" s="28"/>
      <c r="F19018" s="28"/>
      <c r="H19018" s="28"/>
    </row>
    <row r="19019" spans="4:8" x14ac:dyDescent="0.25">
      <c r="D19019" s="28"/>
      <c r="F19019" s="28"/>
      <c r="H19019" s="28"/>
    </row>
    <row r="19020" spans="4:8" x14ac:dyDescent="0.25">
      <c r="D19020" s="28"/>
      <c r="F19020" s="28"/>
      <c r="H19020" s="28"/>
    </row>
    <row r="19021" spans="4:8" x14ac:dyDescent="0.25">
      <c r="D19021" s="28"/>
      <c r="F19021" s="28"/>
      <c r="H19021" s="28"/>
    </row>
    <row r="19022" spans="4:8" x14ac:dyDescent="0.25">
      <c r="D19022" s="28"/>
      <c r="F19022" s="28"/>
      <c r="H19022" s="28"/>
    </row>
    <row r="19023" spans="4:8" x14ac:dyDescent="0.25">
      <c r="D19023" s="28"/>
      <c r="F19023" s="28"/>
      <c r="H19023" s="28"/>
    </row>
    <row r="19024" spans="4:8" x14ac:dyDescent="0.25">
      <c r="D19024" s="28"/>
      <c r="F19024" s="28"/>
      <c r="H19024" s="28"/>
    </row>
    <row r="19025" spans="4:8" x14ac:dyDescent="0.25">
      <c r="D19025" s="28"/>
      <c r="F19025" s="28"/>
      <c r="H19025" s="28"/>
    </row>
    <row r="19026" spans="4:8" x14ac:dyDescent="0.25">
      <c r="D19026" s="28"/>
      <c r="F19026" s="28"/>
      <c r="H19026" s="28"/>
    </row>
    <row r="19027" spans="4:8" x14ac:dyDescent="0.25">
      <c r="D19027" s="28"/>
      <c r="F19027" s="28"/>
      <c r="H19027" s="28"/>
    </row>
    <row r="19028" spans="4:8" x14ac:dyDescent="0.25">
      <c r="D19028" s="28"/>
      <c r="F19028" s="28"/>
      <c r="H19028" s="28"/>
    </row>
    <row r="19029" spans="4:8" x14ac:dyDescent="0.25">
      <c r="D19029" s="28"/>
      <c r="F19029" s="28"/>
      <c r="H19029" s="28"/>
    </row>
    <row r="19030" spans="4:8" x14ac:dyDescent="0.25">
      <c r="D19030" s="28"/>
      <c r="F19030" s="28"/>
      <c r="H19030" s="28"/>
    </row>
    <row r="19031" spans="4:8" x14ac:dyDescent="0.25">
      <c r="D19031" s="28"/>
      <c r="F19031" s="28"/>
      <c r="H19031" s="28"/>
    </row>
    <row r="19032" spans="4:8" x14ac:dyDescent="0.25">
      <c r="D19032" s="28"/>
      <c r="F19032" s="28"/>
      <c r="H19032" s="28"/>
    </row>
    <row r="19033" spans="4:8" x14ac:dyDescent="0.25">
      <c r="D19033" s="28"/>
      <c r="F19033" s="28"/>
      <c r="H19033" s="28"/>
    </row>
    <row r="19034" spans="4:8" x14ac:dyDescent="0.25">
      <c r="D19034" s="28"/>
      <c r="F19034" s="28"/>
      <c r="H19034" s="28"/>
    </row>
    <row r="19035" spans="4:8" x14ac:dyDescent="0.25">
      <c r="D19035" s="28"/>
      <c r="F19035" s="28"/>
      <c r="H19035" s="28"/>
    </row>
    <row r="19036" spans="4:8" x14ac:dyDescent="0.25">
      <c r="D19036" s="28"/>
      <c r="F19036" s="28"/>
      <c r="H19036" s="28"/>
    </row>
    <row r="19037" spans="4:8" x14ac:dyDescent="0.25">
      <c r="D19037" s="28"/>
      <c r="F19037" s="28"/>
      <c r="H19037" s="28"/>
    </row>
    <row r="19038" spans="4:8" x14ac:dyDescent="0.25">
      <c r="D19038" s="28"/>
      <c r="F19038" s="28"/>
      <c r="H19038" s="28"/>
    </row>
    <row r="19039" spans="4:8" x14ac:dyDescent="0.25">
      <c r="D19039" s="28"/>
      <c r="F19039" s="28"/>
      <c r="H19039" s="28"/>
    </row>
    <row r="19040" spans="4:8" x14ac:dyDescent="0.25">
      <c r="D19040" s="28"/>
      <c r="F19040" s="28"/>
      <c r="H19040" s="28"/>
    </row>
    <row r="19041" spans="4:8" x14ac:dyDescent="0.25">
      <c r="D19041" s="28"/>
      <c r="F19041" s="28"/>
      <c r="H19041" s="28"/>
    </row>
    <row r="19042" spans="4:8" x14ac:dyDescent="0.25">
      <c r="D19042" s="28"/>
      <c r="F19042" s="28"/>
      <c r="H19042" s="28"/>
    </row>
    <row r="19043" spans="4:8" x14ac:dyDescent="0.25">
      <c r="D19043" s="28"/>
      <c r="F19043" s="28"/>
      <c r="H19043" s="28"/>
    </row>
    <row r="19044" spans="4:8" x14ac:dyDescent="0.25">
      <c r="D19044" s="28"/>
      <c r="F19044" s="28"/>
      <c r="H19044" s="28"/>
    </row>
    <row r="19045" spans="4:8" x14ac:dyDescent="0.25">
      <c r="D19045" s="28"/>
      <c r="F19045" s="28"/>
      <c r="H19045" s="28"/>
    </row>
    <row r="19046" spans="4:8" x14ac:dyDescent="0.25">
      <c r="D19046" s="28"/>
      <c r="F19046" s="28"/>
      <c r="H19046" s="28"/>
    </row>
    <row r="19047" spans="4:8" x14ac:dyDescent="0.25">
      <c r="D19047" s="28"/>
      <c r="F19047" s="28"/>
      <c r="H19047" s="28"/>
    </row>
    <row r="19048" spans="4:8" x14ac:dyDescent="0.25">
      <c r="D19048" s="28"/>
      <c r="F19048" s="28"/>
      <c r="H19048" s="28"/>
    </row>
    <row r="19049" spans="4:8" x14ac:dyDescent="0.25">
      <c r="D19049" s="28"/>
      <c r="F19049" s="28"/>
      <c r="H19049" s="28"/>
    </row>
    <row r="19050" spans="4:8" x14ac:dyDescent="0.25">
      <c r="D19050" s="28"/>
      <c r="F19050" s="28"/>
      <c r="H19050" s="28"/>
    </row>
    <row r="19051" spans="4:8" x14ac:dyDescent="0.25">
      <c r="D19051" s="28"/>
      <c r="F19051" s="28"/>
      <c r="H19051" s="28"/>
    </row>
    <row r="19052" spans="4:8" x14ac:dyDescent="0.25">
      <c r="D19052" s="28"/>
      <c r="F19052" s="28"/>
      <c r="H19052" s="28"/>
    </row>
    <row r="19053" spans="4:8" x14ac:dyDescent="0.25">
      <c r="D19053" s="28"/>
      <c r="F19053" s="28"/>
      <c r="H19053" s="28"/>
    </row>
    <row r="19054" spans="4:8" x14ac:dyDescent="0.25">
      <c r="D19054" s="28"/>
      <c r="F19054" s="28"/>
      <c r="H19054" s="28"/>
    </row>
    <row r="19055" spans="4:8" x14ac:dyDescent="0.25">
      <c r="D19055" s="28"/>
      <c r="F19055" s="28"/>
      <c r="H19055" s="28"/>
    </row>
    <row r="19056" spans="4:8" x14ac:dyDescent="0.25">
      <c r="D19056" s="28"/>
      <c r="F19056" s="28"/>
      <c r="H19056" s="28"/>
    </row>
    <row r="19057" spans="4:8" x14ac:dyDescent="0.25">
      <c r="D19057" s="28"/>
      <c r="F19057" s="28"/>
      <c r="H19057" s="28"/>
    </row>
    <row r="19058" spans="4:8" x14ac:dyDescent="0.25">
      <c r="D19058" s="28"/>
      <c r="F19058" s="28"/>
      <c r="H19058" s="28"/>
    </row>
    <row r="19059" spans="4:8" x14ac:dyDescent="0.25">
      <c r="D19059" s="28"/>
      <c r="F19059" s="28"/>
      <c r="H19059" s="28"/>
    </row>
    <row r="19060" spans="4:8" x14ac:dyDescent="0.25">
      <c r="D19060" s="28"/>
      <c r="F19060" s="28"/>
      <c r="H19060" s="28"/>
    </row>
    <row r="19061" spans="4:8" x14ac:dyDescent="0.25">
      <c r="D19061" s="28"/>
      <c r="F19061" s="28"/>
      <c r="H19061" s="28"/>
    </row>
    <row r="19062" spans="4:8" x14ac:dyDescent="0.25">
      <c r="D19062" s="28"/>
      <c r="F19062" s="28"/>
      <c r="H19062" s="28"/>
    </row>
    <row r="19063" spans="4:8" x14ac:dyDescent="0.25">
      <c r="D19063" s="28"/>
      <c r="F19063" s="28"/>
      <c r="H19063" s="28"/>
    </row>
    <row r="19064" spans="4:8" x14ac:dyDescent="0.25">
      <c r="D19064" s="28"/>
      <c r="F19064" s="28"/>
      <c r="H19064" s="28"/>
    </row>
    <row r="19065" spans="4:8" x14ac:dyDescent="0.25">
      <c r="D19065" s="28"/>
      <c r="F19065" s="28"/>
      <c r="H19065" s="28"/>
    </row>
    <row r="19066" spans="4:8" x14ac:dyDescent="0.25">
      <c r="D19066" s="28"/>
      <c r="F19066" s="28"/>
      <c r="H19066" s="28"/>
    </row>
    <row r="19067" spans="4:8" x14ac:dyDescent="0.25">
      <c r="D19067" s="28"/>
      <c r="F19067" s="28"/>
      <c r="H19067" s="28"/>
    </row>
    <row r="19068" spans="4:8" x14ac:dyDescent="0.25">
      <c r="D19068" s="28"/>
      <c r="F19068" s="28"/>
      <c r="H19068" s="28"/>
    </row>
    <row r="19069" spans="4:8" x14ac:dyDescent="0.25">
      <c r="D19069" s="28"/>
      <c r="F19069" s="28"/>
      <c r="H19069" s="28"/>
    </row>
    <row r="19070" spans="4:8" x14ac:dyDescent="0.25">
      <c r="D19070" s="28"/>
      <c r="F19070" s="28"/>
      <c r="H19070" s="28"/>
    </row>
    <row r="19071" spans="4:8" x14ac:dyDescent="0.25">
      <c r="D19071" s="28"/>
      <c r="F19071" s="28"/>
      <c r="H19071" s="28"/>
    </row>
    <row r="19072" spans="4:8" x14ac:dyDescent="0.25">
      <c r="D19072" s="28"/>
      <c r="F19072" s="28"/>
      <c r="H19072" s="28"/>
    </row>
    <row r="19073" spans="4:8" x14ac:dyDescent="0.25">
      <c r="D19073" s="28"/>
      <c r="F19073" s="28"/>
      <c r="H19073" s="28"/>
    </row>
    <row r="19074" spans="4:8" x14ac:dyDescent="0.25">
      <c r="D19074" s="28"/>
      <c r="F19074" s="28"/>
      <c r="H19074" s="28"/>
    </row>
    <row r="19075" spans="4:8" x14ac:dyDescent="0.25">
      <c r="D19075" s="28"/>
      <c r="F19075" s="28"/>
      <c r="H19075" s="28"/>
    </row>
    <row r="19076" spans="4:8" x14ac:dyDescent="0.25">
      <c r="D19076" s="28"/>
      <c r="F19076" s="28"/>
      <c r="H19076" s="28"/>
    </row>
    <row r="19077" spans="4:8" x14ac:dyDescent="0.25">
      <c r="D19077" s="28"/>
      <c r="F19077" s="28"/>
      <c r="H19077" s="28"/>
    </row>
    <row r="19078" spans="4:8" x14ac:dyDescent="0.25">
      <c r="D19078" s="28"/>
      <c r="F19078" s="28"/>
      <c r="H19078" s="28"/>
    </row>
    <row r="19079" spans="4:8" x14ac:dyDescent="0.25">
      <c r="D19079" s="28"/>
      <c r="F19079" s="28"/>
      <c r="H19079" s="28"/>
    </row>
    <row r="19080" spans="4:8" x14ac:dyDescent="0.25">
      <c r="D19080" s="28"/>
      <c r="F19080" s="28"/>
      <c r="H19080" s="28"/>
    </row>
    <row r="19081" spans="4:8" x14ac:dyDescent="0.25">
      <c r="D19081" s="28"/>
      <c r="F19081" s="28"/>
      <c r="H19081" s="28"/>
    </row>
    <row r="19082" spans="4:8" x14ac:dyDescent="0.25">
      <c r="D19082" s="28"/>
      <c r="F19082" s="28"/>
      <c r="H19082" s="28"/>
    </row>
    <row r="19083" spans="4:8" x14ac:dyDescent="0.25">
      <c r="D19083" s="28"/>
      <c r="F19083" s="28"/>
      <c r="H19083" s="28"/>
    </row>
    <row r="19084" spans="4:8" x14ac:dyDescent="0.25">
      <c r="D19084" s="28"/>
      <c r="F19084" s="28"/>
      <c r="H19084" s="28"/>
    </row>
    <row r="19085" spans="4:8" x14ac:dyDescent="0.25">
      <c r="D19085" s="28"/>
      <c r="F19085" s="28"/>
      <c r="H19085" s="28"/>
    </row>
    <row r="19086" spans="4:8" x14ac:dyDescent="0.25">
      <c r="D19086" s="28"/>
      <c r="F19086" s="28"/>
      <c r="H19086" s="28"/>
    </row>
    <row r="19087" spans="4:8" x14ac:dyDescent="0.25">
      <c r="D19087" s="28"/>
      <c r="F19087" s="28"/>
      <c r="H19087" s="28"/>
    </row>
    <row r="19088" spans="4:8" x14ac:dyDescent="0.25">
      <c r="D19088" s="28"/>
      <c r="F19088" s="28"/>
      <c r="H19088" s="28"/>
    </row>
    <row r="19089" spans="4:8" x14ac:dyDescent="0.25">
      <c r="D19089" s="28"/>
      <c r="F19089" s="28"/>
      <c r="H19089" s="28"/>
    </row>
    <row r="19090" spans="4:8" x14ac:dyDescent="0.25">
      <c r="D19090" s="28"/>
      <c r="F19090" s="28"/>
      <c r="H19090" s="28"/>
    </row>
    <row r="19091" spans="4:8" x14ac:dyDescent="0.25">
      <c r="D19091" s="28"/>
      <c r="F19091" s="28"/>
      <c r="H19091" s="28"/>
    </row>
    <row r="19092" spans="4:8" x14ac:dyDescent="0.25">
      <c r="D19092" s="28"/>
      <c r="F19092" s="28"/>
      <c r="H19092" s="28"/>
    </row>
    <row r="19093" spans="4:8" x14ac:dyDescent="0.25">
      <c r="D19093" s="28"/>
      <c r="F19093" s="28"/>
      <c r="H19093" s="28"/>
    </row>
    <row r="19094" spans="4:8" x14ac:dyDescent="0.25">
      <c r="D19094" s="28"/>
      <c r="F19094" s="28"/>
      <c r="H19094" s="28"/>
    </row>
    <row r="19095" spans="4:8" x14ac:dyDescent="0.25">
      <c r="D19095" s="28"/>
      <c r="F19095" s="28"/>
      <c r="H19095" s="28"/>
    </row>
    <row r="19096" spans="4:8" x14ac:dyDescent="0.25">
      <c r="D19096" s="28"/>
      <c r="F19096" s="28"/>
      <c r="H19096" s="28"/>
    </row>
    <row r="19097" spans="4:8" x14ac:dyDescent="0.25">
      <c r="D19097" s="28"/>
      <c r="F19097" s="28"/>
      <c r="H19097" s="28"/>
    </row>
    <row r="19098" spans="4:8" x14ac:dyDescent="0.25">
      <c r="D19098" s="28"/>
      <c r="F19098" s="28"/>
      <c r="H19098" s="28"/>
    </row>
    <row r="19099" spans="4:8" x14ac:dyDescent="0.25">
      <c r="D19099" s="28"/>
      <c r="F19099" s="28"/>
      <c r="H19099" s="28"/>
    </row>
    <row r="19100" spans="4:8" x14ac:dyDescent="0.25">
      <c r="D19100" s="28"/>
      <c r="F19100" s="28"/>
      <c r="H19100" s="28"/>
    </row>
    <row r="19101" spans="4:8" x14ac:dyDescent="0.25">
      <c r="D19101" s="28"/>
      <c r="F19101" s="28"/>
      <c r="H19101" s="28"/>
    </row>
    <row r="19102" spans="4:8" x14ac:dyDescent="0.25">
      <c r="D19102" s="28"/>
      <c r="F19102" s="28"/>
      <c r="H19102" s="28"/>
    </row>
    <row r="19103" spans="4:8" x14ac:dyDescent="0.25">
      <c r="D19103" s="28"/>
      <c r="F19103" s="28"/>
      <c r="H19103" s="28"/>
    </row>
    <row r="19104" spans="4:8" x14ac:dyDescent="0.25">
      <c r="D19104" s="28"/>
      <c r="F19104" s="28"/>
      <c r="H19104" s="28"/>
    </row>
    <row r="19105" spans="4:8" x14ac:dyDescent="0.25">
      <c r="D19105" s="28"/>
      <c r="F19105" s="28"/>
      <c r="H19105" s="28"/>
    </row>
    <row r="19106" spans="4:8" x14ac:dyDescent="0.25">
      <c r="D19106" s="28"/>
      <c r="F19106" s="28"/>
      <c r="H19106" s="28"/>
    </row>
    <row r="19107" spans="4:8" x14ac:dyDescent="0.25">
      <c r="D19107" s="28"/>
      <c r="F19107" s="28"/>
      <c r="H19107" s="28"/>
    </row>
    <row r="19108" spans="4:8" x14ac:dyDescent="0.25">
      <c r="D19108" s="28"/>
      <c r="F19108" s="28"/>
      <c r="H19108" s="28"/>
    </row>
    <row r="19109" spans="4:8" x14ac:dyDescent="0.25">
      <c r="D19109" s="28"/>
      <c r="F19109" s="28"/>
      <c r="H19109" s="28"/>
    </row>
    <row r="19110" spans="4:8" x14ac:dyDescent="0.25">
      <c r="D19110" s="28"/>
      <c r="F19110" s="28"/>
      <c r="H19110" s="28"/>
    </row>
    <row r="19111" spans="4:8" x14ac:dyDescent="0.25">
      <c r="D19111" s="28"/>
      <c r="F19111" s="28"/>
      <c r="H19111" s="28"/>
    </row>
    <row r="19112" spans="4:8" x14ac:dyDescent="0.25">
      <c r="D19112" s="28"/>
      <c r="F19112" s="28"/>
      <c r="H19112" s="28"/>
    </row>
    <row r="19113" spans="4:8" x14ac:dyDescent="0.25">
      <c r="D19113" s="28"/>
      <c r="F19113" s="28"/>
      <c r="H19113" s="28"/>
    </row>
    <row r="19114" spans="4:8" x14ac:dyDescent="0.25">
      <c r="D19114" s="28"/>
      <c r="F19114" s="28"/>
      <c r="H19114" s="28"/>
    </row>
    <row r="19115" spans="4:8" x14ac:dyDescent="0.25">
      <c r="D19115" s="28"/>
      <c r="F19115" s="28"/>
      <c r="H19115" s="28"/>
    </row>
    <row r="19116" spans="4:8" x14ac:dyDescent="0.25">
      <c r="D19116" s="28"/>
      <c r="F19116" s="28"/>
      <c r="H19116" s="28"/>
    </row>
    <row r="19117" spans="4:8" x14ac:dyDescent="0.25">
      <c r="D19117" s="28"/>
      <c r="F19117" s="28"/>
      <c r="H19117" s="28"/>
    </row>
    <row r="19118" spans="4:8" x14ac:dyDescent="0.25">
      <c r="D19118" s="28"/>
      <c r="F19118" s="28"/>
      <c r="H19118" s="28"/>
    </row>
    <row r="19119" spans="4:8" x14ac:dyDescent="0.25">
      <c r="D19119" s="28"/>
      <c r="F19119" s="28"/>
      <c r="H19119" s="28"/>
    </row>
    <row r="19120" spans="4:8" x14ac:dyDescent="0.25">
      <c r="D19120" s="28"/>
      <c r="F19120" s="28"/>
      <c r="H19120" s="28"/>
    </row>
    <row r="19121" spans="4:8" x14ac:dyDescent="0.25">
      <c r="D19121" s="28"/>
      <c r="F19121" s="28"/>
      <c r="H19121" s="28"/>
    </row>
    <row r="19122" spans="4:8" x14ac:dyDescent="0.25">
      <c r="D19122" s="28"/>
      <c r="F19122" s="28"/>
      <c r="H19122" s="28"/>
    </row>
    <row r="19123" spans="4:8" x14ac:dyDescent="0.25">
      <c r="D19123" s="28"/>
      <c r="F19123" s="28"/>
      <c r="H19123" s="28"/>
    </row>
    <row r="19124" spans="4:8" x14ac:dyDescent="0.25">
      <c r="D19124" s="28"/>
      <c r="F19124" s="28"/>
      <c r="H19124" s="28"/>
    </row>
    <row r="19125" spans="4:8" x14ac:dyDescent="0.25">
      <c r="D19125" s="28"/>
      <c r="F19125" s="28"/>
      <c r="H19125" s="28"/>
    </row>
    <row r="19126" spans="4:8" x14ac:dyDescent="0.25">
      <c r="D19126" s="28"/>
      <c r="F19126" s="28"/>
      <c r="H19126" s="28"/>
    </row>
    <row r="19127" spans="4:8" x14ac:dyDescent="0.25">
      <c r="D19127" s="28"/>
      <c r="F19127" s="28"/>
      <c r="H19127" s="28"/>
    </row>
    <row r="19128" spans="4:8" x14ac:dyDescent="0.25">
      <c r="D19128" s="28"/>
      <c r="F19128" s="28"/>
      <c r="H19128" s="28"/>
    </row>
    <row r="19129" spans="4:8" x14ac:dyDescent="0.25">
      <c r="D19129" s="28"/>
      <c r="F19129" s="28"/>
      <c r="H19129" s="28"/>
    </row>
    <row r="19130" spans="4:8" x14ac:dyDescent="0.25">
      <c r="D19130" s="28"/>
      <c r="F19130" s="28"/>
      <c r="H19130" s="28"/>
    </row>
    <row r="19131" spans="4:8" x14ac:dyDescent="0.25">
      <c r="D19131" s="28"/>
      <c r="F19131" s="28"/>
      <c r="H19131" s="28"/>
    </row>
    <row r="19132" spans="4:8" x14ac:dyDescent="0.25">
      <c r="D19132" s="28"/>
      <c r="F19132" s="28"/>
      <c r="H19132" s="28"/>
    </row>
    <row r="19133" spans="4:8" x14ac:dyDescent="0.25">
      <c r="D19133" s="28"/>
      <c r="F19133" s="28"/>
      <c r="H19133" s="28"/>
    </row>
    <row r="19134" spans="4:8" x14ac:dyDescent="0.25">
      <c r="D19134" s="28"/>
      <c r="F19134" s="28"/>
      <c r="H19134" s="28"/>
    </row>
    <row r="19135" spans="4:8" x14ac:dyDescent="0.25">
      <c r="D19135" s="28"/>
      <c r="F19135" s="28"/>
      <c r="H19135" s="28"/>
    </row>
    <row r="19136" spans="4:8" x14ac:dyDescent="0.25">
      <c r="D19136" s="28"/>
      <c r="F19136" s="28"/>
      <c r="H19136" s="28"/>
    </row>
    <row r="19137" spans="4:8" x14ac:dyDescent="0.25">
      <c r="D19137" s="28"/>
      <c r="F19137" s="28"/>
      <c r="H19137" s="28"/>
    </row>
    <row r="19138" spans="4:8" x14ac:dyDescent="0.25">
      <c r="D19138" s="28"/>
      <c r="F19138" s="28"/>
      <c r="H19138" s="28"/>
    </row>
    <row r="19139" spans="4:8" x14ac:dyDescent="0.25">
      <c r="D19139" s="28"/>
      <c r="F19139" s="28"/>
      <c r="H19139" s="28"/>
    </row>
    <row r="19140" spans="4:8" x14ac:dyDescent="0.25">
      <c r="D19140" s="28"/>
      <c r="F19140" s="28"/>
      <c r="H19140" s="28"/>
    </row>
    <row r="19141" spans="4:8" x14ac:dyDescent="0.25">
      <c r="D19141" s="28"/>
      <c r="F19141" s="28"/>
      <c r="H19141" s="28"/>
    </row>
    <row r="19142" spans="4:8" x14ac:dyDescent="0.25">
      <c r="D19142" s="28"/>
      <c r="F19142" s="28"/>
      <c r="H19142" s="28"/>
    </row>
    <row r="19143" spans="4:8" x14ac:dyDescent="0.25">
      <c r="D19143" s="28"/>
      <c r="F19143" s="28"/>
      <c r="H19143" s="28"/>
    </row>
    <row r="19144" spans="4:8" x14ac:dyDescent="0.25">
      <c r="D19144" s="28"/>
      <c r="F19144" s="28"/>
      <c r="H19144" s="28"/>
    </row>
    <row r="19145" spans="4:8" x14ac:dyDescent="0.25">
      <c r="D19145" s="28"/>
      <c r="F19145" s="28"/>
      <c r="H19145" s="28"/>
    </row>
    <row r="19146" spans="4:8" x14ac:dyDescent="0.25">
      <c r="D19146" s="28"/>
      <c r="F19146" s="28"/>
      <c r="H19146" s="28"/>
    </row>
    <row r="19147" spans="4:8" x14ac:dyDescent="0.25">
      <c r="D19147" s="28"/>
      <c r="F19147" s="28"/>
      <c r="H19147" s="28"/>
    </row>
    <row r="19148" spans="4:8" x14ac:dyDescent="0.25">
      <c r="D19148" s="28"/>
      <c r="F19148" s="28"/>
      <c r="H19148" s="28"/>
    </row>
    <row r="19149" spans="4:8" x14ac:dyDescent="0.25">
      <c r="D19149" s="28"/>
      <c r="F19149" s="28"/>
      <c r="H19149" s="28"/>
    </row>
    <row r="19150" spans="4:8" x14ac:dyDescent="0.25">
      <c r="D19150" s="28"/>
      <c r="F19150" s="28"/>
      <c r="H19150" s="28"/>
    </row>
    <row r="19151" spans="4:8" x14ac:dyDescent="0.25">
      <c r="D19151" s="28"/>
      <c r="F19151" s="28"/>
      <c r="H19151" s="28"/>
    </row>
    <row r="19152" spans="4:8" x14ac:dyDescent="0.25">
      <c r="D19152" s="28"/>
      <c r="F19152" s="28"/>
      <c r="H19152" s="28"/>
    </row>
    <row r="19153" spans="4:8" x14ac:dyDescent="0.25">
      <c r="D19153" s="28"/>
      <c r="F19153" s="28"/>
      <c r="H19153" s="28"/>
    </row>
    <row r="19154" spans="4:8" x14ac:dyDescent="0.25">
      <c r="D19154" s="28"/>
      <c r="F19154" s="28"/>
      <c r="H19154" s="28"/>
    </row>
    <row r="19155" spans="4:8" x14ac:dyDescent="0.25">
      <c r="D19155" s="28"/>
      <c r="F19155" s="28"/>
      <c r="H19155" s="28"/>
    </row>
    <row r="19156" spans="4:8" x14ac:dyDescent="0.25">
      <c r="D19156" s="28"/>
      <c r="F19156" s="28"/>
      <c r="H19156" s="28"/>
    </row>
    <row r="19157" spans="4:8" x14ac:dyDescent="0.25">
      <c r="D19157" s="28"/>
      <c r="F19157" s="28"/>
      <c r="H19157" s="28"/>
    </row>
    <row r="19158" spans="4:8" x14ac:dyDescent="0.25">
      <c r="D19158" s="28"/>
      <c r="F19158" s="28"/>
      <c r="H19158" s="28"/>
    </row>
    <row r="19159" spans="4:8" x14ac:dyDescent="0.25">
      <c r="D19159" s="28"/>
      <c r="F19159" s="28"/>
      <c r="H19159" s="28"/>
    </row>
    <row r="19160" spans="4:8" x14ac:dyDescent="0.25">
      <c r="D19160" s="28"/>
      <c r="F19160" s="28"/>
      <c r="H19160" s="28"/>
    </row>
    <row r="19161" spans="4:8" x14ac:dyDescent="0.25">
      <c r="D19161" s="28"/>
      <c r="F19161" s="28"/>
      <c r="H19161" s="28"/>
    </row>
    <row r="19162" spans="4:8" x14ac:dyDescent="0.25">
      <c r="D19162" s="28"/>
      <c r="F19162" s="28"/>
      <c r="H19162" s="28"/>
    </row>
    <row r="19163" spans="4:8" x14ac:dyDescent="0.25">
      <c r="D19163" s="28"/>
      <c r="F19163" s="28"/>
      <c r="H19163" s="28"/>
    </row>
    <row r="19164" spans="4:8" x14ac:dyDescent="0.25">
      <c r="D19164" s="28"/>
      <c r="F19164" s="28"/>
      <c r="H19164" s="28"/>
    </row>
    <row r="19165" spans="4:8" x14ac:dyDescent="0.25">
      <c r="D19165" s="28"/>
      <c r="F19165" s="28"/>
      <c r="H19165" s="28"/>
    </row>
    <row r="19166" spans="4:8" x14ac:dyDescent="0.25">
      <c r="D19166" s="28"/>
      <c r="F19166" s="28"/>
      <c r="H19166" s="28"/>
    </row>
    <row r="19167" spans="4:8" x14ac:dyDescent="0.25">
      <c r="D19167" s="28"/>
      <c r="F19167" s="28"/>
      <c r="H19167" s="28"/>
    </row>
    <row r="19168" spans="4:8" x14ac:dyDescent="0.25">
      <c r="D19168" s="28"/>
      <c r="F19168" s="28"/>
      <c r="H19168" s="28"/>
    </row>
    <row r="19169" spans="4:8" x14ac:dyDescent="0.25">
      <c r="D19169" s="28"/>
      <c r="F19169" s="28"/>
      <c r="H19169" s="28"/>
    </row>
    <row r="19170" spans="4:8" x14ac:dyDescent="0.25">
      <c r="D19170" s="28"/>
      <c r="F19170" s="28"/>
      <c r="H19170" s="28"/>
    </row>
    <row r="19171" spans="4:8" x14ac:dyDescent="0.25">
      <c r="D19171" s="28"/>
      <c r="F19171" s="28"/>
      <c r="H19171" s="28"/>
    </row>
    <row r="19172" spans="4:8" x14ac:dyDescent="0.25">
      <c r="D19172" s="28"/>
      <c r="F19172" s="28"/>
      <c r="H19172" s="28"/>
    </row>
    <row r="19173" spans="4:8" x14ac:dyDescent="0.25">
      <c r="D19173" s="28"/>
      <c r="F19173" s="28"/>
      <c r="H19173" s="28"/>
    </row>
    <row r="19174" spans="4:8" x14ac:dyDescent="0.25">
      <c r="D19174" s="28"/>
      <c r="F19174" s="28"/>
      <c r="H19174" s="28"/>
    </row>
    <row r="19175" spans="4:8" x14ac:dyDescent="0.25">
      <c r="D19175" s="28"/>
      <c r="F19175" s="28"/>
      <c r="H19175" s="28"/>
    </row>
    <row r="19176" spans="4:8" x14ac:dyDescent="0.25">
      <c r="D19176" s="28"/>
      <c r="F19176" s="28"/>
      <c r="H19176" s="28"/>
    </row>
    <row r="19177" spans="4:8" x14ac:dyDescent="0.25">
      <c r="D19177" s="28"/>
      <c r="F19177" s="28"/>
      <c r="H19177" s="28"/>
    </row>
    <row r="19178" spans="4:8" x14ac:dyDescent="0.25">
      <c r="D19178" s="28"/>
      <c r="F19178" s="28"/>
      <c r="H19178" s="28"/>
    </row>
    <row r="19179" spans="4:8" x14ac:dyDescent="0.25">
      <c r="D19179" s="28"/>
      <c r="F19179" s="28"/>
      <c r="H19179" s="28"/>
    </row>
    <row r="19180" spans="4:8" x14ac:dyDescent="0.25">
      <c r="D19180" s="28"/>
      <c r="F19180" s="28"/>
      <c r="H19180" s="28"/>
    </row>
    <row r="19181" spans="4:8" x14ac:dyDescent="0.25">
      <c r="D19181" s="28"/>
      <c r="F19181" s="28"/>
      <c r="H19181" s="28"/>
    </row>
    <row r="19182" spans="4:8" x14ac:dyDescent="0.25">
      <c r="D19182" s="28"/>
      <c r="F19182" s="28"/>
      <c r="H19182" s="28"/>
    </row>
    <row r="19183" spans="4:8" x14ac:dyDescent="0.25">
      <c r="D19183" s="28"/>
      <c r="F19183" s="28"/>
      <c r="H19183" s="28"/>
    </row>
    <row r="19184" spans="4:8" x14ac:dyDescent="0.25">
      <c r="D19184" s="28"/>
      <c r="F19184" s="28"/>
      <c r="H19184" s="28"/>
    </row>
    <row r="19185" spans="4:8" x14ac:dyDescent="0.25">
      <c r="D19185" s="28"/>
      <c r="F19185" s="28"/>
      <c r="H19185" s="28"/>
    </row>
    <row r="19186" spans="4:8" x14ac:dyDescent="0.25">
      <c r="D19186" s="28"/>
      <c r="F19186" s="28"/>
      <c r="H19186" s="28"/>
    </row>
    <row r="19187" spans="4:8" x14ac:dyDescent="0.25">
      <c r="D19187" s="28"/>
      <c r="F19187" s="28"/>
      <c r="H19187" s="28"/>
    </row>
    <row r="19188" spans="4:8" x14ac:dyDescent="0.25">
      <c r="D19188" s="28"/>
      <c r="F19188" s="28"/>
      <c r="H19188" s="28"/>
    </row>
    <row r="19189" spans="4:8" x14ac:dyDescent="0.25">
      <c r="D19189" s="28"/>
      <c r="F19189" s="28"/>
      <c r="H19189" s="28"/>
    </row>
    <row r="19190" spans="4:8" x14ac:dyDescent="0.25">
      <c r="D19190" s="28"/>
      <c r="F19190" s="28"/>
      <c r="H19190" s="28"/>
    </row>
    <row r="19191" spans="4:8" x14ac:dyDescent="0.25">
      <c r="D19191" s="28"/>
      <c r="F19191" s="28"/>
      <c r="H19191" s="28"/>
    </row>
    <row r="19192" spans="4:8" x14ac:dyDescent="0.25">
      <c r="D19192" s="28"/>
      <c r="F19192" s="28"/>
      <c r="H19192" s="28"/>
    </row>
    <row r="19193" spans="4:8" x14ac:dyDescent="0.25">
      <c r="D19193" s="28"/>
      <c r="F19193" s="28"/>
      <c r="H19193" s="28"/>
    </row>
    <row r="19194" spans="4:8" x14ac:dyDescent="0.25">
      <c r="D19194" s="28"/>
      <c r="F19194" s="28"/>
      <c r="H19194" s="28"/>
    </row>
    <row r="19195" spans="4:8" x14ac:dyDescent="0.25">
      <c r="D19195" s="28"/>
      <c r="F19195" s="28"/>
      <c r="H19195" s="28"/>
    </row>
    <row r="19196" spans="4:8" x14ac:dyDescent="0.25">
      <c r="D19196" s="28"/>
      <c r="F19196" s="28"/>
      <c r="H19196" s="28"/>
    </row>
    <row r="19197" spans="4:8" x14ac:dyDescent="0.25">
      <c r="D19197" s="28"/>
      <c r="F19197" s="28"/>
      <c r="H19197" s="28"/>
    </row>
    <row r="19198" spans="4:8" x14ac:dyDescent="0.25">
      <c r="D19198" s="28"/>
      <c r="F19198" s="28"/>
      <c r="H19198" s="28"/>
    </row>
    <row r="19199" spans="4:8" x14ac:dyDescent="0.25">
      <c r="D19199" s="28"/>
      <c r="F19199" s="28"/>
      <c r="H19199" s="28"/>
    </row>
    <row r="19200" spans="4:8" x14ac:dyDescent="0.25">
      <c r="D19200" s="28"/>
      <c r="F19200" s="28"/>
      <c r="H19200" s="28"/>
    </row>
    <row r="19201" spans="4:8" x14ac:dyDescent="0.25">
      <c r="D19201" s="28"/>
      <c r="F19201" s="28"/>
      <c r="H19201" s="28"/>
    </row>
    <row r="19202" spans="4:8" x14ac:dyDescent="0.25">
      <c r="D19202" s="28"/>
      <c r="F19202" s="28"/>
      <c r="H19202" s="28"/>
    </row>
    <row r="19203" spans="4:8" x14ac:dyDescent="0.25">
      <c r="D19203" s="28"/>
      <c r="F19203" s="28"/>
      <c r="H19203" s="28"/>
    </row>
    <row r="19204" spans="4:8" x14ac:dyDescent="0.25">
      <c r="D19204" s="28"/>
      <c r="F19204" s="28"/>
      <c r="H19204" s="28"/>
    </row>
    <row r="19205" spans="4:8" x14ac:dyDescent="0.25">
      <c r="D19205" s="28"/>
      <c r="F19205" s="28"/>
      <c r="H19205" s="28"/>
    </row>
    <row r="19206" spans="4:8" x14ac:dyDescent="0.25">
      <c r="D19206" s="28"/>
      <c r="F19206" s="28"/>
      <c r="H19206" s="28"/>
    </row>
    <row r="19207" spans="4:8" x14ac:dyDescent="0.25">
      <c r="D19207" s="28"/>
      <c r="F19207" s="28"/>
      <c r="H19207" s="28"/>
    </row>
    <row r="19208" spans="4:8" x14ac:dyDescent="0.25">
      <c r="D19208" s="28"/>
      <c r="F19208" s="28"/>
      <c r="H19208" s="28"/>
    </row>
    <row r="19209" spans="4:8" x14ac:dyDescent="0.25">
      <c r="D19209" s="28"/>
      <c r="F19209" s="28"/>
      <c r="H19209" s="28"/>
    </row>
    <row r="19210" spans="4:8" x14ac:dyDescent="0.25">
      <c r="D19210" s="28"/>
      <c r="F19210" s="28"/>
      <c r="H19210" s="28"/>
    </row>
    <row r="19211" spans="4:8" x14ac:dyDescent="0.25">
      <c r="D19211" s="28"/>
      <c r="F19211" s="28"/>
      <c r="H19211" s="28"/>
    </row>
    <row r="19212" spans="4:8" x14ac:dyDescent="0.25">
      <c r="D19212" s="28"/>
      <c r="F19212" s="28"/>
      <c r="H19212" s="28"/>
    </row>
    <row r="19213" spans="4:8" x14ac:dyDescent="0.25">
      <c r="D19213" s="28"/>
      <c r="F19213" s="28"/>
      <c r="H19213" s="28"/>
    </row>
    <row r="19214" spans="4:8" x14ac:dyDescent="0.25">
      <c r="D19214" s="28"/>
      <c r="F19214" s="28"/>
      <c r="H19214" s="28"/>
    </row>
    <row r="19215" spans="4:8" x14ac:dyDescent="0.25">
      <c r="D19215" s="28"/>
      <c r="F19215" s="28"/>
      <c r="H19215" s="28"/>
    </row>
    <row r="19216" spans="4:8" x14ac:dyDescent="0.25">
      <c r="D19216" s="28"/>
      <c r="F19216" s="28"/>
      <c r="H19216" s="28"/>
    </row>
    <row r="19217" spans="4:8" x14ac:dyDescent="0.25">
      <c r="D19217" s="28"/>
      <c r="F19217" s="28"/>
      <c r="H19217" s="28"/>
    </row>
    <row r="19218" spans="4:8" x14ac:dyDescent="0.25">
      <c r="D19218" s="28"/>
      <c r="F19218" s="28"/>
      <c r="H19218" s="28"/>
    </row>
    <row r="19219" spans="4:8" x14ac:dyDescent="0.25">
      <c r="D19219" s="28"/>
      <c r="F19219" s="28"/>
      <c r="H19219" s="28"/>
    </row>
    <row r="19220" spans="4:8" x14ac:dyDescent="0.25">
      <c r="D19220" s="28"/>
      <c r="F19220" s="28"/>
      <c r="H19220" s="28"/>
    </row>
    <row r="19221" spans="4:8" x14ac:dyDescent="0.25">
      <c r="D19221" s="28"/>
      <c r="F19221" s="28"/>
      <c r="H19221" s="28"/>
    </row>
    <row r="19222" spans="4:8" x14ac:dyDescent="0.25">
      <c r="D19222" s="28"/>
      <c r="F19222" s="28"/>
      <c r="H19222" s="28"/>
    </row>
    <row r="19223" spans="4:8" x14ac:dyDescent="0.25">
      <c r="D19223" s="28"/>
      <c r="F19223" s="28"/>
      <c r="H19223" s="28"/>
    </row>
    <row r="19224" spans="4:8" x14ac:dyDescent="0.25">
      <c r="D19224" s="28"/>
      <c r="F19224" s="28"/>
      <c r="H19224" s="28"/>
    </row>
    <row r="19225" spans="4:8" x14ac:dyDescent="0.25">
      <c r="D19225" s="28"/>
      <c r="F19225" s="28"/>
      <c r="H19225" s="28"/>
    </row>
    <row r="19226" spans="4:8" x14ac:dyDescent="0.25">
      <c r="D19226" s="28"/>
      <c r="F19226" s="28"/>
      <c r="H19226" s="28"/>
    </row>
    <row r="19227" spans="4:8" x14ac:dyDescent="0.25">
      <c r="D19227" s="28"/>
      <c r="F19227" s="28"/>
      <c r="H19227" s="28"/>
    </row>
    <row r="19228" spans="4:8" x14ac:dyDescent="0.25">
      <c r="D19228" s="28"/>
      <c r="F19228" s="28"/>
      <c r="H19228" s="28"/>
    </row>
    <row r="19229" spans="4:8" x14ac:dyDescent="0.25">
      <c r="D19229" s="28"/>
      <c r="F19229" s="28"/>
      <c r="H19229" s="28"/>
    </row>
    <row r="19230" spans="4:8" x14ac:dyDescent="0.25">
      <c r="D19230" s="28"/>
      <c r="F19230" s="28"/>
      <c r="H19230" s="28"/>
    </row>
    <row r="19231" spans="4:8" x14ac:dyDescent="0.25">
      <c r="D19231" s="28"/>
      <c r="F19231" s="28"/>
      <c r="H19231" s="28"/>
    </row>
    <row r="19232" spans="4:8" x14ac:dyDescent="0.25">
      <c r="D19232" s="28"/>
      <c r="F19232" s="28"/>
      <c r="H19232" s="28"/>
    </row>
    <row r="19233" spans="4:8" x14ac:dyDescent="0.25">
      <c r="D19233" s="28"/>
      <c r="F19233" s="28"/>
      <c r="H19233" s="28"/>
    </row>
    <row r="19234" spans="4:8" x14ac:dyDescent="0.25">
      <c r="D19234" s="28"/>
      <c r="F19234" s="28"/>
      <c r="H19234" s="28"/>
    </row>
    <row r="19235" spans="4:8" x14ac:dyDescent="0.25">
      <c r="D19235" s="28"/>
      <c r="F19235" s="28"/>
      <c r="H19235" s="28"/>
    </row>
    <row r="19236" spans="4:8" x14ac:dyDescent="0.25">
      <c r="D19236" s="28"/>
      <c r="F19236" s="28"/>
      <c r="H19236" s="28"/>
    </row>
    <row r="19237" spans="4:8" x14ac:dyDescent="0.25">
      <c r="D19237" s="28"/>
      <c r="F19237" s="28"/>
      <c r="H19237" s="28"/>
    </row>
    <row r="19238" spans="4:8" x14ac:dyDescent="0.25">
      <c r="D19238" s="28"/>
      <c r="F19238" s="28"/>
      <c r="H19238" s="28"/>
    </row>
    <row r="19239" spans="4:8" x14ac:dyDescent="0.25">
      <c r="D19239" s="28"/>
      <c r="F19239" s="28"/>
      <c r="H19239" s="28"/>
    </row>
    <row r="19240" spans="4:8" x14ac:dyDescent="0.25">
      <c r="D19240" s="28"/>
      <c r="F19240" s="28"/>
      <c r="H19240" s="28"/>
    </row>
    <row r="19241" spans="4:8" x14ac:dyDescent="0.25">
      <c r="D19241" s="28"/>
      <c r="F19241" s="28"/>
      <c r="H19241" s="28"/>
    </row>
    <row r="19242" spans="4:8" x14ac:dyDescent="0.25">
      <c r="D19242" s="28"/>
      <c r="F19242" s="28"/>
      <c r="H19242" s="28"/>
    </row>
    <row r="19243" spans="4:8" x14ac:dyDescent="0.25">
      <c r="D19243" s="28"/>
      <c r="F19243" s="28"/>
      <c r="H19243" s="28"/>
    </row>
    <row r="19244" spans="4:8" x14ac:dyDescent="0.25">
      <c r="D19244" s="28"/>
      <c r="F19244" s="28"/>
      <c r="H19244" s="28"/>
    </row>
    <row r="19245" spans="4:8" x14ac:dyDescent="0.25">
      <c r="D19245" s="28"/>
      <c r="F19245" s="28"/>
      <c r="H19245" s="28"/>
    </row>
    <row r="19246" spans="4:8" x14ac:dyDescent="0.25">
      <c r="D19246" s="28"/>
      <c r="F19246" s="28"/>
      <c r="H19246" s="28"/>
    </row>
    <row r="19247" spans="4:8" x14ac:dyDescent="0.25">
      <c r="D19247" s="28"/>
      <c r="F19247" s="28"/>
      <c r="H19247" s="28"/>
    </row>
    <row r="19248" spans="4:8" x14ac:dyDescent="0.25">
      <c r="D19248" s="28"/>
      <c r="F19248" s="28"/>
      <c r="H19248" s="28"/>
    </row>
    <row r="19249" spans="4:8" x14ac:dyDescent="0.25">
      <c r="D19249" s="28"/>
      <c r="F19249" s="28"/>
      <c r="H19249" s="28"/>
    </row>
    <row r="19250" spans="4:8" x14ac:dyDescent="0.25">
      <c r="D19250" s="28"/>
      <c r="F19250" s="28"/>
      <c r="H19250" s="28"/>
    </row>
    <row r="19251" spans="4:8" x14ac:dyDescent="0.25">
      <c r="D19251" s="28"/>
      <c r="F19251" s="28"/>
      <c r="H19251" s="28"/>
    </row>
    <row r="19252" spans="4:8" x14ac:dyDescent="0.25">
      <c r="D19252" s="28"/>
      <c r="F19252" s="28"/>
      <c r="H19252" s="28"/>
    </row>
    <row r="19253" spans="4:8" x14ac:dyDescent="0.25">
      <c r="D19253" s="28"/>
      <c r="F19253" s="28"/>
      <c r="H19253" s="28"/>
    </row>
    <row r="19254" spans="4:8" x14ac:dyDescent="0.25">
      <c r="D19254" s="28"/>
      <c r="F19254" s="28"/>
      <c r="H19254" s="28"/>
    </row>
    <row r="19255" spans="4:8" x14ac:dyDescent="0.25">
      <c r="D19255" s="28"/>
      <c r="F19255" s="28"/>
      <c r="H19255" s="28"/>
    </row>
    <row r="19256" spans="4:8" x14ac:dyDescent="0.25">
      <c r="D19256" s="28"/>
      <c r="F19256" s="28"/>
      <c r="H19256" s="28"/>
    </row>
    <row r="19257" spans="4:8" x14ac:dyDescent="0.25">
      <c r="D19257" s="28"/>
      <c r="F19257" s="28"/>
      <c r="H19257" s="28"/>
    </row>
    <row r="19258" spans="4:8" x14ac:dyDescent="0.25">
      <c r="D19258" s="28"/>
      <c r="F19258" s="28"/>
      <c r="H19258" s="28"/>
    </row>
    <row r="19259" spans="4:8" x14ac:dyDescent="0.25">
      <c r="D19259" s="28"/>
      <c r="F19259" s="28"/>
      <c r="H19259" s="28"/>
    </row>
    <row r="19260" spans="4:8" x14ac:dyDescent="0.25">
      <c r="D19260" s="28"/>
      <c r="F19260" s="28"/>
      <c r="H19260" s="28"/>
    </row>
    <row r="19261" spans="4:8" x14ac:dyDescent="0.25">
      <c r="D19261" s="28"/>
      <c r="F19261" s="28"/>
      <c r="H19261" s="28"/>
    </row>
    <row r="19262" spans="4:8" x14ac:dyDescent="0.25">
      <c r="D19262" s="28"/>
      <c r="F19262" s="28"/>
      <c r="H19262" s="28"/>
    </row>
    <row r="19263" spans="4:8" x14ac:dyDescent="0.25">
      <c r="D19263" s="28"/>
      <c r="F19263" s="28"/>
      <c r="H19263" s="28"/>
    </row>
    <row r="19264" spans="4:8" x14ac:dyDescent="0.25">
      <c r="D19264" s="28"/>
      <c r="F19264" s="28"/>
      <c r="H19264" s="28"/>
    </row>
    <row r="19265" spans="4:8" x14ac:dyDescent="0.25">
      <c r="D19265" s="28"/>
      <c r="F19265" s="28"/>
      <c r="H19265" s="28"/>
    </row>
    <row r="19266" spans="4:8" x14ac:dyDescent="0.25">
      <c r="D19266" s="28"/>
      <c r="F19266" s="28"/>
      <c r="H19266" s="28"/>
    </row>
    <row r="19267" spans="4:8" x14ac:dyDescent="0.25">
      <c r="D19267" s="28"/>
      <c r="F19267" s="28"/>
      <c r="H19267" s="28"/>
    </row>
    <row r="19268" spans="4:8" x14ac:dyDescent="0.25">
      <c r="D19268" s="28"/>
      <c r="F19268" s="28"/>
      <c r="H19268" s="28"/>
    </row>
    <row r="19269" spans="4:8" x14ac:dyDescent="0.25">
      <c r="D19269" s="28"/>
      <c r="F19269" s="28"/>
      <c r="H19269" s="28"/>
    </row>
    <row r="19270" spans="4:8" x14ac:dyDescent="0.25">
      <c r="D19270" s="28"/>
      <c r="F19270" s="28"/>
      <c r="H19270" s="28"/>
    </row>
    <row r="19271" spans="4:8" x14ac:dyDescent="0.25">
      <c r="D19271" s="28"/>
      <c r="F19271" s="28"/>
      <c r="H19271" s="28"/>
    </row>
    <row r="19272" spans="4:8" x14ac:dyDescent="0.25">
      <c r="D19272" s="28"/>
      <c r="F19272" s="28"/>
      <c r="H19272" s="28"/>
    </row>
    <row r="19273" spans="4:8" x14ac:dyDescent="0.25">
      <c r="D19273" s="28"/>
      <c r="F19273" s="28"/>
      <c r="H19273" s="28"/>
    </row>
    <row r="19274" spans="4:8" x14ac:dyDescent="0.25">
      <c r="D19274" s="28"/>
      <c r="F19274" s="28"/>
      <c r="H19274" s="28"/>
    </row>
    <row r="19275" spans="4:8" x14ac:dyDescent="0.25">
      <c r="D19275" s="28"/>
      <c r="F19275" s="28"/>
      <c r="H19275" s="28"/>
    </row>
    <row r="19276" spans="4:8" x14ac:dyDescent="0.25">
      <c r="D19276" s="28"/>
      <c r="F19276" s="28"/>
      <c r="H19276" s="28"/>
    </row>
    <row r="19277" spans="4:8" x14ac:dyDescent="0.25">
      <c r="D19277" s="28"/>
      <c r="F19277" s="28"/>
      <c r="H19277" s="28"/>
    </row>
    <row r="19278" spans="4:8" x14ac:dyDescent="0.25">
      <c r="D19278" s="28"/>
      <c r="F19278" s="28"/>
      <c r="H19278" s="28"/>
    </row>
    <row r="19279" spans="4:8" x14ac:dyDescent="0.25">
      <c r="D19279" s="28"/>
      <c r="F19279" s="28"/>
      <c r="H19279" s="28"/>
    </row>
    <row r="19280" spans="4:8" x14ac:dyDescent="0.25">
      <c r="D19280" s="28"/>
      <c r="F19280" s="28"/>
      <c r="H19280" s="28"/>
    </row>
    <row r="19281" spans="4:8" x14ac:dyDescent="0.25">
      <c r="D19281" s="28"/>
      <c r="F19281" s="28"/>
      <c r="H19281" s="28"/>
    </row>
    <row r="19282" spans="4:8" x14ac:dyDescent="0.25">
      <c r="D19282" s="28"/>
      <c r="F19282" s="28"/>
      <c r="H19282" s="28"/>
    </row>
    <row r="19283" spans="4:8" x14ac:dyDescent="0.25">
      <c r="D19283" s="28"/>
      <c r="F19283" s="28"/>
      <c r="H19283" s="28"/>
    </row>
    <row r="19284" spans="4:8" x14ac:dyDescent="0.25">
      <c r="D19284" s="28"/>
      <c r="F19284" s="28"/>
      <c r="H19284" s="28"/>
    </row>
    <row r="19285" spans="4:8" x14ac:dyDescent="0.25">
      <c r="D19285" s="28"/>
      <c r="F19285" s="28"/>
      <c r="H19285" s="28"/>
    </row>
    <row r="19286" spans="4:8" x14ac:dyDescent="0.25">
      <c r="D19286" s="28"/>
      <c r="F19286" s="28"/>
      <c r="H19286" s="28"/>
    </row>
    <row r="19287" spans="4:8" x14ac:dyDescent="0.25">
      <c r="D19287" s="28"/>
      <c r="F19287" s="28"/>
      <c r="H19287" s="28"/>
    </row>
    <row r="19288" spans="4:8" x14ac:dyDescent="0.25">
      <c r="D19288" s="28"/>
      <c r="F19288" s="28"/>
      <c r="H19288" s="28"/>
    </row>
    <row r="19289" spans="4:8" x14ac:dyDescent="0.25">
      <c r="D19289" s="28"/>
      <c r="F19289" s="28"/>
      <c r="H19289" s="28"/>
    </row>
    <row r="19290" spans="4:8" x14ac:dyDescent="0.25">
      <c r="D19290" s="28"/>
      <c r="F19290" s="28"/>
      <c r="H19290" s="28"/>
    </row>
    <row r="19291" spans="4:8" x14ac:dyDescent="0.25">
      <c r="D19291" s="28"/>
      <c r="F19291" s="28"/>
      <c r="H19291" s="28"/>
    </row>
    <row r="19292" spans="4:8" x14ac:dyDescent="0.25">
      <c r="D19292" s="28"/>
      <c r="F19292" s="28"/>
      <c r="H19292" s="28"/>
    </row>
    <row r="19293" spans="4:8" x14ac:dyDescent="0.25">
      <c r="D19293" s="28"/>
      <c r="F19293" s="28"/>
      <c r="H19293" s="28"/>
    </row>
    <row r="19294" spans="4:8" x14ac:dyDescent="0.25">
      <c r="D19294" s="28"/>
      <c r="F19294" s="28"/>
      <c r="H19294" s="28"/>
    </row>
    <row r="19295" spans="4:8" x14ac:dyDescent="0.25">
      <c r="D19295" s="28"/>
      <c r="F19295" s="28"/>
      <c r="H19295" s="28"/>
    </row>
    <row r="19296" spans="4:8" x14ac:dyDescent="0.25">
      <c r="D19296" s="28"/>
      <c r="F19296" s="28"/>
      <c r="H19296" s="28"/>
    </row>
    <row r="19297" spans="4:8" x14ac:dyDescent="0.25">
      <c r="D19297" s="28"/>
      <c r="F19297" s="28"/>
      <c r="H19297" s="28"/>
    </row>
    <row r="19298" spans="4:8" x14ac:dyDescent="0.25">
      <c r="D19298" s="28"/>
      <c r="F19298" s="28"/>
      <c r="H19298" s="28"/>
    </row>
    <row r="19299" spans="4:8" x14ac:dyDescent="0.25">
      <c r="D19299" s="28"/>
      <c r="F19299" s="28"/>
      <c r="H19299" s="28"/>
    </row>
    <row r="19300" spans="4:8" x14ac:dyDescent="0.25">
      <c r="D19300" s="28"/>
      <c r="F19300" s="28"/>
      <c r="H19300" s="28"/>
    </row>
    <row r="19301" spans="4:8" x14ac:dyDescent="0.25">
      <c r="D19301" s="28"/>
      <c r="F19301" s="28"/>
      <c r="H19301" s="28"/>
    </row>
    <row r="19302" spans="4:8" x14ac:dyDescent="0.25">
      <c r="D19302" s="28"/>
      <c r="F19302" s="28"/>
      <c r="H19302" s="28"/>
    </row>
    <row r="19303" spans="4:8" x14ac:dyDescent="0.25">
      <c r="D19303" s="28"/>
      <c r="F19303" s="28"/>
      <c r="H19303" s="28"/>
    </row>
    <row r="19304" spans="4:8" x14ac:dyDescent="0.25">
      <c r="D19304" s="28"/>
      <c r="F19304" s="28"/>
      <c r="H19304" s="28"/>
    </row>
    <row r="19305" spans="4:8" x14ac:dyDescent="0.25">
      <c r="D19305" s="28"/>
      <c r="F19305" s="28"/>
      <c r="H19305" s="28"/>
    </row>
    <row r="19306" spans="4:8" x14ac:dyDescent="0.25">
      <c r="D19306" s="28"/>
      <c r="F19306" s="28"/>
      <c r="H19306" s="28"/>
    </row>
    <row r="19307" spans="4:8" x14ac:dyDescent="0.25">
      <c r="D19307" s="28"/>
      <c r="F19307" s="28"/>
      <c r="H19307" s="28"/>
    </row>
    <row r="19308" spans="4:8" x14ac:dyDescent="0.25">
      <c r="D19308" s="28"/>
      <c r="F19308" s="28"/>
      <c r="H19308" s="28"/>
    </row>
    <row r="19309" spans="4:8" x14ac:dyDescent="0.25">
      <c r="D19309" s="28"/>
      <c r="F19309" s="28"/>
      <c r="H19309" s="28"/>
    </row>
    <row r="19310" spans="4:8" x14ac:dyDescent="0.25">
      <c r="D19310" s="28"/>
      <c r="F19310" s="28"/>
      <c r="H19310" s="28"/>
    </row>
    <row r="19311" spans="4:8" x14ac:dyDescent="0.25">
      <c r="D19311" s="28"/>
      <c r="F19311" s="28"/>
      <c r="H19311" s="28"/>
    </row>
    <row r="19312" spans="4:8" x14ac:dyDescent="0.25">
      <c r="D19312" s="28"/>
      <c r="F19312" s="28"/>
      <c r="H19312" s="28"/>
    </row>
    <row r="19313" spans="4:8" x14ac:dyDescent="0.25">
      <c r="D19313" s="28"/>
      <c r="F19313" s="28"/>
      <c r="H19313" s="28"/>
    </row>
    <row r="19314" spans="4:8" x14ac:dyDescent="0.25">
      <c r="D19314" s="28"/>
      <c r="F19314" s="28"/>
      <c r="H19314" s="28"/>
    </row>
    <row r="19315" spans="4:8" x14ac:dyDescent="0.25">
      <c r="D19315" s="28"/>
      <c r="F19315" s="28"/>
      <c r="H19315" s="28"/>
    </row>
    <row r="19316" spans="4:8" x14ac:dyDescent="0.25">
      <c r="D19316" s="28"/>
      <c r="F19316" s="28"/>
      <c r="H19316" s="28"/>
    </row>
    <row r="19317" spans="4:8" x14ac:dyDescent="0.25">
      <c r="D19317" s="28"/>
      <c r="F19317" s="28"/>
      <c r="H19317" s="28"/>
    </row>
    <row r="19318" spans="4:8" x14ac:dyDescent="0.25">
      <c r="D19318" s="28"/>
      <c r="F19318" s="28"/>
      <c r="H19318" s="28"/>
    </row>
    <row r="19319" spans="4:8" x14ac:dyDescent="0.25">
      <c r="D19319" s="28"/>
      <c r="F19319" s="28"/>
      <c r="H19319" s="28"/>
    </row>
    <row r="19320" spans="4:8" x14ac:dyDescent="0.25">
      <c r="D19320" s="28"/>
      <c r="F19320" s="28"/>
      <c r="H19320" s="28"/>
    </row>
    <row r="19321" spans="4:8" x14ac:dyDescent="0.25">
      <c r="D19321" s="28"/>
      <c r="F19321" s="28"/>
      <c r="H19321" s="28"/>
    </row>
    <row r="19322" spans="4:8" x14ac:dyDescent="0.25">
      <c r="D19322" s="28"/>
      <c r="F19322" s="28"/>
      <c r="H19322" s="28"/>
    </row>
    <row r="19323" spans="4:8" x14ac:dyDescent="0.25">
      <c r="D19323" s="28"/>
      <c r="F19323" s="28"/>
      <c r="H19323" s="28"/>
    </row>
    <row r="19324" spans="4:8" x14ac:dyDescent="0.25">
      <c r="D19324" s="28"/>
      <c r="F19324" s="28"/>
      <c r="H19324" s="28"/>
    </row>
    <row r="19325" spans="4:8" x14ac:dyDescent="0.25">
      <c r="D19325" s="28"/>
      <c r="F19325" s="28"/>
      <c r="H19325" s="28"/>
    </row>
    <row r="19326" spans="4:8" x14ac:dyDescent="0.25">
      <c r="D19326" s="28"/>
      <c r="F19326" s="28"/>
      <c r="H19326" s="28"/>
    </row>
    <row r="19327" spans="4:8" x14ac:dyDescent="0.25">
      <c r="D19327" s="28"/>
      <c r="F19327" s="28"/>
      <c r="H19327" s="28"/>
    </row>
    <row r="19328" spans="4:8" x14ac:dyDescent="0.25">
      <c r="D19328" s="28"/>
      <c r="F19328" s="28"/>
      <c r="H19328" s="28"/>
    </row>
    <row r="19329" spans="4:8" x14ac:dyDescent="0.25">
      <c r="D19329" s="28"/>
      <c r="F19329" s="28"/>
      <c r="H19329" s="28"/>
    </row>
    <row r="19330" spans="4:8" x14ac:dyDescent="0.25">
      <c r="D19330" s="28"/>
      <c r="F19330" s="28"/>
      <c r="H19330" s="28"/>
    </row>
    <row r="19331" spans="4:8" x14ac:dyDescent="0.25">
      <c r="D19331" s="28"/>
      <c r="F19331" s="28"/>
      <c r="H19331" s="28"/>
    </row>
    <row r="19332" spans="4:8" x14ac:dyDescent="0.25">
      <c r="D19332" s="28"/>
      <c r="F19332" s="28"/>
      <c r="H19332" s="28"/>
    </row>
    <row r="19333" spans="4:8" x14ac:dyDescent="0.25">
      <c r="D19333" s="28"/>
      <c r="F19333" s="28"/>
      <c r="H19333" s="28"/>
    </row>
    <row r="19334" spans="4:8" x14ac:dyDescent="0.25">
      <c r="D19334" s="28"/>
      <c r="F19334" s="28"/>
      <c r="H19334" s="28"/>
    </row>
    <row r="19335" spans="4:8" x14ac:dyDescent="0.25">
      <c r="D19335" s="28"/>
      <c r="F19335" s="28"/>
      <c r="H19335" s="28"/>
    </row>
    <row r="19336" spans="4:8" x14ac:dyDescent="0.25">
      <c r="D19336" s="28"/>
      <c r="F19336" s="28"/>
      <c r="H19336" s="28"/>
    </row>
    <row r="19337" spans="4:8" x14ac:dyDescent="0.25">
      <c r="D19337" s="28"/>
      <c r="F19337" s="28"/>
      <c r="H19337" s="28"/>
    </row>
    <row r="19338" spans="4:8" x14ac:dyDescent="0.25">
      <c r="D19338" s="28"/>
      <c r="F19338" s="28"/>
      <c r="H19338" s="28"/>
    </row>
    <row r="19339" spans="4:8" x14ac:dyDescent="0.25">
      <c r="D19339" s="28"/>
      <c r="F19339" s="28"/>
      <c r="H19339" s="28"/>
    </row>
    <row r="19340" spans="4:8" x14ac:dyDescent="0.25">
      <c r="D19340" s="28"/>
      <c r="F19340" s="28"/>
      <c r="H19340" s="28"/>
    </row>
    <row r="19341" spans="4:8" x14ac:dyDescent="0.25">
      <c r="D19341" s="28"/>
      <c r="F19341" s="28"/>
      <c r="H19341" s="28"/>
    </row>
    <row r="19342" spans="4:8" x14ac:dyDescent="0.25">
      <c r="D19342" s="28"/>
      <c r="F19342" s="28"/>
      <c r="H19342" s="28"/>
    </row>
    <row r="19343" spans="4:8" x14ac:dyDescent="0.25">
      <c r="D19343" s="28"/>
      <c r="F19343" s="28"/>
      <c r="H19343" s="28"/>
    </row>
    <row r="19344" spans="4:8" x14ac:dyDescent="0.25">
      <c r="D19344" s="28"/>
      <c r="F19344" s="28"/>
      <c r="H19344" s="28"/>
    </row>
    <row r="19345" spans="4:8" x14ac:dyDescent="0.25">
      <c r="D19345" s="28"/>
      <c r="F19345" s="28"/>
      <c r="H19345" s="28"/>
    </row>
    <row r="19346" spans="4:8" x14ac:dyDescent="0.25">
      <c r="D19346" s="28"/>
      <c r="F19346" s="28"/>
      <c r="H19346" s="28"/>
    </row>
    <row r="19347" spans="4:8" x14ac:dyDescent="0.25">
      <c r="D19347" s="28"/>
      <c r="F19347" s="28"/>
      <c r="H19347" s="28"/>
    </row>
    <row r="19348" spans="4:8" x14ac:dyDescent="0.25">
      <c r="D19348" s="28"/>
      <c r="F19348" s="28"/>
      <c r="H19348" s="28"/>
    </row>
    <row r="19349" spans="4:8" x14ac:dyDescent="0.25">
      <c r="D19349" s="28"/>
      <c r="F19349" s="28"/>
      <c r="H19349" s="28"/>
    </row>
    <row r="19350" spans="4:8" x14ac:dyDescent="0.25">
      <c r="D19350" s="28"/>
      <c r="F19350" s="28"/>
      <c r="H19350" s="28"/>
    </row>
    <row r="19351" spans="4:8" x14ac:dyDescent="0.25">
      <c r="D19351" s="28"/>
      <c r="F19351" s="28"/>
      <c r="H19351" s="28"/>
    </row>
    <row r="19352" spans="4:8" x14ac:dyDescent="0.25">
      <c r="D19352" s="28"/>
      <c r="F19352" s="28"/>
      <c r="H19352" s="28"/>
    </row>
    <row r="19353" spans="4:8" x14ac:dyDescent="0.25">
      <c r="D19353" s="28"/>
      <c r="F19353" s="28"/>
      <c r="H19353" s="28"/>
    </row>
    <row r="19354" spans="4:8" x14ac:dyDescent="0.25">
      <c r="D19354" s="28"/>
      <c r="F19354" s="28"/>
      <c r="H19354" s="28"/>
    </row>
    <row r="19355" spans="4:8" x14ac:dyDescent="0.25">
      <c r="D19355" s="28"/>
      <c r="F19355" s="28"/>
      <c r="H19355" s="28"/>
    </row>
    <row r="19356" spans="4:8" x14ac:dyDescent="0.25">
      <c r="D19356" s="28"/>
      <c r="F19356" s="28"/>
      <c r="H19356" s="28"/>
    </row>
    <row r="19357" spans="4:8" x14ac:dyDescent="0.25">
      <c r="D19357" s="28"/>
      <c r="F19357" s="28"/>
      <c r="H19357" s="28"/>
    </row>
    <row r="19358" spans="4:8" x14ac:dyDescent="0.25">
      <c r="D19358" s="28"/>
      <c r="F19358" s="28"/>
      <c r="H19358" s="28"/>
    </row>
    <row r="19359" spans="4:8" x14ac:dyDescent="0.25">
      <c r="D19359" s="28"/>
      <c r="F19359" s="28"/>
      <c r="H19359" s="28"/>
    </row>
    <row r="19360" spans="4:8" x14ac:dyDescent="0.25">
      <c r="D19360" s="28"/>
      <c r="F19360" s="28"/>
      <c r="H19360" s="28"/>
    </row>
    <row r="19361" spans="4:8" x14ac:dyDescent="0.25">
      <c r="D19361" s="28"/>
      <c r="F19361" s="28"/>
      <c r="H19361" s="28"/>
    </row>
    <row r="19362" spans="4:8" x14ac:dyDescent="0.25">
      <c r="D19362" s="28"/>
      <c r="F19362" s="28"/>
      <c r="H19362" s="28"/>
    </row>
    <row r="19363" spans="4:8" x14ac:dyDescent="0.25">
      <c r="D19363" s="28"/>
      <c r="F19363" s="28"/>
      <c r="H19363" s="28"/>
    </row>
    <row r="19364" spans="4:8" x14ac:dyDescent="0.25">
      <c r="D19364" s="28"/>
      <c r="F19364" s="28"/>
      <c r="H19364" s="28"/>
    </row>
    <row r="19365" spans="4:8" x14ac:dyDescent="0.25">
      <c r="D19365" s="28"/>
      <c r="F19365" s="28"/>
      <c r="H19365" s="28"/>
    </row>
    <row r="19366" spans="4:8" x14ac:dyDescent="0.25">
      <c r="D19366" s="28"/>
      <c r="F19366" s="28"/>
      <c r="H19366" s="28"/>
    </row>
    <row r="19367" spans="4:8" x14ac:dyDescent="0.25">
      <c r="D19367" s="28"/>
      <c r="F19367" s="28"/>
      <c r="H19367" s="28"/>
    </row>
    <row r="19368" spans="4:8" x14ac:dyDescent="0.25">
      <c r="D19368" s="28"/>
      <c r="F19368" s="28"/>
      <c r="H19368" s="28"/>
    </row>
    <row r="19369" spans="4:8" x14ac:dyDescent="0.25">
      <c r="D19369" s="28"/>
      <c r="F19369" s="28"/>
      <c r="H19369" s="28"/>
    </row>
    <row r="19370" spans="4:8" x14ac:dyDescent="0.25">
      <c r="D19370" s="28"/>
      <c r="F19370" s="28"/>
      <c r="H19370" s="28"/>
    </row>
    <row r="19371" spans="4:8" x14ac:dyDescent="0.25">
      <c r="D19371" s="28"/>
      <c r="F19371" s="28"/>
      <c r="H19371" s="28"/>
    </row>
    <row r="19372" spans="4:8" x14ac:dyDescent="0.25">
      <c r="D19372" s="28"/>
      <c r="F19372" s="28"/>
      <c r="H19372" s="28"/>
    </row>
    <row r="19373" spans="4:8" x14ac:dyDescent="0.25">
      <c r="D19373" s="28"/>
      <c r="F19373" s="28"/>
      <c r="H19373" s="28"/>
    </row>
    <row r="19374" spans="4:8" x14ac:dyDescent="0.25">
      <c r="D19374" s="28"/>
      <c r="F19374" s="28"/>
      <c r="H19374" s="28"/>
    </row>
    <row r="19375" spans="4:8" x14ac:dyDescent="0.25">
      <c r="D19375" s="28"/>
      <c r="F19375" s="28"/>
      <c r="H19375" s="28"/>
    </row>
    <row r="19376" spans="4:8" x14ac:dyDescent="0.25">
      <c r="D19376" s="28"/>
      <c r="F19376" s="28"/>
      <c r="H19376" s="28"/>
    </row>
    <row r="19377" spans="4:8" x14ac:dyDescent="0.25">
      <c r="D19377" s="28"/>
      <c r="F19377" s="28"/>
      <c r="H19377" s="28"/>
    </row>
    <row r="19378" spans="4:8" x14ac:dyDescent="0.25">
      <c r="D19378" s="28"/>
      <c r="F19378" s="28"/>
      <c r="H19378" s="28"/>
    </row>
    <row r="19379" spans="4:8" x14ac:dyDescent="0.25">
      <c r="D19379" s="28"/>
      <c r="F19379" s="28"/>
      <c r="H19379" s="28"/>
    </row>
    <row r="19380" spans="4:8" x14ac:dyDescent="0.25">
      <c r="D19380" s="28"/>
      <c r="F19380" s="28"/>
      <c r="H19380" s="28"/>
    </row>
    <row r="19381" spans="4:8" x14ac:dyDescent="0.25">
      <c r="D19381" s="28"/>
      <c r="F19381" s="28"/>
      <c r="H19381" s="28"/>
    </row>
    <row r="19382" spans="4:8" x14ac:dyDescent="0.25">
      <c r="D19382" s="28"/>
      <c r="F19382" s="28"/>
      <c r="H19382" s="28"/>
    </row>
    <row r="19383" spans="4:8" x14ac:dyDescent="0.25">
      <c r="D19383" s="28"/>
      <c r="F19383" s="28"/>
      <c r="H19383" s="28"/>
    </row>
    <row r="19384" spans="4:8" x14ac:dyDescent="0.25">
      <c r="D19384" s="28"/>
      <c r="F19384" s="28"/>
      <c r="H19384" s="28"/>
    </row>
    <row r="19385" spans="4:8" x14ac:dyDescent="0.25">
      <c r="D19385" s="28"/>
      <c r="F19385" s="28"/>
      <c r="H19385" s="28"/>
    </row>
    <row r="19386" spans="4:8" x14ac:dyDescent="0.25">
      <c r="D19386" s="28"/>
      <c r="F19386" s="28"/>
      <c r="H19386" s="28"/>
    </row>
    <row r="19387" spans="4:8" x14ac:dyDescent="0.25">
      <c r="D19387" s="28"/>
      <c r="F19387" s="28"/>
      <c r="H19387" s="28"/>
    </row>
    <row r="19388" spans="4:8" x14ac:dyDescent="0.25">
      <c r="D19388" s="28"/>
      <c r="F19388" s="28"/>
      <c r="H19388" s="28"/>
    </row>
    <row r="19389" spans="4:8" x14ac:dyDescent="0.25">
      <c r="D19389" s="28"/>
      <c r="F19389" s="28"/>
      <c r="H19389" s="28"/>
    </row>
    <row r="19390" spans="4:8" x14ac:dyDescent="0.25">
      <c r="D19390" s="28"/>
      <c r="F19390" s="28"/>
      <c r="H19390" s="28"/>
    </row>
    <row r="19391" spans="4:8" x14ac:dyDescent="0.25">
      <c r="D19391" s="28"/>
      <c r="F19391" s="28"/>
      <c r="H19391" s="28"/>
    </row>
    <row r="19392" spans="4:8" x14ac:dyDescent="0.25">
      <c r="D19392" s="28"/>
      <c r="F19392" s="28"/>
      <c r="H19392" s="28"/>
    </row>
    <row r="19393" spans="4:8" x14ac:dyDescent="0.25">
      <c r="D19393" s="28"/>
      <c r="F19393" s="28"/>
      <c r="H19393" s="28"/>
    </row>
    <row r="19394" spans="4:8" x14ac:dyDescent="0.25">
      <c r="D19394" s="28"/>
      <c r="F19394" s="28"/>
      <c r="H19394" s="28"/>
    </row>
    <row r="19395" spans="4:8" x14ac:dyDescent="0.25">
      <c r="D19395" s="28"/>
      <c r="F19395" s="28"/>
      <c r="H19395" s="28"/>
    </row>
    <row r="19396" spans="4:8" x14ac:dyDescent="0.25">
      <c r="D19396" s="28"/>
      <c r="F19396" s="28"/>
      <c r="H19396" s="28"/>
    </row>
    <row r="19397" spans="4:8" x14ac:dyDescent="0.25">
      <c r="D19397" s="28"/>
      <c r="F19397" s="28"/>
      <c r="H19397" s="28"/>
    </row>
    <row r="19398" spans="4:8" x14ac:dyDescent="0.25">
      <c r="D19398" s="28"/>
      <c r="F19398" s="28"/>
      <c r="H19398" s="28"/>
    </row>
    <row r="19399" spans="4:8" x14ac:dyDescent="0.25">
      <c r="D19399" s="28"/>
      <c r="F19399" s="28"/>
      <c r="H19399" s="28"/>
    </row>
    <row r="19400" spans="4:8" x14ac:dyDescent="0.25">
      <c r="D19400" s="28"/>
      <c r="F19400" s="28"/>
      <c r="H19400" s="28"/>
    </row>
    <row r="19401" spans="4:8" x14ac:dyDescent="0.25">
      <c r="D19401" s="28"/>
      <c r="F19401" s="28"/>
      <c r="H19401" s="28"/>
    </row>
    <row r="19402" spans="4:8" x14ac:dyDescent="0.25">
      <c r="D19402" s="28"/>
      <c r="F19402" s="28"/>
      <c r="H19402" s="28"/>
    </row>
    <row r="19403" spans="4:8" x14ac:dyDescent="0.25">
      <c r="D19403" s="28"/>
      <c r="F19403" s="28"/>
      <c r="H19403" s="28"/>
    </row>
    <row r="19404" spans="4:8" x14ac:dyDescent="0.25">
      <c r="D19404" s="28"/>
      <c r="F19404" s="28"/>
      <c r="H19404" s="28"/>
    </row>
    <row r="19405" spans="4:8" x14ac:dyDescent="0.25">
      <c r="D19405" s="28"/>
      <c r="F19405" s="28"/>
      <c r="H19405" s="28"/>
    </row>
    <row r="19406" spans="4:8" x14ac:dyDescent="0.25">
      <c r="D19406" s="28"/>
      <c r="F19406" s="28"/>
      <c r="H19406" s="28"/>
    </row>
    <row r="19407" spans="4:8" x14ac:dyDescent="0.25">
      <c r="D19407" s="28"/>
      <c r="F19407" s="28"/>
      <c r="H19407" s="28"/>
    </row>
    <row r="19408" spans="4:8" x14ac:dyDescent="0.25">
      <c r="D19408" s="28"/>
      <c r="F19408" s="28"/>
      <c r="H19408" s="28"/>
    </row>
    <row r="19409" spans="4:8" x14ac:dyDescent="0.25">
      <c r="D19409" s="28"/>
      <c r="F19409" s="28"/>
      <c r="H19409" s="28"/>
    </row>
    <row r="19410" spans="4:8" x14ac:dyDescent="0.25">
      <c r="D19410" s="28"/>
      <c r="F19410" s="28"/>
      <c r="H19410" s="28"/>
    </row>
    <row r="19411" spans="4:8" x14ac:dyDescent="0.25">
      <c r="D19411" s="28"/>
      <c r="F19411" s="28"/>
      <c r="H19411" s="28"/>
    </row>
    <row r="19412" spans="4:8" x14ac:dyDescent="0.25">
      <c r="D19412" s="28"/>
      <c r="F19412" s="28"/>
      <c r="H19412" s="28"/>
    </row>
    <row r="19413" spans="4:8" x14ac:dyDescent="0.25">
      <c r="D19413" s="28"/>
      <c r="F19413" s="28"/>
      <c r="H19413" s="28"/>
    </row>
    <row r="19414" spans="4:8" x14ac:dyDescent="0.25">
      <c r="D19414" s="28"/>
      <c r="F19414" s="28"/>
      <c r="H19414" s="28"/>
    </row>
    <row r="19415" spans="4:8" x14ac:dyDescent="0.25">
      <c r="D19415" s="28"/>
      <c r="F19415" s="28"/>
      <c r="H19415" s="28"/>
    </row>
    <row r="19416" spans="4:8" x14ac:dyDescent="0.25">
      <c r="D19416" s="28"/>
      <c r="F19416" s="28"/>
      <c r="H19416" s="28"/>
    </row>
    <row r="19417" spans="4:8" x14ac:dyDescent="0.25">
      <c r="D19417" s="28"/>
      <c r="F19417" s="28"/>
      <c r="H19417" s="28"/>
    </row>
    <row r="19418" spans="4:8" x14ac:dyDescent="0.25">
      <c r="D19418" s="28"/>
      <c r="F19418" s="28"/>
      <c r="H19418" s="28"/>
    </row>
    <row r="19419" spans="4:8" x14ac:dyDescent="0.25">
      <c r="D19419" s="28"/>
      <c r="F19419" s="28"/>
      <c r="H19419" s="28"/>
    </row>
    <row r="19420" spans="4:8" x14ac:dyDescent="0.25">
      <c r="D19420" s="28"/>
      <c r="F19420" s="28"/>
      <c r="H19420" s="28"/>
    </row>
    <row r="19421" spans="4:8" x14ac:dyDescent="0.25">
      <c r="D19421" s="28"/>
      <c r="F19421" s="28"/>
      <c r="H19421" s="28"/>
    </row>
    <row r="19422" spans="4:8" x14ac:dyDescent="0.25">
      <c r="D19422" s="28"/>
      <c r="F19422" s="28"/>
      <c r="H19422" s="28"/>
    </row>
    <row r="19423" spans="4:8" x14ac:dyDescent="0.25">
      <c r="D19423" s="28"/>
      <c r="F19423" s="28"/>
      <c r="H19423" s="28"/>
    </row>
    <row r="19424" spans="4:8" x14ac:dyDescent="0.25">
      <c r="D19424" s="28"/>
      <c r="F19424" s="28"/>
      <c r="H19424" s="28"/>
    </row>
    <row r="19425" spans="4:8" x14ac:dyDescent="0.25">
      <c r="D19425" s="28"/>
      <c r="F19425" s="28"/>
      <c r="H19425" s="28"/>
    </row>
    <row r="19426" spans="4:8" x14ac:dyDescent="0.25">
      <c r="D19426" s="28"/>
      <c r="F19426" s="28"/>
      <c r="H19426" s="28"/>
    </row>
    <row r="19427" spans="4:8" x14ac:dyDescent="0.25">
      <c r="D19427" s="28"/>
      <c r="F19427" s="28"/>
      <c r="H19427" s="28"/>
    </row>
    <row r="19428" spans="4:8" x14ac:dyDescent="0.25">
      <c r="D19428" s="28"/>
      <c r="F19428" s="28"/>
      <c r="H19428" s="28"/>
    </row>
    <row r="19429" spans="4:8" x14ac:dyDescent="0.25">
      <c r="D19429" s="28"/>
      <c r="F19429" s="28"/>
      <c r="H19429" s="28"/>
    </row>
    <row r="19430" spans="4:8" x14ac:dyDescent="0.25">
      <c r="D19430" s="28"/>
      <c r="F19430" s="28"/>
      <c r="H19430" s="28"/>
    </row>
    <row r="19431" spans="4:8" x14ac:dyDescent="0.25">
      <c r="D19431" s="28"/>
      <c r="F19431" s="28"/>
      <c r="H19431" s="28"/>
    </row>
    <row r="19432" spans="4:8" x14ac:dyDescent="0.25">
      <c r="D19432" s="28"/>
      <c r="F19432" s="28"/>
      <c r="H19432" s="28"/>
    </row>
    <row r="19433" spans="4:8" x14ac:dyDescent="0.25">
      <c r="D19433" s="28"/>
      <c r="F19433" s="28"/>
      <c r="H19433" s="28"/>
    </row>
    <row r="19434" spans="4:8" x14ac:dyDescent="0.25">
      <c r="D19434" s="28"/>
      <c r="F19434" s="28"/>
      <c r="H19434" s="28"/>
    </row>
    <row r="19435" spans="4:8" x14ac:dyDescent="0.25">
      <c r="D19435" s="28"/>
      <c r="F19435" s="28"/>
      <c r="H19435" s="28"/>
    </row>
    <row r="19436" spans="4:8" x14ac:dyDescent="0.25">
      <c r="D19436" s="28"/>
      <c r="F19436" s="28"/>
      <c r="H19436" s="28"/>
    </row>
    <row r="19437" spans="4:8" x14ac:dyDescent="0.25">
      <c r="D19437" s="28"/>
      <c r="F19437" s="28"/>
      <c r="H19437" s="28"/>
    </row>
    <row r="19438" spans="4:8" x14ac:dyDescent="0.25">
      <c r="D19438" s="28"/>
      <c r="F19438" s="28"/>
      <c r="H19438" s="28"/>
    </row>
    <row r="19439" spans="4:8" x14ac:dyDescent="0.25">
      <c r="D19439" s="28"/>
      <c r="F19439" s="28"/>
      <c r="H19439" s="28"/>
    </row>
    <row r="19440" spans="4:8" x14ac:dyDescent="0.25">
      <c r="D19440" s="28"/>
      <c r="F19440" s="28"/>
      <c r="H19440" s="28"/>
    </row>
    <row r="19441" spans="4:8" x14ac:dyDescent="0.25">
      <c r="D19441" s="28"/>
      <c r="F19441" s="28"/>
      <c r="H19441" s="28"/>
    </row>
    <row r="19442" spans="4:8" x14ac:dyDescent="0.25">
      <c r="D19442" s="28"/>
      <c r="F19442" s="28"/>
      <c r="H19442" s="28"/>
    </row>
    <row r="19443" spans="4:8" x14ac:dyDescent="0.25">
      <c r="D19443" s="28"/>
      <c r="F19443" s="28"/>
      <c r="H19443" s="28"/>
    </row>
    <row r="19444" spans="4:8" x14ac:dyDescent="0.25">
      <c r="D19444" s="28"/>
      <c r="F19444" s="28"/>
      <c r="H19444" s="28"/>
    </row>
    <row r="19445" spans="4:8" x14ac:dyDescent="0.25">
      <c r="D19445" s="28"/>
      <c r="F19445" s="28"/>
      <c r="H19445" s="28"/>
    </row>
    <row r="19446" spans="4:8" x14ac:dyDescent="0.25">
      <c r="D19446" s="28"/>
      <c r="F19446" s="28"/>
      <c r="H19446" s="28"/>
    </row>
    <row r="19447" spans="4:8" x14ac:dyDescent="0.25">
      <c r="D19447" s="28"/>
      <c r="F19447" s="28"/>
      <c r="H19447" s="28"/>
    </row>
    <row r="19448" spans="4:8" x14ac:dyDescent="0.25">
      <c r="D19448" s="28"/>
      <c r="F19448" s="28"/>
      <c r="H19448" s="28"/>
    </row>
    <row r="19449" spans="4:8" x14ac:dyDescent="0.25">
      <c r="D19449" s="28"/>
      <c r="F19449" s="28"/>
      <c r="H19449" s="28"/>
    </row>
    <row r="19450" spans="4:8" x14ac:dyDescent="0.25">
      <c r="D19450" s="28"/>
      <c r="F19450" s="28"/>
      <c r="H19450" s="28"/>
    </row>
    <row r="19451" spans="4:8" x14ac:dyDescent="0.25">
      <c r="D19451" s="28"/>
      <c r="F19451" s="28"/>
      <c r="H19451" s="28"/>
    </row>
    <row r="19452" spans="4:8" x14ac:dyDescent="0.25">
      <c r="D19452" s="28"/>
      <c r="F19452" s="28"/>
      <c r="H19452" s="28"/>
    </row>
    <row r="19453" spans="4:8" x14ac:dyDescent="0.25">
      <c r="D19453" s="28"/>
      <c r="F19453" s="28"/>
      <c r="H19453" s="28"/>
    </row>
    <row r="19454" spans="4:8" x14ac:dyDescent="0.25">
      <c r="D19454" s="28"/>
      <c r="F19454" s="28"/>
      <c r="H19454" s="28"/>
    </row>
    <row r="19455" spans="4:8" x14ac:dyDescent="0.25">
      <c r="D19455" s="28"/>
      <c r="F19455" s="28"/>
      <c r="H19455" s="28"/>
    </row>
    <row r="19456" spans="4:8" x14ac:dyDescent="0.25">
      <c r="D19456" s="28"/>
      <c r="F19456" s="28"/>
      <c r="H19456" s="28"/>
    </row>
    <row r="19457" spans="4:8" x14ac:dyDescent="0.25">
      <c r="D19457" s="28"/>
      <c r="F19457" s="28"/>
      <c r="H19457" s="28"/>
    </row>
    <row r="19458" spans="4:8" x14ac:dyDescent="0.25">
      <c r="D19458" s="28"/>
      <c r="F19458" s="28"/>
      <c r="H19458" s="28"/>
    </row>
    <row r="19459" spans="4:8" x14ac:dyDescent="0.25">
      <c r="D19459" s="28"/>
      <c r="F19459" s="28"/>
      <c r="H19459" s="28"/>
    </row>
    <row r="19460" spans="4:8" x14ac:dyDescent="0.25">
      <c r="D19460" s="28"/>
      <c r="F19460" s="28"/>
      <c r="H19460" s="28"/>
    </row>
    <row r="19461" spans="4:8" x14ac:dyDescent="0.25">
      <c r="D19461" s="28"/>
      <c r="F19461" s="28"/>
      <c r="H19461" s="28"/>
    </row>
    <row r="19462" spans="4:8" x14ac:dyDescent="0.25">
      <c r="D19462" s="28"/>
      <c r="F19462" s="28"/>
      <c r="H19462" s="28"/>
    </row>
    <row r="19463" spans="4:8" x14ac:dyDescent="0.25">
      <c r="D19463" s="28"/>
      <c r="F19463" s="28"/>
      <c r="H19463" s="28"/>
    </row>
    <row r="19464" spans="4:8" x14ac:dyDescent="0.25">
      <c r="D19464" s="28"/>
      <c r="F19464" s="28"/>
      <c r="H19464" s="28"/>
    </row>
    <row r="19465" spans="4:8" x14ac:dyDescent="0.25">
      <c r="D19465" s="28"/>
      <c r="F19465" s="28"/>
      <c r="H19465" s="28"/>
    </row>
    <row r="19466" spans="4:8" x14ac:dyDescent="0.25">
      <c r="D19466" s="28"/>
      <c r="F19466" s="28"/>
      <c r="H19466" s="28"/>
    </row>
    <row r="19467" spans="4:8" x14ac:dyDescent="0.25">
      <c r="D19467" s="28"/>
      <c r="F19467" s="28"/>
      <c r="H19467" s="28"/>
    </row>
    <row r="19468" spans="4:8" x14ac:dyDescent="0.25">
      <c r="D19468" s="28"/>
      <c r="F19468" s="28"/>
      <c r="H19468" s="28"/>
    </row>
    <row r="19469" spans="4:8" x14ac:dyDescent="0.25">
      <c r="D19469" s="28"/>
      <c r="F19469" s="28"/>
      <c r="H19469" s="28"/>
    </row>
    <row r="19470" spans="4:8" x14ac:dyDescent="0.25">
      <c r="D19470" s="28"/>
      <c r="F19470" s="28"/>
      <c r="H19470" s="28"/>
    </row>
    <row r="19471" spans="4:8" x14ac:dyDescent="0.25">
      <c r="D19471" s="28"/>
      <c r="F19471" s="28"/>
      <c r="H19471" s="28"/>
    </row>
    <row r="19472" spans="4:8" x14ac:dyDescent="0.25">
      <c r="D19472" s="28"/>
      <c r="F19472" s="28"/>
      <c r="H19472" s="28"/>
    </row>
    <row r="19473" spans="4:8" x14ac:dyDescent="0.25">
      <c r="D19473" s="28"/>
      <c r="F19473" s="28"/>
      <c r="H19473" s="28"/>
    </row>
    <row r="19474" spans="4:8" x14ac:dyDescent="0.25">
      <c r="D19474" s="28"/>
      <c r="F19474" s="28"/>
      <c r="H19474" s="28"/>
    </row>
    <row r="19475" spans="4:8" x14ac:dyDescent="0.25">
      <c r="D19475" s="28"/>
      <c r="F19475" s="28"/>
      <c r="H19475" s="28"/>
    </row>
    <row r="19476" spans="4:8" x14ac:dyDescent="0.25">
      <c r="D19476" s="28"/>
      <c r="F19476" s="28"/>
      <c r="H19476" s="28"/>
    </row>
    <row r="19477" spans="4:8" x14ac:dyDescent="0.25">
      <c r="D19477" s="28"/>
      <c r="F19477" s="28"/>
      <c r="H19477" s="28"/>
    </row>
    <row r="19478" spans="4:8" x14ac:dyDescent="0.25">
      <c r="D19478" s="28"/>
      <c r="F19478" s="28"/>
      <c r="H19478" s="28"/>
    </row>
    <row r="19479" spans="4:8" x14ac:dyDescent="0.25">
      <c r="D19479" s="28"/>
      <c r="F19479" s="28"/>
      <c r="H19479" s="28"/>
    </row>
    <row r="19480" spans="4:8" x14ac:dyDescent="0.25">
      <c r="D19480" s="28"/>
      <c r="F19480" s="28"/>
      <c r="H19480" s="28"/>
    </row>
    <row r="19481" spans="4:8" x14ac:dyDescent="0.25">
      <c r="D19481" s="28"/>
      <c r="F19481" s="28"/>
      <c r="H19481" s="28"/>
    </row>
    <row r="19482" spans="4:8" x14ac:dyDescent="0.25">
      <c r="D19482" s="28"/>
      <c r="F19482" s="28"/>
      <c r="H19482" s="28"/>
    </row>
    <row r="19483" spans="4:8" x14ac:dyDescent="0.25">
      <c r="D19483" s="28"/>
      <c r="F19483" s="28"/>
      <c r="H19483" s="28"/>
    </row>
    <row r="19484" spans="4:8" x14ac:dyDescent="0.25">
      <c r="D19484" s="28"/>
      <c r="F19484" s="28"/>
      <c r="H19484" s="28"/>
    </row>
    <row r="19485" spans="4:8" x14ac:dyDescent="0.25">
      <c r="D19485" s="28"/>
      <c r="F19485" s="28"/>
      <c r="H19485" s="28"/>
    </row>
    <row r="19486" spans="4:8" x14ac:dyDescent="0.25">
      <c r="D19486" s="28"/>
      <c r="F19486" s="28"/>
      <c r="H19486" s="28"/>
    </row>
    <row r="19487" spans="4:8" x14ac:dyDescent="0.25">
      <c r="D19487" s="28"/>
      <c r="F19487" s="28"/>
      <c r="H19487" s="28"/>
    </row>
    <row r="19488" spans="4:8" x14ac:dyDescent="0.25">
      <c r="D19488" s="28"/>
      <c r="F19488" s="28"/>
      <c r="H19488" s="28"/>
    </row>
    <row r="19489" spans="4:8" x14ac:dyDescent="0.25">
      <c r="D19489" s="28"/>
      <c r="F19489" s="28"/>
      <c r="H19489" s="28"/>
    </row>
    <row r="19490" spans="4:8" x14ac:dyDescent="0.25">
      <c r="D19490" s="28"/>
      <c r="F19490" s="28"/>
      <c r="H19490" s="28"/>
    </row>
    <row r="19491" spans="4:8" x14ac:dyDescent="0.25">
      <c r="D19491" s="28"/>
      <c r="F19491" s="28"/>
      <c r="H19491" s="28"/>
    </row>
    <row r="19492" spans="4:8" x14ac:dyDescent="0.25">
      <c r="D19492" s="28"/>
      <c r="F19492" s="28"/>
      <c r="H19492" s="28"/>
    </row>
    <row r="19493" spans="4:8" x14ac:dyDescent="0.25">
      <c r="D19493" s="28"/>
      <c r="F19493" s="28"/>
      <c r="H19493" s="28"/>
    </row>
    <row r="19494" spans="4:8" x14ac:dyDescent="0.25">
      <c r="D19494" s="28"/>
      <c r="F19494" s="28"/>
      <c r="H19494" s="28"/>
    </row>
    <row r="19495" spans="4:8" x14ac:dyDescent="0.25">
      <c r="D19495" s="28"/>
      <c r="F19495" s="28"/>
      <c r="H19495" s="28"/>
    </row>
    <row r="19496" spans="4:8" x14ac:dyDescent="0.25">
      <c r="D19496" s="28"/>
      <c r="F19496" s="28"/>
      <c r="H19496" s="28"/>
    </row>
    <row r="19497" spans="4:8" x14ac:dyDescent="0.25">
      <c r="D19497" s="28"/>
      <c r="F19497" s="28"/>
      <c r="H19497" s="28"/>
    </row>
    <row r="19498" spans="4:8" x14ac:dyDescent="0.25">
      <c r="D19498" s="28"/>
      <c r="F19498" s="28"/>
      <c r="H19498" s="28"/>
    </row>
    <row r="19499" spans="4:8" x14ac:dyDescent="0.25">
      <c r="D19499" s="28"/>
      <c r="F19499" s="28"/>
      <c r="H19499" s="28"/>
    </row>
    <row r="19500" spans="4:8" x14ac:dyDescent="0.25">
      <c r="D19500" s="28"/>
      <c r="F19500" s="28"/>
      <c r="H19500" s="28"/>
    </row>
    <row r="19501" spans="4:8" x14ac:dyDescent="0.25">
      <c r="D19501" s="28"/>
      <c r="F19501" s="28"/>
      <c r="H19501" s="28"/>
    </row>
    <row r="19502" spans="4:8" x14ac:dyDescent="0.25">
      <c r="D19502" s="28"/>
      <c r="F19502" s="28"/>
      <c r="H19502" s="28"/>
    </row>
    <row r="19503" spans="4:8" x14ac:dyDescent="0.25">
      <c r="D19503" s="28"/>
      <c r="F19503" s="28"/>
      <c r="H19503" s="28"/>
    </row>
    <row r="19504" spans="4:8" x14ac:dyDescent="0.25">
      <c r="D19504" s="28"/>
      <c r="F19504" s="28"/>
      <c r="H19504" s="28"/>
    </row>
    <row r="19505" spans="4:8" x14ac:dyDescent="0.25">
      <c r="D19505" s="28"/>
      <c r="F19505" s="28"/>
      <c r="H19505" s="28"/>
    </row>
    <row r="19506" spans="4:8" x14ac:dyDescent="0.25">
      <c r="D19506" s="28"/>
      <c r="F19506" s="28"/>
      <c r="H19506" s="28"/>
    </row>
    <row r="19507" spans="4:8" x14ac:dyDescent="0.25">
      <c r="D19507" s="28"/>
      <c r="F19507" s="28"/>
      <c r="H19507" s="28"/>
    </row>
    <row r="19508" spans="4:8" x14ac:dyDescent="0.25">
      <c r="D19508" s="28"/>
      <c r="F19508" s="28"/>
      <c r="H19508" s="28"/>
    </row>
    <row r="19509" spans="4:8" x14ac:dyDescent="0.25">
      <c r="D19509" s="28"/>
      <c r="F19509" s="28"/>
      <c r="H19509" s="28"/>
    </row>
    <row r="19510" spans="4:8" x14ac:dyDescent="0.25">
      <c r="D19510" s="28"/>
      <c r="F19510" s="28"/>
      <c r="H19510" s="28"/>
    </row>
    <row r="19511" spans="4:8" x14ac:dyDescent="0.25">
      <c r="D19511" s="28"/>
      <c r="F19511" s="28"/>
      <c r="H19511" s="28"/>
    </row>
    <row r="19512" spans="4:8" x14ac:dyDescent="0.25">
      <c r="D19512" s="28"/>
      <c r="F19512" s="28"/>
      <c r="H19512" s="28"/>
    </row>
    <row r="19513" spans="4:8" x14ac:dyDescent="0.25">
      <c r="D19513" s="28"/>
      <c r="F19513" s="28"/>
      <c r="H19513" s="28"/>
    </row>
    <row r="19514" spans="4:8" x14ac:dyDescent="0.25">
      <c r="D19514" s="28"/>
      <c r="F19514" s="28"/>
      <c r="H19514" s="28"/>
    </row>
    <row r="19515" spans="4:8" x14ac:dyDescent="0.25">
      <c r="D19515" s="28"/>
      <c r="F19515" s="28"/>
      <c r="H19515" s="28"/>
    </row>
    <row r="19516" spans="4:8" x14ac:dyDescent="0.25">
      <c r="D19516" s="28"/>
      <c r="F19516" s="28"/>
      <c r="H19516" s="28"/>
    </row>
    <row r="19517" spans="4:8" x14ac:dyDescent="0.25">
      <c r="D19517" s="28"/>
      <c r="F19517" s="28"/>
      <c r="H19517" s="28"/>
    </row>
    <row r="19518" spans="4:8" x14ac:dyDescent="0.25">
      <c r="D19518" s="28"/>
      <c r="F19518" s="28"/>
      <c r="H19518" s="28"/>
    </row>
    <row r="19519" spans="4:8" x14ac:dyDescent="0.25">
      <c r="D19519" s="28"/>
      <c r="F19519" s="28"/>
      <c r="H19519" s="28"/>
    </row>
    <row r="19520" spans="4:8" x14ac:dyDescent="0.25">
      <c r="D19520" s="28"/>
      <c r="F19520" s="28"/>
      <c r="H19520" s="28"/>
    </row>
    <row r="19521" spans="4:8" x14ac:dyDescent="0.25">
      <c r="D19521" s="28"/>
      <c r="F19521" s="28"/>
      <c r="H19521" s="28"/>
    </row>
    <row r="19522" spans="4:8" x14ac:dyDescent="0.25">
      <c r="D19522" s="28"/>
      <c r="F19522" s="28"/>
      <c r="H19522" s="28"/>
    </row>
    <row r="19523" spans="4:8" x14ac:dyDescent="0.25">
      <c r="D19523" s="28"/>
      <c r="F19523" s="28"/>
      <c r="H19523" s="28"/>
    </row>
    <row r="19524" spans="4:8" x14ac:dyDescent="0.25">
      <c r="D19524" s="28"/>
      <c r="F19524" s="28"/>
      <c r="H19524" s="28"/>
    </row>
    <row r="19525" spans="4:8" x14ac:dyDescent="0.25">
      <c r="D19525" s="28"/>
      <c r="F19525" s="28"/>
      <c r="H19525" s="28"/>
    </row>
    <row r="19526" spans="4:8" x14ac:dyDescent="0.25">
      <c r="D19526" s="28"/>
      <c r="F19526" s="28"/>
      <c r="H19526" s="28"/>
    </row>
    <row r="19527" spans="4:8" x14ac:dyDescent="0.25">
      <c r="D19527" s="28"/>
      <c r="F19527" s="28"/>
      <c r="H19527" s="28"/>
    </row>
    <row r="19528" spans="4:8" x14ac:dyDescent="0.25">
      <c r="D19528" s="28"/>
      <c r="F19528" s="28"/>
      <c r="H19528" s="28"/>
    </row>
    <row r="19529" spans="4:8" x14ac:dyDescent="0.25">
      <c r="D19529" s="28"/>
      <c r="F19529" s="28"/>
      <c r="H19529" s="28"/>
    </row>
    <row r="19530" spans="4:8" x14ac:dyDescent="0.25">
      <c r="D19530" s="28"/>
      <c r="F19530" s="28"/>
      <c r="H19530" s="28"/>
    </row>
    <row r="19531" spans="4:8" x14ac:dyDescent="0.25">
      <c r="D19531" s="28"/>
      <c r="F19531" s="28"/>
      <c r="H19531" s="28"/>
    </row>
    <row r="19532" spans="4:8" x14ac:dyDescent="0.25">
      <c r="D19532" s="28"/>
      <c r="F19532" s="28"/>
      <c r="H19532" s="28"/>
    </row>
    <row r="19533" spans="4:8" x14ac:dyDescent="0.25">
      <c r="D19533" s="28"/>
      <c r="F19533" s="28"/>
      <c r="H19533" s="28"/>
    </row>
    <row r="19534" spans="4:8" x14ac:dyDescent="0.25">
      <c r="D19534" s="28"/>
      <c r="F19534" s="28"/>
      <c r="H19534" s="28"/>
    </row>
    <row r="19535" spans="4:8" x14ac:dyDescent="0.25">
      <c r="D19535" s="28"/>
      <c r="F19535" s="28"/>
      <c r="H19535" s="28"/>
    </row>
    <row r="19536" spans="4:8" x14ac:dyDescent="0.25">
      <c r="D19536" s="28"/>
      <c r="F19536" s="28"/>
      <c r="H19536" s="28"/>
    </row>
    <row r="19537" spans="4:8" x14ac:dyDescent="0.25">
      <c r="D19537" s="28"/>
      <c r="F19537" s="28"/>
      <c r="H19537" s="28"/>
    </row>
    <row r="19538" spans="4:8" x14ac:dyDescent="0.25">
      <c r="D19538" s="28"/>
      <c r="F19538" s="28"/>
      <c r="H19538" s="28"/>
    </row>
    <row r="19539" spans="4:8" x14ac:dyDescent="0.25">
      <c r="D19539" s="28"/>
      <c r="F19539" s="28"/>
      <c r="H19539" s="28"/>
    </row>
    <row r="19540" spans="4:8" x14ac:dyDescent="0.25">
      <c r="D19540" s="28"/>
      <c r="F19540" s="28"/>
      <c r="H19540" s="28"/>
    </row>
    <row r="19541" spans="4:8" x14ac:dyDescent="0.25">
      <c r="D19541" s="28"/>
      <c r="F19541" s="28"/>
      <c r="H19541" s="28"/>
    </row>
    <row r="19542" spans="4:8" x14ac:dyDescent="0.25">
      <c r="D19542" s="28"/>
      <c r="F19542" s="28"/>
      <c r="H19542" s="28"/>
    </row>
    <row r="19543" spans="4:8" x14ac:dyDescent="0.25">
      <c r="D19543" s="28"/>
      <c r="F19543" s="28"/>
      <c r="H19543" s="28"/>
    </row>
    <row r="19544" spans="4:8" x14ac:dyDescent="0.25">
      <c r="D19544" s="28"/>
      <c r="F19544" s="28"/>
      <c r="H19544" s="28"/>
    </row>
    <row r="19545" spans="4:8" x14ac:dyDescent="0.25">
      <c r="D19545" s="28"/>
      <c r="F19545" s="28"/>
      <c r="H19545" s="28"/>
    </row>
    <row r="19546" spans="4:8" x14ac:dyDescent="0.25">
      <c r="D19546" s="28"/>
      <c r="F19546" s="28"/>
      <c r="H19546" s="28"/>
    </row>
    <row r="19547" spans="4:8" x14ac:dyDescent="0.25">
      <c r="D19547" s="28"/>
      <c r="F19547" s="28"/>
      <c r="H19547" s="28"/>
    </row>
    <row r="19548" spans="4:8" x14ac:dyDescent="0.25">
      <c r="D19548" s="28"/>
      <c r="F19548" s="28"/>
      <c r="H19548" s="28"/>
    </row>
    <row r="19549" spans="4:8" x14ac:dyDescent="0.25">
      <c r="D19549" s="28"/>
      <c r="F19549" s="28"/>
      <c r="H19549" s="28"/>
    </row>
    <row r="19550" spans="4:8" x14ac:dyDescent="0.25">
      <c r="D19550" s="28"/>
      <c r="F19550" s="28"/>
      <c r="H19550" s="28"/>
    </row>
    <row r="19551" spans="4:8" x14ac:dyDescent="0.25">
      <c r="D19551" s="28"/>
      <c r="F19551" s="28"/>
      <c r="H19551" s="28"/>
    </row>
    <row r="19552" spans="4:8" x14ac:dyDescent="0.25">
      <c r="D19552" s="28"/>
      <c r="F19552" s="28"/>
      <c r="H19552" s="28"/>
    </row>
    <row r="19553" spans="4:8" x14ac:dyDescent="0.25">
      <c r="D19553" s="28"/>
      <c r="F19553" s="28"/>
      <c r="H19553" s="28"/>
    </row>
    <row r="19554" spans="4:8" x14ac:dyDescent="0.25">
      <c r="D19554" s="28"/>
      <c r="F19554" s="28"/>
      <c r="H19554" s="28"/>
    </row>
    <row r="19555" spans="4:8" x14ac:dyDescent="0.25">
      <c r="D19555" s="28"/>
      <c r="F19555" s="28"/>
      <c r="H19555" s="28"/>
    </row>
    <row r="19556" spans="4:8" x14ac:dyDescent="0.25">
      <c r="D19556" s="28"/>
      <c r="F19556" s="28"/>
      <c r="H19556" s="28"/>
    </row>
    <row r="19557" spans="4:8" x14ac:dyDescent="0.25">
      <c r="D19557" s="28"/>
      <c r="F19557" s="28"/>
      <c r="H19557" s="28"/>
    </row>
    <row r="19558" spans="4:8" x14ac:dyDescent="0.25">
      <c r="D19558" s="28"/>
      <c r="F19558" s="28"/>
      <c r="H19558" s="28"/>
    </row>
    <row r="19559" spans="4:8" x14ac:dyDescent="0.25">
      <c r="D19559" s="28"/>
      <c r="F19559" s="28"/>
      <c r="H19559" s="28"/>
    </row>
    <row r="19560" spans="4:8" x14ac:dyDescent="0.25">
      <c r="D19560" s="28"/>
      <c r="F19560" s="28"/>
      <c r="H19560" s="28"/>
    </row>
    <row r="19561" spans="4:8" x14ac:dyDescent="0.25">
      <c r="D19561" s="28"/>
      <c r="F19561" s="28"/>
      <c r="H19561" s="28"/>
    </row>
    <row r="19562" spans="4:8" x14ac:dyDescent="0.25">
      <c r="D19562" s="28"/>
      <c r="F19562" s="28"/>
      <c r="H19562" s="28"/>
    </row>
    <row r="19563" spans="4:8" x14ac:dyDescent="0.25">
      <c r="D19563" s="28"/>
      <c r="F19563" s="28"/>
      <c r="H19563" s="28"/>
    </row>
    <row r="19564" spans="4:8" x14ac:dyDescent="0.25">
      <c r="D19564" s="28"/>
      <c r="F19564" s="28"/>
      <c r="H19564" s="28"/>
    </row>
    <row r="19565" spans="4:8" x14ac:dyDescent="0.25">
      <c r="D19565" s="28"/>
      <c r="F19565" s="28"/>
      <c r="H19565" s="28"/>
    </row>
    <row r="19566" spans="4:8" x14ac:dyDescent="0.25">
      <c r="D19566" s="28"/>
      <c r="F19566" s="28"/>
      <c r="H19566" s="28"/>
    </row>
    <row r="19567" spans="4:8" x14ac:dyDescent="0.25">
      <c r="D19567" s="28"/>
      <c r="F19567" s="28"/>
      <c r="H19567" s="28"/>
    </row>
    <row r="19568" spans="4:8" x14ac:dyDescent="0.25">
      <c r="D19568" s="28"/>
      <c r="F19568" s="28"/>
      <c r="H19568" s="28"/>
    </row>
    <row r="19569" spans="4:8" x14ac:dyDescent="0.25">
      <c r="D19569" s="28"/>
      <c r="F19569" s="28"/>
      <c r="H19569" s="28"/>
    </row>
    <row r="19570" spans="4:8" x14ac:dyDescent="0.25">
      <c r="D19570" s="28"/>
      <c r="F19570" s="28"/>
      <c r="H19570" s="28"/>
    </row>
    <row r="19571" spans="4:8" x14ac:dyDescent="0.25">
      <c r="D19571" s="28"/>
      <c r="F19571" s="28"/>
      <c r="H19571" s="28"/>
    </row>
    <row r="19572" spans="4:8" x14ac:dyDescent="0.25">
      <c r="D19572" s="28"/>
      <c r="F19572" s="28"/>
      <c r="H19572" s="28"/>
    </row>
    <row r="19573" spans="4:8" x14ac:dyDescent="0.25">
      <c r="D19573" s="28"/>
      <c r="F19573" s="28"/>
      <c r="H19573" s="28"/>
    </row>
    <row r="19574" spans="4:8" x14ac:dyDescent="0.25">
      <c r="D19574" s="28"/>
      <c r="F19574" s="28"/>
      <c r="H19574" s="28"/>
    </row>
    <row r="19575" spans="4:8" x14ac:dyDescent="0.25">
      <c r="D19575" s="28"/>
      <c r="F19575" s="28"/>
      <c r="H19575" s="28"/>
    </row>
    <row r="19576" spans="4:8" x14ac:dyDescent="0.25">
      <c r="D19576" s="28"/>
      <c r="F19576" s="28"/>
      <c r="H19576" s="28"/>
    </row>
    <row r="19577" spans="4:8" x14ac:dyDescent="0.25">
      <c r="D19577" s="28"/>
      <c r="F19577" s="28"/>
      <c r="H19577" s="28"/>
    </row>
    <row r="19578" spans="4:8" x14ac:dyDescent="0.25">
      <c r="D19578" s="28"/>
      <c r="F19578" s="28"/>
      <c r="H19578" s="28"/>
    </row>
    <row r="19579" spans="4:8" x14ac:dyDescent="0.25">
      <c r="D19579" s="28"/>
      <c r="F19579" s="28"/>
      <c r="H19579" s="28"/>
    </row>
    <row r="19580" spans="4:8" x14ac:dyDescent="0.25">
      <c r="D19580" s="28"/>
      <c r="F19580" s="28"/>
      <c r="H19580" s="28"/>
    </row>
    <row r="19581" spans="4:8" x14ac:dyDescent="0.25">
      <c r="D19581" s="28"/>
      <c r="F19581" s="28"/>
      <c r="H19581" s="28"/>
    </row>
    <row r="19582" spans="4:8" x14ac:dyDescent="0.25">
      <c r="D19582" s="28"/>
      <c r="F19582" s="28"/>
      <c r="H19582" s="28"/>
    </row>
    <row r="19583" spans="4:8" x14ac:dyDescent="0.25">
      <c r="D19583" s="28"/>
      <c r="F19583" s="28"/>
      <c r="H19583" s="28"/>
    </row>
    <row r="19584" spans="4:8" x14ac:dyDescent="0.25">
      <c r="D19584" s="28"/>
      <c r="F19584" s="28"/>
      <c r="H19584" s="28"/>
    </row>
    <row r="19585" spans="4:8" x14ac:dyDescent="0.25">
      <c r="D19585" s="28"/>
      <c r="F19585" s="28"/>
      <c r="H19585" s="28"/>
    </row>
    <row r="19586" spans="4:8" x14ac:dyDescent="0.25">
      <c r="D19586" s="28"/>
      <c r="F19586" s="28"/>
      <c r="H19586" s="28"/>
    </row>
    <row r="19587" spans="4:8" x14ac:dyDescent="0.25">
      <c r="D19587" s="28"/>
      <c r="F19587" s="28"/>
      <c r="H19587" s="28"/>
    </row>
    <row r="19588" spans="4:8" x14ac:dyDescent="0.25">
      <c r="D19588" s="28"/>
      <c r="F19588" s="28"/>
      <c r="H19588" s="28"/>
    </row>
    <row r="19589" spans="4:8" x14ac:dyDescent="0.25">
      <c r="D19589" s="28"/>
      <c r="F19589" s="28"/>
      <c r="H19589" s="28"/>
    </row>
    <row r="19590" spans="4:8" x14ac:dyDescent="0.25">
      <c r="D19590" s="28"/>
      <c r="F19590" s="28"/>
      <c r="H19590" s="28"/>
    </row>
    <row r="19591" spans="4:8" x14ac:dyDescent="0.25">
      <c r="D19591" s="28"/>
      <c r="F19591" s="28"/>
      <c r="H19591" s="28"/>
    </row>
    <row r="19592" spans="4:8" x14ac:dyDescent="0.25">
      <c r="D19592" s="28"/>
      <c r="F19592" s="28"/>
      <c r="H19592" s="28"/>
    </row>
    <row r="19593" spans="4:8" x14ac:dyDescent="0.25">
      <c r="D19593" s="28"/>
      <c r="F19593" s="28"/>
      <c r="H19593" s="28"/>
    </row>
    <row r="19594" spans="4:8" x14ac:dyDescent="0.25">
      <c r="D19594" s="28"/>
      <c r="F19594" s="28"/>
      <c r="H19594" s="28"/>
    </row>
    <row r="19595" spans="4:8" x14ac:dyDescent="0.25">
      <c r="D19595" s="28"/>
      <c r="F19595" s="28"/>
      <c r="H19595" s="28"/>
    </row>
    <row r="19596" spans="4:8" x14ac:dyDescent="0.25">
      <c r="D19596" s="28"/>
      <c r="F19596" s="28"/>
      <c r="H19596" s="28"/>
    </row>
    <row r="19597" spans="4:8" x14ac:dyDescent="0.25">
      <c r="D19597" s="28"/>
      <c r="F19597" s="28"/>
      <c r="H19597" s="28"/>
    </row>
    <row r="19598" spans="4:8" x14ac:dyDescent="0.25">
      <c r="D19598" s="28"/>
      <c r="F19598" s="28"/>
      <c r="H19598" s="28"/>
    </row>
    <row r="19599" spans="4:8" x14ac:dyDescent="0.25">
      <c r="D19599" s="28"/>
      <c r="F19599" s="28"/>
      <c r="H19599" s="28"/>
    </row>
    <row r="19600" spans="4:8" x14ac:dyDescent="0.25">
      <c r="D19600" s="28"/>
      <c r="F19600" s="28"/>
      <c r="H19600" s="28"/>
    </row>
    <row r="19601" spans="4:8" x14ac:dyDescent="0.25">
      <c r="D19601" s="28"/>
      <c r="F19601" s="28"/>
      <c r="H19601" s="28"/>
    </row>
    <row r="19602" spans="4:8" x14ac:dyDescent="0.25">
      <c r="D19602" s="28"/>
      <c r="F19602" s="28"/>
      <c r="H19602" s="28"/>
    </row>
    <row r="19603" spans="4:8" x14ac:dyDescent="0.25">
      <c r="D19603" s="28"/>
      <c r="F19603" s="28"/>
      <c r="H19603" s="28"/>
    </row>
    <row r="19604" spans="4:8" x14ac:dyDescent="0.25">
      <c r="D19604" s="28"/>
      <c r="F19604" s="28"/>
      <c r="H19604" s="28"/>
    </row>
    <row r="19605" spans="4:8" x14ac:dyDescent="0.25">
      <c r="D19605" s="28"/>
      <c r="F19605" s="28"/>
      <c r="H19605" s="28"/>
    </row>
    <row r="19606" spans="4:8" x14ac:dyDescent="0.25">
      <c r="D19606" s="28"/>
      <c r="F19606" s="28"/>
      <c r="H19606" s="28"/>
    </row>
    <row r="19607" spans="4:8" x14ac:dyDescent="0.25">
      <c r="D19607" s="28"/>
      <c r="F19607" s="28"/>
      <c r="H19607" s="28"/>
    </row>
    <row r="19608" spans="4:8" x14ac:dyDescent="0.25">
      <c r="D19608" s="28"/>
      <c r="F19608" s="28"/>
      <c r="H19608" s="28"/>
    </row>
    <row r="19609" spans="4:8" x14ac:dyDescent="0.25">
      <c r="D19609" s="28"/>
      <c r="F19609" s="28"/>
      <c r="H19609" s="28"/>
    </row>
    <row r="19610" spans="4:8" x14ac:dyDescent="0.25">
      <c r="D19610" s="28"/>
      <c r="F19610" s="28"/>
      <c r="H19610" s="28"/>
    </row>
    <row r="19611" spans="4:8" x14ac:dyDescent="0.25">
      <c r="D19611" s="28"/>
      <c r="F19611" s="28"/>
      <c r="H19611" s="28"/>
    </row>
    <row r="19612" spans="4:8" x14ac:dyDescent="0.25">
      <c r="D19612" s="28"/>
      <c r="F19612" s="28"/>
      <c r="H19612" s="28"/>
    </row>
    <row r="19613" spans="4:8" x14ac:dyDescent="0.25">
      <c r="D19613" s="28"/>
      <c r="F19613" s="28"/>
      <c r="H19613" s="28"/>
    </row>
    <row r="19614" spans="4:8" x14ac:dyDescent="0.25">
      <c r="D19614" s="28"/>
      <c r="F19614" s="28"/>
      <c r="H19614" s="28"/>
    </row>
    <row r="19615" spans="4:8" x14ac:dyDescent="0.25">
      <c r="D19615" s="28"/>
      <c r="F19615" s="28"/>
      <c r="H19615" s="28"/>
    </row>
    <row r="19616" spans="4:8" x14ac:dyDescent="0.25">
      <c r="D19616" s="28"/>
      <c r="F19616" s="28"/>
      <c r="H19616" s="28"/>
    </row>
    <row r="19617" spans="4:8" x14ac:dyDescent="0.25">
      <c r="D19617" s="28"/>
      <c r="F19617" s="28"/>
      <c r="H19617" s="28"/>
    </row>
    <row r="19618" spans="4:8" x14ac:dyDescent="0.25">
      <c r="D19618" s="28"/>
      <c r="F19618" s="28"/>
      <c r="H19618" s="28"/>
    </row>
    <row r="19619" spans="4:8" x14ac:dyDescent="0.25">
      <c r="D19619" s="28"/>
      <c r="F19619" s="28"/>
      <c r="H19619" s="28"/>
    </row>
    <row r="19620" spans="4:8" x14ac:dyDescent="0.25">
      <c r="D19620" s="28"/>
      <c r="F19620" s="28"/>
      <c r="H19620" s="28"/>
    </row>
    <row r="19621" spans="4:8" x14ac:dyDescent="0.25">
      <c r="D19621" s="28"/>
      <c r="F19621" s="28"/>
      <c r="H19621" s="28"/>
    </row>
    <row r="19622" spans="4:8" x14ac:dyDescent="0.25">
      <c r="D19622" s="28"/>
      <c r="F19622" s="28"/>
      <c r="H19622" s="28"/>
    </row>
    <row r="19623" spans="4:8" x14ac:dyDescent="0.25">
      <c r="D19623" s="28"/>
      <c r="F19623" s="28"/>
      <c r="H19623" s="28"/>
    </row>
    <row r="19624" spans="4:8" x14ac:dyDescent="0.25">
      <c r="D19624" s="28"/>
      <c r="F19624" s="28"/>
      <c r="H19624" s="28"/>
    </row>
    <row r="19625" spans="4:8" x14ac:dyDescent="0.25">
      <c r="D19625" s="28"/>
      <c r="F19625" s="28"/>
      <c r="H19625" s="28"/>
    </row>
    <row r="19626" spans="4:8" x14ac:dyDescent="0.25">
      <c r="D19626" s="28"/>
      <c r="F19626" s="28"/>
      <c r="H19626" s="28"/>
    </row>
    <row r="19627" spans="4:8" x14ac:dyDescent="0.25">
      <c r="D19627" s="28"/>
      <c r="F19627" s="28"/>
      <c r="H19627" s="28"/>
    </row>
    <row r="19628" spans="4:8" x14ac:dyDescent="0.25">
      <c r="D19628" s="28"/>
      <c r="F19628" s="28"/>
      <c r="H19628" s="28"/>
    </row>
    <row r="19629" spans="4:8" x14ac:dyDescent="0.25">
      <c r="D19629" s="28"/>
      <c r="F19629" s="28"/>
      <c r="H19629" s="28"/>
    </row>
    <row r="19630" spans="4:8" x14ac:dyDescent="0.25">
      <c r="D19630" s="28"/>
      <c r="F19630" s="28"/>
      <c r="H19630" s="28"/>
    </row>
    <row r="19631" spans="4:8" x14ac:dyDescent="0.25">
      <c r="D19631" s="28"/>
      <c r="F19631" s="28"/>
      <c r="H19631" s="28"/>
    </row>
    <row r="19632" spans="4:8" x14ac:dyDescent="0.25">
      <c r="D19632" s="28"/>
      <c r="F19632" s="28"/>
      <c r="H19632" s="28"/>
    </row>
    <row r="19633" spans="4:8" x14ac:dyDescent="0.25">
      <c r="D19633" s="28"/>
      <c r="F19633" s="28"/>
      <c r="H19633" s="28"/>
    </row>
    <row r="19634" spans="4:8" x14ac:dyDescent="0.25">
      <c r="D19634" s="28"/>
      <c r="F19634" s="28"/>
      <c r="H19634" s="28"/>
    </row>
    <row r="19635" spans="4:8" x14ac:dyDescent="0.25">
      <c r="D19635" s="28"/>
      <c r="F19635" s="28"/>
      <c r="H19635" s="28"/>
    </row>
    <row r="19636" spans="4:8" x14ac:dyDescent="0.25">
      <c r="D19636" s="28"/>
      <c r="F19636" s="28"/>
      <c r="H19636" s="28"/>
    </row>
    <row r="19637" spans="4:8" x14ac:dyDescent="0.25">
      <c r="D19637" s="28"/>
      <c r="F19637" s="28"/>
      <c r="H19637" s="28"/>
    </row>
    <row r="19638" spans="4:8" x14ac:dyDescent="0.25">
      <c r="D19638" s="28"/>
      <c r="F19638" s="28"/>
      <c r="H19638" s="28"/>
    </row>
    <row r="19639" spans="4:8" x14ac:dyDescent="0.25">
      <c r="D19639" s="28"/>
      <c r="F19639" s="28"/>
      <c r="H19639" s="28"/>
    </row>
    <row r="19640" spans="4:8" x14ac:dyDescent="0.25">
      <c r="D19640" s="28"/>
      <c r="F19640" s="28"/>
      <c r="H19640" s="28"/>
    </row>
    <row r="19641" spans="4:8" x14ac:dyDescent="0.25">
      <c r="D19641" s="28"/>
      <c r="F19641" s="28"/>
      <c r="H19641" s="28"/>
    </row>
    <row r="19642" spans="4:8" x14ac:dyDescent="0.25">
      <c r="D19642" s="28"/>
      <c r="F19642" s="28"/>
      <c r="H19642" s="28"/>
    </row>
    <row r="19643" spans="4:8" x14ac:dyDescent="0.25">
      <c r="D19643" s="28"/>
      <c r="F19643" s="28"/>
      <c r="H19643" s="28"/>
    </row>
    <row r="19644" spans="4:8" x14ac:dyDescent="0.25">
      <c r="D19644" s="28"/>
      <c r="F19644" s="28"/>
      <c r="H19644" s="28"/>
    </row>
    <row r="19645" spans="4:8" x14ac:dyDescent="0.25">
      <c r="D19645" s="28"/>
      <c r="F19645" s="28"/>
      <c r="H19645" s="28"/>
    </row>
    <row r="19646" spans="4:8" x14ac:dyDescent="0.25">
      <c r="D19646" s="28"/>
      <c r="F19646" s="28"/>
      <c r="H19646" s="28"/>
    </row>
    <row r="19647" spans="4:8" x14ac:dyDescent="0.25">
      <c r="D19647" s="28"/>
      <c r="F19647" s="28"/>
      <c r="H19647" s="28"/>
    </row>
    <row r="19648" spans="4:8" x14ac:dyDescent="0.25">
      <c r="D19648" s="28"/>
      <c r="F19648" s="28"/>
      <c r="H19648" s="28"/>
    </row>
    <row r="19649" spans="4:8" x14ac:dyDescent="0.25">
      <c r="D19649" s="28"/>
      <c r="F19649" s="28"/>
      <c r="H19649" s="28"/>
    </row>
    <row r="19650" spans="4:8" x14ac:dyDescent="0.25">
      <c r="D19650" s="28"/>
      <c r="F19650" s="28"/>
      <c r="H19650" s="28"/>
    </row>
    <row r="19651" spans="4:8" x14ac:dyDescent="0.25">
      <c r="D19651" s="28"/>
      <c r="F19651" s="28"/>
      <c r="H19651" s="28"/>
    </row>
    <row r="19652" spans="4:8" x14ac:dyDescent="0.25">
      <c r="D19652" s="28"/>
      <c r="F19652" s="28"/>
      <c r="H19652" s="28"/>
    </row>
    <row r="19653" spans="4:8" x14ac:dyDescent="0.25">
      <c r="D19653" s="28"/>
      <c r="F19653" s="28"/>
      <c r="H19653" s="28"/>
    </row>
    <row r="19654" spans="4:8" x14ac:dyDescent="0.25">
      <c r="D19654" s="28"/>
      <c r="F19654" s="28"/>
      <c r="H19654" s="28"/>
    </row>
    <row r="19655" spans="4:8" x14ac:dyDescent="0.25">
      <c r="D19655" s="28"/>
      <c r="F19655" s="28"/>
      <c r="H19655" s="28"/>
    </row>
    <row r="19656" spans="4:8" x14ac:dyDescent="0.25">
      <c r="D19656" s="28"/>
      <c r="F19656" s="28"/>
      <c r="H19656" s="28"/>
    </row>
    <row r="19657" spans="4:8" x14ac:dyDescent="0.25">
      <c r="D19657" s="28"/>
      <c r="F19657" s="28"/>
      <c r="H19657" s="28"/>
    </row>
    <row r="19658" spans="4:8" x14ac:dyDescent="0.25">
      <c r="D19658" s="28"/>
      <c r="F19658" s="28"/>
      <c r="H19658" s="28"/>
    </row>
    <row r="19659" spans="4:8" x14ac:dyDescent="0.25">
      <c r="D19659" s="28"/>
      <c r="F19659" s="28"/>
      <c r="H19659" s="28"/>
    </row>
    <row r="19660" spans="4:8" x14ac:dyDescent="0.25">
      <c r="D19660" s="28"/>
      <c r="F19660" s="28"/>
      <c r="H19660" s="28"/>
    </row>
    <row r="19661" spans="4:8" x14ac:dyDescent="0.25">
      <c r="D19661" s="28"/>
      <c r="F19661" s="28"/>
      <c r="H19661" s="28"/>
    </row>
    <row r="19662" spans="4:8" x14ac:dyDescent="0.25">
      <c r="D19662" s="28"/>
      <c r="F19662" s="28"/>
      <c r="H19662" s="28"/>
    </row>
    <row r="19663" spans="4:8" x14ac:dyDescent="0.25">
      <c r="D19663" s="28"/>
      <c r="F19663" s="28"/>
      <c r="H19663" s="28"/>
    </row>
    <row r="19664" spans="4:8" x14ac:dyDescent="0.25">
      <c r="D19664" s="28"/>
      <c r="F19664" s="28"/>
      <c r="H19664" s="28"/>
    </row>
    <row r="19665" spans="4:8" x14ac:dyDescent="0.25">
      <c r="D19665" s="28"/>
      <c r="F19665" s="28"/>
      <c r="H19665" s="28"/>
    </row>
    <row r="19666" spans="4:8" x14ac:dyDescent="0.25">
      <c r="D19666" s="28"/>
      <c r="F19666" s="28"/>
      <c r="H19666" s="28"/>
    </row>
    <row r="19667" spans="4:8" x14ac:dyDescent="0.25">
      <c r="D19667" s="28"/>
      <c r="F19667" s="28"/>
      <c r="H19667" s="28"/>
    </row>
    <row r="19668" spans="4:8" x14ac:dyDescent="0.25">
      <c r="D19668" s="28"/>
      <c r="F19668" s="28"/>
      <c r="H19668" s="28"/>
    </row>
    <row r="19669" spans="4:8" x14ac:dyDescent="0.25">
      <c r="D19669" s="28"/>
      <c r="F19669" s="28"/>
      <c r="H19669" s="28"/>
    </row>
    <row r="19670" spans="4:8" x14ac:dyDescent="0.25">
      <c r="D19670" s="28"/>
      <c r="F19670" s="28"/>
      <c r="H19670" s="28"/>
    </row>
    <row r="19671" spans="4:8" x14ac:dyDescent="0.25">
      <c r="D19671" s="28"/>
      <c r="F19671" s="28"/>
      <c r="H19671" s="28"/>
    </row>
    <row r="19672" spans="4:8" x14ac:dyDescent="0.25">
      <c r="D19672" s="28"/>
      <c r="F19672" s="28"/>
      <c r="H19672" s="28"/>
    </row>
    <row r="19673" spans="4:8" x14ac:dyDescent="0.25">
      <c r="D19673" s="28"/>
      <c r="F19673" s="28"/>
      <c r="H19673" s="28"/>
    </row>
    <row r="19674" spans="4:8" x14ac:dyDescent="0.25">
      <c r="D19674" s="28"/>
      <c r="F19674" s="28"/>
      <c r="H19674" s="28"/>
    </row>
    <row r="19675" spans="4:8" x14ac:dyDescent="0.25">
      <c r="D19675" s="28"/>
      <c r="F19675" s="28"/>
      <c r="H19675" s="28"/>
    </row>
    <row r="19676" spans="4:8" x14ac:dyDescent="0.25">
      <c r="D19676" s="28"/>
      <c r="F19676" s="28"/>
      <c r="H19676" s="28"/>
    </row>
    <row r="19677" spans="4:8" x14ac:dyDescent="0.25">
      <c r="D19677" s="28"/>
      <c r="F19677" s="28"/>
      <c r="H19677" s="28"/>
    </row>
    <row r="19678" spans="4:8" x14ac:dyDescent="0.25">
      <c r="D19678" s="28"/>
      <c r="F19678" s="28"/>
      <c r="H19678" s="28"/>
    </row>
    <row r="19679" spans="4:8" x14ac:dyDescent="0.25">
      <c r="D19679" s="28"/>
      <c r="F19679" s="28"/>
      <c r="H19679" s="28"/>
    </row>
    <row r="19680" spans="4:8" x14ac:dyDescent="0.25">
      <c r="D19680" s="28"/>
      <c r="F19680" s="28"/>
      <c r="H19680" s="28"/>
    </row>
    <row r="19681" spans="4:8" x14ac:dyDescent="0.25">
      <c r="D19681" s="28"/>
      <c r="F19681" s="28"/>
      <c r="H19681" s="28"/>
    </row>
    <row r="19682" spans="4:8" x14ac:dyDescent="0.25">
      <c r="D19682" s="28"/>
      <c r="F19682" s="28"/>
      <c r="H19682" s="28"/>
    </row>
    <row r="19683" spans="4:8" x14ac:dyDescent="0.25">
      <c r="D19683" s="28"/>
      <c r="F19683" s="28"/>
      <c r="H19683" s="28"/>
    </row>
    <row r="19684" spans="4:8" x14ac:dyDescent="0.25">
      <c r="D19684" s="28"/>
      <c r="F19684" s="28"/>
      <c r="H19684" s="28"/>
    </row>
    <row r="19685" spans="4:8" x14ac:dyDescent="0.25">
      <c r="D19685" s="28"/>
      <c r="F19685" s="28"/>
      <c r="H19685" s="28"/>
    </row>
    <row r="19686" spans="4:8" x14ac:dyDescent="0.25">
      <c r="D19686" s="28"/>
      <c r="F19686" s="28"/>
      <c r="H19686" s="28"/>
    </row>
    <row r="19687" spans="4:8" x14ac:dyDescent="0.25">
      <c r="D19687" s="28"/>
      <c r="F19687" s="28"/>
      <c r="H19687" s="28"/>
    </row>
    <row r="19688" spans="4:8" x14ac:dyDescent="0.25">
      <c r="D19688" s="28"/>
      <c r="F19688" s="28"/>
      <c r="H19688" s="28"/>
    </row>
    <row r="19689" spans="4:8" x14ac:dyDescent="0.25">
      <c r="D19689" s="28"/>
      <c r="F19689" s="28"/>
      <c r="H19689" s="28"/>
    </row>
    <row r="19690" spans="4:8" x14ac:dyDescent="0.25">
      <c r="D19690" s="28"/>
      <c r="F19690" s="28"/>
      <c r="H19690" s="28"/>
    </row>
    <row r="19691" spans="4:8" x14ac:dyDescent="0.25">
      <c r="D19691" s="28"/>
      <c r="F19691" s="28"/>
      <c r="H19691" s="28"/>
    </row>
    <row r="19692" spans="4:8" x14ac:dyDescent="0.25">
      <c r="D19692" s="28"/>
      <c r="F19692" s="28"/>
      <c r="H19692" s="28"/>
    </row>
    <row r="19693" spans="4:8" x14ac:dyDescent="0.25">
      <c r="D19693" s="28"/>
      <c r="F19693" s="28"/>
      <c r="H19693" s="28"/>
    </row>
    <row r="19694" spans="4:8" x14ac:dyDescent="0.25">
      <c r="D19694" s="28"/>
      <c r="F19694" s="28"/>
      <c r="H19694" s="28"/>
    </row>
    <row r="19695" spans="4:8" x14ac:dyDescent="0.25">
      <c r="D19695" s="28"/>
      <c r="F19695" s="28"/>
      <c r="H19695" s="28"/>
    </row>
    <row r="19696" spans="4:8" x14ac:dyDescent="0.25">
      <c r="D19696" s="28"/>
      <c r="F19696" s="28"/>
      <c r="H19696" s="28"/>
    </row>
    <row r="19697" spans="4:8" x14ac:dyDescent="0.25">
      <c r="D19697" s="28"/>
      <c r="F19697" s="28"/>
      <c r="H19697" s="28"/>
    </row>
    <row r="19698" spans="4:8" x14ac:dyDescent="0.25">
      <c r="D19698" s="28"/>
      <c r="F19698" s="28"/>
      <c r="H19698" s="28"/>
    </row>
    <row r="19699" spans="4:8" x14ac:dyDescent="0.25">
      <c r="D19699" s="28"/>
      <c r="F19699" s="28"/>
      <c r="H19699" s="28"/>
    </row>
    <row r="19700" spans="4:8" x14ac:dyDescent="0.25">
      <c r="D19700" s="28"/>
      <c r="F19700" s="28"/>
      <c r="H19700" s="28"/>
    </row>
    <row r="19701" spans="4:8" x14ac:dyDescent="0.25">
      <c r="D19701" s="28"/>
      <c r="F19701" s="28"/>
      <c r="H19701" s="28"/>
    </row>
    <row r="19702" spans="4:8" x14ac:dyDescent="0.25">
      <c r="D19702" s="28"/>
      <c r="F19702" s="28"/>
      <c r="H19702" s="28"/>
    </row>
    <row r="19703" spans="4:8" x14ac:dyDescent="0.25">
      <c r="D19703" s="28"/>
      <c r="F19703" s="28"/>
      <c r="H19703" s="28"/>
    </row>
    <row r="19704" spans="4:8" x14ac:dyDescent="0.25">
      <c r="D19704" s="28"/>
      <c r="F19704" s="28"/>
      <c r="H19704" s="28"/>
    </row>
    <row r="19705" spans="4:8" x14ac:dyDescent="0.25">
      <c r="D19705" s="28"/>
      <c r="F19705" s="28"/>
      <c r="H19705" s="28"/>
    </row>
    <row r="19706" spans="4:8" x14ac:dyDescent="0.25">
      <c r="D19706" s="28"/>
      <c r="F19706" s="28"/>
      <c r="H19706" s="28"/>
    </row>
    <row r="19707" spans="4:8" x14ac:dyDescent="0.25">
      <c r="D19707" s="28"/>
      <c r="F19707" s="28"/>
      <c r="H19707" s="28"/>
    </row>
    <row r="19708" spans="4:8" x14ac:dyDescent="0.25">
      <c r="D19708" s="28"/>
      <c r="F19708" s="28"/>
      <c r="H19708" s="28"/>
    </row>
    <row r="19709" spans="4:8" x14ac:dyDescent="0.25">
      <c r="D19709" s="28"/>
      <c r="F19709" s="28"/>
      <c r="H19709" s="28"/>
    </row>
    <row r="19710" spans="4:8" x14ac:dyDescent="0.25">
      <c r="D19710" s="28"/>
      <c r="F19710" s="28"/>
      <c r="H19710" s="28"/>
    </row>
    <row r="19711" spans="4:8" x14ac:dyDescent="0.25">
      <c r="D19711" s="28"/>
      <c r="F19711" s="28"/>
      <c r="H19711" s="28"/>
    </row>
    <row r="19712" spans="4:8" x14ac:dyDescent="0.25">
      <c r="D19712" s="28"/>
      <c r="F19712" s="28"/>
      <c r="H19712" s="28"/>
    </row>
    <row r="19713" spans="4:8" x14ac:dyDescent="0.25">
      <c r="D19713" s="28"/>
      <c r="F19713" s="28"/>
      <c r="H19713" s="28"/>
    </row>
    <row r="19714" spans="4:8" x14ac:dyDescent="0.25">
      <c r="D19714" s="28"/>
      <c r="F19714" s="28"/>
      <c r="H19714" s="28"/>
    </row>
    <row r="19715" spans="4:8" x14ac:dyDescent="0.25">
      <c r="D19715" s="28"/>
      <c r="F19715" s="28"/>
      <c r="H19715" s="28"/>
    </row>
    <row r="19716" spans="4:8" x14ac:dyDescent="0.25">
      <c r="D19716" s="28"/>
      <c r="F19716" s="28"/>
      <c r="H19716" s="28"/>
    </row>
    <row r="19717" spans="4:8" x14ac:dyDescent="0.25">
      <c r="D19717" s="28"/>
      <c r="F19717" s="28"/>
      <c r="H19717" s="28"/>
    </row>
    <row r="19718" spans="4:8" x14ac:dyDescent="0.25">
      <c r="D19718" s="28"/>
      <c r="F19718" s="28"/>
      <c r="H19718" s="28"/>
    </row>
    <row r="19719" spans="4:8" x14ac:dyDescent="0.25">
      <c r="D19719" s="28"/>
      <c r="F19719" s="28"/>
      <c r="H19719" s="28"/>
    </row>
    <row r="19720" spans="4:8" x14ac:dyDescent="0.25">
      <c r="D19720" s="28"/>
      <c r="F19720" s="28"/>
      <c r="H19720" s="28"/>
    </row>
    <row r="19721" spans="4:8" x14ac:dyDescent="0.25">
      <c r="D19721" s="28"/>
      <c r="F19721" s="28"/>
      <c r="H19721" s="28"/>
    </row>
    <row r="19722" spans="4:8" x14ac:dyDescent="0.25">
      <c r="D19722" s="28"/>
      <c r="F19722" s="28"/>
      <c r="H19722" s="28"/>
    </row>
    <row r="19723" spans="4:8" x14ac:dyDescent="0.25">
      <c r="D19723" s="28"/>
      <c r="F19723" s="28"/>
      <c r="H19723" s="28"/>
    </row>
    <row r="19724" spans="4:8" x14ac:dyDescent="0.25">
      <c r="D19724" s="28"/>
      <c r="F19724" s="28"/>
      <c r="H19724" s="28"/>
    </row>
    <row r="19725" spans="4:8" x14ac:dyDescent="0.25">
      <c r="D19725" s="28"/>
      <c r="F19725" s="28"/>
      <c r="H19725" s="28"/>
    </row>
    <row r="19726" spans="4:8" x14ac:dyDescent="0.25">
      <c r="D19726" s="28"/>
      <c r="F19726" s="28"/>
      <c r="H19726" s="28"/>
    </row>
    <row r="19727" spans="4:8" x14ac:dyDescent="0.25">
      <c r="D19727" s="28"/>
      <c r="F19727" s="28"/>
      <c r="H19727" s="28"/>
    </row>
    <row r="19728" spans="4:8" x14ac:dyDescent="0.25">
      <c r="D19728" s="28"/>
      <c r="F19728" s="28"/>
      <c r="H19728" s="28"/>
    </row>
    <row r="19729" spans="4:8" x14ac:dyDescent="0.25">
      <c r="D19729" s="28"/>
      <c r="F19729" s="28"/>
      <c r="H19729" s="28"/>
    </row>
    <row r="19730" spans="4:8" x14ac:dyDescent="0.25">
      <c r="D19730" s="28"/>
      <c r="F19730" s="28"/>
      <c r="H19730" s="28"/>
    </row>
    <row r="19731" spans="4:8" x14ac:dyDescent="0.25">
      <c r="D19731" s="28"/>
      <c r="F19731" s="28"/>
      <c r="H19731" s="28"/>
    </row>
    <row r="19732" spans="4:8" x14ac:dyDescent="0.25">
      <c r="D19732" s="28"/>
      <c r="F19732" s="28"/>
      <c r="H19732" s="28"/>
    </row>
    <row r="19733" spans="4:8" x14ac:dyDescent="0.25">
      <c r="D19733" s="28"/>
      <c r="F19733" s="28"/>
      <c r="H19733" s="28"/>
    </row>
    <row r="19734" spans="4:8" x14ac:dyDescent="0.25">
      <c r="D19734" s="28"/>
      <c r="F19734" s="28"/>
      <c r="H19734" s="28"/>
    </row>
    <row r="19735" spans="4:8" x14ac:dyDescent="0.25">
      <c r="D19735" s="28"/>
      <c r="F19735" s="28"/>
      <c r="H19735" s="28"/>
    </row>
    <row r="19736" spans="4:8" x14ac:dyDescent="0.25">
      <c r="D19736" s="28"/>
      <c r="F19736" s="28"/>
      <c r="H19736" s="28"/>
    </row>
    <row r="19737" spans="4:8" x14ac:dyDescent="0.25">
      <c r="D19737" s="28"/>
      <c r="F19737" s="28"/>
      <c r="H19737" s="28"/>
    </row>
    <row r="19738" spans="4:8" x14ac:dyDescent="0.25">
      <c r="D19738" s="28"/>
      <c r="F19738" s="28"/>
      <c r="H19738" s="28"/>
    </row>
    <row r="19739" spans="4:8" x14ac:dyDescent="0.25">
      <c r="D19739" s="28"/>
      <c r="F19739" s="28"/>
      <c r="H19739" s="28"/>
    </row>
    <row r="19740" spans="4:8" x14ac:dyDescent="0.25">
      <c r="D19740" s="28"/>
      <c r="F19740" s="28"/>
      <c r="H19740" s="28"/>
    </row>
    <row r="19741" spans="4:8" x14ac:dyDescent="0.25">
      <c r="D19741" s="28"/>
      <c r="F19741" s="28"/>
      <c r="H19741" s="28"/>
    </row>
    <row r="19742" spans="4:8" x14ac:dyDescent="0.25">
      <c r="D19742" s="28"/>
      <c r="F19742" s="28"/>
      <c r="H19742" s="28"/>
    </row>
    <row r="19743" spans="4:8" x14ac:dyDescent="0.25">
      <c r="D19743" s="28"/>
      <c r="F19743" s="28"/>
      <c r="H19743" s="28"/>
    </row>
    <row r="19744" spans="4:8" x14ac:dyDescent="0.25">
      <c r="D19744" s="28"/>
      <c r="F19744" s="28"/>
      <c r="H19744" s="28"/>
    </row>
    <row r="19745" spans="4:8" x14ac:dyDescent="0.25">
      <c r="D19745" s="28"/>
      <c r="F19745" s="28"/>
      <c r="H19745" s="28"/>
    </row>
    <row r="19746" spans="4:8" x14ac:dyDescent="0.25">
      <c r="D19746" s="28"/>
      <c r="F19746" s="28"/>
      <c r="H19746" s="28"/>
    </row>
    <row r="19747" spans="4:8" x14ac:dyDescent="0.25">
      <c r="D19747" s="28"/>
      <c r="F19747" s="28"/>
      <c r="H19747" s="28"/>
    </row>
    <row r="19748" spans="4:8" x14ac:dyDescent="0.25">
      <c r="D19748" s="28"/>
      <c r="F19748" s="28"/>
      <c r="H19748" s="28"/>
    </row>
    <row r="19749" spans="4:8" x14ac:dyDescent="0.25">
      <c r="D19749" s="28"/>
      <c r="F19749" s="28"/>
      <c r="H19749" s="28"/>
    </row>
    <row r="19750" spans="4:8" x14ac:dyDescent="0.25">
      <c r="D19750" s="28"/>
      <c r="F19750" s="28"/>
      <c r="H19750" s="28"/>
    </row>
    <row r="19751" spans="4:8" x14ac:dyDescent="0.25">
      <c r="D19751" s="28"/>
      <c r="F19751" s="28"/>
      <c r="H19751" s="28"/>
    </row>
    <row r="19752" spans="4:8" x14ac:dyDescent="0.25">
      <c r="D19752" s="28"/>
      <c r="F19752" s="28"/>
      <c r="H19752" s="28"/>
    </row>
    <row r="19753" spans="4:8" x14ac:dyDescent="0.25">
      <c r="D19753" s="28"/>
      <c r="F19753" s="28"/>
      <c r="H19753" s="28"/>
    </row>
    <row r="19754" spans="4:8" x14ac:dyDescent="0.25">
      <c r="D19754" s="28"/>
      <c r="F19754" s="28"/>
      <c r="H19754" s="28"/>
    </row>
    <row r="19755" spans="4:8" x14ac:dyDescent="0.25">
      <c r="D19755" s="28"/>
      <c r="F19755" s="28"/>
      <c r="H19755" s="28"/>
    </row>
    <row r="19756" spans="4:8" x14ac:dyDescent="0.25">
      <c r="D19756" s="28"/>
      <c r="F19756" s="28"/>
      <c r="H19756" s="28"/>
    </row>
    <row r="19757" spans="4:8" x14ac:dyDescent="0.25">
      <c r="D19757" s="28"/>
      <c r="F19757" s="28"/>
      <c r="H19757" s="28"/>
    </row>
    <row r="19758" spans="4:8" x14ac:dyDescent="0.25">
      <c r="D19758" s="28"/>
      <c r="F19758" s="28"/>
      <c r="H19758" s="28"/>
    </row>
    <row r="19759" spans="4:8" x14ac:dyDescent="0.25">
      <c r="D19759" s="28"/>
      <c r="F19759" s="28"/>
      <c r="H19759" s="28"/>
    </row>
    <row r="19760" spans="4:8" x14ac:dyDescent="0.25">
      <c r="D19760" s="28"/>
      <c r="F19760" s="28"/>
      <c r="H19760" s="28"/>
    </row>
    <row r="19761" spans="4:8" x14ac:dyDescent="0.25">
      <c r="D19761" s="28"/>
      <c r="F19761" s="28"/>
      <c r="H19761" s="28"/>
    </row>
    <row r="19762" spans="4:8" x14ac:dyDescent="0.25">
      <c r="D19762" s="28"/>
      <c r="F19762" s="28"/>
      <c r="H19762" s="28"/>
    </row>
    <row r="19763" spans="4:8" x14ac:dyDescent="0.25">
      <c r="D19763" s="28"/>
      <c r="F19763" s="28"/>
      <c r="H19763" s="28"/>
    </row>
    <row r="19764" spans="4:8" x14ac:dyDescent="0.25">
      <c r="D19764" s="28"/>
      <c r="F19764" s="28"/>
      <c r="H19764" s="28"/>
    </row>
    <row r="19765" spans="4:8" x14ac:dyDescent="0.25">
      <c r="D19765" s="28"/>
      <c r="F19765" s="28"/>
      <c r="H19765" s="28"/>
    </row>
    <row r="19766" spans="4:8" x14ac:dyDescent="0.25">
      <c r="D19766" s="28"/>
      <c r="F19766" s="28"/>
      <c r="H19766" s="28"/>
    </row>
    <row r="19767" spans="4:8" x14ac:dyDescent="0.25">
      <c r="D19767" s="28"/>
      <c r="F19767" s="28"/>
      <c r="H19767" s="28"/>
    </row>
    <row r="19768" spans="4:8" x14ac:dyDescent="0.25">
      <c r="D19768" s="28"/>
      <c r="F19768" s="28"/>
      <c r="H19768" s="28"/>
    </row>
    <row r="19769" spans="4:8" x14ac:dyDescent="0.25">
      <c r="D19769" s="28"/>
      <c r="F19769" s="28"/>
      <c r="H19769" s="28"/>
    </row>
    <row r="19770" spans="4:8" x14ac:dyDescent="0.25">
      <c r="D19770" s="28"/>
      <c r="F19770" s="28"/>
      <c r="H19770" s="28"/>
    </row>
    <row r="19771" spans="4:8" x14ac:dyDescent="0.25">
      <c r="D19771" s="28"/>
      <c r="F19771" s="28"/>
      <c r="H19771" s="28"/>
    </row>
    <row r="19772" spans="4:8" x14ac:dyDescent="0.25">
      <c r="D19772" s="28"/>
      <c r="F19772" s="28"/>
      <c r="H19772" s="28"/>
    </row>
    <row r="19773" spans="4:8" x14ac:dyDescent="0.25">
      <c r="D19773" s="28"/>
      <c r="F19773" s="28"/>
      <c r="H19773" s="28"/>
    </row>
    <row r="19774" spans="4:8" x14ac:dyDescent="0.25">
      <c r="D19774" s="28"/>
      <c r="F19774" s="28"/>
      <c r="H19774" s="28"/>
    </row>
    <row r="19775" spans="4:8" x14ac:dyDescent="0.25">
      <c r="D19775" s="28"/>
      <c r="F19775" s="28"/>
      <c r="H19775" s="28"/>
    </row>
    <row r="19776" spans="4:8" x14ac:dyDescent="0.25">
      <c r="D19776" s="28"/>
      <c r="F19776" s="28"/>
      <c r="H19776" s="28"/>
    </row>
    <row r="19777" spans="4:8" x14ac:dyDescent="0.25">
      <c r="D19777" s="28"/>
      <c r="F19777" s="28"/>
      <c r="H19777" s="28"/>
    </row>
    <row r="19778" spans="4:8" x14ac:dyDescent="0.25">
      <c r="D19778" s="28"/>
      <c r="F19778" s="28"/>
      <c r="H19778" s="28"/>
    </row>
    <row r="19779" spans="4:8" x14ac:dyDescent="0.25">
      <c r="D19779" s="28"/>
      <c r="F19779" s="28"/>
      <c r="H19779" s="28"/>
    </row>
    <row r="19780" spans="4:8" x14ac:dyDescent="0.25">
      <c r="D19780" s="28"/>
      <c r="F19780" s="28"/>
      <c r="H19780" s="28"/>
    </row>
    <row r="19781" spans="4:8" x14ac:dyDescent="0.25">
      <c r="D19781" s="28"/>
      <c r="F19781" s="28"/>
      <c r="H19781" s="28"/>
    </row>
    <row r="19782" spans="4:8" x14ac:dyDescent="0.25">
      <c r="D19782" s="28"/>
      <c r="F19782" s="28"/>
      <c r="H19782" s="28"/>
    </row>
    <row r="19783" spans="4:8" x14ac:dyDescent="0.25">
      <c r="D19783" s="28"/>
      <c r="F19783" s="28"/>
      <c r="H19783" s="28"/>
    </row>
    <row r="19784" spans="4:8" x14ac:dyDescent="0.25">
      <c r="D19784" s="28"/>
      <c r="F19784" s="28"/>
      <c r="H19784" s="28"/>
    </row>
    <row r="19785" spans="4:8" x14ac:dyDescent="0.25">
      <c r="D19785" s="28"/>
      <c r="F19785" s="28"/>
      <c r="H19785" s="28"/>
    </row>
    <row r="19786" spans="4:8" x14ac:dyDescent="0.25">
      <c r="D19786" s="28"/>
      <c r="F19786" s="28"/>
      <c r="H19786" s="28"/>
    </row>
    <row r="19787" spans="4:8" x14ac:dyDescent="0.25">
      <c r="D19787" s="28"/>
      <c r="F19787" s="28"/>
      <c r="H19787" s="28"/>
    </row>
    <row r="19788" spans="4:8" x14ac:dyDescent="0.25">
      <c r="D19788" s="28"/>
      <c r="F19788" s="28"/>
      <c r="H19788" s="28"/>
    </row>
    <row r="19789" spans="4:8" x14ac:dyDescent="0.25">
      <c r="D19789" s="28"/>
      <c r="F19789" s="28"/>
      <c r="H19789" s="28"/>
    </row>
    <row r="19790" spans="4:8" x14ac:dyDescent="0.25">
      <c r="D19790" s="28"/>
      <c r="F19790" s="28"/>
      <c r="H19790" s="28"/>
    </row>
    <row r="19791" spans="4:8" x14ac:dyDescent="0.25">
      <c r="D19791" s="28"/>
      <c r="F19791" s="28"/>
      <c r="H19791" s="28"/>
    </row>
    <row r="19792" spans="4:8" x14ac:dyDescent="0.25">
      <c r="D19792" s="28"/>
      <c r="F19792" s="28"/>
      <c r="H19792" s="28"/>
    </row>
    <row r="19793" spans="4:8" x14ac:dyDescent="0.25">
      <c r="D19793" s="28"/>
      <c r="F19793" s="28"/>
      <c r="H19793" s="28"/>
    </row>
    <row r="19794" spans="4:8" x14ac:dyDescent="0.25">
      <c r="D19794" s="28"/>
      <c r="F19794" s="28"/>
      <c r="H19794" s="28"/>
    </row>
    <row r="19795" spans="4:8" x14ac:dyDescent="0.25">
      <c r="D19795" s="28"/>
      <c r="F19795" s="28"/>
      <c r="H19795" s="28"/>
    </row>
    <row r="19796" spans="4:8" x14ac:dyDescent="0.25">
      <c r="D19796" s="28"/>
      <c r="F19796" s="28"/>
      <c r="H19796" s="28"/>
    </row>
    <row r="19797" spans="4:8" x14ac:dyDescent="0.25">
      <c r="D19797" s="28"/>
      <c r="F19797" s="28"/>
      <c r="H19797" s="28"/>
    </row>
    <row r="19798" spans="4:8" x14ac:dyDescent="0.25">
      <c r="D19798" s="28"/>
      <c r="F19798" s="28"/>
      <c r="H19798" s="28"/>
    </row>
    <row r="19799" spans="4:8" x14ac:dyDescent="0.25">
      <c r="D19799" s="28"/>
      <c r="F19799" s="28"/>
      <c r="H19799" s="28"/>
    </row>
    <row r="19800" spans="4:8" x14ac:dyDescent="0.25">
      <c r="D19800" s="28"/>
      <c r="F19800" s="28"/>
      <c r="H19800" s="28"/>
    </row>
    <row r="19801" spans="4:8" x14ac:dyDescent="0.25">
      <c r="D19801" s="28"/>
      <c r="F19801" s="28"/>
      <c r="H19801" s="28"/>
    </row>
    <row r="19802" spans="4:8" x14ac:dyDescent="0.25">
      <c r="D19802" s="28"/>
      <c r="F19802" s="28"/>
      <c r="H19802" s="28"/>
    </row>
    <row r="19803" spans="4:8" x14ac:dyDescent="0.25">
      <c r="D19803" s="28"/>
      <c r="F19803" s="28"/>
      <c r="H19803" s="28"/>
    </row>
    <row r="19804" spans="4:8" x14ac:dyDescent="0.25">
      <c r="D19804" s="28"/>
      <c r="F19804" s="28"/>
      <c r="H19804" s="28"/>
    </row>
    <row r="19805" spans="4:8" x14ac:dyDescent="0.25">
      <c r="D19805" s="28"/>
      <c r="F19805" s="28"/>
      <c r="H19805" s="28"/>
    </row>
    <row r="19806" spans="4:8" x14ac:dyDescent="0.25">
      <c r="D19806" s="28"/>
      <c r="F19806" s="28"/>
      <c r="H19806" s="28"/>
    </row>
    <row r="19807" spans="4:8" x14ac:dyDescent="0.25">
      <c r="D19807" s="28"/>
      <c r="F19807" s="28"/>
      <c r="H19807" s="28"/>
    </row>
    <row r="19808" spans="4:8" x14ac:dyDescent="0.25">
      <c r="D19808" s="28"/>
      <c r="F19808" s="28"/>
      <c r="H19808" s="28"/>
    </row>
    <row r="19809" spans="4:8" x14ac:dyDescent="0.25">
      <c r="D19809" s="28"/>
      <c r="F19809" s="28"/>
      <c r="H19809" s="28"/>
    </row>
    <row r="19810" spans="4:8" x14ac:dyDescent="0.25">
      <c r="D19810" s="28"/>
      <c r="F19810" s="28"/>
      <c r="H19810" s="28"/>
    </row>
    <row r="19811" spans="4:8" x14ac:dyDescent="0.25">
      <c r="D19811" s="28"/>
      <c r="F19811" s="28"/>
      <c r="H19811" s="28"/>
    </row>
    <row r="19812" spans="4:8" x14ac:dyDescent="0.25">
      <c r="D19812" s="28"/>
      <c r="F19812" s="28"/>
      <c r="H19812" s="28"/>
    </row>
    <row r="19813" spans="4:8" x14ac:dyDescent="0.25">
      <c r="D19813" s="28"/>
      <c r="F19813" s="28"/>
      <c r="H19813" s="28"/>
    </row>
    <row r="19814" spans="4:8" x14ac:dyDescent="0.25">
      <c r="D19814" s="28"/>
      <c r="F19814" s="28"/>
      <c r="H19814" s="28"/>
    </row>
    <row r="19815" spans="4:8" x14ac:dyDescent="0.25">
      <c r="D19815" s="28"/>
      <c r="F19815" s="28"/>
      <c r="H19815" s="28"/>
    </row>
    <row r="19816" spans="4:8" x14ac:dyDescent="0.25">
      <c r="D19816" s="28"/>
      <c r="F19816" s="28"/>
      <c r="H19816" s="28"/>
    </row>
    <row r="19817" spans="4:8" x14ac:dyDescent="0.25">
      <c r="D19817" s="28"/>
      <c r="F19817" s="28"/>
      <c r="H19817" s="28"/>
    </row>
    <row r="19818" spans="4:8" x14ac:dyDescent="0.25">
      <c r="D19818" s="28"/>
      <c r="F19818" s="28"/>
      <c r="H19818" s="28"/>
    </row>
    <row r="19819" spans="4:8" x14ac:dyDescent="0.25">
      <c r="D19819" s="28"/>
      <c r="F19819" s="28"/>
      <c r="H19819" s="28"/>
    </row>
    <row r="19820" spans="4:8" x14ac:dyDescent="0.25">
      <c r="D19820" s="28"/>
      <c r="F19820" s="28"/>
      <c r="H19820" s="28"/>
    </row>
    <row r="19821" spans="4:8" x14ac:dyDescent="0.25">
      <c r="D19821" s="28"/>
      <c r="F19821" s="28"/>
      <c r="H19821" s="28"/>
    </row>
    <row r="19822" spans="4:8" x14ac:dyDescent="0.25">
      <c r="D19822" s="28"/>
      <c r="F19822" s="28"/>
      <c r="H19822" s="28"/>
    </row>
    <row r="19823" spans="4:8" x14ac:dyDescent="0.25">
      <c r="D19823" s="28"/>
      <c r="F19823" s="28"/>
      <c r="H19823" s="28"/>
    </row>
    <row r="19824" spans="4:8" x14ac:dyDescent="0.25">
      <c r="D19824" s="28"/>
      <c r="F19824" s="28"/>
      <c r="H19824" s="28"/>
    </row>
    <row r="19825" spans="4:8" x14ac:dyDescent="0.25">
      <c r="D19825" s="28"/>
      <c r="F19825" s="28"/>
      <c r="H19825" s="28"/>
    </row>
    <row r="19826" spans="4:8" x14ac:dyDescent="0.25">
      <c r="D19826" s="28"/>
      <c r="F19826" s="28"/>
      <c r="H19826" s="28"/>
    </row>
    <row r="19827" spans="4:8" x14ac:dyDescent="0.25">
      <c r="D19827" s="28"/>
      <c r="F19827" s="28"/>
      <c r="H19827" s="28"/>
    </row>
    <row r="19828" spans="4:8" x14ac:dyDescent="0.25">
      <c r="D19828" s="28"/>
      <c r="F19828" s="28"/>
      <c r="H19828" s="28"/>
    </row>
    <row r="19829" spans="4:8" x14ac:dyDescent="0.25">
      <c r="D19829" s="28"/>
      <c r="F19829" s="28"/>
      <c r="H19829" s="28"/>
    </row>
    <row r="19830" spans="4:8" x14ac:dyDescent="0.25">
      <c r="D19830" s="28"/>
      <c r="F19830" s="28"/>
      <c r="H19830" s="28"/>
    </row>
    <row r="19831" spans="4:8" x14ac:dyDescent="0.25">
      <c r="D19831" s="28"/>
      <c r="F19831" s="28"/>
      <c r="H19831" s="28"/>
    </row>
    <row r="19832" spans="4:8" x14ac:dyDescent="0.25">
      <c r="D19832" s="28"/>
      <c r="F19832" s="28"/>
      <c r="H19832" s="28"/>
    </row>
    <row r="19833" spans="4:8" x14ac:dyDescent="0.25">
      <c r="D19833" s="28"/>
      <c r="F19833" s="28"/>
      <c r="H19833" s="28"/>
    </row>
    <row r="19834" spans="4:8" x14ac:dyDescent="0.25">
      <c r="D19834" s="28"/>
      <c r="F19834" s="28"/>
      <c r="H19834" s="28"/>
    </row>
    <row r="19835" spans="4:8" x14ac:dyDescent="0.25">
      <c r="D19835" s="28"/>
      <c r="F19835" s="28"/>
      <c r="H19835" s="28"/>
    </row>
    <row r="19836" spans="4:8" x14ac:dyDescent="0.25">
      <c r="D19836" s="28"/>
      <c r="F19836" s="28"/>
      <c r="H19836" s="28"/>
    </row>
    <row r="19837" spans="4:8" x14ac:dyDescent="0.25">
      <c r="D19837" s="28"/>
      <c r="F19837" s="28"/>
      <c r="H19837" s="28"/>
    </row>
    <row r="19838" spans="4:8" x14ac:dyDescent="0.25">
      <c r="D19838" s="28"/>
      <c r="F19838" s="28"/>
      <c r="H19838" s="28"/>
    </row>
    <row r="19839" spans="4:8" x14ac:dyDescent="0.25">
      <c r="D19839" s="28"/>
      <c r="F19839" s="28"/>
      <c r="H19839" s="28"/>
    </row>
    <row r="19840" spans="4:8" x14ac:dyDescent="0.25">
      <c r="D19840" s="28"/>
      <c r="F19840" s="28"/>
      <c r="H19840" s="28"/>
    </row>
    <row r="19841" spans="4:8" x14ac:dyDescent="0.25">
      <c r="D19841" s="28"/>
      <c r="F19841" s="28"/>
      <c r="H19841" s="28"/>
    </row>
    <row r="19842" spans="4:8" x14ac:dyDescent="0.25">
      <c r="D19842" s="28"/>
      <c r="F19842" s="28"/>
      <c r="H19842" s="28"/>
    </row>
    <row r="19843" spans="4:8" x14ac:dyDescent="0.25">
      <c r="D19843" s="28"/>
      <c r="F19843" s="28"/>
      <c r="H19843" s="28"/>
    </row>
    <row r="19844" spans="4:8" x14ac:dyDescent="0.25">
      <c r="D19844" s="28"/>
      <c r="F19844" s="28"/>
      <c r="H19844" s="28"/>
    </row>
    <row r="19845" spans="4:8" x14ac:dyDescent="0.25">
      <c r="D19845" s="28"/>
      <c r="F19845" s="28"/>
      <c r="H19845" s="28"/>
    </row>
    <row r="19846" spans="4:8" x14ac:dyDescent="0.25">
      <c r="D19846" s="28"/>
      <c r="F19846" s="28"/>
      <c r="H19846" s="28"/>
    </row>
    <row r="19847" spans="4:8" x14ac:dyDescent="0.25">
      <c r="D19847" s="28"/>
      <c r="F19847" s="28"/>
      <c r="H19847" s="28"/>
    </row>
    <row r="19848" spans="4:8" x14ac:dyDescent="0.25">
      <c r="D19848" s="28"/>
      <c r="F19848" s="28"/>
      <c r="H19848" s="28"/>
    </row>
    <row r="19849" spans="4:8" x14ac:dyDescent="0.25">
      <c r="D19849" s="28"/>
      <c r="F19849" s="28"/>
      <c r="H19849" s="28"/>
    </row>
    <row r="19850" spans="4:8" x14ac:dyDescent="0.25">
      <c r="D19850" s="28"/>
      <c r="F19850" s="28"/>
      <c r="H19850" s="28"/>
    </row>
    <row r="19851" spans="4:8" x14ac:dyDescent="0.25">
      <c r="D19851" s="28"/>
      <c r="F19851" s="28"/>
      <c r="H19851" s="28"/>
    </row>
    <row r="19852" spans="4:8" x14ac:dyDescent="0.25">
      <c r="D19852" s="28"/>
      <c r="F19852" s="28"/>
      <c r="H19852" s="28"/>
    </row>
    <row r="19853" spans="4:8" x14ac:dyDescent="0.25">
      <c r="D19853" s="28"/>
      <c r="F19853" s="28"/>
      <c r="H19853" s="28"/>
    </row>
    <row r="19854" spans="4:8" x14ac:dyDescent="0.25">
      <c r="D19854" s="28"/>
      <c r="F19854" s="28"/>
      <c r="H19854" s="28"/>
    </row>
    <row r="19855" spans="4:8" x14ac:dyDescent="0.25">
      <c r="D19855" s="28"/>
      <c r="F19855" s="28"/>
      <c r="H19855" s="28"/>
    </row>
    <row r="19856" spans="4:8" x14ac:dyDescent="0.25">
      <c r="D19856" s="28"/>
      <c r="F19856" s="28"/>
      <c r="H19856" s="28"/>
    </row>
    <row r="19857" spans="4:8" x14ac:dyDescent="0.25">
      <c r="D19857" s="28"/>
      <c r="F19857" s="28"/>
      <c r="H19857" s="28"/>
    </row>
    <row r="19858" spans="4:8" x14ac:dyDescent="0.25">
      <c r="D19858" s="28"/>
      <c r="F19858" s="28"/>
      <c r="H19858" s="28"/>
    </row>
    <row r="19859" spans="4:8" x14ac:dyDescent="0.25">
      <c r="D19859" s="28"/>
      <c r="F19859" s="28"/>
      <c r="H19859" s="28"/>
    </row>
    <row r="19860" spans="4:8" x14ac:dyDescent="0.25">
      <c r="D19860" s="28"/>
      <c r="F19860" s="28"/>
      <c r="H19860" s="28"/>
    </row>
    <row r="19861" spans="4:8" x14ac:dyDescent="0.25">
      <c r="D19861" s="28"/>
      <c r="F19861" s="28"/>
      <c r="H19861" s="28"/>
    </row>
    <row r="19862" spans="4:8" x14ac:dyDescent="0.25">
      <c r="D19862" s="28"/>
      <c r="F19862" s="28"/>
      <c r="H19862" s="28"/>
    </row>
    <row r="19863" spans="4:8" x14ac:dyDescent="0.25">
      <c r="D19863" s="28"/>
      <c r="F19863" s="28"/>
      <c r="H19863" s="28"/>
    </row>
    <row r="19864" spans="4:8" x14ac:dyDescent="0.25">
      <c r="D19864" s="28"/>
      <c r="F19864" s="28"/>
      <c r="H19864" s="28"/>
    </row>
    <row r="19865" spans="4:8" x14ac:dyDescent="0.25">
      <c r="D19865" s="28"/>
      <c r="F19865" s="28"/>
      <c r="H19865" s="28"/>
    </row>
    <row r="19866" spans="4:8" x14ac:dyDescent="0.25">
      <c r="D19866" s="28"/>
      <c r="F19866" s="28"/>
      <c r="H19866" s="28"/>
    </row>
    <row r="19867" spans="4:8" x14ac:dyDescent="0.25">
      <c r="D19867" s="28"/>
      <c r="F19867" s="28"/>
      <c r="H19867" s="28"/>
    </row>
    <row r="19868" spans="4:8" x14ac:dyDescent="0.25">
      <c r="D19868" s="28"/>
      <c r="F19868" s="28"/>
      <c r="H19868" s="28"/>
    </row>
    <row r="19869" spans="4:8" x14ac:dyDescent="0.25">
      <c r="D19869" s="28"/>
      <c r="F19869" s="28"/>
      <c r="H19869" s="28"/>
    </row>
    <row r="19870" spans="4:8" x14ac:dyDescent="0.25">
      <c r="D19870" s="28"/>
      <c r="F19870" s="28"/>
      <c r="H19870" s="28"/>
    </row>
    <row r="19871" spans="4:8" x14ac:dyDescent="0.25">
      <c r="D19871" s="28"/>
      <c r="F19871" s="28"/>
      <c r="H19871" s="28"/>
    </row>
    <row r="19872" spans="4:8" x14ac:dyDescent="0.25">
      <c r="D19872" s="28"/>
      <c r="F19872" s="28"/>
      <c r="H19872" s="28"/>
    </row>
    <row r="19873" spans="4:8" x14ac:dyDescent="0.25">
      <c r="D19873" s="28"/>
      <c r="F19873" s="28"/>
      <c r="H19873" s="28"/>
    </row>
    <row r="19874" spans="4:8" x14ac:dyDescent="0.25">
      <c r="D19874" s="28"/>
      <c r="F19874" s="28"/>
      <c r="H19874" s="28"/>
    </row>
    <row r="19875" spans="4:8" x14ac:dyDescent="0.25">
      <c r="D19875" s="28"/>
      <c r="F19875" s="28"/>
      <c r="H19875" s="28"/>
    </row>
    <row r="19876" spans="4:8" x14ac:dyDescent="0.25">
      <c r="D19876" s="28"/>
      <c r="F19876" s="28"/>
      <c r="H19876" s="28"/>
    </row>
    <row r="19877" spans="4:8" x14ac:dyDescent="0.25">
      <c r="D19877" s="28"/>
      <c r="F19877" s="28"/>
      <c r="H19877" s="28"/>
    </row>
    <row r="19878" spans="4:8" x14ac:dyDescent="0.25">
      <c r="D19878" s="28"/>
      <c r="F19878" s="28"/>
      <c r="H19878" s="28"/>
    </row>
    <row r="19879" spans="4:8" x14ac:dyDescent="0.25">
      <c r="D19879" s="28"/>
      <c r="F19879" s="28"/>
      <c r="H19879" s="28"/>
    </row>
    <row r="19880" spans="4:8" x14ac:dyDescent="0.25">
      <c r="D19880" s="28"/>
      <c r="F19880" s="28"/>
      <c r="H19880" s="28"/>
    </row>
    <row r="19881" spans="4:8" x14ac:dyDescent="0.25">
      <c r="D19881" s="28"/>
      <c r="F19881" s="28"/>
      <c r="H19881" s="28"/>
    </row>
    <row r="19882" spans="4:8" x14ac:dyDescent="0.25">
      <c r="D19882" s="28"/>
      <c r="F19882" s="28"/>
      <c r="H19882" s="28"/>
    </row>
    <row r="19883" spans="4:8" x14ac:dyDescent="0.25">
      <c r="D19883" s="28"/>
      <c r="F19883" s="28"/>
      <c r="H19883" s="28"/>
    </row>
    <row r="19884" spans="4:8" x14ac:dyDescent="0.25">
      <c r="D19884" s="28"/>
      <c r="F19884" s="28"/>
      <c r="H19884" s="28"/>
    </row>
    <row r="19885" spans="4:8" x14ac:dyDescent="0.25">
      <c r="D19885" s="28"/>
      <c r="F19885" s="28"/>
      <c r="H19885" s="28"/>
    </row>
    <row r="19886" spans="4:8" x14ac:dyDescent="0.25">
      <c r="D19886" s="28"/>
      <c r="F19886" s="28"/>
      <c r="H19886" s="28"/>
    </row>
    <row r="19887" spans="4:8" x14ac:dyDescent="0.25">
      <c r="D19887" s="28"/>
      <c r="F19887" s="28"/>
      <c r="H19887" s="28"/>
    </row>
    <row r="19888" spans="4:8" x14ac:dyDescent="0.25">
      <c r="D19888" s="28"/>
      <c r="F19888" s="28"/>
      <c r="H19888" s="28"/>
    </row>
    <row r="19889" spans="4:8" x14ac:dyDescent="0.25">
      <c r="D19889" s="28"/>
      <c r="F19889" s="28"/>
      <c r="H19889" s="28"/>
    </row>
    <row r="19890" spans="4:8" x14ac:dyDescent="0.25">
      <c r="D19890" s="28"/>
      <c r="F19890" s="28"/>
      <c r="H19890" s="28"/>
    </row>
    <row r="19891" spans="4:8" x14ac:dyDescent="0.25">
      <c r="D19891" s="28"/>
      <c r="F19891" s="28"/>
      <c r="H19891" s="28"/>
    </row>
    <row r="19892" spans="4:8" x14ac:dyDescent="0.25">
      <c r="D19892" s="28"/>
      <c r="F19892" s="28"/>
      <c r="H19892" s="28"/>
    </row>
    <row r="19893" spans="4:8" x14ac:dyDescent="0.25">
      <c r="D19893" s="28"/>
      <c r="F19893" s="28"/>
      <c r="H19893" s="28"/>
    </row>
    <row r="19894" spans="4:8" x14ac:dyDescent="0.25">
      <c r="D19894" s="28"/>
      <c r="F19894" s="28"/>
      <c r="H19894" s="28"/>
    </row>
    <row r="19895" spans="4:8" x14ac:dyDescent="0.25">
      <c r="D19895" s="28"/>
      <c r="F19895" s="28"/>
      <c r="H19895" s="28"/>
    </row>
    <row r="19896" spans="4:8" x14ac:dyDescent="0.25">
      <c r="D19896" s="28"/>
      <c r="F19896" s="28"/>
      <c r="H19896" s="28"/>
    </row>
    <row r="19897" spans="4:8" x14ac:dyDescent="0.25">
      <c r="D19897" s="28"/>
      <c r="F19897" s="28"/>
      <c r="H19897" s="28"/>
    </row>
    <row r="19898" spans="4:8" x14ac:dyDescent="0.25">
      <c r="D19898" s="28"/>
      <c r="F19898" s="28"/>
      <c r="H19898" s="28"/>
    </row>
    <row r="19899" spans="4:8" x14ac:dyDescent="0.25">
      <c r="D19899" s="28"/>
      <c r="F19899" s="28"/>
      <c r="H19899" s="28"/>
    </row>
    <row r="19900" spans="4:8" x14ac:dyDescent="0.25">
      <c r="D19900" s="28"/>
      <c r="F19900" s="28"/>
      <c r="H19900" s="28"/>
    </row>
    <row r="19901" spans="4:8" x14ac:dyDescent="0.25">
      <c r="D19901" s="28"/>
      <c r="F19901" s="28"/>
      <c r="H19901" s="28"/>
    </row>
    <row r="19902" spans="4:8" x14ac:dyDescent="0.25">
      <c r="D19902" s="28"/>
      <c r="F19902" s="28"/>
      <c r="H19902" s="28"/>
    </row>
    <row r="19903" spans="4:8" x14ac:dyDescent="0.25">
      <c r="D19903" s="28"/>
      <c r="F19903" s="28"/>
      <c r="H19903" s="28"/>
    </row>
    <row r="19904" spans="4:8" x14ac:dyDescent="0.25">
      <c r="D19904" s="28"/>
      <c r="F19904" s="28"/>
      <c r="H19904" s="28"/>
    </row>
    <row r="19905" spans="4:8" x14ac:dyDescent="0.25">
      <c r="D19905" s="28"/>
      <c r="F19905" s="28"/>
      <c r="H19905" s="28"/>
    </row>
    <row r="19906" spans="4:8" x14ac:dyDescent="0.25">
      <c r="D19906" s="28"/>
      <c r="F19906" s="28"/>
      <c r="H19906" s="28"/>
    </row>
    <row r="19907" spans="4:8" x14ac:dyDescent="0.25">
      <c r="D19907" s="28"/>
      <c r="F19907" s="28"/>
      <c r="H19907" s="28"/>
    </row>
    <row r="19908" spans="4:8" x14ac:dyDescent="0.25">
      <c r="D19908" s="28"/>
      <c r="F19908" s="28"/>
      <c r="H19908" s="28"/>
    </row>
    <row r="19909" spans="4:8" x14ac:dyDescent="0.25">
      <c r="D19909" s="28"/>
      <c r="F19909" s="28"/>
      <c r="H19909" s="28"/>
    </row>
    <row r="19910" spans="4:8" x14ac:dyDescent="0.25">
      <c r="D19910" s="28"/>
      <c r="F19910" s="28"/>
      <c r="H19910" s="28"/>
    </row>
    <row r="19911" spans="4:8" x14ac:dyDescent="0.25">
      <c r="D19911" s="28"/>
      <c r="F19911" s="28"/>
      <c r="H19911" s="28"/>
    </row>
    <row r="19912" spans="4:8" x14ac:dyDescent="0.25">
      <c r="D19912" s="28"/>
      <c r="F19912" s="28"/>
      <c r="H19912" s="28"/>
    </row>
    <row r="19913" spans="4:8" x14ac:dyDescent="0.25">
      <c r="D19913" s="28"/>
      <c r="F19913" s="28"/>
      <c r="H19913" s="28"/>
    </row>
    <row r="19914" spans="4:8" x14ac:dyDescent="0.25">
      <c r="D19914" s="28"/>
      <c r="F19914" s="28"/>
      <c r="H19914" s="28"/>
    </row>
    <row r="19915" spans="4:8" x14ac:dyDescent="0.25">
      <c r="D19915" s="28"/>
      <c r="F19915" s="28"/>
      <c r="H19915" s="28"/>
    </row>
    <row r="19916" spans="4:8" x14ac:dyDescent="0.25">
      <c r="D19916" s="28"/>
      <c r="F19916" s="28"/>
      <c r="H19916" s="28"/>
    </row>
    <row r="19917" spans="4:8" x14ac:dyDescent="0.25">
      <c r="D19917" s="28"/>
      <c r="F19917" s="28"/>
      <c r="H19917" s="28"/>
    </row>
    <row r="19918" spans="4:8" x14ac:dyDescent="0.25">
      <c r="D19918" s="28"/>
      <c r="F19918" s="28"/>
      <c r="H19918" s="28"/>
    </row>
    <row r="19919" spans="4:8" x14ac:dyDescent="0.25">
      <c r="D19919" s="28"/>
      <c r="F19919" s="28"/>
      <c r="H19919" s="28"/>
    </row>
    <row r="19920" spans="4:8" x14ac:dyDescent="0.25">
      <c r="D19920" s="28"/>
      <c r="F19920" s="28"/>
      <c r="H19920" s="28"/>
    </row>
    <row r="19921" spans="4:8" x14ac:dyDescent="0.25">
      <c r="D19921" s="28"/>
      <c r="F19921" s="28"/>
      <c r="H19921" s="28"/>
    </row>
    <row r="19922" spans="4:8" x14ac:dyDescent="0.25">
      <c r="D19922" s="28"/>
      <c r="F19922" s="28"/>
      <c r="H19922" s="28"/>
    </row>
    <row r="19923" spans="4:8" x14ac:dyDescent="0.25">
      <c r="D19923" s="28"/>
      <c r="F19923" s="28"/>
      <c r="H19923" s="28"/>
    </row>
    <row r="19924" spans="4:8" x14ac:dyDescent="0.25">
      <c r="D19924" s="28"/>
      <c r="F19924" s="28"/>
      <c r="H19924" s="28"/>
    </row>
    <row r="19925" spans="4:8" x14ac:dyDescent="0.25">
      <c r="D19925" s="28"/>
      <c r="F19925" s="28"/>
      <c r="H19925" s="28"/>
    </row>
    <row r="19926" spans="4:8" x14ac:dyDescent="0.25">
      <c r="D19926" s="28"/>
      <c r="F19926" s="28"/>
      <c r="H19926" s="28"/>
    </row>
    <row r="19927" spans="4:8" x14ac:dyDescent="0.25">
      <c r="D19927" s="28"/>
      <c r="F19927" s="28"/>
      <c r="H19927" s="28"/>
    </row>
    <row r="19928" spans="4:8" x14ac:dyDescent="0.25">
      <c r="D19928" s="28"/>
      <c r="F19928" s="28"/>
      <c r="H19928" s="28"/>
    </row>
    <row r="19929" spans="4:8" x14ac:dyDescent="0.25">
      <c r="D19929" s="28"/>
      <c r="F19929" s="28"/>
      <c r="H19929" s="28"/>
    </row>
    <row r="19930" spans="4:8" x14ac:dyDescent="0.25">
      <c r="D19930" s="28"/>
      <c r="F19930" s="28"/>
      <c r="H19930" s="28"/>
    </row>
    <row r="19931" spans="4:8" x14ac:dyDescent="0.25">
      <c r="D19931" s="28"/>
      <c r="F19931" s="28"/>
      <c r="H19931" s="28"/>
    </row>
    <row r="19932" spans="4:8" x14ac:dyDescent="0.25">
      <c r="D19932" s="28"/>
      <c r="F19932" s="28"/>
      <c r="H19932" s="28"/>
    </row>
    <row r="19933" spans="4:8" x14ac:dyDescent="0.25">
      <c r="D19933" s="28"/>
      <c r="F19933" s="28"/>
      <c r="H19933" s="28"/>
    </row>
    <row r="19934" spans="4:8" x14ac:dyDescent="0.25">
      <c r="D19934" s="28"/>
      <c r="F19934" s="28"/>
      <c r="H19934" s="28"/>
    </row>
    <row r="19935" spans="4:8" x14ac:dyDescent="0.25">
      <c r="D19935" s="28"/>
      <c r="F19935" s="28"/>
      <c r="H19935" s="28"/>
    </row>
    <row r="19936" spans="4:8" x14ac:dyDescent="0.25">
      <c r="D19936" s="28"/>
      <c r="F19936" s="28"/>
      <c r="H19936" s="28"/>
    </row>
    <row r="19937" spans="4:8" x14ac:dyDescent="0.25">
      <c r="D19937" s="28"/>
      <c r="F19937" s="28"/>
      <c r="H19937" s="28"/>
    </row>
    <row r="19938" spans="4:8" x14ac:dyDescent="0.25">
      <c r="D19938" s="28"/>
      <c r="F19938" s="28"/>
      <c r="H19938" s="28"/>
    </row>
    <row r="19939" spans="4:8" x14ac:dyDescent="0.25">
      <c r="D19939" s="28"/>
      <c r="F19939" s="28"/>
      <c r="H19939" s="28"/>
    </row>
    <row r="19940" spans="4:8" x14ac:dyDescent="0.25">
      <c r="D19940" s="28"/>
      <c r="F19940" s="28"/>
      <c r="H19940" s="28"/>
    </row>
    <row r="19941" spans="4:8" x14ac:dyDescent="0.25">
      <c r="D19941" s="28"/>
      <c r="F19941" s="28"/>
      <c r="H19941" s="28"/>
    </row>
    <row r="19942" spans="4:8" x14ac:dyDescent="0.25">
      <c r="D19942" s="28"/>
      <c r="F19942" s="28"/>
      <c r="H19942" s="28"/>
    </row>
    <row r="19943" spans="4:8" x14ac:dyDescent="0.25">
      <c r="D19943" s="28"/>
      <c r="F19943" s="28"/>
      <c r="H19943" s="28"/>
    </row>
    <row r="19944" spans="4:8" x14ac:dyDescent="0.25">
      <c r="D19944" s="28"/>
      <c r="F19944" s="28"/>
      <c r="H19944" s="28"/>
    </row>
    <row r="19945" spans="4:8" x14ac:dyDescent="0.25">
      <c r="D19945" s="28"/>
      <c r="F19945" s="28"/>
      <c r="H19945" s="28"/>
    </row>
    <row r="19946" spans="4:8" x14ac:dyDescent="0.25">
      <c r="D19946" s="28"/>
      <c r="F19946" s="28"/>
      <c r="H19946" s="28"/>
    </row>
    <row r="19947" spans="4:8" x14ac:dyDescent="0.25">
      <c r="D19947" s="28"/>
      <c r="F19947" s="28"/>
      <c r="H19947" s="28"/>
    </row>
    <row r="19948" spans="4:8" x14ac:dyDescent="0.25">
      <c r="D19948" s="28"/>
      <c r="F19948" s="28"/>
      <c r="H19948" s="28"/>
    </row>
    <row r="19949" spans="4:8" x14ac:dyDescent="0.25">
      <c r="D19949" s="28"/>
      <c r="F19949" s="28"/>
      <c r="H19949" s="28"/>
    </row>
    <row r="19950" spans="4:8" x14ac:dyDescent="0.25">
      <c r="D19950" s="28"/>
      <c r="F19950" s="28"/>
      <c r="H19950" s="28"/>
    </row>
    <row r="19951" spans="4:8" x14ac:dyDescent="0.25">
      <c r="D19951" s="28"/>
      <c r="F19951" s="28"/>
      <c r="H19951" s="28"/>
    </row>
    <row r="19952" spans="4:8" x14ac:dyDescent="0.25">
      <c r="D19952" s="28"/>
      <c r="F19952" s="28"/>
      <c r="H19952" s="28"/>
    </row>
    <row r="19953" spans="4:8" x14ac:dyDescent="0.25">
      <c r="D19953" s="28"/>
      <c r="F19953" s="28"/>
      <c r="H19953" s="28"/>
    </row>
    <row r="19954" spans="4:8" x14ac:dyDescent="0.25">
      <c r="D19954" s="28"/>
      <c r="F19954" s="28"/>
      <c r="H19954" s="28"/>
    </row>
    <row r="19955" spans="4:8" x14ac:dyDescent="0.25">
      <c r="D19955" s="28"/>
      <c r="F19955" s="28"/>
      <c r="H19955" s="28"/>
    </row>
    <row r="19956" spans="4:8" x14ac:dyDescent="0.25">
      <c r="D19956" s="28"/>
      <c r="F19956" s="28"/>
      <c r="H19956" s="28"/>
    </row>
    <row r="19957" spans="4:8" x14ac:dyDescent="0.25">
      <c r="D19957" s="28"/>
      <c r="F19957" s="28"/>
      <c r="H19957" s="28"/>
    </row>
    <row r="19958" spans="4:8" x14ac:dyDescent="0.25">
      <c r="D19958" s="28"/>
      <c r="F19958" s="28"/>
      <c r="H19958" s="28"/>
    </row>
    <row r="19959" spans="4:8" x14ac:dyDescent="0.25">
      <c r="D19959" s="28"/>
      <c r="F19959" s="28"/>
      <c r="H19959" s="28"/>
    </row>
    <row r="19960" spans="4:8" x14ac:dyDescent="0.25">
      <c r="D19960" s="28"/>
      <c r="F19960" s="28"/>
      <c r="H19960" s="28"/>
    </row>
    <row r="19961" spans="4:8" x14ac:dyDescent="0.25">
      <c r="D19961" s="28"/>
      <c r="F19961" s="28"/>
      <c r="H19961" s="28"/>
    </row>
    <row r="19962" spans="4:8" x14ac:dyDescent="0.25">
      <c r="D19962" s="28"/>
      <c r="F19962" s="28"/>
      <c r="H19962" s="28"/>
    </row>
    <row r="19963" spans="4:8" x14ac:dyDescent="0.25">
      <c r="D19963" s="28"/>
      <c r="F19963" s="28"/>
      <c r="H19963" s="28"/>
    </row>
    <row r="19964" spans="4:8" x14ac:dyDescent="0.25">
      <c r="D19964" s="28"/>
      <c r="F19964" s="28"/>
      <c r="H19964" s="28"/>
    </row>
    <row r="19965" spans="4:8" x14ac:dyDescent="0.25">
      <c r="D19965" s="28"/>
      <c r="F19965" s="28"/>
      <c r="H19965" s="28"/>
    </row>
    <row r="19966" spans="4:8" x14ac:dyDescent="0.25">
      <c r="D19966" s="28"/>
      <c r="F19966" s="28"/>
      <c r="H19966" s="28"/>
    </row>
    <row r="19967" spans="4:8" x14ac:dyDescent="0.25">
      <c r="D19967" s="28"/>
      <c r="F19967" s="28"/>
      <c r="H19967" s="28"/>
    </row>
    <row r="19968" spans="4:8" x14ac:dyDescent="0.25">
      <c r="D19968" s="28"/>
      <c r="F19968" s="28"/>
      <c r="H19968" s="28"/>
    </row>
    <row r="19969" spans="4:8" x14ac:dyDescent="0.25">
      <c r="D19969" s="28"/>
      <c r="F19969" s="28"/>
      <c r="H19969" s="28"/>
    </row>
    <row r="19970" spans="4:8" x14ac:dyDescent="0.25">
      <c r="D19970" s="28"/>
      <c r="F19970" s="28"/>
      <c r="H19970" s="28"/>
    </row>
    <row r="19971" spans="4:8" x14ac:dyDescent="0.25">
      <c r="D19971" s="28"/>
      <c r="F19971" s="28"/>
      <c r="H19971" s="28"/>
    </row>
    <row r="19972" spans="4:8" x14ac:dyDescent="0.25">
      <c r="D19972" s="28"/>
      <c r="F19972" s="28"/>
      <c r="H19972" s="28"/>
    </row>
    <row r="19973" spans="4:8" x14ac:dyDescent="0.25">
      <c r="D19973" s="28"/>
      <c r="F19973" s="28"/>
      <c r="H19973" s="28"/>
    </row>
    <row r="19974" spans="4:8" x14ac:dyDescent="0.25">
      <c r="D19974" s="28"/>
      <c r="F19974" s="28"/>
      <c r="H19974" s="28"/>
    </row>
    <row r="19975" spans="4:8" x14ac:dyDescent="0.25">
      <c r="D19975" s="28"/>
      <c r="F19975" s="28"/>
      <c r="H19975" s="28"/>
    </row>
    <row r="19976" spans="4:8" x14ac:dyDescent="0.25">
      <c r="D19976" s="28"/>
      <c r="F19976" s="28"/>
      <c r="H19976" s="28"/>
    </row>
    <row r="19977" spans="4:8" x14ac:dyDescent="0.25">
      <c r="D19977" s="28"/>
      <c r="F19977" s="28"/>
      <c r="H19977" s="28"/>
    </row>
    <row r="19978" spans="4:8" x14ac:dyDescent="0.25">
      <c r="D19978" s="28"/>
      <c r="F19978" s="28"/>
      <c r="H19978" s="28"/>
    </row>
    <row r="19979" spans="4:8" x14ac:dyDescent="0.25">
      <c r="D19979" s="28"/>
      <c r="F19979" s="28"/>
      <c r="H19979" s="28"/>
    </row>
    <row r="19980" spans="4:8" x14ac:dyDescent="0.25">
      <c r="D19980" s="28"/>
      <c r="F19980" s="28"/>
      <c r="H19980" s="28"/>
    </row>
    <row r="19981" spans="4:8" x14ac:dyDescent="0.25">
      <c r="D19981" s="28"/>
      <c r="F19981" s="28"/>
      <c r="H19981" s="28"/>
    </row>
    <row r="19982" spans="4:8" x14ac:dyDescent="0.25">
      <c r="D19982" s="28"/>
      <c r="F19982" s="28"/>
      <c r="H19982" s="28"/>
    </row>
    <row r="19983" spans="4:8" x14ac:dyDescent="0.25">
      <c r="D19983" s="28"/>
      <c r="F19983" s="28"/>
      <c r="H19983" s="28"/>
    </row>
    <row r="19984" spans="4:8" x14ac:dyDescent="0.25">
      <c r="D19984" s="28"/>
      <c r="F19984" s="28"/>
      <c r="H19984" s="28"/>
    </row>
    <row r="19985" spans="4:8" x14ac:dyDescent="0.25">
      <c r="D19985" s="28"/>
      <c r="F19985" s="28"/>
      <c r="H19985" s="28"/>
    </row>
    <row r="19986" spans="4:8" x14ac:dyDescent="0.25">
      <c r="D19986" s="28"/>
      <c r="F19986" s="28"/>
      <c r="H19986" s="28"/>
    </row>
    <row r="19987" spans="4:8" x14ac:dyDescent="0.25">
      <c r="D19987" s="28"/>
      <c r="F19987" s="28"/>
      <c r="H19987" s="28"/>
    </row>
    <row r="19988" spans="4:8" x14ac:dyDescent="0.25">
      <c r="D19988" s="28"/>
      <c r="F19988" s="28"/>
      <c r="H19988" s="28"/>
    </row>
    <row r="19989" spans="4:8" x14ac:dyDescent="0.25">
      <c r="D19989" s="28"/>
      <c r="F19989" s="28"/>
      <c r="H19989" s="28"/>
    </row>
    <row r="19990" spans="4:8" x14ac:dyDescent="0.25">
      <c r="D19990" s="28"/>
      <c r="F19990" s="28"/>
      <c r="H19990" s="28"/>
    </row>
    <row r="19991" spans="4:8" x14ac:dyDescent="0.25">
      <c r="D19991" s="28"/>
      <c r="F19991" s="28"/>
      <c r="H19991" s="28"/>
    </row>
    <row r="19992" spans="4:8" x14ac:dyDescent="0.25">
      <c r="D19992" s="28"/>
      <c r="F19992" s="28"/>
      <c r="H19992" s="28"/>
    </row>
    <row r="19993" spans="4:8" x14ac:dyDescent="0.25">
      <c r="D19993" s="28"/>
      <c r="F19993" s="28"/>
      <c r="H19993" s="28"/>
    </row>
    <row r="19994" spans="4:8" x14ac:dyDescent="0.25">
      <c r="D19994" s="28"/>
      <c r="F19994" s="28"/>
      <c r="H19994" s="28"/>
    </row>
    <row r="19995" spans="4:8" x14ac:dyDescent="0.25">
      <c r="D19995" s="28"/>
      <c r="F19995" s="28"/>
      <c r="H19995" s="28"/>
    </row>
    <row r="19996" spans="4:8" x14ac:dyDescent="0.25">
      <c r="D19996" s="28"/>
      <c r="F19996" s="28"/>
      <c r="H19996" s="28"/>
    </row>
    <row r="19997" spans="4:8" x14ac:dyDescent="0.25">
      <c r="D19997" s="28"/>
      <c r="F19997" s="28"/>
      <c r="H19997" s="28"/>
    </row>
    <row r="19998" spans="4:8" x14ac:dyDescent="0.25">
      <c r="D19998" s="28"/>
      <c r="F19998" s="28"/>
      <c r="H19998" s="28"/>
    </row>
    <row r="19999" spans="4:8" x14ac:dyDescent="0.25">
      <c r="D19999" s="28"/>
      <c r="F19999" s="28"/>
      <c r="H19999" s="28"/>
    </row>
    <row r="20000" spans="4:8" x14ac:dyDescent="0.25">
      <c r="D20000" s="28"/>
      <c r="F20000" s="28"/>
      <c r="H20000" s="28"/>
    </row>
    <row r="20001" spans="4:8" x14ac:dyDescent="0.25">
      <c r="D20001" s="28"/>
      <c r="F20001" s="28"/>
      <c r="H20001" s="28"/>
    </row>
    <row r="20002" spans="4:8" x14ac:dyDescent="0.25">
      <c r="D20002" s="28"/>
      <c r="F20002" s="28"/>
      <c r="H20002" s="28"/>
    </row>
    <row r="20003" spans="4:8" x14ac:dyDescent="0.25">
      <c r="D20003" s="28"/>
      <c r="F20003" s="28"/>
      <c r="H20003" s="28"/>
    </row>
    <row r="20004" spans="4:8" x14ac:dyDescent="0.25">
      <c r="D20004" s="28"/>
      <c r="F20004" s="28"/>
      <c r="H20004" s="28"/>
    </row>
    <row r="20005" spans="4:8" x14ac:dyDescent="0.25">
      <c r="D20005" s="28"/>
      <c r="F20005" s="28"/>
      <c r="H20005" s="28"/>
    </row>
    <row r="20006" spans="4:8" x14ac:dyDescent="0.25">
      <c r="D20006" s="28"/>
      <c r="F20006" s="28"/>
      <c r="H20006" s="28"/>
    </row>
    <row r="20007" spans="4:8" x14ac:dyDescent="0.25">
      <c r="D20007" s="28"/>
      <c r="F20007" s="28"/>
      <c r="H20007" s="28"/>
    </row>
    <row r="20008" spans="4:8" x14ac:dyDescent="0.25">
      <c r="D20008" s="28"/>
      <c r="F20008" s="28"/>
      <c r="H20008" s="28"/>
    </row>
    <row r="20009" spans="4:8" x14ac:dyDescent="0.25">
      <c r="D20009" s="28"/>
      <c r="F20009" s="28"/>
      <c r="H20009" s="28"/>
    </row>
    <row r="20010" spans="4:8" x14ac:dyDescent="0.25">
      <c r="D20010" s="28"/>
      <c r="F20010" s="28"/>
      <c r="H20010" s="28"/>
    </row>
    <row r="20011" spans="4:8" x14ac:dyDescent="0.25">
      <c r="D20011" s="28"/>
      <c r="F20011" s="28"/>
      <c r="H20011" s="28"/>
    </row>
    <row r="20012" spans="4:8" x14ac:dyDescent="0.25">
      <c r="D20012" s="28"/>
      <c r="F20012" s="28"/>
      <c r="H20012" s="28"/>
    </row>
    <row r="20013" spans="4:8" x14ac:dyDescent="0.25">
      <c r="D20013" s="28"/>
      <c r="F20013" s="28"/>
      <c r="H20013" s="28"/>
    </row>
    <row r="20014" spans="4:8" x14ac:dyDescent="0.25">
      <c r="D20014" s="28"/>
      <c r="F20014" s="28"/>
      <c r="H20014" s="28"/>
    </row>
    <row r="20015" spans="4:8" x14ac:dyDescent="0.25">
      <c r="D20015" s="28"/>
      <c r="F20015" s="28"/>
      <c r="H20015" s="28"/>
    </row>
    <row r="20016" spans="4:8" x14ac:dyDescent="0.25">
      <c r="D20016" s="28"/>
      <c r="F20016" s="28"/>
      <c r="H20016" s="28"/>
    </row>
    <row r="20017" spans="4:8" x14ac:dyDescent="0.25">
      <c r="D20017" s="28"/>
      <c r="F20017" s="28"/>
      <c r="H20017" s="28"/>
    </row>
    <row r="20018" spans="4:8" x14ac:dyDescent="0.25">
      <c r="D20018" s="28"/>
      <c r="F20018" s="28"/>
      <c r="H20018" s="28"/>
    </row>
    <row r="20019" spans="4:8" x14ac:dyDescent="0.25">
      <c r="D20019" s="28"/>
      <c r="F20019" s="28"/>
      <c r="H20019" s="28"/>
    </row>
    <row r="20020" spans="4:8" x14ac:dyDescent="0.25">
      <c r="D20020" s="28"/>
      <c r="F20020" s="28"/>
      <c r="H20020" s="28"/>
    </row>
    <row r="20021" spans="4:8" x14ac:dyDescent="0.25">
      <c r="D20021" s="28"/>
      <c r="F20021" s="28"/>
      <c r="H20021" s="28"/>
    </row>
    <row r="20022" spans="4:8" x14ac:dyDescent="0.25">
      <c r="D20022" s="28"/>
      <c r="F20022" s="28"/>
      <c r="H20022" s="28"/>
    </row>
    <row r="20023" spans="4:8" x14ac:dyDescent="0.25">
      <c r="D20023" s="28"/>
      <c r="F20023" s="28"/>
      <c r="H20023" s="28"/>
    </row>
    <row r="20024" spans="4:8" x14ac:dyDescent="0.25">
      <c r="D20024" s="28"/>
      <c r="F20024" s="28"/>
      <c r="H20024" s="28"/>
    </row>
    <row r="20025" spans="4:8" x14ac:dyDescent="0.25">
      <c r="D20025" s="28"/>
      <c r="F20025" s="28"/>
      <c r="H20025" s="28"/>
    </row>
    <row r="20026" spans="4:8" x14ac:dyDescent="0.25">
      <c r="D20026" s="28"/>
      <c r="F20026" s="28"/>
      <c r="H20026" s="28"/>
    </row>
    <row r="20027" spans="4:8" x14ac:dyDescent="0.25">
      <c r="D20027" s="28"/>
      <c r="F20027" s="28"/>
      <c r="H20027" s="28"/>
    </row>
    <row r="20028" spans="4:8" x14ac:dyDescent="0.25">
      <c r="D20028" s="28"/>
      <c r="F20028" s="28"/>
      <c r="H20028" s="28"/>
    </row>
    <row r="20029" spans="4:8" x14ac:dyDescent="0.25">
      <c r="D20029" s="28"/>
      <c r="F20029" s="28"/>
      <c r="H20029" s="28"/>
    </row>
    <row r="20030" spans="4:8" x14ac:dyDescent="0.25">
      <c r="D20030" s="28"/>
      <c r="F20030" s="28"/>
      <c r="H20030" s="28"/>
    </row>
    <row r="20031" spans="4:8" x14ac:dyDescent="0.25">
      <c r="D20031" s="28"/>
      <c r="F20031" s="28"/>
      <c r="H20031" s="28"/>
    </row>
    <row r="20032" spans="4:8" x14ac:dyDescent="0.25">
      <c r="D20032" s="28"/>
      <c r="F20032" s="28"/>
      <c r="H20032" s="28"/>
    </row>
    <row r="20033" spans="4:8" x14ac:dyDescent="0.25">
      <c r="D20033" s="28"/>
      <c r="F20033" s="28"/>
      <c r="H20033" s="28"/>
    </row>
    <row r="20034" spans="4:8" x14ac:dyDescent="0.25">
      <c r="D20034" s="28"/>
      <c r="F20034" s="28"/>
      <c r="H20034" s="28"/>
    </row>
    <row r="20035" spans="4:8" x14ac:dyDescent="0.25">
      <c r="D20035" s="28"/>
      <c r="F20035" s="28"/>
      <c r="H20035" s="28"/>
    </row>
    <row r="20036" spans="4:8" x14ac:dyDescent="0.25">
      <c r="D20036" s="28"/>
      <c r="F20036" s="28"/>
      <c r="H20036" s="28"/>
    </row>
    <row r="20037" spans="4:8" x14ac:dyDescent="0.25">
      <c r="D20037" s="28"/>
      <c r="F20037" s="28"/>
      <c r="H20037" s="28"/>
    </row>
    <row r="20038" spans="4:8" x14ac:dyDescent="0.25">
      <c r="D20038" s="28"/>
      <c r="F20038" s="28"/>
      <c r="H20038" s="28"/>
    </row>
    <row r="20039" spans="4:8" x14ac:dyDescent="0.25">
      <c r="D20039" s="28"/>
      <c r="F20039" s="28"/>
      <c r="H20039" s="28"/>
    </row>
    <row r="20040" spans="4:8" x14ac:dyDescent="0.25">
      <c r="D20040" s="28"/>
      <c r="F20040" s="28"/>
      <c r="H20040" s="28"/>
    </row>
    <row r="20041" spans="4:8" x14ac:dyDescent="0.25">
      <c r="D20041" s="28"/>
      <c r="F20041" s="28"/>
      <c r="H20041" s="28"/>
    </row>
    <row r="20042" spans="4:8" x14ac:dyDescent="0.25">
      <c r="D20042" s="28"/>
      <c r="F20042" s="28"/>
      <c r="H20042" s="28"/>
    </row>
    <row r="20043" spans="4:8" x14ac:dyDescent="0.25">
      <c r="D20043" s="28"/>
      <c r="F20043" s="28"/>
      <c r="H20043" s="28"/>
    </row>
    <row r="20044" spans="4:8" x14ac:dyDescent="0.25">
      <c r="D20044" s="28"/>
      <c r="F20044" s="28"/>
      <c r="H20044" s="28"/>
    </row>
    <row r="20045" spans="4:8" x14ac:dyDescent="0.25">
      <c r="D20045" s="28"/>
      <c r="F20045" s="28"/>
      <c r="H20045" s="28"/>
    </row>
    <row r="20046" spans="4:8" x14ac:dyDescent="0.25">
      <c r="D20046" s="28"/>
      <c r="F20046" s="28"/>
      <c r="H20046" s="28"/>
    </row>
    <row r="20047" spans="4:8" x14ac:dyDescent="0.25">
      <c r="D20047" s="28"/>
      <c r="F20047" s="28"/>
      <c r="H20047" s="28"/>
    </row>
    <row r="20048" spans="4:8" x14ac:dyDescent="0.25">
      <c r="D20048" s="28"/>
      <c r="F20048" s="28"/>
      <c r="H20048" s="28"/>
    </row>
    <row r="20049" spans="4:8" x14ac:dyDescent="0.25">
      <c r="D20049" s="28"/>
      <c r="F20049" s="28"/>
      <c r="H20049" s="28"/>
    </row>
    <row r="20050" spans="4:8" x14ac:dyDescent="0.25">
      <c r="D20050" s="28"/>
      <c r="F20050" s="28"/>
      <c r="H20050" s="28"/>
    </row>
    <row r="20051" spans="4:8" x14ac:dyDescent="0.25">
      <c r="D20051" s="28"/>
      <c r="F20051" s="28"/>
      <c r="H20051" s="28"/>
    </row>
    <row r="20052" spans="4:8" x14ac:dyDescent="0.25">
      <c r="D20052" s="28"/>
      <c r="F20052" s="28"/>
      <c r="H20052" s="28"/>
    </row>
    <row r="20053" spans="4:8" x14ac:dyDescent="0.25">
      <c r="D20053" s="28"/>
      <c r="F20053" s="28"/>
      <c r="H20053" s="28"/>
    </row>
    <row r="20054" spans="4:8" x14ac:dyDescent="0.25">
      <c r="D20054" s="28"/>
      <c r="F20054" s="28"/>
      <c r="H20054" s="28"/>
    </row>
    <row r="20055" spans="4:8" x14ac:dyDescent="0.25">
      <c r="D20055" s="28"/>
      <c r="F20055" s="28"/>
      <c r="H20055" s="28"/>
    </row>
    <row r="20056" spans="4:8" x14ac:dyDescent="0.25">
      <c r="D20056" s="28"/>
      <c r="F20056" s="28"/>
      <c r="H20056" s="28"/>
    </row>
    <row r="20057" spans="4:8" x14ac:dyDescent="0.25">
      <c r="D20057" s="28"/>
      <c r="F20057" s="28"/>
      <c r="H20057" s="28"/>
    </row>
    <row r="20058" spans="4:8" x14ac:dyDescent="0.25">
      <c r="D20058" s="28"/>
      <c r="F20058" s="28"/>
      <c r="H20058" s="28"/>
    </row>
    <row r="20059" spans="4:8" x14ac:dyDescent="0.25">
      <c r="D20059" s="28"/>
      <c r="F20059" s="28"/>
      <c r="H20059" s="28"/>
    </row>
    <row r="20060" spans="4:8" x14ac:dyDescent="0.25">
      <c r="D20060" s="28"/>
      <c r="F20060" s="28"/>
      <c r="H20060" s="28"/>
    </row>
    <row r="20061" spans="4:8" x14ac:dyDescent="0.25">
      <c r="D20061" s="28"/>
      <c r="F20061" s="28"/>
      <c r="H20061" s="28"/>
    </row>
    <row r="20062" spans="4:8" x14ac:dyDescent="0.25">
      <c r="D20062" s="28"/>
      <c r="F20062" s="28"/>
      <c r="H20062" s="28"/>
    </row>
    <row r="20063" spans="4:8" x14ac:dyDescent="0.25">
      <c r="D20063" s="28"/>
      <c r="F20063" s="28"/>
      <c r="H20063" s="28"/>
    </row>
    <row r="20064" spans="4:8" x14ac:dyDescent="0.25">
      <c r="D20064" s="28"/>
      <c r="F20064" s="28"/>
      <c r="H20064" s="28"/>
    </row>
    <row r="20065" spans="4:8" x14ac:dyDescent="0.25">
      <c r="D20065" s="28"/>
      <c r="F20065" s="28"/>
      <c r="H20065" s="28"/>
    </row>
    <row r="20066" spans="4:8" x14ac:dyDescent="0.25">
      <c r="D20066" s="28"/>
      <c r="F20066" s="28"/>
      <c r="H20066" s="28"/>
    </row>
    <row r="20067" spans="4:8" x14ac:dyDescent="0.25">
      <c r="D20067" s="28"/>
      <c r="F20067" s="28"/>
      <c r="H20067" s="28"/>
    </row>
    <row r="20068" spans="4:8" x14ac:dyDescent="0.25">
      <c r="D20068" s="28"/>
      <c r="F20068" s="28"/>
      <c r="H20068" s="28"/>
    </row>
    <row r="20069" spans="4:8" x14ac:dyDescent="0.25">
      <c r="D20069" s="28"/>
      <c r="F20069" s="28"/>
      <c r="H20069" s="28"/>
    </row>
    <row r="20070" spans="4:8" x14ac:dyDescent="0.25">
      <c r="D20070" s="28"/>
      <c r="F20070" s="28"/>
      <c r="H20070" s="28"/>
    </row>
    <row r="20071" spans="4:8" x14ac:dyDescent="0.25">
      <c r="D20071" s="28"/>
      <c r="F20071" s="28"/>
      <c r="H20071" s="28"/>
    </row>
    <row r="20072" spans="4:8" x14ac:dyDescent="0.25">
      <c r="D20072" s="28"/>
      <c r="F20072" s="28"/>
      <c r="H20072" s="28"/>
    </row>
    <row r="20073" spans="4:8" x14ac:dyDescent="0.25">
      <c r="D20073" s="28"/>
      <c r="F20073" s="28"/>
      <c r="H20073" s="28"/>
    </row>
    <row r="20074" spans="4:8" x14ac:dyDescent="0.25">
      <c r="D20074" s="28"/>
      <c r="F20074" s="28"/>
      <c r="H20074" s="28"/>
    </row>
    <row r="20075" spans="4:8" x14ac:dyDescent="0.25">
      <c r="D20075" s="28"/>
      <c r="F20075" s="28"/>
      <c r="H20075" s="28"/>
    </row>
    <row r="20076" spans="4:8" x14ac:dyDescent="0.25">
      <c r="D20076" s="28"/>
      <c r="F20076" s="28"/>
      <c r="H20076" s="28"/>
    </row>
    <row r="20077" spans="4:8" x14ac:dyDescent="0.25">
      <c r="D20077" s="28"/>
      <c r="F20077" s="28"/>
      <c r="H20077" s="28"/>
    </row>
    <row r="20078" spans="4:8" x14ac:dyDescent="0.25">
      <c r="D20078" s="28"/>
      <c r="F20078" s="28"/>
      <c r="H20078" s="28"/>
    </row>
    <row r="20079" spans="4:8" x14ac:dyDescent="0.25">
      <c r="D20079" s="28"/>
      <c r="F20079" s="28"/>
      <c r="H20079" s="28"/>
    </row>
    <row r="20080" spans="4:8" x14ac:dyDescent="0.25">
      <c r="D20080" s="28"/>
      <c r="F20080" s="28"/>
      <c r="H20080" s="28"/>
    </row>
    <row r="20081" spans="4:8" x14ac:dyDescent="0.25">
      <c r="D20081" s="28"/>
      <c r="F20081" s="28"/>
      <c r="H20081" s="28"/>
    </row>
    <row r="20082" spans="4:8" x14ac:dyDescent="0.25">
      <c r="D20082" s="28"/>
      <c r="F20082" s="28"/>
      <c r="H20082" s="28"/>
    </row>
    <row r="20083" spans="4:8" x14ac:dyDescent="0.25">
      <c r="D20083" s="28"/>
      <c r="F20083" s="28"/>
      <c r="H20083" s="28"/>
    </row>
    <row r="20084" spans="4:8" x14ac:dyDescent="0.25">
      <c r="D20084" s="28"/>
      <c r="F20084" s="28"/>
      <c r="H20084" s="28"/>
    </row>
    <row r="20085" spans="4:8" x14ac:dyDescent="0.25">
      <c r="D20085" s="28"/>
      <c r="F20085" s="28"/>
      <c r="H20085" s="28"/>
    </row>
    <row r="20086" spans="4:8" x14ac:dyDescent="0.25">
      <c r="D20086" s="28"/>
      <c r="F20086" s="28"/>
      <c r="H20086" s="28"/>
    </row>
    <row r="20087" spans="4:8" x14ac:dyDescent="0.25">
      <c r="D20087" s="28"/>
      <c r="F20087" s="28"/>
      <c r="H20087" s="28"/>
    </row>
    <row r="20088" spans="4:8" x14ac:dyDescent="0.25">
      <c r="D20088" s="28"/>
      <c r="F20088" s="28"/>
      <c r="H20088" s="28"/>
    </row>
    <row r="20089" spans="4:8" x14ac:dyDescent="0.25">
      <c r="D20089" s="28"/>
      <c r="F20089" s="28"/>
      <c r="H20089" s="28"/>
    </row>
    <row r="20090" spans="4:8" x14ac:dyDescent="0.25">
      <c r="D20090" s="28"/>
      <c r="F20090" s="28"/>
      <c r="H20090" s="28"/>
    </row>
    <row r="20091" spans="4:8" x14ac:dyDescent="0.25">
      <c r="D20091" s="28"/>
      <c r="F20091" s="28"/>
      <c r="H20091" s="28"/>
    </row>
    <row r="20092" spans="4:8" x14ac:dyDescent="0.25">
      <c r="D20092" s="28"/>
      <c r="F20092" s="28"/>
      <c r="H20092" s="28"/>
    </row>
    <row r="20093" spans="4:8" x14ac:dyDescent="0.25">
      <c r="D20093" s="28"/>
      <c r="F20093" s="28"/>
      <c r="H20093" s="28"/>
    </row>
    <row r="20094" spans="4:8" x14ac:dyDescent="0.25">
      <c r="D20094" s="28"/>
      <c r="F20094" s="28"/>
      <c r="H20094" s="28"/>
    </row>
    <row r="20095" spans="4:8" x14ac:dyDescent="0.25">
      <c r="D20095" s="28"/>
      <c r="F20095" s="28"/>
      <c r="H20095" s="28"/>
    </row>
    <row r="20096" spans="4:8" x14ac:dyDescent="0.25">
      <c r="D20096" s="28"/>
      <c r="F20096" s="28"/>
      <c r="H20096" s="28"/>
    </row>
    <row r="20097" spans="4:8" x14ac:dyDescent="0.25">
      <c r="D20097" s="28"/>
      <c r="F20097" s="28"/>
      <c r="H20097" s="28"/>
    </row>
    <row r="20098" spans="4:8" x14ac:dyDescent="0.25">
      <c r="D20098" s="28"/>
      <c r="F20098" s="28"/>
      <c r="H20098" s="28"/>
    </row>
    <row r="20099" spans="4:8" x14ac:dyDescent="0.25">
      <c r="D20099" s="28"/>
      <c r="F20099" s="28"/>
      <c r="H20099" s="28"/>
    </row>
    <row r="20100" spans="4:8" x14ac:dyDescent="0.25">
      <c r="D20100" s="28"/>
      <c r="F20100" s="28"/>
      <c r="H20100" s="28"/>
    </row>
    <row r="20101" spans="4:8" x14ac:dyDescent="0.25">
      <c r="D20101" s="28"/>
      <c r="F20101" s="28"/>
      <c r="H20101" s="28"/>
    </row>
    <row r="20102" spans="4:8" x14ac:dyDescent="0.25">
      <c r="D20102" s="28"/>
      <c r="F20102" s="28"/>
      <c r="H20102" s="28"/>
    </row>
    <row r="20103" spans="4:8" x14ac:dyDescent="0.25">
      <c r="D20103" s="28"/>
      <c r="F20103" s="28"/>
      <c r="H20103" s="28"/>
    </row>
    <row r="20104" spans="4:8" x14ac:dyDescent="0.25">
      <c r="D20104" s="28"/>
      <c r="F20104" s="28"/>
      <c r="H20104" s="28"/>
    </row>
    <row r="20105" spans="4:8" x14ac:dyDescent="0.25">
      <c r="D20105" s="28"/>
      <c r="F20105" s="28"/>
      <c r="H20105" s="28"/>
    </row>
    <row r="20106" spans="4:8" x14ac:dyDescent="0.25">
      <c r="D20106" s="28"/>
      <c r="F20106" s="28"/>
      <c r="H20106" s="28"/>
    </row>
    <row r="20107" spans="4:8" x14ac:dyDescent="0.25">
      <c r="D20107" s="28"/>
      <c r="F20107" s="28"/>
      <c r="H20107" s="28"/>
    </row>
    <row r="20108" spans="4:8" x14ac:dyDescent="0.25">
      <c r="D20108" s="28"/>
      <c r="F20108" s="28"/>
      <c r="H20108" s="28"/>
    </row>
    <row r="20109" spans="4:8" x14ac:dyDescent="0.25">
      <c r="D20109" s="28"/>
      <c r="F20109" s="28"/>
      <c r="H20109" s="28"/>
    </row>
    <row r="20110" spans="4:8" x14ac:dyDescent="0.25">
      <c r="D20110" s="28"/>
      <c r="F20110" s="28"/>
      <c r="H20110" s="28"/>
    </row>
    <row r="20111" spans="4:8" x14ac:dyDescent="0.25">
      <c r="D20111" s="28"/>
      <c r="F20111" s="28"/>
      <c r="H20111" s="28"/>
    </row>
    <row r="20112" spans="4:8" x14ac:dyDescent="0.25">
      <c r="D20112" s="28"/>
      <c r="F20112" s="28"/>
      <c r="H20112" s="28"/>
    </row>
    <row r="20113" spans="4:8" x14ac:dyDescent="0.25">
      <c r="D20113" s="28"/>
      <c r="F20113" s="28"/>
      <c r="H20113" s="28"/>
    </row>
    <row r="20114" spans="4:8" x14ac:dyDescent="0.25">
      <c r="D20114" s="28"/>
      <c r="F20114" s="28"/>
      <c r="H20114" s="28"/>
    </row>
    <row r="20115" spans="4:8" x14ac:dyDescent="0.25">
      <c r="D20115" s="28"/>
      <c r="F20115" s="28"/>
      <c r="H20115" s="28"/>
    </row>
    <row r="20116" spans="4:8" x14ac:dyDescent="0.25">
      <c r="D20116" s="28"/>
      <c r="F20116" s="28"/>
      <c r="H20116" s="28"/>
    </row>
    <row r="20117" spans="4:8" x14ac:dyDescent="0.25">
      <c r="D20117" s="28"/>
      <c r="F20117" s="28"/>
      <c r="H20117" s="28"/>
    </row>
    <row r="20118" spans="4:8" x14ac:dyDescent="0.25">
      <c r="D20118" s="28"/>
      <c r="F20118" s="28"/>
      <c r="H20118" s="28"/>
    </row>
    <row r="20119" spans="4:8" x14ac:dyDescent="0.25">
      <c r="D20119" s="28"/>
      <c r="F20119" s="28"/>
      <c r="H20119" s="28"/>
    </row>
    <row r="20120" spans="4:8" x14ac:dyDescent="0.25">
      <c r="D20120" s="28"/>
      <c r="F20120" s="28"/>
      <c r="H20120" s="28"/>
    </row>
    <row r="20121" spans="4:8" x14ac:dyDescent="0.25">
      <c r="D20121" s="28"/>
      <c r="F20121" s="28"/>
      <c r="H20121" s="28"/>
    </row>
    <row r="20122" spans="4:8" x14ac:dyDescent="0.25">
      <c r="D20122" s="28"/>
      <c r="F20122" s="28"/>
      <c r="H20122" s="28"/>
    </row>
    <row r="20123" spans="4:8" x14ac:dyDescent="0.25">
      <c r="D20123" s="28"/>
      <c r="F20123" s="28"/>
      <c r="H20123" s="28"/>
    </row>
    <row r="20124" spans="4:8" x14ac:dyDescent="0.25">
      <c r="D20124" s="28"/>
      <c r="F20124" s="28"/>
      <c r="H20124" s="28"/>
    </row>
    <row r="20125" spans="4:8" x14ac:dyDescent="0.25">
      <c r="D20125" s="28"/>
      <c r="F20125" s="28"/>
      <c r="H20125" s="28"/>
    </row>
    <row r="20126" spans="4:8" x14ac:dyDescent="0.25">
      <c r="D20126" s="28"/>
      <c r="F20126" s="28"/>
      <c r="H20126" s="28"/>
    </row>
    <row r="20127" spans="4:8" x14ac:dyDescent="0.25">
      <c r="D20127" s="28"/>
      <c r="F20127" s="28"/>
      <c r="H20127" s="28"/>
    </row>
    <row r="20128" spans="4:8" x14ac:dyDescent="0.25">
      <c r="D20128" s="28"/>
      <c r="F20128" s="28"/>
      <c r="H20128" s="28"/>
    </row>
    <row r="20129" spans="4:8" x14ac:dyDescent="0.25">
      <c r="D20129" s="28"/>
      <c r="F20129" s="28"/>
      <c r="H20129" s="28"/>
    </row>
    <row r="20130" spans="4:8" x14ac:dyDescent="0.25">
      <c r="D20130" s="28"/>
      <c r="F20130" s="28"/>
      <c r="H20130" s="28"/>
    </row>
    <row r="20131" spans="4:8" x14ac:dyDescent="0.25">
      <c r="D20131" s="28"/>
      <c r="F20131" s="28"/>
      <c r="H20131" s="28"/>
    </row>
    <row r="20132" spans="4:8" x14ac:dyDescent="0.25">
      <c r="D20132" s="28"/>
      <c r="F20132" s="28"/>
      <c r="H20132" s="28"/>
    </row>
    <row r="20133" spans="4:8" x14ac:dyDescent="0.25">
      <c r="D20133" s="28"/>
      <c r="F20133" s="28"/>
      <c r="H20133" s="28"/>
    </row>
    <row r="20134" spans="4:8" x14ac:dyDescent="0.25">
      <c r="D20134" s="28"/>
      <c r="F20134" s="28"/>
      <c r="H20134" s="28"/>
    </row>
    <row r="20135" spans="4:8" x14ac:dyDescent="0.25">
      <c r="D20135" s="28"/>
      <c r="F20135" s="28"/>
      <c r="H20135" s="28"/>
    </row>
    <row r="20136" spans="4:8" x14ac:dyDescent="0.25">
      <c r="D20136" s="28"/>
      <c r="F20136" s="28"/>
      <c r="H20136" s="28"/>
    </row>
    <row r="20137" spans="4:8" x14ac:dyDescent="0.25">
      <c r="D20137" s="28"/>
      <c r="F20137" s="28"/>
      <c r="H20137" s="28"/>
    </row>
    <row r="20138" spans="4:8" x14ac:dyDescent="0.25">
      <c r="D20138" s="28"/>
      <c r="F20138" s="28"/>
      <c r="H20138" s="28"/>
    </row>
    <row r="20139" spans="4:8" x14ac:dyDescent="0.25">
      <c r="D20139" s="28"/>
      <c r="F20139" s="28"/>
      <c r="H20139" s="28"/>
    </row>
    <row r="20140" spans="4:8" x14ac:dyDescent="0.25">
      <c r="D20140" s="28"/>
      <c r="F20140" s="28"/>
      <c r="H20140" s="28"/>
    </row>
    <row r="20141" spans="4:8" x14ac:dyDescent="0.25">
      <c r="D20141" s="28"/>
      <c r="F20141" s="28"/>
      <c r="H20141" s="28"/>
    </row>
    <row r="20142" spans="4:8" x14ac:dyDescent="0.25">
      <c r="D20142" s="28"/>
      <c r="F20142" s="28"/>
      <c r="H20142" s="28"/>
    </row>
    <row r="20143" spans="4:8" x14ac:dyDescent="0.25">
      <c r="D20143" s="28"/>
      <c r="F20143" s="28"/>
      <c r="H20143" s="28"/>
    </row>
    <row r="20144" spans="4:8" x14ac:dyDescent="0.25">
      <c r="D20144" s="28"/>
      <c r="F20144" s="28"/>
      <c r="H20144" s="28"/>
    </row>
    <row r="20145" spans="4:8" x14ac:dyDescent="0.25">
      <c r="D20145" s="28"/>
      <c r="F20145" s="28"/>
      <c r="H20145" s="28"/>
    </row>
    <row r="20146" spans="4:8" x14ac:dyDescent="0.25">
      <c r="D20146" s="28"/>
      <c r="F20146" s="28"/>
      <c r="H20146" s="28"/>
    </row>
    <row r="20147" spans="4:8" x14ac:dyDescent="0.25">
      <c r="D20147" s="28"/>
      <c r="F20147" s="28"/>
      <c r="H20147" s="28"/>
    </row>
    <row r="20148" spans="4:8" x14ac:dyDescent="0.25">
      <c r="D20148" s="28"/>
      <c r="F20148" s="28"/>
      <c r="H20148" s="28"/>
    </row>
    <row r="20149" spans="4:8" x14ac:dyDescent="0.25">
      <c r="D20149" s="28"/>
      <c r="F20149" s="28"/>
      <c r="H20149" s="28"/>
    </row>
    <row r="20150" spans="4:8" x14ac:dyDescent="0.25">
      <c r="D20150" s="28"/>
      <c r="F20150" s="28"/>
      <c r="H20150" s="28"/>
    </row>
    <row r="20151" spans="4:8" x14ac:dyDescent="0.25">
      <c r="D20151" s="28"/>
      <c r="F20151" s="28"/>
      <c r="H20151" s="28"/>
    </row>
    <row r="20152" spans="4:8" x14ac:dyDescent="0.25">
      <c r="D20152" s="28"/>
      <c r="F20152" s="28"/>
      <c r="H20152" s="28"/>
    </row>
    <row r="20153" spans="4:8" x14ac:dyDescent="0.25">
      <c r="D20153" s="28"/>
      <c r="F20153" s="28"/>
      <c r="H20153" s="28"/>
    </row>
    <row r="20154" spans="4:8" x14ac:dyDescent="0.25">
      <c r="D20154" s="28"/>
      <c r="F20154" s="28"/>
      <c r="H20154" s="28"/>
    </row>
    <row r="20155" spans="4:8" x14ac:dyDescent="0.25">
      <c r="D20155" s="28"/>
      <c r="F20155" s="28"/>
      <c r="H20155" s="28"/>
    </row>
    <row r="20156" spans="4:8" x14ac:dyDescent="0.25">
      <c r="D20156" s="28"/>
      <c r="F20156" s="28"/>
      <c r="H20156" s="28"/>
    </row>
    <row r="20157" spans="4:8" x14ac:dyDescent="0.25">
      <c r="D20157" s="28"/>
      <c r="F20157" s="28"/>
      <c r="H20157" s="28"/>
    </row>
    <row r="20158" spans="4:8" x14ac:dyDescent="0.25">
      <c r="D20158" s="28"/>
      <c r="F20158" s="28"/>
      <c r="H20158" s="28"/>
    </row>
    <row r="20159" spans="4:8" x14ac:dyDescent="0.25">
      <c r="D20159" s="28"/>
      <c r="F20159" s="28"/>
      <c r="H20159" s="28"/>
    </row>
    <row r="20160" spans="4:8" x14ac:dyDescent="0.25">
      <c r="D20160" s="28"/>
      <c r="F20160" s="28"/>
      <c r="H20160" s="28"/>
    </row>
    <row r="20161" spans="4:8" x14ac:dyDescent="0.25">
      <c r="D20161" s="28"/>
      <c r="F20161" s="28"/>
      <c r="H20161" s="28"/>
    </row>
    <row r="20162" spans="4:8" x14ac:dyDescent="0.25">
      <c r="D20162" s="28"/>
      <c r="F20162" s="28"/>
      <c r="H20162" s="28"/>
    </row>
    <row r="20163" spans="4:8" x14ac:dyDescent="0.25">
      <c r="D20163" s="28"/>
      <c r="F20163" s="28"/>
      <c r="H20163" s="28"/>
    </row>
    <row r="20164" spans="4:8" x14ac:dyDescent="0.25">
      <c r="D20164" s="28"/>
      <c r="F20164" s="28"/>
      <c r="H20164" s="28"/>
    </row>
    <row r="20165" spans="4:8" x14ac:dyDescent="0.25">
      <c r="D20165" s="28"/>
      <c r="F20165" s="28"/>
      <c r="H20165" s="28"/>
    </row>
    <row r="20166" spans="4:8" x14ac:dyDescent="0.25">
      <c r="D20166" s="28"/>
      <c r="F20166" s="28"/>
      <c r="H20166" s="28"/>
    </row>
    <row r="20167" spans="4:8" x14ac:dyDescent="0.25">
      <c r="D20167" s="28"/>
      <c r="F20167" s="28"/>
      <c r="H20167" s="28"/>
    </row>
    <row r="20168" spans="4:8" x14ac:dyDescent="0.25">
      <c r="D20168" s="28"/>
      <c r="F20168" s="28"/>
      <c r="H20168" s="28"/>
    </row>
    <row r="20169" spans="4:8" x14ac:dyDescent="0.25">
      <c r="D20169" s="28"/>
      <c r="F20169" s="28"/>
      <c r="H20169" s="28"/>
    </row>
    <row r="20170" spans="4:8" x14ac:dyDescent="0.25">
      <c r="D20170" s="28"/>
      <c r="F20170" s="28"/>
      <c r="H20170" s="28"/>
    </row>
    <row r="20171" spans="4:8" x14ac:dyDescent="0.25">
      <c r="D20171" s="28"/>
      <c r="F20171" s="28"/>
      <c r="H20171" s="28"/>
    </row>
    <row r="20172" spans="4:8" x14ac:dyDescent="0.25">
      <c r="D20172" s="28"/>
      <c r="F20172" s="28"/>
      <c r="H20172" s="28"/>
    </row>
    <row r="20173" spans="4:8" x14ac:dyDescent="0.25">
      <c r="D20173" s="28"/>
      <c r="F20173" s="28"/>
      <c r="H20173" s="28"/>
    </row>
    <row r="20174" spans="4:8" x14ac:dyDescent="0.25">
      <c r="D20174" s="28"/>
      <c r="F20174" s="28"/>
      <c r="H20174" s="28"/>
    </row>
    <row r="20175" spans="4:8" x14ac:dyDescent="0.25">
      <c r="D20175" s="28"/>
      <c r="F20175" s="28"/>
      <c r="H20175" s="28"/>
    </row>
    <row r="20176" spans="4:8" x14ac:dyDescent="0.25">
      <c r="D20176" s="28"/>
      <c r="F20176" s="28"/>
      <c r="H20176" s="28"/>
    </row>
    <row r="20177" spans="4:8" x14ac:dyDescent="0.25">
      <c r="D20177" s="28"/>
      <c r="F20177" s="28"/>
      <c r="H20177" s="28"/>
    </row>
    <row r="20178" spans="4:8" x14ac:dyDescent="0.25">
      <c r="D20178" s="28"/>
      <c r="F20178" s="28"/>
      <c r="H20178" s="28"/>
    </row>
    <row r="20179" spans="4:8" x14ac:dyDescent="0.25">
      <c r="D20179" s="28"/>
      <c r="F20179" s="28"/>
      <c r="H20179" s="28"/>
    </row>
    <row r="20180" spans="4:8" x14ac:dyDescent="0.25">
      <c r="D20180" s="28"/>
      <c r="F20180" s="28"/>
      <c r="H20180" s="28"/>
    </row>
    <row r="20181" spans="4:8" x14ac:dyDescent="0.25">
      <c r="D20181" s="28"/>
      <c r="F20181" s="28"/>
      <c r="H20181" s="28"/>
    </row>
    <row r="20182" spans="4:8" x14ac:dyDescent="0.25">
      <c r="D20182" s="28"/>
      <c r="F20182" s="28"/>
      <c r="H20182" s="28"/>
    </row>
    <row r="20183" spans="4:8" x14ac:dyDescent="0.25">
      <c r="D20183" s="28"/>
      <c r="F20183" s="28"/>
      <c r="H20183" s="28"/>
    </row>
    <row r="20184" spans="4:8" x14ac:dyDescent="0.25">
      <c r="D20184" s="28"/>
      <c r="F20184" s="28"/>
      <c r="H20184" s="28"/>
    </row>
    <row r="20185" spans="4:8" x14ac:dyDescent="0.25">
      <c r="D20185" s="28"/>
      <c r="F20185" s="28"/>
      <c r="H20185" s="28"/>
    </row>
    <row r="20186" spans="4:8" x14ac:dyDescent="0.25">
      <c r="D20186" s="28"/>
      <c r="F20186" s="28"/>
      <c r="H20186" s="28"/>
    </row>
    <row r="20187" spans="4:8" x14ac:dyDescent="0.25">
      <c r="D20187" s="28"/>
      <c r="F20187" s="28"/>
      <c r="H20187" s="28"/>
    </row>
    <row r="20188" spans="4:8" x14ac:dyDescent="0.25">
      <c r="D20188" s="28"/>
      <c r="F20188" s="28"/>
      <c r="H20188" s="28"/>
    </row>
    <row r="20189" spans="4:8" x14ac:dyDescent="0.25">
      <c r="D20189" s="28"/>
      <c r="F20189" s="28"/>
      <c r="H20189" s="28"/>
    </row>
    <row r="20190" spans="4:8" x14ac:dyDescent="0.25">
      <c r="D20190" s="28"/>
      <c r="F20190" s="28"/>
      <c r="H20190" s="28"/>
    </row>
    <row r="20191" spans="4:8" x14ac:dyDescent="0.25">
      <c r="D20191" s="28"/>
      <c r="F20191" s="28"/>
      <c r="H20191" s="28"/>
    </row>
    <row r="20192" spans="4:8" x14ac:dyDescent="0.25">
      <c r="D20192" s="28"/>
      <c r="F20192" s="28"/>
      <c r="H20192" s="28"/>
    </row>
    <row r="20193" spans="4:8" x14ac:dyDescent="0.25">
      <c r="D20193" s="28"/>
      <c r="F20193" s="28"/>
      <c r="H20193" s="28"/>
    </row>
    <row r="20194" spans="4:8" x14ac:dyDescent="0.25">
      <c r="D20194" s="28"/>
      <c r="F20194" s="28"/>
      <c r="H20194" s="28"/>
    </row>
    <row r="20195" spans="4:8" x14ac:dyDescent="0.25">
      <c r="D20195" s="28"/>
      <c r="F20195" s="28"/>
      <c r="H20195" s="28"/>
    </row>
    <row r="20196" spans="4:8" x14ac:dyDescent="0.25">
      <c r="D20196" s="28"/>
      <c r="F20196" s="28"/>
      <c r="H20196" s="28"/>
    </row>
    <row r="20197" spans="4:8" x14ac:dyDescent="0.25">
      <c r="D20197" s="28"/>
      <c r="F20197" s="28"/>
      <c r="H20197" s="28"/>
    </row>
    <row r="20198" spans="4:8" x14ac:dyDescent="0.25">
      <c r="D20198" s="28"/>
      <c r="F20198" s="28"/>
      <c r="H20198" s="28"/>
    </row>
    <row r="20199" spans="4:8" x14ac:dyDescent="0.25">
      <c r="D20199" s="28"/>
      <c r="F20199" s="28"/>
      <c r="H20199" s="28"/>
    </row>
    <row r="20200" spans="4:8" x14ac:dyDescent="0.25">
      <c r="D20200" s="28"/>
      <c r="F20200" s="28"/>
      <c r="H20200" s="28"/>
    </row>
    <row r="20201" spans="4:8" x14ac:dyDescent="0.25">
      <c r="D20201" s="28"/>
      <c r="F20201" s="28"/>
      <c r="H20201" s="28"/>
    </row>
    <row r="20202" spans="4:8" x14ac:dyDescent="0.25">
      <c r="D20202" s="28"/>
      <c r="F20202" s="28"/>
      <c r="H20202" s="28"/>
    </row>
    <row r="20203" spans="4:8" x14ac:dyDescent="0.25">
      <c r="D20203" s="28"/>
      <c r="F20203" s="28"/>
      <c r="H20203" s="28"/>
    </row>
    <row r="20204" spans="4:8" x14ac:dyDescent="0.25">
      <c r="D20204" s="28"/>
      <c r="F20204" s="28"/>
      <c r="H20204" s="28"/>
    </row>
    <row r="20205" spans="4:8" x14ac:dyDescent="0.25">
      <c r="D20205" s="28"/>
      <c r="F20205" s="28"/>
      <c r="H20205" s="28"/>
    </row>
    <row r="20206" spans="4:8" x14ac:dyDescent="0.25">
      <c r="D20206" s="28"/>
      <c r="F20206" s="28"/>
      <c r="H20206" s="28"/>
    </row>
    <row r="20207" spans="4:8" x14ac:dyDescent="0.25">
      <c r="D20207" s="28"/>
      <c r="F20207" s="28"/>
      <c r="H20207" s="28"/>
    </row>
    <row r="20208" spans="4:8" x14ac:dyDescent="0.25">
      <c r="D20208" s="28"/>
      <c r="F20208" s="28"/>
      <c r="H20208" s="28"/>
    </row>
    <row r="20209" spans="4:8" x14ac:dyDescent="0.25">
      <c r="D20209" s="28"/>
      <c r="F20209" s="28"/>
      <c r="H20209" s="28"/>
    </row>
    <row r="20210" spans="4:8" x14ac:dyDescent="0.25">
      <c r="D20210" s="28"/>
      <c r="F20210" s="28"/>
      <c r="H20210" s="28"/>
    </row>
    <row r="20211" spans="4:8" x14ac:dyDescent="0.25">
      <c r="D20211" s="28"/>
      <c r="F20211" s="28"/>
      <c r="H20211" s="28"/>
    </row>
    <row r="20212" spans="4:8" x14ac:dyDescent="0.25">
      <c r="D20212" s="28"/>
      <c r="F20212" s="28"/>
      <c r="H20212" s="28"/>
    </row>
    <row r="20213" spans="4:8" x14ac:dyDescent="0.25">
      <c r="D20213" s="28"/>
      <c r="F20213" s="28"/>
      <c r="H20213" s="28"/>
    </row>
    <row r="20214" spans="4:8" x14ac:dyDescent="0.25">
      <c r="D20214" s="28"/>
      <c r="F20214" s="28"/>
      <c r="H20214" s="28"/>
    </row>
    <row r="20215" spans="4:8" x14ac:dyDescent="0.25">
      <c r="D20215" s="28"/>
      <c r="F20215" s="28"/>
      <c r="H20215" s="28"/>
    </row>
    <row r="20216" spans="4:8" x14ac:dyDescent="0.25">
      <c r="D20216" s="28"/>
      <c r="F20216" s="28"/>
      <c r="H20216" s="28"/>
    </row>
    <row r="20217" spans="4:8" x14ac:dyDescent="0.25">
      <c r="D20217" s="28"/>
      <c r="F20217" s="28"/>
      <c r="H20217" s="28"/>
    </row>
    <row r="20218" spans="4:8" x14ac:dyDescent="0.25">
      <c r="D20218" s="28"/>
      <c r="F20218" s="28"/>
      <c r="H20218" s="28"/>
    </row>
    <row r="20219" spans="4:8" x14ac:dyDescent="0.25">
      <c r="D20219" s="28"/>
      <c r="F20219" s="28"/>
      <c r="H20219" s="28"/>
    </row>
    <row r="20220" spans="4:8" x14ac:dyDescent="0.25">
      <c r="D20220" s="28"/>
      <c r="F20220" s="28"/>
      <c r="H20220" s="28"/>
    </row>
    <row r="20221" spans="4:8" x14ac:dyDescent="0.25">
      <c r="D20221" s="28"/>
      <c r="F20221" s="28"/>
      <c r="H20221" s="28"/>
    </row>
    <row r="20222" spans="4:8" x14ac:dyDescent="0.25">
      <c r="D20222" s="28"/>
      <c r="F20222" s="28"/>
      <c r="H20222" s="28"/>
    </row>
    <row r="20223" spans="4:8" x14ac:dyDescent="0.25">
      <c r="D20223" s="28"/>
      <c r="F20223" s="28"/>
      <c r="H20223" s="28"/>
    </row>
    <row r="20224" spans="4:8" x14ac:dyDescent="0.25">
      <c r="D20224" s="28"/>
      <c r="F20224" s="28"/>
      <c r="H20224" s="28"/>
    </row>
    <row r="20225" spans="4:8" x14ac:dyDescent="0.25">
      <c r="D20225" s="28"/>
      <c r="F20225" s="28"/>
      <c r="H20225" s="28"/>
    </row>
    <row r="20226" spans="4:8" x14ac:dyDescent="0.25">
      <c r="D20226" s="28"/>
      <c r="F20226" s="28"/>
      <c r="H20226" s="28"/>
    </row>
    <row r="20227" spans="4:8" x14ac:dyDescent="0.25">
      <c r="D20227" s="28"/>
      <c r="F20227" s="28"/>
      <c r="H20227" s="28"/>
    </row>
    <row r="20228" spans="4:8" x14ac:dyDescent="0.25">
      <c r="D20228" s="28"/>
      <c r="F20228" s="28"/>
      <c r="H20228" s="28"/>
    </row>
    <row r="20229" spans="4:8" x14ac:dyDescent="0.25">
      <c r="D20229" s="28"/>
      <c r="F20229" s="28"/>
      <c r="H20229" s="28"/>
    </row>
    <row r="20230" spans="4:8" x14ac:dyDescent="0.25">
      <c r="D20230" s="28"/>
      <c r="F20230" s="28"/>
      <c r="H20230" s="28"/>
    </row>
    <row r="20231" spans="4:8" x14ac:dyDescent="0.25">
      <c r="D20231" s="28"/>
      <c r="F20231" s="28"/>
      <c r="H20231" s="28"/>
    </row>
    <row r="20232" spans="4:8" x14ac:dyDescent="0.25">
      <c r="D20232" s="28"/>
      <c r="F20232" s="28"/>
      <c r="H20232" s="28"/>
    </row>
    <row r="20233" spans="4:8" x14ac:dyDescent="0.25">
      <c r="D20233" s="28"/>
      <c r="F20233" s="28"/>
      <c r="H20233" s="28"/>
    </row>
    <row r="20234" spans="4:8" x14ac:dyDescent="0.25">
      <c r="D20234" s="28"/>
      <c r="F20234" s="28"/>
      <c r="H20234" s="28"/>
    </row>
    <row r="20235" spans="4:8" x14ac:dyDescent="0.25">
      <c r="D20235" s="28"/>
      <c r="F20235" s="28"/>
      <c r="H20235" s="28"/>
    </row>
    <row r="20236" spans="4:8" x14ac:dyDescent="0.25">
      <c r="D20236" s="28"/>
      <c r="F20236" s="28"/>
      <c r="H20236" s="28"/>
    </row>
    <row r="20237" spans="4:8" x14ac:dyDescent="0.25">
      <c r="D20237" s="28"/>
      <c r="F20237" s="28"/>
      <c r="H20237" s="28"/>
    </row>
    <row r="20238" spans="4:8" x14ac:dyDescent="0.25">
      <c r="D20238" s="28"/>
      <c r="F20238" s="28"/>
      <c r="H20238" s="28"/>
    </row>
    <row r="20239" spans="4:8" x14ac:dyDescent="0.25">
      <c r="D20239" s="28"/>
      <c r="F20239" s="28"/>
      <c r="H20239" s="28"/>
    </row>
    <row r="20240" spans="4:8" x14ac:dyDescent="0.25">
      <c r="D20240" s="28"/>
      <c r="F20240" s="28"/>
      <c r="H20240" s="28"/>
    </row>
    <row r="20241" spans="4:8" x14ac:dyDescent="0.25">
      <c r="D20241" s="28"/>
      <c r="F20241" s="28"/>
      <c r="H20241" s="28"/>
    </row>
    <row r="20242" spans="4:8" x14ac:dyDescent="0.25">
      <c r="D20242" s="28"/>
      <c r="F20242" s="28"/>
      <c r="H20242" s="28"/>
    </row>
    <row r="20243" spans="4:8" x14ac:dyDescent="0.25">
      <c r="D20243" s="28"/>
      <c r="F20243" s="28"/>
      <c r="H20243" s="28"/>
    </row>
    <row r="20244" spans="4:8" x14ac:dyDescent="0.25">
      <c r="D20244" s="28"/>
      <c r="F20244" s="28"/>
      <c r="H20244" s="28"/>
    </row>
    <row r="20245" spans="4:8" x14ac:dyDescent="0.25">
      <c r="D20245" s="28"/>
      <c r="F20245" s="28"/>
      <c r="H20245" s="28"/>
    </row>
    <row r="20246" spans="4:8" x14ac:dyDescent="0.25">
      <c r="D20246" s="28"/>
      <c r="F20246" s="28"/>
      <c r="H20246" s="28"/>
    </row>
    <row r="20247" spans="4:8" x14ac:dyDescent="0.25">
      <c r="D20247" s="28"/>
      <c r="F20247" s="28"/>
      <c r="H20247" s="28"/>
    </row>
    <row r="20248" spans="4:8" x14ac:dyDescent="0.25">
      <c r="D20248" s="28"/>
      <c r="F20248" s="28"/>
      <c r="H20248" s="28"/>
    </row>
    <row r="20249" spans="4:8" x14ac:dyDescent="0.25">
      <c r="D20249" s="28"/>
      <c r="F20249" s="28"/>
      <c r="H20249" s="28"/>
    </row>
    <row r="20250" spans="4:8" x14ac:dyDescent="0.25">
      <c r="D20250" s="28"/>
      <c r="F20250" s="28"/>
      <c r="H20250" s="28"/>
    </row>
    <row r="20251" spans="4:8" x14ac:dyDescent="0.25">
      <c r="D20251" s="28"/>
      <c r="F20251" s="28"/>
      <c r="H20251" s="28"/>
    </row>
    <row r="20252" spans="4:8" x14ac:dyDescent="0.25">
      <c r="D20252" s="28"/>
      <c r="F20252" s="28"/>
      <c r="H20252" s="28"/>
    </row>
    <row r="20253" spans="4:8" x14ac:dyDescent="0.25">
      <c r="D20253" s="28"/>
      <c r="F20253" s="28"/>
      <c r="H20253" s="28"/>
    </row>
    <row r="20254" spans="4:8" x14ac:dyDescent="0.25">
      <c r="D20254" s="28"/>
      <c r="F20254" s="28"/>
      <c r="H20254" s="28"/>
    </row>
    <row r="20255" spans="4:8" x14ac:dyDescent="0.25">
      <c r="D20255" s="28"/>
      <c r="F20255" s="28"/>
      <c r="H20255" s="28"/>
    </row>
    <row r="20256" spans="4:8" x14ac:dyDescent="0.25">
      <c r="D20256" s="28"/>
      <c r="F20256" s="28"/>
      <c r="H20256" s="28"/>
    </row>
    <row r="20257" spans="4:8" x14ac:dyDescent="0.25">
      <c r="D20257" s="28"/>
      <c r="F20257" s="28"/>
      <c r="H20257" s="28"/>
    </row>
    <row r="20258" spans="4:8" x14ac:dyDescent="0.25">
      <c r="D20258" s="28"/>
      <c r="F20258" s="28"/>
      <c r="H20258" s="28"/>
    </row>
    <row r="20259" spans="4:8" x14ac:dyDescent="0.25">
      <c r="D20259" s="28"/>
      <c r="F20259" s="28"/>
      <c r="H20259" s="28"/>
    </row>
    <row r="20260" spans="4:8" x14ac:dyDescent="0.25">
      <c r="D20260" s="28"/>
      <c r="F20260" s="28"/>
      <c r="H20260" s="28"/>
    </row>
    <row r="20261" spans="4:8" x14ac:dyDescent="0.25">
      <c r="D20261" s="28"/>
      <c r="F20261" s="28"/>
      <c r="H20261" s="28"/>
    </row>
    <row r="20262" spans="4:8" x14ac:dyDescent="0.25">
      <c r="D20262" s="28"/>
      <c r="F20262" s="28"/>
      <c r="H20262" s="28"/>
    </row>
    <row r="20263" spans="4:8" x14ac:dyDescent="0.25">
      <c r="D20263" s="28"/>
      <c r="F20263" s="28"/>
      <c r="H20263" s="28"/>
    </row>
    <row r="20264" spans="4:8" x14ac:dyDescent="0.25">
      <c r="D20264" s="28"/>
      <c r="F20264" s="28"/>
      <c r="H20264" s="28"/>
    </row>
    <row r="20265" spans="4:8" x14ac:dyDescent="0.25">
      <c r="D20265" s="28"/>
      <c r="F20265" s="28"/>
      <c r="H20265" s="28"/>
    </row>
    <row r="20266" spans="4:8" x14ac:dyDescent="0.25">
      <c r="D20266" s="28"/>
      <c r="F20266" s="28"/>
      <c r="H20266" s="28"/>
    </row>
    <row r="20267" spans="4:8" x14ac:dyDescent="0.25">
      <c r="D20267" s="28"/>
      <c r="F20267" s="28"/>
      <c r="H20267" s="28"/>
    </row>
    <row r="20268" spans="4:8" x14ac:dyDescent="0.25">
      <c r="D20268" s="28"/>
      <c r="F20268" s="28"/>
      <c r="H20268" s="28"/>
    </row>
    <row r="20269" spans="4:8" x14ac:dyDescent="0.25">
      <c r="D20269" s="28"/>
      <c r="F20269" s="28"/>
      <c r="H20269" s="28"/>
    </row>
    <row r="20270" spans="4:8" x14ac:dyDescent="0.25">
      <c r="D20270" s="28"/>
      <c r="F20270" s="28"/>
      <c r="H20270" s="28"/>
    </row>
    <row r="20271" spans="4:8" x14ac:dyDescent="0.25">
      <c r="D20271" s="28"/>
      <c r="F20271" s="28"/>
      <c r="H20271" s="28"/>
    </row>
    <row r="20272" spans="4:8" x14ac:dyDescent="0.25">
      <c r="D20272" s="28"/>
      <c r="F20272" s="28"/>
      <c r="H20272" s="28"/>
    </row>
    <row r="20273" spans="4:8" x14ac:dyDescent="0.25">
      <c r="D20273" s="28"/>
      <c r="F20273" s="28"/>
      <c r="H20273" s="28"/>
    </row>
    <row r="20274" spans="4:8" x14ac:dyDescent="0.25">
      <c r="D20274" s="28"/>
      <c r="F20274" s="28"/>
      <c r="H20274" s="28"/>
    </row>
    <row r="20275" spans="4:8" x14ac:dyDescent="0.25">
      <c r="D20275" s="28"/>
      <c r="F20275" s="28"/>
      <c r="H20275" s="28"/>
    </row>
    <row r="20276" spans="4:8" x14ac:dyDescent="0.25">
      <c r="D20276" s="28"/>
      <c r="F20276" s="28"/>
      <c r="H20276" s="28"/>
    </row>
    <row r="20277" spans="4:8" x14ac:dyDescent="0.25">
      <c r="D20277" s="28"/>
      <c r="F20277" s="28"/>
      <c r="H20277" s="28"/>
    </row>
    <row r="20278" spans="4:8" x14ac:dyDescent="0.25">
      <c r="D20278" s="28"/>
      <c r="F20278" s="28"/>
      <c r="H20278" s="28"/>
    </row>
    <row r="20279" spans="4:8" x14ac:dyDescent="0.25">
      <c r="D20279" s="28"/>
      <c r="F20279" s="28"/>
      <c r="H20279" s="28"/>
    </row>
    <row r="20280" spans="4:8" x14ac:dyDescent="0.25">
      <c r="D20280" s="28"/>
      <c r="F20280" s="28"/>
      <c r="H20280" s="28"/>
    </row>
    <row r="20281" spans="4:8" x14ac:dyDescent="0.25">
      <c r="D20281" s="28"/>
      <c r="F20281" s="28"/>
      <c r="H20281" s="28"/>
    </row>
    <row r="20282" spans="4:8" x14ac:dyDescent="0.25">
      <c r="D20282" s="28"/>
      <c r="F20282" s="28"/>
      <c r="H20282" s="28"/>
    </row>
    <row r="20283" spans="4:8" x14ac:dyDescent="0.25">
      <c r="D20283" s="28"/>
      <c r="F20283" s="28"/>
      <c r="H20283" s="28"/>
    </row>
    <row r="20284" spans="4:8" x14ac:dyDescent="0.25">
      <c r="D20284" s="28"/>
      <c r="F20284" s="28"/>
      <c r="H20284" s="28"/>
    </row>
    <row r="20285" spans="4:8" x14ac:dyDescent="0.25">
      <c r="D20285" s="28"/>
      <c r="F20285" s="28"/>
      <c r="H20285" s="28"/>
    </row>
    <row r="20286" spans="4:8" x14ac:dyDescent="0.25">
      <c r="D20286" s="28"/>
      <c r="F20286" s="28"/>
      <c r="H20286" s="28"/>
    </row>
    <row r="20287" spans="4:8" x14ac:dyDescent="0.25">
      <c r="D20287" s="28"/>
      <c r="F20287" s="28"/>
      <c r="H20287" s="28"/>
    </row>
    <row r="20288" spans="4:8" x14ac:dyDescent="0.25">
      <c r="D20288" s="28"/>
      <c r="F20288" s="28"/>
      <c r="H20288" s="28"/>
    </row>
    <row r="20289" spans="4:8" x14ac:dyDescent="0.25">
      <c r="D20289" s="28"/>
      <c r="F20289" s="28"/>
      <c r="H20289" s="28"/>
    </row>
    <row r="20290" spans="4:8" x14ac:dyDescent="0.25">
      <c r="D20290" s="28"/>
      <c r="F20290" s="28"/>
      <c r="H20290" s="28"/>
    </row>
    <row r="20291" spans="4:8" x14ac:dyDescent="0.25">
      <c r="D20291" s="28"/>
      <c r="F20291" s="28"/>
      <c r="H20291" s="28"/>
    </row>
    <row r="20292" spans="4:8" x14ac:dyDescent="0.25">
      <c r="D20292" s="28"/>
      <c r="F20292" s="28"/>
      <c r="H20292" s="28"/>
    </row>
    <row r="20293" spans="4:8" x14ac:dyDescent="0.25">
      <c r="D20293" s="28"/>
      <c r="F20293" s="28"/>
      <c r="H20293" s="28"/>
    </row>
    <row r="20294" spans="4:8" x14ac:dyDescent="0.25">
      <c r="D20294" s="28"/>
      <c r="F20294" s="28"/>
      <c r="H20294" s="28"/>
    </row>
    <row r="20295" spans="4:8" x14ac:dyDescent="0.25">
      <c r="D20295" s="28"/>
      <c r="F20295" s="28"/>
      <c r="H20295" s="28"/>
    </row>
    <row r="20296" spans="4:8" x14ac:dyDescent="0.25">
      <c r="D20296" s="28"/>
      <c r="F20296" s="28"/>
      <c r="H20296" s="28"/>
    </row>
    <row r="20297" spans="4:8" x14ac:dyDescent="0.25">
      <c r="D20297" s="28"/>
      <c r="F20297" s="28"/>
      <c r="H20297" s="28"/>
    </row>
    <row r="20298" spans="4:8" x14ac:dyDescent="0.25">
      <c r="D20298" s="28"/>
      <c r="F20298" s="28"/>
      <c r="H20298" s="28"/>
    </row>
    <row r="20299" spans="4:8" x14ac:dyDescent="0.25">
      <c r="D20299" s="28"/>
      <c r="F20299" s="28"/>
      <c r="H20299" s="28"/>
    </row>
    <row r="20300" spans="4:8" x14ac:dyDescent="0.25">
      <c r="D20300" s="28"/>
      <c r="F20300" s="28"/>
      <c r="H20300" s="28"/>
    </row>
    <row r="20301" spans="4:8" x14ac:dyDescent="0.25">
      <c r="D20301" s="28"/>
      <c r="F20301" s="28"/>
      <c r="H20301" s="28"/>
    </row>
    <row r="20302" spans="4:8" x14ac:dyDescent="0.25">
      <c r="D20302" s="28"/>
      <c r="F20302" s="28"/>
      <c r="H20302" s="28"/>
    </row>
    <row r="20303" spans="4:8" x14ac:dyDescent="0.25">
      <c r="D20303" s="28"/>
      <c r="F20303" s="28"/>
      <c r="H20303" s="28"/>
    </row>
    <row r="20304" spans="4:8" x14ac:dyDescent="0.25">
      <c r="D20304" s="28"/>
      <c r="F20304" s="28"/>
      <c r="H20304" s="28"/>
    </row>
    <row r="20305" spans="4:8" x14ac:dyDescent="0.25">
      <c r="D20305" s="28"/>
      <c r="F20305" s="28"/>
      <c r="H20305" s="28"/>
    </row>
    <row r="20306" spans="4:8" x14ac:dyDescent="0.25">
      <c r="D20306" s="28"/>
      <c r="F20306" s="28"/>
      <c r="H20306" s="28"/>
    </row>
    <row r="20307" spans="4:8" x14ac:dyDescent="0.25">
      <c r="D20307" s="28"/>
      <c r="F20307" s="28"/>
      <c r="H20307" s="28"/>
    </row>
    <row r="20308" spans="4:8" x14ac:dyDescent="0.25">
      <c r="D20308" s="28"/>
      <c r="F20308" s="28"/>
      <c r="H20308" s="28"/>
    </row>
    <row r="20309" spans="4:8" x14ac:dyDescent="0.25">
      <c r="D20309" s="28"/>
      <c r="F20309" s="28"/>
      <c r="H20309" s="28"/>
    </row>
    <row r="20310" spans="4:8" x14ac:dyDescent="0.25">
      <c r="D20310" s="28"/>
      <c r="F20310" s="28"/>
      <c r="H20310" s="28"/>
    </row>
    <row r="20311" spans="4:8" x14ac:dyDescent="0.25">
      <c r="D20311" s="28"/>
      <c r="F20311" s="28"/>
      <c r="H20311" s="28"/>
    </row>
    <row r="20312" spans="4:8" x14ac:dyDescent="0.25">
      <c r="D20312" s="28"/>
      <c r="F20312" s="28"/>
      <c r="H20312" s="28"/>
    </row>
    <row r="20313" spans="4:8" x14ac:dyDescent="0.25">
      <c r="D20313" s="28"/>
      <c r="F20313" s="28"/>
      <c r="H20313" s="28"/>
    </row>
    <row r="20314" spans="4:8" x14ac:dyDescent="0.25">
      <c r="D20314" s="28"/>
      <c r="F20314" s="28"/>
      <c r="H20314" s="28"/>
    </row>
    <row r="20315" spans="4:8" x14ac:dyDescent="0.25">
      <c r="D20315" s="28"/>
      <c r="F20315" s="28"/>
      <c r="H20315" s="28"/>
    </row>
    <row r="20316" spans="4:8" x14ac:dyDescent="0.25">
      <c r="D20316" s="28"/>
      <c r="F20316" s="28"/>
      <c r="H20316" s="28"/>
    </row>
    <row r="20317" spans="4:8" x14ac:dyDescent="0.25">
      <c r="D20317" s="28"/>
      <c r="F20317" s="28"/>
      <c r="H20317" s="28"/>
    </row>
    <row r="20318" spans="4:8" x14ac:dyDescent="0.25">
      <c r="D20318" s="28"/>
      <c r="F20318" s="28"/>
      <c r="H20318" s="28"/>
    </row>
    <row r="20319" spans="4:8" x14ac:dyDescent="0.25">
      <c r="D20319" s="28"/>
      <c r="F20319" s="28"/>
      <c r="H20319" s="28"/>
    </row>
    <row r="20320" spans="4:8" x14ac:dyDescent="0.25">
      <c r="D20320" s="28"/>
      <c r="F20320" s="28"/>
      <c r="H20320" s="28"/>
    </row>
    <row r="20321" spans="4:8" x14ac:dyDescent="0.25">
      <c r="D20321" s="28"/>
      <c r="F20321" s="28"/>
      <c r="H20321" s="28"/>
    </row>
    <row r="20322" spans="4:8" x14ac:dyDescent="0.25">
      <c r="D20322" s="28"/>
      <c r="F20322" s="28"/>
      <c r="H20322" s="28"/>
    </row>
    <row r="20323" spans="4:8" x14ac:dyDescent="0.25">
      <c r="D20323" s="28"/>
      <c r="F20323" s="28"/>
      <c r="H20323" s="28"/>
    </row>
    <row r="20324" spans="4:8" x14ac:dyDescent="0.25">
      <c r="D20324" s="28"/>
      <c r="F20324" s="28"/>
      <c r="H20324" s="28"/>
    </row>
    <row r="20325" spans="4:8" x14ac:dyDescent="0.25">
      <c r="D20325" s="28"/>
      <c r="F20325" s="28"/>
      <c r="H20325" s="28"/>
    </row>
    <row r="20326" spans="4:8" x14ac:dyDescent="0.25">
      <c r="D20326" s="28"/>
      <c r="F20326" s="28"/>
      <c r="H20326" s="28"/>
    </row>
    <row r="20327" spans="4:8" x14ac:dyDescent="0.25">
      <c r="D20327" s="28"/>
      <c r="F20327" s="28"/>
      <c r="H20327" s="28"/>
    </row>
    <row r="20328" spans="4:8" x14ac:dyDescent="0.25">
      <c r="D20328" s="28"/>
      <c r="F20328" s="28"/>
      <c r="H20328" s="28"/>
    </row>
    <row r="20329" spans="4:8" x14ac:dyDescent="0.25">
      <c r="D20329" s="28"/>
      <c r="F20329" s="28"/>
      <c r="H20329" s="28"/>
    </row>
    <row r="20330" spans="4:8" x14ac:dyDescent="0.25">
      <c r="D20330" s="28"/>
      <c r="F20330" s="28"/>
      <c r="H20330" s="28"/>
    </row>
    <row r="20331" spans="4:8" x14ac:dyDescent="0.25">
      <c r="D20331" s="28"/>
      <c r="F20331" s="28"/>
      <c r="H20331" s="28"/>
    </row>
    <row r="20332" spans="4:8" x14ac:dyDescent="0.25">
      <c r="D20332" s="28"/>
      <c r="F20332" s="28"/>
      <c r="H20332" s="28"/>
    </row>
    <row r="20333" spans="4:8" x14ac:dyDescent="0.25">
      <c r="D20333" s="28"/>
      <c r="F20333" s="28"/>
      <c r="H20333" s="28"/>
    </row>
    <row r="20334" spans="4:8" x14ac:dyDescent="0.25">
      <c r="D20334" s="28"/>
      <c r="F20334" s="28"/>
      <c r="H20334" s="28"/>
    </row>
    <row r="20335" spans="4:8" x14ac:dyDescent="0.25">
      <c r="D20335" s="28"/>
      <c r="F20335" s="28"/>
      <c r="H20335" s="28"/>
    </row>
    <row r="20336" spans="4:8" x14ac:dyDescent="0.25">
      <c r="D20336" s="28"/>
      <c r="F20336" s="28"/>
      <c r="H20336" s="28"/>
    </row>
    <row r="20337" spans="4:8" x14ac:dyDescent="0.25">
      <c r="D20337" s="28"/>
      <c r="F20337" s="28"/>
      <c r="H20337" s="28"/>
    </row>
    <row r="20338" spans="4:8" x14ac:dyDescent="0.25">
      <c r="D20338" s="28"/>
      <c r="F20338" s="28"/>
      <c r="H20338" s="28"/>
    </row>
    <row r="20339" spans="4:8" x14ac:dyDescent="0.25">
      <c r="D20339" s="28"/>
      <c r="F20339" s="28"/>
      <c r="H20339" s="28"/>
    </row>
    <row r="20340" spans="4:8" x14ac:dyDescent="0.25">
      <c r="D20340" s="28"/>
      <c r="F20340" s="28"/>
      <c r="H20340" s="28"/>
    </row>
    <row r="20341" spans="4:8" x14ac:dyDescent="0.25">
      <c r="D20341" s="28"/>
      <c r="F20341" s="28"/>
      <c r="H20341" s="28"/>
    </row>
    <row r="20342" spans="4:8" x14ac:dyDescent="0.25">
      <c r="D20342" s="28"/>
      <c r="F20342" s="28"/>
      <c r="H20342" s="28"/>
    </row>
    <row r="20343" spans="4:8" x14ac:dyDescent="0.25">
      <c r="D20343" s="28"/>
      <c r="F20343" s="28"/>
      <c r="H20343" s="28"/>
    </row>
    <row r="20344" spans="4:8" x14ac:dyDescent="0.25">
      <c r="D20344" s="28"/>
      <c r="F20344" s="28"/>
      <c r="H20344" s="28"/>
    </row>
    <row r="20345" spans="4:8" x14ac:dyDescent="0.25">
      <c r="D20345" s="28"/>
      <c r="F20345" s="28"/>
      <c r="H20345" s="28"/>
    </row>
    <row r="20346" spans="4:8" x14ac:dyDescent="0.25">
      <c r="D20346" s="28"/>
      <c r="F20346" s="28"/>
      <c r="H20346" s="28"/>
    </row>
    <row r="20347" spans="4:8" x14ac:dyDescent="0.25">
      <c r="D20347" s="28"/>
      <c r="F20347" s="28"/>
      <c r="H20347" s="28"/>
    </row>
    <row r="20348" spans="4:8" x14ac:dyDescent="0.25">
      <c r="D20348" s="28"/>
      <c r="F20348" s="28"/>
      <c r="H20348" s="28"/>
    </row>
    <row r="20349" spans="4:8" x14ac:dyDescent="0.25">
      <c r="D20349" s="28"/>
      <c r="F20349" s="28"/>
      <c r="H20349" s="28"/>
    </row>
    <row r="20350" spans="4:8" x14ac:dyDescent="0.25">
      <c r="D20350" s="28"/>
      <c r="F20350" s="28"/>
      <c r="H20350" s="28"/>
    </row>
    <row r="20351" spans="4:8" x14ac:dyDescent="0.25">
      <c r="D20351" s="28"/>
      <c r="F20351" s="28"/>
      <c r="H20351" s="28"/>
    </row>
    <row r="20352" spans="4:8" x14ac:dyDescent="0.25">
      <c r="D20352" s="28"/>
      <c r="F20352" s="28"/>
      <c r="H20352" s="28"/>
    </row>
    <row r="20353" spans="4:8" x14ac:dyDescent="0.25">
      <c r="D20353" s="28"/>
      <c r="F20353" s="28"/>
      <c r="H20353" s="28"/>
    </row>
    <row r="20354" spans="4:8" x14ac:dyDescent="0.25">
      <c r="D20354" s="28"/>
      <c r="F20354" s="28"/>
      <c r="H20354" s="28"/>
    </row>
    <row r="20355" spans="4:8" x14ac:dyDescent="0.25">
      <c r="D20355" s="28"/>
      <c r="F20355" s="28"/>
      <c r="H20355" s="28"/>
    </row>
    <row r="20356" spans="4:8" x14ac:dyDescent="0.25">
      <c r="D20356" s="28"/>
      <c r="F20356" s="28"/>
      <c r="H20356" s="28"/>
    </row>
    <row r="20357" spans="4:8" x14ac:dyDescent="0.25">
      <c r="D20357" s="28"/>
      <c r="F20357" s="28"/>
      <c r="H20357" s="28"/>
    </row>
    <row r="20358" spans="4:8" x14ac:dyDescent="0.25">
      <c r="D20358" s="28"/>
      <c r="F20358" s="28"/>
      <c r="H20358" s="28"/>
    </row>
    <row r="20359" spans="4:8" x14ac:dyDescent="0.25">
      <c r="D20359" s="28"/>
      <c r="F20359" s="28"/>
      <c r="H20359" s="28"/>
    </row>
    <row r="20360" spans="4:8" x14ac:dyDescent="0.25">
      <c r="D20360" s="28"/>
      <c r="F20360" s="28"/>
      <c r="H20360" s="28"/>
    </row>
    <row r="20361" spans="4:8" x14ac:dyDescent="0.25">
      <c r="D20361" s="28"/>
      <c r="F20361" s="28"/>
      <c r="H20361" s="28"/>
    </row>
    <row r="20362" spans="4:8" x14ac:dyDescent="0.25">
      <c r="D20362" s="28"/>
      <c r="F20362" s="28"/>
      <c r="H20362" s="28"/>
    </row>
    <row r="20363" spans="4:8" x14ac:dyDescent="0.25">
      <c r="D20363" s="28"/>
      <c r="F20363" s="28"/>
      <c r="H20363" s="28"/>
    </row>
    <row r="20364" spans="4:8" x14ac:dyDescent="0.25">
      <c r="D20364" s="28"/>
      <c r="F20364" s="28"/>
      <c r="H20364" s="28"/>
    </row>
    <row r="20365" spans="4:8" x14ac:dyDescent="0.25">
      <c r="D20365" s="28"/>
      <c r="F20365" s="28"/>
      <c r="H20365" s="28"/>
    </row>
    <row r="20366" spans="4:8" x14ac:dyDescent="0.25">
      <c r="D20366" s="28"/>
      <c r="F20366" s="28"/>
      <c r="H20366" s="28"/>
    </row>
    <row r="20367" spans="4:8" x14ac:dyDescent="0.25">
      <c r="D20367" s="28"/>
      <c r="F20367" s="28"/>
      <c r="H20367" s="28"/>
    </row>
    <row r="20368" spans="4:8" x14ac:dyDescent="0.25">
      <c r="D20368" s="28"/>
      <c r="F20368" s="28"/>
      <c r="H20368" s="28"/>
    </row>
    <row r="20369" spans="4:8" x14ac:dyDescent="0.25">
      <c r="D20369" s="28"/>
      <c r="F20369" s="28"/>
      <c r="H20369" s="28"/>
    </row>
    <row r="20370" spans="4:8" x14ac:dyDescent="0.25">
      <c r="D20370" s="28"/>
      <c r="F20370" s="28"/>
      <c r="H20370" s="28"/>
    </row>
    <row r="20371" spans="4:8" x14ac:dyDescent="0.25">
      <c r="D20371" s="28"/>
      <c r="F20371" s="28"/>
      <c r="H20371" s="28"/>
    </row>
    <row r="20372" spans="4:8" x14ac:dyDescent="0.25">
      <c r="D20372" s="28"/>
      <c r="F20372" s="28"/>
      <c r="H20372" s="28"/>
    </row>
    <row r="20373" spans="4:8" x14ac:dyDescent="0.25">
      <c r="D20373" s="28"/>
      <c r="F20373" s="28"/>
      <c r="H20373" s="28"/>
    </row>
    <row r="20374" spans="4:8" x14ac:dyDescent="0.25">
      <c r="D20374" s="28"/>
      <c r="F20374" s="28"/>
      <c r="H20374" s="28"/>
    </row>
    <row r="20375" spans="4:8" x14ac:dyDescent="0.25">
      <c r="D20375" s="28"/>
      <c r="F20375" s="28"/>
      <c r="H20375" s="28"/>
    </row>
    <row r="20376" spans="4:8" x14ac:dyDescent="0.25">
      <c r="D20376" s="28"/>
      <c r="F20376" s="28"/>
      <c r="H20376" s="28"/>
    </row>
    <row r="20377" spans="4:8" x14ac:dyDescent="0.25">
      <c r="D20377" s="28"/>
      <c r="F20377" s="28"/>
      <c r="H20377" s="28"/>
    </row>
    <row r="20378" spans="4:8" x14ac:dyDescent="0.25">
      <c r="D20378" s="28"/>
      <c r="F20378" s="28"/>
      <c r="H20378" s="28"/>
    </row>
    <row r="20379" spans="4:8" x14ac:dyDescent="0.25">
      <c r="D20379" s="28"/>
      <c r="F20379" s="28"/>
      <c r="H20379" s="28"/>
    </row>
    <row r="20380" spans="4:8" x14ac:dyDescent="0.25">
      <c r="D20380" s="28"/>
      <c r="F20380" s="28"/>
      <c r="H20380" s="28"/>
    </row>
    <row r="20381" spans="4:8" x14ac:dyDescent="0.25">
      <c r="D20381" s="28"/>
      <c r="F20381" s="28"/>
      <c r="H20381" s="28"/>
    </row>
    <row r="20382" spans="4:8" x14ac:dyDescent="0.25">
      <c r="D20382" s="28"/>
      <c r="F20382" s="28"/>
      <c r="H20382" s="28"/>
    </row>
    <row r="20383" spans="4:8" x14ac:dyDescent="0.25">
      <c r="D20383" s="28"/>
      <c r="F20383" s="28"/>
      <c r="H20383" s="28"/>
    </row>
    <row r="20384" spans="4:8" x14ac:dyDescent="0.25">
      <c r="D20384" s="28"/>
      <c r="F20384" s="28"/>
      <c r="H20384" s="28"/>
    </row>
    <row r="20385" spans="4:8" x14ac:dyDescent="0.25">
      <c r="D20385" s="28"/>
      <c r="F20385" s="28"/>
      <c r="H20385" s="28"/>
    </row>
    <row r="20386" spans="4:8" x14ac:dyDescent="0.25">
      <c r="D20386" s="28"/>
      <c r="F20386" s="28"/>
      <c r="H20386" s="28"/>
    </row>
    <row r="20387" spans="4:8" x14ac:dyDescent="0.25">
      <c r="D20387" s="28"/>
      <c r="F20387" s="28"/>
      <c r="H20387" s="28"/>
    </row>
    <row r="20388" spans="4:8" x14ac:dyDescent="0.25">
      <c r="D20388" s="28"/>
      <c r="F20388" s="28"/>
      <c r="H20388" s="28"/>
    </row>
    <row r="20389" spans="4:8" x14ac:dyDescent="0.25">
      <c r="D20389" s="28"/>
      <c r="F20389" s="28"/>
      <c r="H20389" s="28"/>
    </row>
    <row r="20390" spans="4:8" x14ac:dyDescent="0.25">
      <c r="D20390" s="28"/>
      <c r="F20390" s="28"/>
      <c r="H20390" s="28"/>
    </row>
    <row r="20391" spans="4:8" x14ac:dyDescent="0.25">
      <c r="D20391" s="28"/>
      <c r="F20391" s="28"/>
      <c r="H20391" s="28"/>
    </row>
    <row r="20392" spans="4:8" x14ac:dyDescent="0.25">
      <c r="D20392" s="28"/>
      <c r="F20392" s="28"/>
      <c r="H20392" s="28"/>
    </row>
    <row r="20393" spans="4:8" x14ac:dyDescent="0.25">
      <c r="D20393" s="28"/>
      <c r="F20393" s="28"/>
      <c r="H20393" s="28"/>
    </row>
    <row r="20394" spans="4:8" x14ac:dyDescent="0.25">
      <c r="D20394" s="28"/>
      <c r="F20394" s="28"/>
      <c r="H20394" s="28"/>
    </row>
    <row r="20395" spans="4:8" x14ac:dyDescent="0.25">
      <c r="D20395" s="28"/>
      <c r="F20395" s="28"/>
      <c r="H20395" s="28"/>
    </row>
    <row r="20396" spans="4:8" x14ac:dyDescent="0.25">
      <c r="D20396" s="28"/>
      <c r="F20396" s="28"/>
      <c r="H20396" s="28"/>
    </row>
    <row r="20397" spans="4:8" x14ac:dyDescent="0.25">
      <c r="D20397" s="28"/>
      <c r="F20397" s="28"/>
      <c r="H20397" s="28"/>
    </row>
    <row r="20398" spans="4:8" x14ac:dyDescent="0.25">
      <c r="D20398" s="28"/>
      <c r="F20398" s="28"/>
      <c r="H20398" s="28"/>
    </row>
    <row r="20399" spans="4:8" x14ac:dyDescent="0.25">
      <c r="D20399" s="28"/>
      <c r="F20399" s="28"/>
      <c r="H20399" s="28"/>
    </row>
    <row r="20400" spans="4:8" x14ac:dyDescent="0.25">
      <c r="D20400" s="28"/>
      <c r="F20400" s="28"/>
      <c r="H20400" s="28"/>
    </row>
    <row r="20401" spans="4:8" x14ac:dyDescent="0.25">
      <c r="D20401" s="28"/>
      <c r="F20401" s="28"/>
      <c r="H20401" s="28"/>
    </row>
    <row r="20402" spans="4:8" x14ac:dyDescent="0.25">
      <c r="D20402" s="28"/>
      <c r="F20402" s="28"/>
      <c r="H20402" s="28"/>
    </row>
    <row r="20403" spans="4:8" x14ac:dyDescent="0.25">
      <c r="D20403" s="28"/>
      <c r="F20403" s="28"/>
      <c r="H20403" s="28"/>
    </row>
    <row r="20404" spans="4:8" x14ac:dyDescent="0.25">
      <c r="D20404" s="28"/>
      <c r="F20404" s="28"/>
      <c r="H20404" s="28"/>
    </row>
    <row r="20405" spans="4:8" x14ac:dyDescent="0.25">
      <c r="D20405" s="28"/>
      <c r="F20405" s="28"/>
      <c r="H20405" s="28"/>
    </row>
    <row r="20406" spans="4:8" x14ac:dyDescent="0.25">
      <c r="D20406" s="28"/>
      <c r="F20406" s="28"/>
      <c r="H20406" s="28"/>
    </row>
    <row r="20407" spans="4:8" x14ac:dyDescent="0.25">
      <c r="D20407" s="28"/>
      <c r="F20407" s="28"/>
      <c r="H20407" s="28"/>
    </row>
    <row r="20408" spans="4:8" x14ac:dyDescent="0.25">
      <c r="D20408" s="28"/>
      <c r="F20408" s="28"/>
      <c r="H20408" s="28"/>
    </row>
    <row r="20409" spans="4:8" x14ac:dyDescent="0.25">
      <c r="D20409" s="28"/>
      <c r="F20409" s="28"/>
      <c r="H20409" s="28"/>
    </row>
    <row r="20410" spans="4:8" x14ac:dyDescent="0.25">
      <c r="D20410" s="28"/>
      <c r="F20410" s="28"/>
      <c r="H20410" s="28"/>
    </row>
    <row r="20411" spans="4:8" x14ac:dyDescent="0.25">
      <c r="D20411" s="28"/>
      <c r="F20411" s="28"/>
      <c r="H20411" s="28"/>
    </row>
    <row r="20412" spans="4:8" x14ac:dyDescent="0.25">
      <c r="D20412" s="28"/>
      <c r="F20412" s="28"/>
      <c r="H20412" s="28"/>
    </row>
    <row r="20413" spans="4:8" x14ac:dyDescent="0.25">
      <c r="D20413" s="28"/>
      <c r="F20413" s="28"/>
      <c r="H20413" s="28"/>
    </row>
    <row r="20414" spans="4:8" x14ac:dyDescent="0.25">
      <c r="D20414" s="28"/>
      <c r="F20414" s="28"/>
      <c r="H20414" s="28"/>
    </row>
    <row r="20415" spans="4:8" x14ac:dyDescent="0.25">
      <c r="D20415" s="28"/>
      <c r="F20415" s="28"/>
      <c r="H20415" s="28"/>
    </row>
    <row r="20416" spans="4:8" x14ac:dyDescent="0.25">
      <c r="D20416" s="28"/>
      <c r="F20416" s="28"/>
      <c r="H20416" s="28"/>
    </row>
    <row r="20417" spans="4:8" x14ac:dyDescent="0.25">
      <c r="D20417" s="28"/>
      <c r="F20417" s="28"/>
      <c r="H20417" s="28"/>
    </row>
    <row r="20418" spans="4:8" x14ac:dyDescent="0.25">
      <c r="D20418" s="28"/>
      <c r="F20418" s="28"/>
      <c r="H20418" s="28"/>
    </row>
    <row r="20419" spans="4:8" x14ac:dyDescent="0.25">
      <c r="D20419" s="28"/>
      <c r="F20419" s="28"/>
      <c r="H20419" s="28"/>
    </row>
    <row r="20420" spans="4:8" x14ac:dyDescent="0.25">
      <c r="D20420" s="28"/>
      <c r="F20420" s="28"/>
      <c r="H20420" s="28"/>
    </row>
    <row r="20421" spans="4:8" x14ac:dyDescent="0.25">
      <c r="D20421" s="28"/>
      <c r="F20421" s="28"/>
      <c r="H20421" s="28"/>
    </row>
    <row r="20422" spans="4:8" x14ac:dyDescent="0.25">
      <c r="D20422" s="28"/>
      <c r="F20422" s="28"/>
      <c r="H20422" s="28"/>
    </row>
    <row r="20423" spans="4:8" x14ac:dyDescent="0.25">
      <c r="D20423" s="28"/>
      <c r="F20423" s="28"/>
      <c r="H20423" s="28"/>
    </row>
    <row r="20424" spans="4:8" x14ac:dyDescent="0.25">
      <c r="D20424" s="28"/>
      <c r="F20424" s="28"/>
      <c r="H20424" s="28"/>
    </row>
    <row r="20425" spans="4:8" x14ac:dyDescent="0.25">
      <c r="D20425" s="28"/>
      <c r="F20425" s="28"/>
      <c r="H20425" s="28"/>
    </row>
    <row r="20426" spans="4:8" x14ac:dyDescent="0.25">
      <c r="D20426" s="28"/>
      <c r="F20426" s="28"/>
      <c r="H20426" s="28"/>
    </row>
    <row r="20427" spans="4:8" x14ac:dyDescent="0.25">
      <c r="D20427" s="28"/>
      <c r="F20427" s="28"/>
      <c r="H20427" s="28"/>
    </row>
    <row r="20428" spans="4:8" x14ac:dyDescent="0.25">
      <c r="D20428" s="28"/>
      <c r="F20428" s="28"/>
      <c r="H20428" s="28"/>
    </row>
    <row r="20429" spans="4:8" x14ac:dyDescent="0.25">
      <c r="D20429" s="28"/>
      <c r="F20429" s="28"/>
      <c r="H20429" s="28"/>
    </row>
    <row r="20430" spans="4:8" x14ac:dyDescent="0.25">
      <c r="D20430" s="28"/>
      <c r="F20430" s="28"/>
      <c r="H20430" s="28"/>
    </row>
    <row r="20431" spans="4:8" x14ac:dyDescent="0.25">
      <c r="D20431" s="28"/>
      <c r="F20431" s="28"/>
      <c r="H20431" s="28"/>
    </row>
    <row r="20432" spans="4:8" x14ac:dyDescent="0.25">
      <c r="D20432" s="28"/>
      <c r="F20432" s="28"/>
      <c r="H20432" s="28"/>
    </row>
    <row r="20433" spans="4:8" x14ac:dyDescent="0.25">
      <c r="D20433" s="28"/>
      <c r="F20433" s="28"/>
      <c r="H20433" s="28"/>
    </row>
    <row r="20434" spans="4:8" x14ac:dyDescent="0.25">
      <c r="D20434" s="28"/>
      <c r="F20434" s="28"/>
      <c r="H20434" s="28"/>
    </row>
    <row r="20435" spans="4:8" x14ac:dyDescent="0.25">
      <c r="D20435" s="28"/>
      <c r="F20435" s="28"/>
      <c r="H20435" s="28"/>
    </row>
    <row r="20436" spans="4:8" x14ac:dyDescent="0.25">
      <c r="D20436" s="28"/>
      <c r="F20436" s="28"/>
      <c r="H20436" s="28"/>
    </row>
    <row r="20437" spans="4:8" x14ac:dyDescent="0.25">
      <c r="D20437" s="28"/>
      <c r="F20437" s="28"/>
      <c r="H20437" s="28"/>
    </row>
    <row r="20438" spans="4:8" x14ac:dyDescent="0.25">
      <c r="D20438" s="28"/>
      <c r="F20438" s="28"/>
      <c r="H20438" s="28"/>
    </row>
    <row r="20439" spans="4:8" x14ac:dyDescent="0.25">
      <c r="D20439" s="28"/>
      <c r="F20439" s="28"/>
      <c r="H20439" s="28"/>
    </row>
    <row r="20440" spans="4:8" x14ac:dyDescent="0.25">
      <c r="D20440" s="28"/>
      <c r="F20440" s="28"/>
      <c r="H20440" s="28"/>
    </row>
    <row r="20441" spans="4:8" x14ac:dyDescent="0.25">
      <c r="D20441" s="28"/>
      <c r="F20441" s="28"/>
      <c r="H20441" s="28"/>
    </row>
    <row r="20442" spans="4:8" x14ac:dyDescent="0.25">
      <c r="D20442" s="28"/>
      <c r="F20442" s="28"/>
      <c r="H20442" s="28"/>
    </row>
    <row r="20443" spans="4:8" x14ac:dyDescent="0.25">
      <c r="D20443" s="28"/>
      <c r="F20443" s="28"/>
      <c r="H20443" s="28"/>
    </row>
    <row r="20444" spans="4:8" x14ac:dyDescent="0.25">
      <c r="D20444" s="28"/>
      <c r="F20444" s="28"/>
      <c r="H20444" s="28"/>
    </row>
    <row r="20445" spans="4:8" x14ac:dyDescent="0.25">
      <c r="D20445" s="28"/>
      <c r="F20445" s="28"/>
      <c r="H20445" s="28"/>
    </row>
    <row r="20446" spans="4:8" x14ac:dyDescent="0.25">
      <c r="D20446" s="28"/>
      <c r="F20446" s="28"/>
      <c r="H20446" s="28"/>
    </row>
    <row r="20447" spans="4:8" x14ac:dyDescent="0.25">
      <c r="D20447" s="28"/>
      <c r="F20447" s="28"/>
      <c r="H20447" s="28"/>
    </row>
    <row r="20448" spans="4:8" x14ac:dyDescent="0.25">
      <c r="D20448" s="28"/>
      <c r="F20448" s="28"/>
      <c r="H20448" s="28"/>
    </row>
    <row r="20449" spans="4:8" x14ac:dyDescent="0.25">
      <c r="D20449" s="28"/>
      <c r="F20449" s="28"/>
      <c r="H20449" s="28"/>
    </row>
    <row r="20450" spans="4:8" x14ac:dyDescent="0.25">
      <c r="D20450" s="28"/>
      <c r="F20450" s="28"/>
      <c r="H20450" s="28"/>
    </row>
    <row r="20451" spans="4:8" x14ac:dyDescent="0.25">
      <c r="D20451" s="28"/>
      <c r="F20451" s="28"/>
      <c r="H20451" s="28"/>
    </row>
    <row r="20452" spans="4:8" x14ac:dyDescent="0.25">
      <c r="D20452" s="28"/>
      <c r="F20452" s="28"/>
      <c r="H20452" s="28"/>
    </row>
    <row r="20453" spans="4:8" x14ac:dyDescent="0.25">
      <c r="D20453" s="28"/>
      <c r="F20453" s="28"/>
      <c r="H20453" s="28"/>
    </row>
    <row r="20454" spans="4:8" x14ac:dyDescent="0.25">
      <c r="D20454" s="28"/>
      <c r="F20454" s="28"/>
      <c r="H20454" s="28"/>
    </row>
    <row r="20455" spans="4:8" x14ac:dyDescent="0.25">
      <c r="D20455" s="28"/>
      <c r="F20455" s="28"/>
      <c r="H20455" s="28"/>
    </row>
    <row r="20456" spans="4:8" x14ac:dyDescent="0.25">
      <c r="D20456" s="28"/>
      <c r="F20456" s="28"/>
      <c r="H20456" s="28"/>
    </row>
    <row r="20457" spans="4:8" x14ac:dyDescent="0.25">
      <c r="D20457" s="28"/>
      <c r="F20457" s="28"/>
      <c r="H20457" s="28"/>
    </row>
    <row r="20458" spans="4:8" x14ac:dyDescent="0.25">
      <c r="D20458" s="28"/>
      <c r="F20458" s="28"/>
      <c r="H20458" s="28"/>
    </row>
    <row r="20459" spans="4:8" x14ac:dyDescent="0.25">
      <c r="D20459" s="28"/>
      <c r="F20459" s="28"/>
      <c r="H20459" s="28"/>
    </row>
    <row r="20460" spans="4:8" x14ac:dyDescent="0.25">
      <c r="D20460" s="28"/>
      <c r="F20460" s="28"/>
      <c r="H20460" s="28"/>
    </row>
    <row r="20461" spans="4:8" x14ac:dyDescent="0.25">
      <c r="D20461" s="28"/>
      <c r="F20461" s="28"/>
      <c r="H20461" s="28"/>
    </row>
    <row r="20462" spans="4:8" x14ac:dyDescent="0.25">
      <c r="D20462" s="28"/>
      <c r="F20462" s="28"/>
      <c r="H20462" s="28"/>
    </row>
    <row r="20463" spans="4:8" x14ac:dyDescent="0.25">
      <c r="D20463" s="28"/>
      <c r="F20463" s="28"/>
      <c r="H20463" s="28"/>
    </row>
    <row r="20464" spans="4:8" x14ac:dyDescent="0.25">
      <c r="D20464" s="28"/>
      <c r="F20464" s="28"/>
      <c r="H20464" s="28"/>
    </row>
    <row r="20465" spans="4:8" x14ac:dyDescent="0.25">
      <c r="D20465" s="28"/>
      <c r="F20465" s="28"/>
      <c r="H20465" s="28"/>
    </row>
    <row r="20466" spans="4:8" x14ac:dyDescent="0.25">
      <c r="D20466" s="28"/>
      <c r="F20466" s="28"/>
      <c r="H20466" s="28"/>
    </row>
    <row r="20467" spans="4:8" x14ac:dyDescent="0.25">
      <c r="D20467" s="28"/>
      <c r="F20467" s="28"/>
      <c r="H20467" s="28"/>
    </row>
    <row r="20468" spans="4:8" x14ac:dyDescent="0.25">
      <c r="D20468" s="28"/>
      <c r="F20468" s="28"/>
      <c r="H20468" s="28"/>
    </row>
    <row r="20469" spans="4:8" x14ac:dyDescent="0.25">
      <c r="D20469" s="28"/>
      <c r="F20469" s="28"/>
      <c r="H20469" s="28"/>
    </row>
    <row r="20470" spans="4:8" x14ac:dyDescent="0.25">
      <c r="D20470" s="28"/>
      <c r="F20470" s="28"/>
      <c r="H20470" s="28"/>
    </row>
    <row r="20471" spans="4:8" x14ac:dyDescent="0.25">
      <c r="D20471" s="28"/>
      <c r="F20471" s="28"/>
      <c r="H20471" s="28"/>
    </row>
    <row r="20472" spans="4:8" x14ac:dyDescent="0.25">
      <c r="D20472" s="28"/>
      <c r="F20472" s="28"/>
      <c r="H20472" s="28"/>
    </row>
    <row r="20473" spans="4:8" x14ac:dyDescent="0.25">
      <c r="D20473" s="28"/>
      <c r="F20473" s="28"/>
      <c r="H20473" s="28"/>
    </row>
    <row r="20474" spans="4:8" x14ac:dyDescent="0.25">
      <c r="D20474" s="28"/>
      <c r="F20474" s="28"/>
      <c r="H20474" s="28"/>
    </row>
    <row r="20475" spans="4:8" x14ac:dyDescent="0.25">
      <c r="D20475" s="28"/>
      <c r="F20475" s="28"/>
      <c r="H20475" s="28"/>
    </row>
    <row r="20476" spans="4:8" x14ac:dyDescent="0.25">
      <c r="D20476" s="28"/>
      <c r="F20476" s="28"/>
      <c r="H20476" s="28"/>
    </row>
    <row r="20477" spans="4:8" x14ac:dyDescent="0.25">
      <c r="D20477" s="28"/>
      <c r="F20477" s="28"/>
      <c r="H20477" s="28"/>
    </row>
    <row r="20478" spans="4:8" x14ac:dyDescent="0.25">
      <c r="D20478" s="28"/>
      <c r="F20478" s="28"/>
      <c r="H20478" s="28"/>
    </row>
    <row r="20479" spans="4:8" x14ac:dyDescent="0.25">
      <c r="D20479" s="28"/>
      <c r="F20479" s="28"/>
      <c r="H20479" s="28"/>
    </row>
    <row r="20480" spans="4:8" x14ac:dyDescent="0.25">
      <c r="D20480" s="28"/>
      <c r="F20480" s="28"/>
      <c r="H20480" s="28"/>
    </row>
    <row r="20481" spans="4:8" x14ac:dyDescent="0.25">
      <c r="D20481" s="28"/>
      <c r="F20481" s="28"/>
      <c r="H20481" s="28"/>
    </row>
    <row r="20482" spans="4:8" x14ac:dyDescent="0.25">
      <c r="D20482" s="28"/>
      <c r="F20482" s="28"/>
      <c r="H20482" s="28"/>
    </row>
    <row r="20483" spans="4:8" x14ac:dyDescent="0.25">
      <c r="D20483" s="28"/>
      <c r="F20483" s="28"/>
      <c r="H20483" s="28"/>
    </row>
    <row r="20484" spans="4:8" x14ac:dyDescent="0.25">
      <c r="D20484" s="28"/>
      <c r="F20484" s="28"/>
      <c r="H20484" s="28"/>
    </row>
    <row r="20485" spans="4:8" x14ac:dyDescent="0.25">
      <c r="D20485" s="28"/>
      <c r="F20485" s="28"/>
      <c r="H20485" s="28"/>
    </row>
    <row r="20486" spans="4:8" x14ac:dyDescent="0.25">
      <c r="D20486" s="28"/>
      <c r="F20486" s="28"/>
      <c r="H20486" s="28"/>
    </row>
    <row r="20487" spans="4:8" x14ac:dyDescent="0.25">
      <c r="D20487" s="28"/>
      <c r="F20487" s="28"/>
      <c r="H20487" s="28"/>
    </row>
    <row r="20488" spans="4:8" x14ac:dyDescent="0.25">
      <c r="D20488" s="28"/>
      <c r="F20488" s="28"/>
      <c r="H20488" s="28"/>
    </row>
    <row r="20489" spans="4:8" x14ac:dyDescent="0.25">
      <c r="D20489" s="28"/>
      <c r="F20489" s="28"/>
      <c r="H20489" s="28"/>
    </row>
    <row r="20490" spans="4:8" x14ac:dyDescent="0.25">
      <c r="D20490" s="28"/>
      <c r="F20490" s="28"/>
      <c r="H20490" s="28"/>
    </row>
    <row r="20491" spans="4:8" x14ac:dyDescent="0.25">
      <c r="D20491" s="28"/>
      <c r="F20491" s="28"/>
      <c r="H20491" s="28"/>
    </row>
    <row r="20492" spans="4:8" x14ac:dyDescent="0.25">
      <c r="D20492" s="28"/>
      <c r="F20492" s="28"/>
      <c r="H20492" s="28"/>
    </row>
    <row r="20493" spans="4:8" x14ac:dyDescent="0.25">
      <c r="D20493" s="28"/>
      <c r="F20493" s="28"/>
      <c r="H20493" s="28"/>
    </row>
    <row r="20494" spans="4:8" x14ac:dyDescent="0.25">
      <c r="D20494" s="28"/>
      <c r="F20494" s="28"/>
      <c r="H20494" s="28"/>
    </row>
    <row r="20495" spans="4:8" x14ac:dyDescent="0.25">
      <c r="D20495" s="28"/>
      <c r="F20495" s="28"/>
      <c r="H20495" s="28"/>
    </row>
    <row r="20496" spans="4:8" x14ac:dyDescent="0.25">
      <c r="D20496" s="28"/>
      <c r="F20496" s="28"/>
      <c r="H20496" s="28"/>
    </row>
    <row r="20497" spans="4:8" x14ac:dyDescent="0.25">
      <c r="D20497" s="28"/>
      <c r="F20497" s="28"/>
      <c r="H20497" s="28"/>
    </row>
    <row r="20498" spans="4:8" x14ac:dyDescent="0.25">
      <c r="D20498" s="28"/>
      <c r="F20498" s="28"/>
      <c r="H20498" s="28"/>
    </row>
    <row r="20499" spans="4:8" x14ac:dyDescent="0.25">
      <c r="D20499" s="28"/>
      <c r="F20499" s="28"/>
      <c r="H20499" s="28"/>
    </row>
    <row r="20500" spans="4:8" x14ac:dyDescent="0.25">
      <c r="D20500" s="28"/>
      <c r="F20500" s="28"/>
      <c r="H20500" s="28"/>
    </row>
    <row r="20501" spans="4:8" x14ac:dyDescent="0.25">
      <c r="D20501" s="28"/>
      <c r="F20501" s="28"/>
      <c r="H20501" s="28"/>
    </row>
    <row r="20502" spans="4:8" x14ac:dyDescent="0.25">
      <c r="D20502" s="28"/>
      <c r="F20502" s="28"/>
      <c r="H20502" s="28"/>
    </row>
    <row r="20503" spans="4:8" x14ac:dyDescent="0.25">
      <c r="D20503" s="28"/>
      <c r="F20503" s="28"/>
      <c r="H20503" s="28"/>
    </row>
    <row r="20504" spans="4:8" x14ac:dyDescent="0.25">
      <c r="D20504" s="28"/>
      <c r="F20504" s="28"/>
      <c r="H20504" s="28"/>
    </row>
    <row r="20505" spans="4:8" x14ac:dyDescent="0.25">
      <c r="D20505" s="28"/>
      <c r="F20505" s="28"/>
      <c r="H20505" s="28"/>
    </row>
    <row r="20506" spans="4:8" x14ac:dyDescent="0.25">
      <c r="D20506" s="28"/>
      <c r="F20506" s="28"/>
      <c r="H20506" s="28"/>
    </row>
    <row r="20507" spans="4:8" x14ac:dyDescent="0.25">
      <c r="D20507" s="28"/>
      <c r="F20507" s="28"/>
      <c r="H20507" s="28"/>
    </row>
    <row r="20508" spans="4:8" x14ac:dyDescent="0.25">
      <c r="D20508" s="28"/>
      <c r="F20508" s="28"/>
      <c r="H20508" s="28"/>
    </row>
    <row r="20509" spans="4:8" x14ac:dyDescent="0.25">
      <c r="D20509" s="28"/>
      <c r="F20509" s="28"/>
      <c r="H20509" s="28"/>
    </row>
    <row r="20510" spans="4:8" x14ac:dyDescent="0.25">
      <c r="D20510" s="28"/>
      <c r="F20510" s="28"/>
      <c r="H20510" s="28"/>
    </row>
    <row r="20511" spans="4:8" x14ac:dyDescent="0.25">
      <c r="D20511" s="28"/>
      <c r="F20511" s="28"/>
      <c r="H20511" s="28"/>
    </row>
    <row r="20512" spans="4:8" x14ac:dyDescent="0.25">
      <c r="D20512" s="28"/>
      <c r="F20512" s="28"/>
      <c r="H20512" s="28"/>
    </row>
    <row r="20513" spans="4:8" x14ac:dyDescent="0.25">
      <c r="D20513" s="28"/>
      <c r="F20513" s="28"/>
      <c r="H20513" s="28"/>
    </row>
    <row r="20514" spans="4:8" x14ac:dyDescent="0.25">
      <c r="D20514" s="28"/>
      <c r="F20514" s="28"/>
      <c r="H20514" s="28"/>
    </row>
    <row r="20515" spans="4:8" x14ac:dyDescent="0.25">
      <c r="D20515" s="28"/>
      <c r="F20515" s="28"/>
      <c r="H20515" s="28"/>
    </row>
    <row r="20516" spans="4:8" x14ac:dyDescent="0.25">
      <c r="D20516" s="28"/>
      <c r="F20516" s="28"/>
      <c r="H20516" s="28"/>
    </row>
    <row r="20517" spans="4:8" x14ac:dyDescent="0.25">
      <c r="D20517" s="28"/>
      <c r="F20517" s="28"/>
      <c r="H20517" s="28"/>
    </row>
    <row r="20518" spans="4:8" x14ac:dyDescent="0.25">
      <c r="D20518" s="28"/>
      <c r="F20518" s="28"/>
      <c r="H20518" s="28"/>
    </row>
    <row r="20519" spans="4:8" x14ac:dyDescent="0.25">
      <c r="D20519" s="28"/>
      <c r="F20519" s="28"/>
      <c r="H20519" s="28"/>
    </row>
    <row r="20520" spans="4:8" x14ac:dyDescent="0.25">
      <c r="D20520" s="28"/>
      <c r="F20520" s="28"/>
      <c r="H20520" s="28"/>
    </row>
    <row r="20521" spans="4:8" x14ac:dyDescent="0.25">
      <c r="D20521" s="28"/>
      <c r="F20521" s="28"/>
      <c r="H20521" s="28"/>
    </row>
    <row r="20522" spans="4:8" x14ac:dyDescent="0.25">
      <c r="D20522" s="28"/>
      <c r="F20522" s="28"/>
      <c r="H20522" s="28"/>
    </row>
    <row r="20523" spans="4:8" x14ac:dyDescent="0.25">
      <c r="D20523" s="28"/>
      <c r="F20523" s="28"/>
      <c r="H20523" s="28"/>
    </row>
    <row r="20524" spans="4:8" x14ac:dyDescent="0.25">
      <c r="D20524" s="28"/>
      <c r="F20524" s="28"/>
      <c r="H20524" s="28"/>
    </row>
    <row r="20525" spans="4:8" x14ac:dyDescent="0.25">
      <c r="D20525" s="28"/>
      <c r="F20525" s="28"/>
      <c r="H20525" s="28"/>
    </row>
    <row r="20526" spans="4:8" x14ac:dyDescent="0.25">
      <c r="D20526" s="28"/>
      <c r="F20526" s="28"/>
      <c r="H20526" s="28"/>
    </row>
    <row r="20527" spans="4:8" x14ac:dyDescent="0.25">
      <c r="D20527" s="28"/>
      <c r="F20527" s="28"/>
      <c r="H20527" s="28"/>
    </row>
    <row r="20528" spans="4:8" x14ac:dyDescent="0.25">
      <c r="D20528" s="28"/>
      <c r="F20528" s="28"/>
      <c r="H20528" s="28"/>
    </row>
    <row r="20529" spans="4:8" x14ac:dyDescent="0.25">
      <c r="D20529" s="28"/>
      <c r="F20529" s="28"/>
      <c r="H20529" s="28"/>
    </row>
    <row r="20530" spans="4:8" x14ac:dyDescent="0.25">
      <c r="D20530" s="28"/>
      <c r="F20530" s="28"/>
      <c r="H20530" s="28"/>
    </row>
    <row r="20531" spans="4:8" x14ac:dyDescent="0.25">
      <c r="D20531" s="28"/>
      <c r="F20531" s="28"/>
      <c r="H20531" s="28"/>
    </row>
    <row r="20532" spans="4:8" x14ac:dyDescent="0.25">
      <c r="D20532" s="28"/>
      <c r="F20532" s="28"/>
      <c r="H20532" s="28"/>
    </row>
    <row r="20533" spans="4:8" x14ac:dyDescent="0.25">
      <c r="D20533" s="28"/>
      <c r="F20533" s="28"/>
      <c r="H20533" s="28"/>
    </row>
    <row r="20534" spans="4:8" x14ac:dyDescent="0.25">
      <c r="D20534" s="28"/>
      <c r="F20534" s="28"/>
      <c r="H20534" s="28"/>
    </row>
    <row r="20535" spans="4:8" x14ac:dyDescent="0.25">
      <c r="D20535" s="28"/>
      <c r="F20535" s="28"/>
      <c r="H20535" s="28"/>
    </row>
    <row r="20536" spans="4:8" x14ac:dyDescent="0.25">
      <c r="D20536" s="28"/>
      <c r="F20536" s="28"/>
      <c r="H20536" s="28"/>
    </row>
    <row r="20537" spans="4:8" x14ac:dyDescent="0.25">
      <c r="D20537" s="28"/>
      <c r="F20537" s="28"/>
      <c r="H20537" s="28"/>
    </row>
    <row r="20538" spans="4:8" x14ac:dyDescent="0.25">
      <c r="D20538" s="28"/>
      <c r="F20538" s="28"/>
      <c r="H20538" s="28"/>
    </row>
    <row r="20539" spans="4:8" x14ac:dyDescent="0.25">
      <c r="D20539" s="28"/>
      <c r="F20539" s="28"/>
      <c r="H20539" s="28"/>
    </row>
    <row r="20540" spans="4:8" x14ac:dyDescent="0.25">
      <c r="D20540" s="28"/>
      <c r="F20540" s="28"/>
      <c r="H20540" s="28"/>
    </row>
    <row r="20541" spans="4:8" x14ac:dyDescent="0.25">
      <c r="D20541" s="28"/>
      <c r="F20541" s="28"/>
      <c r="H20541" s="28"/>
    </row>
    <row r="20542" spans="4:8" x14ac:dyDescent="0.25">
      <c r="D20542" s="28"/>
      <c r="F20542" s="28"/>
      <c r="H20542" s="28"/>
    </row>
    <row r="20543" spans="4:8" x14ac:dyDescent="0.25">
      <c r="D20543" s="28"/>
      <c r="F20543" s="28"/>
      <c r="H20543" s="28"/>
    </row>
    <row r="20544" spans="4:8" x14ac:dyDescent="0.25">
      <c r="D20544" s="28"/>
      <c r="F20544" s="28"/>
      <c r="H20544" s="28"/>
    </row>
    <row r="20545" spans="4:8" x14ac:dyDescent="0.25">
      <c r="D20545" s="28"/>
      <c r="F20545" s="28"/>
      <c r="H20545" s="28"/>
    </row>
    <row r="20546" spans="4:8" x14ac:dyDescent="0.25">
      <c r="D20546" s="28"/>
      <c r="F20546" s="28"/>
      <c r="H20546" s="28"/>
    </row>
    <row r="20547" spans="4:8" x14ac:dyDescent="0.25">
      <c r="D20547" s="28"/>
      <c r="F20547" s="28"/>
      <c r="H20547" s="28"/>
    </row>
    <row r="20548" spans="4:8" x14ac:dyDescent="0.25">
      <c r="D20548" s="28"/>
      <c r="F20548" s="28"/>
      <c r="H20548" s="28"/>
    </row>
    <row r="20549" spans="4:8" x14ac:dyDescent="0.25">
      <c r="D20549" s="28"/>
      <c r="F20549" s="28"/>
      <c r="H20549" s="28"/>
    </row>
    <row r="20550" spans="4:8" x14ac:dyDescent="0.25">
      <c r="D20550" s="28"/>
      <c r="F20550" s="28"/>
      <c r="H20550" s="28"/>
    </row>
    <row r="20551" spans="4:8" x14ac:dyDescent="0.25">
      <c r="D20551" s="28"/>
      <c r="F20551" s="28"/>
      <c r="H20551" s="28"/>
    </row>
    <row r="20552" spans="4:8" x14ac:dyDescent="0.25">
      <c r="D20552" s="28"/>
      <c r="F20552" s="28"/>
      <c r="H20552" s="28"/>
    </row>
    <row r="20553" spans="4:8" x14ac:dyDescent="0.25">
      <c r="D20553" s="28"/>
      <c r="F20553" s="28"/>
      <c r="H20553" s="28"/>
    </row>
    <row r="20554" spans="4:8" x14ac:dyDescent="0.25">
      <c r="D20554" s="28"/>
      <c r="F20554" s="28"/>
      <c r="H20554" s="28"/>
    </row>
    <row r="20555" spans="4:8" x14ac:dyDescent="0.25">
      <c r="D20555" s="28"/>
      <c r="F20555" s="28"/>
      <c r="H20555" s="28"/>
    </row>
    <row r="20556" spans="4:8" x14ac:dyDescent="0.25">
      <c r="D20556" s="28"/>
      <c r="F20556" s="28"/>
      <c r="H20556" s="28"/>
    </row>
    <row r="20557" spans="4:8" x14ac:dyDescent="0.25">
      <c r="D20557" s="28"/>
      <c r="F20557" s="28"/>
      <c r="H20557" s="28"/>
    </row>
    <row r="20558" spans="4:8" x14ac:dyDescent="0.25">
      <c r="D20558" s="28"/>
      <c r="F20558" s="28"/>
      <c r="H20558" s="28"/>
    </row>
    <row r="20559" spans="4:8" x14ac:dyDescent="0.25">
      <c r="D20559" s="28"/>
      <c r="F20559" s="28"/>
      <c r="H20559" s="28"/>
    </row>
    <row r="20560" spans="4:8" x14ac:dyDescent="0.25">
      <c r="D20560" s="28"/>
      <c r="F20560" s="28"/>
      <c r="H20560" s="28"/>
    </row>
    <row r="20561" spans="4:8" x14ac:dyDescent="0.25">
      <c r="D20561" s="28"/>
      <c r="F20561" s="28"/>
      <c r="H20561" s="28"/>
    </row>
    <row r="20562" spans="4:8" x14ac:dyDescent="0.25">
      <c r="D20562" s="28"/>
      <c r="F20562" s="28"/>
      <c r="H20562" s="28"/>
    </row>
    <row r="20563" spans="4:8" x14ac:dyDescent="0.25">
      <c r="D20563" s="28"/>
      <c r="F20563" s="28"/>
      <c r="H20563" s="28"/>
    </row>
    <row r="20564" spans="4:8" x14ac:dyDescent="0.25">
      <c r="D20564" s="28"/>
      <c r="F20564" s="28"/>
      <c r="H20564" s="28"/>
    </row>
    <row r="20565" spans="4:8" x14ac:dyDescent="0.25">
      <c r="D20565" s="28"/>
      <c r="F20565" s="28"/>
      <c r="H20565" s="28"/>
    </row>
    <row r="20566" spans="4:8" x14ac:dyDescent="0.25">
      <c r="D20566" s="28"/>
      <c r="F20566" s="28"/>
      <c r="H20566" s="28"/>
    </row>
    <row r="20567" spans="4:8" x14ac:dyDescent="0.25">
      <c r="D20567" s="28"/>
      <c r="F20567" s="28"/>
      <c r="H20567" s="28"/>
    </row>
    <row r="20568" spans="4:8" x14ac:dyDescent="0.25">
      <c r="D20568" s="28"/>
      <c r="F20568" s="28"/>
      <c r="H20568" s="28"/>
    </row>
    <row r="20569" spans="4:8" x14ac:dyDescent="0.25">
      <c r="D20569" s="28"/>
      <c r="F20569" s="28"/>
      <c r="H20569" s="28"/>
    </row>
    <row r="20570" spans="4:8" x14ac:dyDescent="0.25">
      <c r="D20570" s="28"/>
      <c r="F20570" s="28"/>
      <c r="H20570" s="28"/>
    </row>
    <row r="20571" spans="4:8" x14ac:dyDescent="0.25">
      <c r="D20571" s="28"/>
      <c r="F20571" s="28"/>
      <c r="H20571" s="28"/>
    </row>
    <row r="20572" spans="4:8" x14ac:dyDescent="0.25">
      <c r="D20572" s="28"/>
      <c r="F20572" s="28"/>
      <c r="H20572" s="28"/>
    </row>
    <row r="20573" spans="4:8" x14ac:dyDescent="0.25">
      <c r="D20573" s="28"/>
      <c r="F20573" s="28"/>
      <c r="H20573" s="28"/>
    </row>
    <row r="20574" spans="4:8" x14ac:dyDescent="0.25">
      <c r="D20574" s="28"/>
      <c r="F20574" s="28"/>
      <c r="H20574" s="28"/>
    </row>
    <row r="20575" spans="4:8" x14ac:dyDescent="0.25">
      <c r="D20575" s="28"/>
      <c r="F20575" s="28"/>
      <c r="H20575" s="28"/>
    </row>
    <row r="20576" spans="4:8" x14ac:dyDescent="0.25">
      <c r="D20576" s="28"/>
      <c r="F20576" s="28"/>
      <c r="H20576" s="28"/>
    </row>
    <row r="20577" spans="4:8" x14ac:dyDescent="0.25">
      <c r="D20577" s="28"/>
      <c r="F20577" s="28"/>
      <c r="H20577" s="28"/>
    </row>
    <row r="20578" spans="4:8" x14ac:dyDescent="0.25">
      <c r="D20578" s="28"/>
      <c r="F20578" s="28"/>
      <c r="H20578" s="28"/>
    </row>
    <row r="20579" spans="4:8" x14ac:dyDescent="0.25">
      <c r="D20579" s="28"/>
      <c r="F20579" s="28"/>
      <c r="H20579" s="28"/>
    </row>
    <row r="20580" spans="4:8" x14ac:dyDescent="0.25">
      <c r="D20580" s="28"/>
      <c r="F20580" s="28"/>
      <c r="H20580" s="28"/>
    </row>
    <row r="20581" spans="4:8" x14ac:dyDescent="0.25">
      <c r="D20581" s="28"/>
      <c r="F20581" s="28"/>
      <c r="H20581" s="28"/>
    </row>
    <row r="20582" spans="4:8" x14ac:dyDescent="0.25">
      <c r="D20582" s="28"/>
      <c r="F20582" s="28"/>
      <c r="H20582" s="28"/>
    </row>
    <row r="20583" spans="4:8" x14ac:dyDescent="0.25">
      <c r="D20583" s="28"/>
      <c r="F20583" s="28"/>
      <c r="H20583" s="28"/>
    </row>
    <row r="20584" spans="4:8" x14ac:dyDescent="0.25">
      <c r="D20584" s="28"/>
      <c r="F20584" s="28"/>
      <c r="H20584" s="28"/>
    </row>
    <row r="20585" spans="4:8" x14ac:dyDescent="0.25">
      <c r="D20585" s="28"/>
      <c r="F20585" s="28"/>
      <c r="H20585" s="28"/>
    </row>
    <row r="20586" spans="4:8" x14ac:dyDescent="0.25">
      <c r="D20586" s="28"/>
      <c r="F20586" s="28"/>
      <c r="H20586" s="28"/>
    </row>
    <row r="20587" spans="4:8" x14ac:dyDescent="0.25">
      <c r="D20587" s="28"/>
      <c r="F20587" s="28"/>
      <c r="H20587" s="28"/>
    </row>
    <row r="20588" spans="4:8" x14ac:dyDescent="0.25">
      <c r="D20588" s="28"/>
      <c r="F20588" s="28"/>
      <c r="H20588" s="28"/>
    </row>
    <row r="20589" spans="4:8" x14ac:dyDescent="0.25">
      <c r="D20589" s="28"/>
      <c r="F20589" s="28"/>
      <c r="H20589" s="28"/>
    </row>
    <row r="20590" spans="4:8" x14ac:dyDescent="0.25">
      <c r="D20590" s="28"/>
      <c r="F20590" s="28"/>
      <c r="H20590" s="28"/>
    </row>
    <row r="20591" spans="4:8" x14ac:dyDescent="0.25">
      <c r="D20591" s="28"/>
      <c r="F20591" s="28"/>
      <c r="H20591" s="28"/>
    </row>
    <row r="20592" spans="4:8" x14ac:dyDescent="0.25">
      <c r="D20592" s="28"/>
      <c r="F20592" s="28"/>
      <c r="H20592" s="28"/>
    </row>
    <row r="20593" spans="4:8" x14ac:dyDescent="0.25">
      <c r="D20593" s="28"/>
      <c r="F20593" s="28"/>
      <c r="H20593" s="28"/>
    </row>
    <row r="20594" spans="4:8" x14ac:dyDescent="0.25">
      <c r="D20594" s="28"/>
      <c r="F20594" s="28"/>
      <c r="H20594" s="28"/>
    </row>
    <row r="20595" spans="4:8" x14ac:dyDescent="0.25">
      <c r="D20595" s="28"/>
      <c r="F20595" s="28"/>
      <c r="H20595" s="28"/>
    </row>
    <row r="20596" spans="4:8" x14ac:dyDescent="0.25">
      <c r="D20596" s="28"/>
      <c r="F20596" s="28"/>
      <c r="H20596" s="28"/>
    </row>
    <row r="20597" spans="4:8" x14ac:dyDescent="0.25">
      <c r="D20597" s="28"/>
      <c r="F20597" s="28"/>
      <c r="H20597" s="28"/>
    </row>
    <row r="20598" spans="4:8" x14ac:dyDescent="0.25">
      <c r="D20598" s="28"/>
      <c r="F20598" s="28"/>
      <c r="H20598" s="28"/>
    </row>
    <row r="20599" spans="4:8" x14ac:dyDescent="0.25">
      <c r="D20599" s="28"/>
      <c r="F20599" s="28"/>
      <c r="H20599" s="28"/>
    </row>
    <row r="20600" spans="4:8" x14ac:dyDescent="0.25">
      <c r="D20600" s="28"/>
      <c r="F20600" s="28"/>
      <c r="H20600" s="28"/>
    </row>
    <row r="20601" spans="4:8" x14ac:dyDescent="0.25">
      <c r="D20601" s="28"/>
      <c r="F20601" s="28"/>
      <c r="H20601" s="28"/>
    </row>
    <row r="20602" spans="4:8" x14ac:dyDescent="0.25">
      <c r="D20602" s="28"/>
      <c r="F20602" s="28"/>
      <c r="H20602" s="28"/>
    </row>
    <row r="20603" spans="4:8" x14ac:dyDescent="0.25">
      <c r="D20603" s="28"/>
      <c r="F20603" s="28"/>
      <c r="H20603" s="28"/>
    </row>
    <row r="20604" spans="4:8" x14ac:dyDescent="0.25">
      <c r="D20604" s="28"/>
      <c r="F20604" s="28"/>
      <c r="H20604" s="28"/>
    </row>
    <row r="20605" spans="4:8" x14ac:dyDescent="0.25">
      <c r="D20605" s="28"/>
      <c r="F20605" s="28"/>
      <c r="H20605" s="28"/>
    </row>
    <row r="20606" spans="4:8" x14ac:dyDescent="0.25">
      <c r="D20606" s="28"/>
      <c r="F20606" s="28"/>
      <c r="H20606" s="28"/>
    </row>
    <row r="20607" spans="4:8" x14ac:dyDescent="0.25">
      <c r="D20607" s="28"/>
      <c r="F20607" s="28"/>
      <c r="H20607" s="28"/>
    </row>
    <row r="20608" spans="4:8" x14ac:dyDescent="0.25">
      <c r="D20608" s="28"/>
      <c r="F20608" s="28"/>
      <c r="H20608" s="28"/>
    </row>
    <row r="20609" spans="4:8" x14ac:dyDescent="0.25">
      <c r="D20609" s="28"/>
      <c r="F20609" s="28"/>
      <c r="H20609" s="28"/>
    </row>
    <row r="20610" spans="4:8" x14ac:dyDescent="0.25">
      <c r="D20610" s="28"/>
      <c r="F20610" s="28"/>
      <c r="H20610" s="28"/>
    </row>
    <row r="20611" spans="4:8" x14ac:dyDescent="0.25">
      <c r="D20611" s="28"/>
      <c r="F20611" s="28"/>
      <c r="H20611" s="28"/>
    </row>
    <row r="20612" spans="4:8" x14ac:dyDescent="0.25">
      <c r="D20612" s="28"/>
      <c r="F20612" s="28"/>
      <c r="H20612" s="28"/>
    </row>
    <row r="20613" spans="4:8" x14ac:dyDescent="0.25">
      <c r="D20613" s="28"/>
      <c r="F20613" s="28"/>
      <c r="H20613" s="28"/>
    </row>
    <row r="20614" spans="4:8" x14ac:dyDescent="0.25">
      <c r="D20614" s="28"/>
      <c r="F20614" s="28"/>
      <c r="H20614" s="28"/>
    </row>
    <row r="20615" spans="4:8" x14ac:dyDescent="0.25">
      <c r="D20615" s="28"/>
      <c r="F20615" s="28"/>
      <c r="H20615" s="28"/>
    </row>
    <row r="20616" spans="4:8" x14ac:dyDescent="0.25">
      <c r="D20616" s="28"/>
      <c r="F20616" s="28"/>
      <c r="H20616" s="28"/>
    </row>
    <row r="20617" spans="4:8" x14ac:dyDescent="0.25">
      <c r="D20617" s="28"/>
      <c r="F20617" s="28"/>
      <c r="H20617" s="28"/>
    </row>
    <row r="20618" spans="4:8" x14ac:dyDescent="0.25">
      <c r="D20618" s="28"/>
      <c r="F20618" s="28"/>
      <c r="H20618" s="28"/>
    </row>
    <row r="20619" spans="4:8" x14ac:dyDescent="0.25">
      <c r="D20619" s="28"/>
      <c r="F20619" s="28"/>
      <c r="H20619" s="28"/>
    </row>
    <row r="20620" spans="4:8" x14ac:dyDescent="0.25">
      <c r="D20620" s="28"/>
      <c r="F20620" s="28"/>
      <c r="H20620" s="28"/>
    </row>
    <row r="20621" spans="4:8" x14ac:dyDescent="0.25">
      <c r="D20621" s="28"/>
      <c r="F20621" s="28"/>
      <c r="H20621" s="28"/>
    </row>
    <row r="20622" spans="4:8" x14ac:dyDescent="0.25">
      <c r="D20622" s="28"/>
      <c r="F20622" s="28"/>
      <c r="H20622" s="28"/>
    </row>
    <row r="20623" spans="4:8" x14ac:dyDescent="0.25">
      <c r="D20623" s="28"/>
      <c r="F20623" s="28"/>
      <c r="H20623" s="28"/>
    </row>
    <row r="20624" spans="4:8" x14ac:dyDescent="0.25">
      <c r="D20624" s="28"/>
      <c r="F20624" s="28"/>
      <c r="H20624" s="28"/>
    </row>
    <row r="20625" spans="4:8" x14ac:dyDescent="0.25">
      <c r="D20625" s="28"/>
      <c r="F20625" s="28"/>
      <c r="H20625" s="28"/>
    </row>
    <row r="20626" spans="4:8" x14ac:dyDescent="0.25">
      <c r="D20626" s="28"/>
      <c r="F20626" s="28"/>
      <c r="H20626" s="28"/>
    </row>
    <row r="20627" spans="4:8" x14ac:dyDescent="0.25">
      <c r="D20627" s="28"/>
      <c r="F20627" s="28"/>
      <c r="H20627" s="28"/>
    </row>
    <row r="20628" spans="4:8" x14ac:dyDescent="0.25">
      <c r="D20628" s="28"/>
      <c r="F20628" s="28"/>
      <c r="H20628" s="28"/>
    </row>
    <row r="20629" spans="4:8" x14ac:dyDescent="0.25">
      <c r="D20629" s="28"/>
      <c r="F20629" s="28"/>
      <c r="H20629" s="28"/>
    </row>
    <row r="20630" spans="4:8" x14ac:dyDescent="0.25">
      <c r="D20630" s="28"/>
      <c r="F20630" s="28"/>
      <c r="H20630" s="28"/>
    </row>
    <row r="20631" spans="4:8" x14ac:dyDescent="0.25">
      <c r="D20631" s="28"/>
      <c r="F20631" s="28"/>
      <c r="H20631" s="28"/>
    </row>
    <row r="20632" spans="4:8" x14ac:dyDescent="0.25">
      <c r="D20632" s="28"/>
      <c r="F20632" s="28"/>
      <c r="H20632" s="28"/>
    </row>
    <row r="20633" spans="4:8" x14ac:dyDescent="0.25">
      <c r="D20633" s="28"/>
      <c r="F20633" s="28"/>
      <c r="H20633" s="28"/>
    </row>
    <row r="20634" spans="4:8" x14ac:dyDescent="0.25">
      <c r="D20634" s="28"/>
      <c r="F20634" s="28"/>
      <c r="H20634" s="28"/>
    </row>
    <row r="20635" spans="4:8" x14ac:dyDescent="0.25">
      <c r="D20635" s="28"/>
      <c r="F20635" s="28"/>
      <c r="H20635" s="28"/>
    </row>
    <row r="20636" spans="4:8" x14ac:dyDescent="0.25">
      <c r="D20636" s="28"/>
      <c r="F20636" s="28"/>
      <c r="H20636" s="28"/>
    </row>
    <row r="20637" spans="4:8" x14ac:dyDescent="0.25">
      <c r="D20637" s="28"/>
      <c r="F20637" s="28"/>
      <c r="H20637" s="28"/>
    </row>
    <row r="20638" spans="4:8" x14ac:dyDescent="0.25">
      <c r="D20638" s="28"/>
      <c r="F20638" s="28"/>
      <c r="H20638" s="28"/>
    </row>
    <row r="20639" spans="4:8" x14ac:dyDescent="0.25">
      <c r="D20639" s="28"/>
      <c r="F20639" s="28"/>
      <c r="H20639" s="28"/>
    </row>
    <row r="20640" spans="4:8" x14ac:dyDescent="0.25">
      <c r="D20640" s="28"/>
      <c r="F20640" s="28"/>
      <c r="H20640" s="28"/>
    </row>
    <row r="20641" spans="4:8" x14ac:dyDescent="0.25">
      <c r="D20641" s="28"/>
      <c r="F20641" s="28"/>
      <c r="H20641" s="28"/>
    </row>
    <row r="20642" spans="4:8" x14ac:dyDescent="0.25">
      <c r="D20642" s="28"/>
      <c r="F20642" s="28"/>
      <c r="H20642" s="28"/>
    </row>
    <row r="20643" spans="4:8" x14ac:dyDescent="0.25">
      <c r="D20643" s="28"/>
      <c r="F20643" s="28"/>
      <c r="H20643" s="28"/>
    </row>
    <row r="20644" spans="4:8" x14ac:dyDescent="0.25">
      <c r="D20644" s="28"/>
      <c r="F20644" s="28"/>
      <c r="H20644" s="28"/>
    </row>
    <row r="20645" spans="4:8" x14ac:dyDescent="0.25">
      <c r="D20645" s="28"/>
      <c r="F20645" s="28"/>
      <c r="H20645" s="28"/>
    </row>
    <row r="20646" spans="4:8" x14ac:dyDescent="0.25">
      <c r="D20646" s="28"/>
      <c r="F20646" s="28"/>
      <c r="H20646" s="28"/>
    </row>
    <row r="20647" spans="4:8" x14ac:dyDescent="0.25">
      <c r="D20647" s="28"/>
      <c r="F20647" s="28"/>
      <c r="H20647" s="28"/>
    </row>
    <row r="20648" spans="4:8" x14ac:dyDescent="0.25">
      <c r="D20648" s="28"/>
      <c r="F20648" s="28"/>
      <c r="H20648" s="28"/>
    </row>
    <row r="20649" spans="4:8" x14ac:dyDescent="0.25">
      <c r="D20649" s="28"/>
      <c r="F20649" s="28"/>
      <c r="H20649" s="28"/>
    </row>
    <row r="20650" spans="4:8" x14ac:dyDescent="0.25">
      <c r="D20650" s="28"/>
      <c r="F20650" s="28"/>
      <c r="H20650" s="28"/>
    </row>
    <row r="20651" spans="4:8" x14ac:dyDescent="0.25">
      <c r="D20651" s="28"/>
      <c r="F20651" s="28"/>
      <c r="H20651" s="28"/>
    </row>
    <row r="20652" spans="4:8" x14ac:dyDescent="0.25">
      <c r="D20652" s="28"/>
      <c r="F20652" s="28"/>
      <c r="H20652" s="28"/>
    </row>
    <row r="20653" spans="4:8" x14ac:dyDescent="0.25">
      <c r="D20653" s="28"/>
      <c r="F20653" s="28"/>
      <c r="H20653" s="28"/>
    </row>
    <row r="20654" spans="4:8" x14ac:dyDescent="0.25">
      <c r="D20654" s="28"/>
      <c r="F20654" s="28"/>
      <c r="H20654" s="28"/>
    </row>
    <row r="20655" spans="4:8" x14ac:dyDescent="0.25">
      <c r="D20655" s="28"/>
      <c r="F20655" s="28"/>
      <c r="H20655" s="28"/>
    </row>
    <row r="20656" spans="4:8" x14ac:dyDescent="0.25">
      <c r="D20656" s="28"/>
      <c r="F20656" s="28"/>
      <c r="H20656" s="28"/>
    </row>
    <row r="20657" spans="4:8" x14ac:dyDescent="0.25">
      <c r="D20657" s="28"/>
      <c r="F20657" s="28"/>
      <c r="H20657" s="28"/>
    </row>
    <row r="20658" spans="4:8" x14ac:dyDescent="0.25">
      <c r="D20658" s="28"/>
      <c r="F20658" s="28"/>
      <c r="H20658" s="28"/>
    </row>
    <row r="20659" spans="4:8" x14ac:dyDescent="0.25">
      <c r="D20659" s="28"/>
      <c r="F20659" s="28"/>
      <c r="H20659" s="28"/>
    </row>
    <row r="20660" spans="4:8" x14ac:dyDescent="0.25">
      <c r="D20660" s="28"/>
      <c r="F20660" s="28"/>
      <c r="H20660" s="28"/>
    </row>
    <row r="20661" spans="4:8" x14ac:dyDescent="0.25">
      <c r="D20661" s="28"/>
      <c r="F20661" s="28"/>
      <c r="H20661" s="28"/>
    </row>
    <row r="20662" spans="4:8" x14ac:dyDescent="0.25">
      <c r="D20662" s="28"/>
      <c r="F20662" s="28"/>
      <c r="H20662" s="28"/>
    </row>
    <row r="20663" spans="4:8" x14ac:dyDescent="0.25">
      <c r="D20663" s="28"/>
      <c r="F20663" s="28"/>
      <c r="H20663" s="28"/>
    </row>
    <row r="20664" spans="4:8" x14ac:dyDescent="0.25">
      <c r="D20664" s="28"/>
      <c r="F20664" s="28"/>
      <c r="H20664" s="28"/>
    </row>
    <row r="20665" spans="4:8" x14ac:dyDescent="0.25">
      <c r="D20665" s="28"/>
      <c r="F20665" s="28"/>
      <c r="H20665" s="28"/>
    </row>
    <row r="20666" spans="4:8" x14ac:dyDescent="0.25">
      <c r="D20666" s="28"/>
      <c r="F20666" s="28"/>
      <c r="H20666" s="28"/>
    </row>
    <row r="20667" spans="4:8" x14ac:dyDescent="0.25">
      <c r="D20667" s="28"/>
      <c r="F20667" s="28"/>
      <c r="H20667" s="28"/>
    </row>
    <row r="20668" spans="4:8" x14ac:dyDescent="0.25">
      <c r="D20668" s="28"/>
      <c r="F20668" s="28"/>
      <c r="H20668" s="28"/>
    </row>
    <row r="20669" spans="4:8" x14ac:dyDescent="0.25">
      <c r="D20669" s="28"/>
      <c r="F20669" s="28"/>
      <c r="H20669" s="28"/>
    </row>
    <row r="20670" spans="4:8" x14ac:dyDescent="0.25">
      <c r="D20670" s="28"/>
      <c r="F20670" s="28"/>
      <c r="H20670" s="28"/>
    </row>
    <row r="20671" spans="4:8" x14ac:dyDescent="0.25">
      <c r="D20671" s="28"/>
      <c r="F20671" s="28"/>
      <c r="H20671" s="28"/>
    </row>
    <row r="20672" spans="4:8" x14ac:dyDescent="0.25">
      <c r="D20672" s="28"/>
      <c r="F20672" s="28"/>
      <c r="H20672" s="28"/>
    </row>
    <row r="20673" spans="4:8" x14ac:dyDescent="0.25">
      <c r="D20673" s="28"/>
      <c r="F20673" s="28"/>
      <c r="H20673" s="28"/>
    </row>
    <row r="20674" spans="4:8" x14ac:dyDescent="0.25">
      <c r="D20674" s="28"/>
      <c r="F20674" s="28"/>
      <c r="H20674" s="28"/>
    </row>
    <row r="20675" spans="4:8" x14ac:dyDescent="0.25">
      <c r="D20675" s="28"/>
      <c r="F20675" s="28"/>
      <c r="H20675" s="28"/>
    </row>
    <row r="20676" spans="4:8" x14ac:dyDescent="0.25">
      <c r="D20676" s="28"/>
      <c r="F20676" s="28"/>
      <c r="H20676" s="28"/>
    </row>
    <row r="20677" spans="4:8" x14ac:dyDescent="0.25">
      <c r="D20677" s="28"/>
      <c r="F20677" s="28"/>
      <c r="H20677" s="28"/>
    </row>
    <row r="20678" spans="4:8" x14ac:dyDescent="0.25">
      <c r="D20678" s="28"/>
      <c r="F20678" s="28"/>
      <c r="H20678" s="28"/>
    </row>
    <row r="20679" spans="4:8" x14ac:dyDescent="0.25">
      <c r="D20679" s="28"/>
      <c r="F20679" s="28"/>
      <c r="H20679" s="28"/>
    </row>
    <row r="20680" spans="4:8" x14ac:dyDescent="0.25">
      <c r="D20680" s="28"/>
      <c r="F20680" s="28"/>
      <c r="H20680" s="28"/>
    </row>
    <row r="20681" spans="4:8" x14ac:dyDescent="0.25">
      <c r="D20681" s="28"/>
      <c r="F20681" s="28"/>
      <c r="H20681" s="28"/>
    </row>
    <row r="20682" spans="4:8" x14ac:dyDescent="0.25">
      <c r="D20682" s="28"/>
      <c r="F20682" s="28"/>
      <c r="H20682" s="28"/>
    </row>
    <row r="20683" spans="4:8" x14ac:dyDescent="0.25">
      <c r="D20683" s="28"/>
      <c r="F20683" s="28"/>
      <c r="H20683" s="28"/>
    </row>
    <row r="20684" spans="4:8" x14ac:dyDescent="0.25">
      <c r="D20684" s="28"/>
      <c r="F20684" s="28"/>
      <c r="H20684" s="28"/>
    </row>
    <row r="20685" spans="4:8" x14ac:dyDescent="0.25">
      <c r="D20685" s="28"/>
      <c r="F20685" s="28"/>
      <c r="H20685" s="28"/>
    </row>
    <row r="20686" spans="4:8" x14ac:dyDescent="0.25">
      <c r="D20686" s="28"/>
      <c r="F20686" s="28"/>
      <c r="H20686" s="28"/>
    </row>
    <row r="20687" spans="4:8" x14ac:dyDescent="0.25">
      <c r="D20687" s="28"/>
      <c r="F20687" s="28"/>
      <c r="H20687" s="28"/>
    </row>
    <row r="20688" spans="4:8" x14ac:dyDescent="0.25">
      <c r="D20688" s="28"/>
      <c r="F20688" s="28"/>
      <c r="H20688" s="28"/>
    </row>
    <row r="20689" spans="4:8" x14ac:dyDescent="0.25">
      <c r="D20689" s="28"/>
      <c r="F20689" s="28"/>
      <c r="H20689" s="28"/>
    </row>
    <row r="20690" spans="4:8" x14ac:dyDescent="0.25">
      <c r="D20690" s="28"/>
      <c r="F20690" s="28"/>
      <c r="H20690" s="28"/>
    </row>
    <row r="20691" spans="4:8" x14ac:dyDescent="0.25">
      <c r="D20691" s="28"/>
      <c r="F20691" s="28"/>
      <c r="H20691" s="28"/>
    </row>
    <row r="20692" spans="4:8" x14ac:dyDescent="0.25">
      <c r="D20692" s="28"/>
      <c r="F20692" s="28"/>
      <c r="H20692" s="28"/>
    </row>
    <row r="20693" spans="4:8" x14ac:dyDescent="0.25">
      <c r="D20693" s="28"/>
      <c r="F20693" s="28"/>
      <c r="H20693" s="28"/>
    </row>
    <row r="20694" spans="4:8" x14ac:dyDescent="0.25">
      <c r="D20694" s="28"/>
      <c r="F20694" s="28"/>
      <c r="H20694" s="28"/>
    </row>
    <row r="20695" spans="4:8" x14ac:dyDescent="0.25">
      <c r="D20695" s="28"/>
      <c r="F20695" s="28"/>
      <c r="H20695" s="28"/>
    </row>
    <row r="20696" spans="4:8" x14ac:dyDescent="0.25">
      <c r="D20696" s="28"/>
      <c r="F20696" s="28"/>
      <c r="H20696" s="28"/>
    </row>
    <row r="20697" spans="4:8" x14ac:dyDescent="0.25">
      <c r="D20697" s="28"/>
      <c r="F20697" s="28"/>
      <c r="H20697" s="28"/>
    </row>
    <row r="20698" spans="4:8" x14ac:dyDescent="0.25">
      <c r="D20698" s="28"/>
      <c r="F20698" s="28"/>
      <c r="H20698" s="28"/>
    </row>
    <row r="20699" spans="4:8" x14ac:dyDescent="0.25">
      <c r="D20699" s="28"/>
      <c r="F20699" s="28"/>
      <c r="H20699" s="28"/>
    </row>
    <row r="20700" spans="4:8" x14ac:dyDescent="0.25">
      <c r="D20700" s="28"/>
      <c r="F20700" s="28"/>
      <c r="H20700" s="28"/>
    </row>
    <row r="20701" spans="4:8" x14ac:dyDescent="0.25">
      <c r="D20701" s="28"/>
      <c r="F20701" s="28"/>
      <c r="H20701" s="28"/>
    </row>
    <row r="20702" spans="4:8" x14ac:dyDescent="0.25">
      <c r="D20702" s="28"/>
      <c r="F20702" s="28"/>
      <c r="H20702" s="28"/>
    </row>
    <row r="20703" spans="4:8" x14ac:dyDescent="0.25">
      <c r="D20703" s="28"/>
      <c r="F20703" s="28"/>
      <c r="H20703" s="28"/>
    </row>
    <row r="20704" spans="4:8" x14ac:dyDescent="0.25">
      <c r="D20704" s="28"/>
      <c r="F20704" s="28"/>
      <c r="H20704" s="28"/>
    </row>
    <row r="20705" spans="4:8" x14ac:dyDescent="0.25">
      <c r="D20705" s="28"/>
      <c r="F20705" s="28"/>
      <c r="H20705" s="28"/>
    </row>
    <row r="20706" spans="4:8" x14ac:dyDescent="0.25">
      <c r="D20706" s="28"/>
      <c r="F20706" s="28"/>
      <c r="H20706" s="28"/>
    </row>
    <row r="20707" spans="4:8" x14ac:dyDescent="0.25">
      <c r="D20707" s="28"/>
      <c r="F20707" s="28"/>
      <c r="H20707" s="28"/>
    </row>
    <row r="20708" spans="4:8" x14ac:dyDescent="0.25">
      <c r="D20708" s="28"/>
      <c r="F20708" s="28"/>
      <c r="H20708" s="28"/>
    </row>
    <row r="20709" spans="4:8" x14ac:dyDescent="0.25">
      <c r="D20709" s="28"/>
      <c r="F20709" s="28"/>
      <c r="H20709" s="28"/>
    </row>
    <row r="20710" spans="4:8" x14ac:dyDescent="0.25">
      <c r="D20710" s="28"/>
      <c r="F20710" s="28"/>
      <c r="H20710" s="28"/>
    </row>
    <row r="20711" spans="4:8" x14ac:dyDescent="0.25">
      <c r="D20711" s="28"/>
      <c r="F20711" s="28"/>
      <c r="H20711" s="28"/>
    </row>
    <row r="20712" spans="4:8" x14ac:dyDescent="0.25">
      <c r="D20712" s="28"/>
      <c r="F20712" s="28"/>
      <c r="H20712" s="28"/>
    </row>
    <row r="20713" spans="4:8" x14ac:dyDescent="0.25">
      <c r="D20713" s="28"/>
      <c r="F20713" s="28"/>
      <c r="H20713" s="28"/>
    </row>
    <row r="20714" spans="4:8" x14ac:dyDescent="0.25">
      <c r="D20714" s="28"/>
      <c r="F20714" s="28"/>
      <c r="H20714" s="28"/>
    </row>
    <row r="20715" spans="4:8" x14ac:dyDescent="0.25">
      <c r="D20715" s="28"/>
      <c r="F20715" s="28"/>
      <c r="H20715" s="28"/>
    </row>
    <row r="20716" spans="4:8" x14ac:dyDescent="0.25">
      <c r="D20716" s="28"/>
      <c r="F20716" s="28"/>
      <c r="H20716" s="28"/>
    </row>
    <row r="20717" spans="4:8" x14ac:dyDescent="0.25">
      <c r="D20717" s="28"/>
      <c r="F20717" s="28"/>
      <c r="H20717" s="28"/>
    </row>
    <row r="20718" spans="4:8" x14ac:dyDescent="0.25">
      <c r="D20718" s="28"/>
      <c r="F20718" s="28"/>
      <c r="H20718" s="28"/>
    </row>
    <row r="20719" spans="4:8" x14ac:dyDescent="0.25">
      <c r="D20719" s="28"/>
      <c r="F20719" s="28"/>
      <c r="H20719" s="28"/>
    </row>
    <row r="20720" spans="4:8" x14ac:dyDescent="0.25">
      <c r="D20720" s="28"/>
      <c r="F20720" s="28"/>
      <c r="H20720" s="28"/>
    </row>
    <row r="20721" spans="4:8" x14ac:dyDescent="0.25">
      <c r="D20721" s="28"/>
      <c r="F20721" s="28"/>
      <c r="H20721" s="28"/>
    </row>
    <row r="20722" spans="4:8" x14ac:dyDescent="0.25">
      <c r="D20722" s="28"/>
      <c r="F20722" s="28"/>
      <c r="H20722" s="28"/>
    </row>
    <row r="20723" spans="4:8" x14ac:dyDescent="0.25">
      <c r="D20723" s="28"/>
      <c r="F20723" s="28"/>
      <c r="H20723" s="28"/>
    </row>
    <row r="20724" spans="4:8" x14ac:dyDescent="0.25">
      <c r="D20724" s="28"/>
      <c r="F20724" s="28"/>
      <c r="H20724" s="28"/>
    </row>
    <row r="20725" spans="4:8" x14ac:dyDescent="0.25">
      <c r="D20725" s="28"/>
      <c r="F20725" s="28"/>
      <c r="H20725" s="28"/>
    </row>
    <row r="20726" spans="4:8" x14ac:dyDescent="0.25">
      <c r="D20726" s="28"/>
      <c r="F20726" s="28"/>
      <c r="H20726" s="28"/>
    </row>
    <row r="20727" spans="4:8" x14ac:dyDescent="0.25">
      <c r="D20727" s="28"/>
      <c r="F20727" s="28"/>
      <c r="H20727" s="28"/>
    </row>
    <row r="20728" spans="4:8" x14ac:dyDescent="0.25">
      <c r="D20728" s="28"/>
      <c r="F20728" s="28"/>
      <c r="H20728" s="28"/>
    </row>
    <row r="20729" spans="4:8" x14ac:dyDescent="0.25">
      <c r="D20729" s="28"/>
      <c r="F20729" s="28"/>
      <c r="H20729" s="28"/>
    </row>
    <row r="20730" spans="4:8" x14ac:dyDescent="0.25">
      <c r="D20730" s="28"/>
      <c r="F20730" s="28"/>
      <c r="H20730" s="28"/>
    </row>
    <row r="20731" spans="4:8" x14ac:dyDescent="0.25">
      <c r="D20731" s="28"/>
      <c r="F20731" s="28"/>
      <c r="H20731" s="28"/>
    </row>
    <row r="20732" spans="4:8" x14ac:dyDescent="0.25">
      <c r="D20732" s="28"/>
      <c r="F20732" s="28"/>
      <c r="H20732" s="28"/>
    </row>
    <row r="20733" spans="4:8" x14ac:dyDescent="0.25">
      <c r="D20733" s="28"/>
      <c r="F20733" s="28"/>
      <c r="H20733" s="28"/>
    </row>
    <row r="20734" spans="4:8" x14ac:dyDescent="0.25">
      <c r="D20734" s="28"/>
      <c r="F20734" s="28"/>
      <c r="H20734" s="28"/>
    </row>
    <row r="20735" spans="4:8" x14ac:dyDescent="0.25">
      <c r="D20735" s="28"/>
      <c r="F20735" s="28"/>
      <c r="H20735" s="28"/>
    </row>
    <row r="20736" spans="4:8" x14ac:dyDescent="0.25">
      <c r="D20736" s="28"/>
      <c r="F20736" s="28"/>
      <c r="H20736" s="28"/>
    </row>
    <row r="20737" spans="4:8" x14ac:dyDescent="0.25">
      <c r="D20737" s="28"/>
      <c r="F20737" s="28"/>
      <c r="H20737" s="28"/>
    </row>
    <row r="20738" spans="4:8" x14ac:dyDescent="0.25">
      <c r="D20738" s="28"/>
      <c r="F20738" s="28"/>
      <c r="H20738" s="28"/>
    </row>
    <row r="20739" spans="4:8" x14ac:dyDescent="0.25">
      <c r="D20739" s="28"/>
      <c r="F20739" s="28"/>
      <c r="H20739" s="28"/>
    </row>
    <row r="20740" spans="4:8" x14ac:dyDescent="0.25">
      <c r="D20740" s="28"/>
      <c r="F20740" s="28"/>
      <c r="H20740" s="28"/>
    </row>
    <row r="20741" spans="4:8" x14ac:dyDescent="0.25">
      <c r="D20741" s="28"/>
      <c r="F20741" s="28"/>
      <c r="H20741" s="28"/>
    </row>
    <row r="20742" spans="4:8" x14ac:dyDescent="0.25">
      <c r="D20742" s="28"/>
      <c r="F20742" s="28"/>
      <c r="H20742" s="28"/>
    </row>
    <row r="20743" spans="4:8" x14ac:dyDescent="0.25">
      <c r="D20743" s="28"/>
      <c r="F20743" s="28"/>
      <c r="H20743" s="28"/>
    </row>
    <row r="20744" spans="4:8" x14ac:dyDescent="0.25">
      <c r="D20744" s="28"/>
      <c r="F20744" s="28"/>
      <c r="H20744" s="28"/>
    </row>
    <row r="20745" spans="4:8" x14ac:dyDescent="0.25">
      <c r="D20745" s="28"/>
      <c r="F20745" s="28"/>
      <c r="H20745" s="28"/>
    </row>
    <row r="20746" spans="4:8" x14ac:dyDescent="0.25">
      <c r="D20746" s="28"/>
      <c r="F20746" s="28"/>
      <c r="H20746" s="28"/>
    </row>
    <row r="20747" spans="4:8" x14ac:dyDescent="0.25">
      <c r="D20747" s="28"/>
      <c r="F20747" s="28"/>
      <c r="H20747" s="28"/>
    </row>
    <row r="20748" spans="4:8" x14ac:dyDescent="0.25">
      <c r="D20748" s="28"/>
      <c r="F20748" s="28"/>
      <c r="H20748" s="28"/>
    </row>
    <row r="20749" spans="4:8" x14ac:dyDescent="0.25">
      <c r="D20749" s="28"/>
      <c r="F20749" s="28"/>
      <c r="H20749" s="28"/>
    </row>
    <row r="20750" spans="4:8" x14ac:dyDescent="0.25">
      <c r="D20750" s="28"/>
      <c r="F20750" s="28"/>
      <c r="H20750" s="28"/>
    </row>
    <row r="20751" spans="4:8" x14ac:dyDescent="0.25">
      <c r="D20751" s="28"/>
      <c r="F20751" s="28"/>
      <c r="H20751" s="28"/>
    </row>
    <row r="20752" spans="4:8" x14ac:dyDescent="0.25">
      <c r="D20752" s="28"/>
      <c r="F20752" s="28"/>
      <c r="H20752" s="28"/>
    </row>
    <row r="20753" spans="4:8" x14ac:dyDescent="0.25">
      <c r="D20753" s="28"/>
      <c r="F20753" s="28"/>
      <c r="H20753" s="28"/>
    </row>
    <row r="20754" spans="4:8" x14ac:dyDescent="0.25">
      <c r="D20754" s="28"/>
      <c r="F20754" s="28"/>
      <c r="H20754" s="28"/>
    </row>
    <row r="20755" spans="4:8" x14ac:dyDescent="0.25">
      <c r="D20755" s="28"/>
      <c r="F20755" s="28"/>
      <c r="H20755" s="28"/>
    </row>
    <row r="20756" spans="4:8" x14ac:dyDescent="0.25">
      <c r="D20756" s="28"/>
      <c r="F20756" s="28"/>
      <c r="H20756" s="28"/>
    </row>
    <row r="20757" spans="4:8" x14ac:dyDescent="0.25">
      <c r="D20757" s="28"/>
      <c r="F20757" s="28"/>
      <c r="H20757" s="28"/>
    </row>
    <row r="20758" spans="4:8" x14ac:dyDescent="0.25">
      <c r="D20758" s="28"/>
      <c r="F20758" s="28"/>
      <c r="H20758" s="28"/>
    </row>
    <row r="20759" spans="4:8" x14ac:dyDescent="0.25">
      <c r="D20759" s="28"/>
      <c r="F20759" s="28"/>
      <c r="H20759" s="28"/>
    </row>
    <row r="20760" spans="4:8" x14ac:dyDescent="0.25">
      <c r="D20760" s="28"/>
      <c r="F20760" s="28"/>
      <c r="H20760" s="28"/>
    </row>
    <row r="20761" spans="4:8" x14ac:dyDescent="0.25">
      <c r="D20761" s="28"/>
      <c r="F20761" s="28"/>
      <c r="H20761" s="28"/>
    </row>
    <row r="20762" spans="4:8" x14ac:dyDescent="0.25">
      <c r="D20762" s="28"/>
      <c r="F20762" s="28"/>
      <c r="H20762" s="28"/>
    </row>
    <row r="20763" spans="4:8" x14ac:dyDescent="0.25">
      <c r="D20763" s="28"/>
      <c r="F20763" s="28"/>
      <c r="H20763" s="28"/>
    </row>
    <row r="20764" spans="4:8" x14ac:dyDescent="0.25">
      <c r="D20764" s="28"/>
      <c r="F20764" s="28"/>
      <c r="H20764" s="28"/>
    </row>
    <row r="20765" spans="4:8" x14ac:dyDescent="0.25">
      <c r="D20765" s="28"/>
      <c r="F20765" s="28"/>
      <c r="H20765" s="28"/>
    </row>
    <row r="20766" spans="4:8" x14ac:dyDescent="0.25">
      <c r="D20766" s="28"/>
      <c r="F20766" s="28"/>
      <c r="H20766" s="28"/>
    </row>
    <row r="20767" spans="4:8" x14ac:dyDescent="0.25">
      <c r="D20767" s="28"/>
      <c r="F20767" s="28"/>
      <c r="H20767" s="28"/>
    </row>
    <row r="20768" spans="4:8" x14ac:dyDescent="0.25">
      <c r="D20768" s="28"/>
      <c r="F20768" s="28"/>
      <c r="H20768" s="28"/>
    </row>
    <row r="20769" spans="4:8" x14ac:dyDescent="0.25">
      <c r="D20769" s="28"/>
      <c r="F20769" s="28"/>
      <c r="H20769" s="28"/>
    </row>
    <row r="20770" spans="4:8" x14ac:dyDescent="0.25">
      <c r="D20770" s="28"/>
      <c r="F20770" s="28"/>
      <c r="H20770" s="28"/>
    </row>
    <row r="20771" spans="4:8" x14ac:dyDescent="0.25">
      <c r="D20771" s="28"/>
      <c r="F20771" s="28"/>
      <c r="H20771" s="28"/>
    </row>
    <row r="20772" spans="4:8" x14ac:dyDescent="0.25">
      <c r="D20772" s="28"/>
      <c r="F20772" s="28"/>
      <c r="H20772" s="28"/>
    </row>
    <row r="20773" spans="4:8" x14ac:dyDescent="0.25">
      <c r="D20773" s="28"/>
      <c r="F20773" s="28"/>
      <c r="H20773" s="28"/>
    </row>
    <row r="20774" spans="4:8" x14ac:dyDescent="0.25">
      <c r="D20774" s="28"/>
      <c r="F20774" s="28"/>
      <c r="H20774" s="28"/>
    </row>
    <row r="20775" spans="4:8" x14ac:dyDescent="0.25">
      <c r="D20775" s="28"/>
      <c r="F20775" s="28"/>
      <c r="H20775" s="28"/>
    </row>
    <row r="20776" spans="4:8" x14ac:dyDescent="0.25">
      <c r="D20776" s="28"/>
      <c r="F20776" s="28"/>
      <c r="H20776" s="28"/>
    </row>
    <row r="20777" spans="4:8" x14ac:dyDescent="0.25">
      <c r="D20777" s="28"/>
      <c r="F20777" s="28"/>
      <c r="H20777" s="28"/>
    </row>
    <row r="20778" spans="4:8" x14ac:dyDescent="0.25">
      <c r="D20778" s="28"/>
      <c r="F20778" s="28"/>
      <c r="H20778" s="28"/>
    </row>
    <row r="20779" spans="4:8" x14ac:dyDescent="0.25">
      <c r="D20779" s="28"/>
      <c r="F20779" s="28"/>
      <c r="H20779" s="28"/>
    </row>
    <row r="20780" spans="4:8" x14ac:dyDescent="0.25">
      <c r="D20780" s="28"/>
      <c r="F20780" s="28"/>
      <c r="H20780" s="28"/>
    </row>
    <row r="20781" spans="4:8" x14ac:dyDescent="0.25">
      <c r="D20781" s="28"/>
      <c r="F20781" s="28"/>
      <c r="H20781" s="28"/>
    </row>
    <row r="20782" spans="4:8" x14ac:dyDescent="0.25">
      <c r="D20782" s="28"/>
      <c r="F20782" s="28"/>
      <c r="H20782" s="28"/>
    </row>
    <row r="20783" spans="4:8" x14ac:dyDescent="0.25">
      <c r="D20783" s="28"/>
      <c r="F20783" s="28"/>
      <c r="H20783" s="28"/>
    </row>
    <row r="20784" spans="4:8" x14ac:dyDescent="0.25">
      <c r="D20784" s="28"/>
      <c r="F20784" s="28"/>
      <c r="H20784" s="28"/>
    </row>
    <row r="20785" spans="4:8" x14ac:dyDescent="0.25">
      <c r="D20785" s="28"/>
      <c r="F20785" s="28"/>
      <c r="H20785" s="28"/>
    </row>
    <row r="20786" spans="4:8" x14ac:dyDescent="0.25">
      <c r="D20786" s="28"/>
      <c r="F20786" s="28"/>
      <c r="H20786" s="28"/>
    </row>
    <row r="20787" spans="4:8" x14ac:dyDescent="0.25">
      <c r="D20787" s="28"/>
      <c r="F20787" s="28"/>
      <c r="H20787" s="28"/>
    </row>
    <row r="20788" spans="4:8" x14ac:dyDescent="0.25">
      <c r="D20788" s="28"/>
      <c r="F20788" s="28"/>
      <c r="H20788" s="28"/>
    </row>
    <row r="20789" spans="4:8" x14ac:dyDescent="0.25">
      <c r="D20789" s="28"/>
      <c r="F20789" s="28"/>
      <c r="H20789" s="28"/>
    </row>
    <row r="20790" spans="4:8" x14ac:dyDescent="0.25">
      <c r="D20790" s="28"/>
      <c r="F20790" s="28"/>
      <c r="H20790" s="28"/>
    </row>
    <row r="20791" spans="4:8" x14ac:dyDescent="0.25">
      <c r="D20791" s="28"/>
      <c r="F20791" s="28"/>
      <c r="H20791" s="28"/>
    </row>
    <row r="20792" spans="4:8" x14ac:dyDescent="0.25">
      <c r="D20792" s="28"/>
      <c r="F20792" s="28"/>
      <c r="H20792" s="28"/>
    </row>
    <row r="20793" spans="4:8" x14ac:dyDescent="0.25">
      <c r="D20793" s="28"/>
      <c r="F20793" s="28"/>
      <c r="H20793" s="28"/>
    </row>
    <row r="20794" spans="4:8" x14ac:dyDescent="0.25">
      <c r="D20794" s="28"/>
      <c r="F20794" s="28"/>
      <c r="H20794" s="28"/>
    </row>
    <row r="20795" spans="4:8" x14ac:dyDescent="0.25">
      <c r="D20795" s="28"/>
      <c r="F20795" s="28"/>
      <c r="H20795" s="28"/>
    </row>
    <row r="20796" spans="4:8" x14ac:dyDescent="0.25">
      <c r="D20796" s="28"/>
      <c r="F20796" s="28"/>
      <c r="H20796" s="28"/>
    </row>
    <row r="20797" spans="4:8" x14ac:dyDescent="0.25">
      <c r="D20797" s="28"/>
      <c r="F20797" s="28"/>
      <c r="H20797" s="28"/>
    </row>
    <row r="20798" spans="4:8" x14ac:dyDescent="0.25">
      <c r="D20798" s="28"/>
      <c r="F20798" s="28"/>
      <c r="H20798" s="28"/>
    </row>
    <row r="20799" spans="4:8" x14ac:dyDescent="0.25">
      <c r="D20799" s="28"/>
      <c r="F20799" s="28"/>
      <c r="H20799" s="28"/>
    </row>
    <row r="20800" spans="4:8" x14ac:dyDescent="0.25">
      <c r="D20800" s="28"/>
      <c r="F20800" s="28"/>
      <c r="H20800" s="28"/>
    </row>
    <row r="20801" spans="4:8" x14ac:dyDescent="0.25">
      <c r="D20801" s="28"/>
      <c r="F20801" s="28"/>
      <c r="H20801" s="28"/>
    </row>
    <row r="20802" spans="4:8" x14ac:dyDescent="0.25">
      <c r="D20802" s="28"/>
      <c r="F20802" s="28"/>
      <c r="H20802" s="28"/>
    </row>
    <row r="20803" spans="4:8" x14ac:dyDescent="0.25">
      <c r="D20803" s="28"/>
      <c r="F20803" s="28"/>
      <c r="H20803" s="28"/>
    </row>
    <row r="20804" spans="4:8" x14ac:dyDescent="0.25">
      <c r="D20804" s="28"/>
      <c r="F20804" s="28"/>
      <c r="H20804" s="28"/>
    </row>
    <row r="20805" spans="4:8" x14ac:dyDescent="0.25">
      <c r="D20805" s="28"/>
      <c r="F20805" s="28"/>
      <c r="H20805" s="28"/>
    </row>
    <row r="20806" spans="4:8" x14ac:dyDescent="0.25">
      <c r="D20806" s="28"/>
      <c r="F20806" s="28"/>
      <c r="H20806" s="28"/>
    </row>
    <row r="20807" spans="4:8" x14ac:dyDescent="0.25">
      <c r="D20807" s="28"/>
      <c r="F20807" s="28"/>
      <c r="H20807" s="28"/>
    </row>
    <row r="20808" spans="4:8" x14ac:dyDescent="0.25">
      <c r="D20808" s="28"/>
      <c r="F20808" s="28"/>
      <c r="H20808" s="28"/>
    </row>
    <row r="20809" spans="4:8" x14ac:dyDescent="0.25">
      <c r="D20809" s="28"/>
      <c r="F20809" s="28"/>
      <c r="H20809" s="28"/>
    </row>
    <row r="20810" spans="4:8" x14ac:dyDescent="0.25">
      <c r="D20810" s="28"/>
      <c r="F20810" s="28"/>
      <c r="H20810" s="28"/>
    </row>
    <row r="20811" spans="4:8" x14ac:dyDescent="0.25">
      <c r="D20811" s="28"/>
      <c r="F20811" s="28"/>
      <c r="H20811" s="28"/>
    </row>
    <row r="20812" spans="4:8" x14ac:dyDescent="0.25">
      <c r="D20812" s="28"/>
      <c r="F20812" s="28"/>
      <c r="H20812" s="28"/>
    </row>
    <row r="20813" spans="4:8" x14ac:dyDescent="0.25">
      <c r="D20813" s="28"/>
      <c r="F20813" s="28"/>
      <c r="H20813" s="28"/>
    </row>
    <row r="20814" spans="4:8" x14ac:dyDescent="0.25">
      <c r="D20814" s="28"/>
      <c r="F20814" s="28"/>
      <c r="H20814" s="28"/>
    </row>
    <row r="20815" spans="4:8" x14ac:dyDescent="0.25">
      <c r="D20815" s="28"/>
      <c r="F20815" s="28"/>
      <c r="H20815" s="28"/>
    </row>
    <row r="20816" spans="4:8" x14ac:dyDescent="0.25">
      <c r="D20816" s="28"/>
      <c r="F20816" s="28"/>
      <c r="H20816" s="28"/>
    </row>
    <row r="20817" spans="4:8" x14ac:dyDescent="0.25">
      <c r="D20817" s="28"/>
      <c r="F20817" s="28"/>
      <c r="H20817" s="28"/>
    </row>
    <row r="20818" spans="4:8" x14ac:dyDescent="0.25">
      <c r="D20818" s="28"/>
      <c r="F20818" s="28"/>
      <c r="H20818" s="28"/>
    </row>
    <row r="20819" spans="4:8" x14ac:dyDescent="0.25">
      <c r="D20819" s="28"/>
      <c r="F20819" s="28"/>
      <c r="H20819" s="28"/>
    </row>
    <row r="20820" spans="4:8" x14ac:dyDescent="0.25">
      <c r="D20820" s="28"/>
      <c r="F20820" s="28"/>
      <c r="H20820" s="28"/>
    </row>
    <row r="20821" spans="4:8" x14ac:dyDescent="0.25">
      <c r="D20821" s="28"/>
      <c r="F20821" s="28"/>
      <c r="H20821" s="28"/>
    </row>
    <row r="20822" spans="4:8" x14ac:dyDescent="0.25">
      <c r="D20822" s="28"/>
      <c r="F20822" s="28"/>
      <c r="H20822" s="28"/>
    </row>
    <row r="20823" spans="4:8" x14ac:dyDescent="0.25">
      <c r="D20823" s="28"/>
      <c r="F20823" s="28"/>
      <c r="H20823" s="28"/>
    </row>
    <row r="20824" spans="4:8" x14ac:dyDescent="0.25">
      <c r="D20824" s="28"/>
      <c r="F20824" s="28"/>
      <c r="H20824" s="28"/>
    </row>
    <row r="20825" spans="4:8" x14ac:dyDescent="0.25">
      <c r="D20825" s="28"/>
      <c r="F20825" s="28"/>
      <c r="H20825" s="28"/>
    </row>
    <row r="20826" spans="4:8" x14ac:dyDescent="0.25">
      <c r="D20826" s="28"/>
      <c r="F20826" s="28"/>
      <c r="H20826" s="28"/>
    </row>
    <row r="20827" spans="4:8" x14ac:dyDescent="0.25">
      <c r="D20827" s="28"/>
      <c r="F20827" s="28"/>
      <c r="H20827" s="28"/>
    </row>
    <row r="20828" spans="4:8" x14ac:dyDescent="0.25">
      <c r="D20828" s="28"/>
      <c r="F20828" s="28"/>
      <c r="H20828" s="28"/>
    </row>
    <row r="20829" spans="4:8" x14ac:dyDescent="0.25">
      <c r="D20829" s="28"/>
      <c r="F20829" s="28"/>
      <c r="H20829" s="28"/>
    </row>
    <row r="20830" spans="4:8" x14ac:dyDescent="0.25">
      <c r="D20830" s="28"/>
      <c r="F20830" s="28"/>
      <c r="H20830" s="28"/>
    </row>
    <row r="20831" spans="4:8" x14ac:dyDescent="0.25">
      <c r="D20831" s="28"/>
      <c r="F20831" s="28"/>
      <c r="H20831" s="28"/>
    </row>
    <row r="20832" spans="4:8" x14ac:dyDescent="0.25">
      <c r="D20832" s="28"/>
      <c r="F20832" s="28"/>
      <c r="H20832" s="28"/>
    </row>
    <row r="20833" spans="4:8" x14ac:dyDescent="0.25">
      <c r="D20833" s="28"/>
      <c r="F20833" s="28"/>
      <c r="H20833" s="28"/>
    </row>
    <row r="20834" spans="4:8" x14ac:dyDescent="0.25">
      <c r="D20834" s="28"/>
      <c r="F20834" s="28"/>
      <c r="H20834" s="28"/>
    </row>
    <row r="20835" spans="4:8" x14ac:dyDescent="0.25">
      <c r="D20835" s="28"/>
      <c r="F20835" s="28"/>
      <c r="H20835" s="28"/>
    </row>
    <row r="20836" spans="4:8" x14ac:dyDescent="0.25">
      <c r="D20836" s="28"/>
      <c r="F20836" s="28"/>
      <c r="H20836" s="28"/>
    </row>
    <row r="20837" spans="4:8" x14ac:dyDescent="0.25">
      <c r="D20837" s="28"/>
      <c r="F20837" s="28"/>
      <c r="H20837" s="28"/>
    </row>
    <row r="20838" spans="4:8" x14ac:dyDescent="0.25">
      <c r="D20838" s="28"/>
      <c r="F20838" s="28"/>
      <c r="H20838" s="28"/>
    </row>
    <row r="20839" spans="4:8" x14ac:dyDescent="0.25">
      <c r="D20839" s="28"/>
      <c r="F20839" s="28"/>
      <c r="H20839" s="28"/>
    </row>
    <row r="20840" spans="4:8" x14ac:dyDescent="0.25">
      <c r="D20840" s="28"/>
      <c r="F20840" s="28"/>
      <c r="H20840" s="28"/>
    </row>
    <row r="20841" spans="4:8" x14ac:dyDescent="0.25">
      <c r="D20841" s="28"/>
      <c r="F20841" s="28"/>
      <c r="H20841" s="28"/>
    </row>
    <row r="20842" spans="4:8" x14ac:dyDescent="0.25">
      <c r="D20842" s="28"/>
      <c r="F20842" s="28"/>
      <c r="H20842" s="28"/>
    </row>
    <row r="20843" spans="4:8" x14ac:dyDescent="0.25">
      <c r="D20843" s="28"/>
      <c r="F20843" s="28"/>
      <c r="H20843" s="28"/>
    </row>
    <row r="20844" spans="4:8" x14ac:dyDescent="0.25">
      <c r="D20844" s="28"/>
      <c r="F20844" s="28"/>
      <c r="H20844" s="28"/>
    </row>
    <row r="20845" spans="4:8" x14ac:dyDescent="0.25">
      <c r="D20845" s="28"/>
      <c r="F20845" s="28"/>
      <c r="H20845" s="28"/>
    </row>
    <row r="20846" spans="4:8" x14ac:dyDescent="0.25">
      <c r="D20846" s="28"/>
      <c r="F20846" s="28"/>
      <c r="H20846" s="28"/>
    </row>
    <row r="20847" spans="4:8" x14ac:dyDescent="0.25">
      <c r="D20847" s="28"/>
      <c r="F20847" s="28"/>
      <c r="H20847" s="28"/>
    </row>
    <row r="20848" spans="4:8" x14ac:dyDescent="0.25">
      <c r="D20848" s="28"/>
      <c r="F20848" s="28"/>
      <c r="H20848" s="28"/>
    </row>
    <row r="20849" spans="4:8" x14ac:dyDescent="0.25">
      <c r="D20849" s="28"/>
      <c r="F20849" s="28"/>
      <c r="H20849" s="28"/>
    </row>
    <row r="20850" spans="4:8" x14ac:dyDescent="0.25">
      <c r="D20850" s="28"/>
      <c r="F20850" s="28"/>
      <c r="H20850" s="28"/>
    </row>
    <row r="20851" spans="4:8" x14ac:dyDescent="0.25">
      <c r="D20851" s="28"/>
      <c r="F20851" s="28"/>
      <c r="H20851" s="28"/>
    </row>
    <row r="20852" spans="4:8" x14ac:dyDescent="0.25">
      <c r="D20852" s="28"/>
      <c r="F20852" s="28"/>
      <c r="H20852" s="28"/>
    </row>
    <row r="20853" spans="4:8" x14ac:dyDescent="0.25">
      <c r="D20853" s="28"/>
      <c r="F20853" s="28"/>
      <c r="H20853" s="28"/>
    </row>
    <row r="20854" spans="4:8" x14ac:dyDescent="0.25">
      <c r="D20854" s="28"/>
      <c r="F20854" s="28"/>
      <c r="H20854" s="28"/>
    </row>
    <row r="20855" spans="4:8" x14ac:dyDescent="0.25">
      <c r="D20855" s="28"/>
      <c r="F20855" s="28"/>
      <c r="H20855" s="28"/>
    </row>
    <row r="20856" spans="4:8" x14ac:dyDescent="0.25">
      <c r="D20856" s="28"/>
      <c r="F20856" s="28"/>
      <c r="H20856" s="28"/>
    </row>
    <row r="20857" spans="4:8" x14ac:dyDescent="0.25">
      <c r="D20857" s="28"/>
      <c r="F20857" s="28"/>
      <c r="H20857" s="28"/>
    </row>
    <row r="20858" spans="4:8" x14ac:dyDescent="0.25">
      <c r="D20858" s="28"/>
      <c r="F20858" s="28"/>
      <c r="H20858" s="28"/>
    </row>
    <row r="20859" spans="4:8" x14ac:dyDescent="0.25">
      <c r="D20859" s="28"/>
      <c r="F20859" s="28"/>
      <c r="H20859" s="28"/>
    </row>
    <row r="20860" spans="4:8" x14ac:dyDescent="0.25">
      <c r="D20860" s="28"/>
      <c r="F20860" s="28"/>
      <c r="H20860" s="28"/>
    </row>
    <row r="20861" spans="4:8" x14ac:dyDescent="0.25">
      <c r="D20861" s="28"/>
      <c r="F20861" s="28"/>
      <c r="H20861" s="28"/>
    </row>
    <row r="20862" spans="4:8" x14ac:dyDescent="0.25">
      <c r="D20862" s="28"/>
      <c r="F20862" s="28"/>
      <c r="H20862" s="28"/>
    </row>
    <row r="20863" spans="4:8" x14ac:dyDescent="0.25">
      <c r="D20863" s="28"/>
      <c r="F20863" s="28"/>
      <c r="H20863" s="28"/>
    </row>
    <row r="20864" spans="4:8" x14ac:dyDescent="0.25">
      <c r="D20864" s="28"/>
      <c r="F20864" s="28"/>
      <c r="H20864" s="28"/>
    </row>
    <row r="20865" spans="4:8" x14ac:dyDescent="0.25">
      <c r="D20865" s="28"/>
      <c r="F20865" s="28"/>
      <c r="H20865" s="28"/>
    </row>
    <row r="20866" spans="4:8" x14ac:dyDescent="0.25">
      <c r="D20866" s="28"/>
      <c r="F20866" s="28"/>
      <c r="H20866" s="28"/>
    </row>
    <row r="20867" spans="4:8" x14ac:dyDescent="0.25">
      <c r="D20867" s="28"/>
      <c r="F20867" s="28"/>
      <c r="H20867" s="28"/>
    </row>
    <row r="20868" spans="4:8" x14ac:dyDescent="0.25">
      <c r="D20868" s="28"/>
      <c r="F20868" s="28"/>
      <c r="H20868" s="28"/>
    </row>
    <row r="20869" spans="4:8" x14ac:dyDescent="0.25">
      <c r="D20869" s="28"/>
      <c r="F20869" s="28"/>
      <c r="H20869" s="28"/>
    </row>
    <row r="20870" spans="4:8" x14ac:dyDescent="0.25">
      <c r="D20870" s="28"/>
      <c r="F20870" s="28"/>
      <c r="H20870" s="28"/>
    </row>
    <row r="20871" spans="4:8" x14ac:dyDescent="0.25">
      <c r="D20871" s="28"/>
      <c r="F20871" s="28"/>
      <c r="H20871" s="28"/>
    </row>
    <row r="20872" spans="4:8" x14ac:dyDescent="0.25">
      <c r="D20872" s="28"/>
      <c r="F20872" s="28"/>
      <c r="H20872" s="28"/>
    </row>
    <row r="20873" spans="4:8" x14ac:dyDescent="0.25">
      <c r="D20873" s="28"/>
      <c r="F20873" s="28"/>
      <c r="H20873" s="28"/>
    </row>
    <row r="20874" spans="4:8" x14ac:dyDescent="0.25">
      <c r="D20874" s="28"/>
      <c r="F20874" s="28"/>
      <c r="H20874" s="28"/>
    </row>
    <row r="20875" spans="4:8" x14ac:dyDescent="0.25">
      <c r="D20875" s="28"/>
      <c r="F20875" s="28"/>
      <c r="H20875" s="28"/>
    </row>
    <row r="20876" spans="4:8" x14ac:dyDescent="0.25">
      <c r="D20876" s="28"/>
      <c r="F20876" s="28"/>
      <c r="H20876" s="28"/>
    </row>
    <row r="20877" spans="4:8" x14ac:dyDescent="0.25">
      <c r="D20877" s="28"/>
      <c r="F20877" s="28"/>
      <c r="H20877" s="28"/>
    </row>
    <row r="20878" spans="4:8" x14ac:dyDescent="0.25">
      <c r="D20878" s="28"/>
      <c r="F20878" s="28"/>
      <c r="H20878" s="28"/>
    </row>
    <row r="20879" spans="4:8" x14ac:dyDescent="0.25">
      <c r="D20879" s="28"/>
      <c r="F20879" s="28"/>
      <c r="H20879" s="28"/>
    </row>
    <row r="20880" spans="4:8" x14ac:dyDescent="0.25">
      <c r="D20880" s="28"/>
      <c r="F20880" s="28"/>
      <c r="H20880" s="28"/>
    </row>
    <row r="20881" spans="4:8" x14ac:dyDescent="0.25">
      <c r="D20881" s="28"/>
      <c r="F20881" s="28"/>
      <c r="H20881" s="28"/>
    </row>
    <row r="20882" spans="4:8" x14ac:dyDescent="0.25">
      <c r="D20882" s="28"/>
      <c r="F20882" s="28"/>
      <c r="H20882" s="28"/>
    </row>
    <row r="20883" spans="4:8" x14ac:dyDescent="0.25">
      <c r="D20883" s="28"/>
      <c r="F20883" s="28"/>
      <c r="H20883" s="28"/>
    </row>
    <row r="20884" spans="4:8" x14ac:dyDescent="0.25">
      <c r="D20884" s="28"/>
      <c r="F20884" s="28"/>
      <c r="H20884" s="28"/>
    </row>
    <row r="20885" spans="4:8" x14ac:dyDescent="0.25">
      <c r="D20885" s="28"/>
      <c r="F20885" s="28"/>
      <c r="H20885" s="28"/>
    </row>
    <row r="20886" spans="4:8" x14ac:dyDescent="0.25">
      <c r="D20886" s="28"/>
      <c r="F20886" s="28"/>
      <c r="H20886" s="28"/>
    </row>
    <row r="20887" spans="4:8" x14ac:dyDescent="0.25">
      <c r="D20887" s="28"/>
      <c r="F20887" s="28"/>
      <c r="H20887" s="28"/>
    </row>
    <row r="20888" spans="4:8" x14ac:dyDescent="0.25">
      <c r="D20888" s="28"/>
      <c r="F20888" s="28"/>
      <c r="H20888" s="28"/>
    </row>
    <row r="20889" spans="4:8" x14ac:dyDescent="0.25">
      <c r="D20889" s="28"/>
      <c r="F20889" s="28"/>
      <c r="H20889" s="28"/>
    </row>
    <row r="20890" spans="4:8" x14ac:dyDescent="0.25">
      <c r="D20890" s="28"/>
      <c r="F20890" s="28"/>
      <c r="H20890" s="28"/>
    </row>
    <row r="20891" spans="4:8" x14ac:dyDescent="0.25">
      <c r="D20891" s="28"/>
      <c r="F20891" s="28"/>
      <c r="H20891" s="28"/>
    </row>
    <row r="20892" spans="4:8" x14ac:dyDescent="0.25">
      <c r="D20892" s="28"/>
      <c r="F20892" s="28"/>
      <c r="H20892" s="28"/>
    </row>
    <row r="20893" spans="4:8" x14ac:dyDescent="0.25">
      <c r="D20893" s="28"/>
      <c r="F20893" s="28"/>
      <c r="H20893" s="28"/>
    </row>
    <row r="20894" spans="4:8" x14ac:dyDescent="0.25">
      <c r="D20894" s="28"/>
      <c r="F20894" s="28"/>
      <c r="H20894" s="28"/>
    </row>
    <row r="20895" spans="4:8" x14ac:dyDescent="0.25">
      <c r="D20895" s="28"/>
      <c r="F20895" s="28"/>
      <c r="H20895" s="28"/>
    </row>
    <row r="20896" spans="4:8" x14ac:dyDescent="0.25">
      <c r="D20896" s="28"/>
      <c r="F20896" s="28"/>
      <c r="H20896" s="28"/>
    </row>
    <row r="20897" spans="4:8" x14ac:dyDescent="0.25">
      <c r="D20897" s="28"/>
      <c r="F20897" s="28"/>
      <c r="H20897" s="28"/>
    </row>
    <row r="20898" spans="4:8" x14ac:dyDescent="0.25">
      <c r="D20898" s="28"/>
      <c r="F20898" s="28"/>
      <c r="H20898" s="28"/>
    </row>
    <row r="20899" spans="4:8" x14ac:dyDescent="0.25">
      <c r="D20899" s="28"/>
      <c r="F20899" s="28"/>
      <c r="H20899" s="28"/>
    </row>
    <row r="20900" spans="4:8" x14ac:dyDescent="0.25">
      <c r="D20900" s="28"/>
      <c r="F20900" s="28"/>
      <c r="H20900" s="28"/>
    </row>
    <row r="20901" spans="4:8" x14ac:dyDescent="0.25">
      <c r="D20901" s="28"/>
      <c r="F20901" s="28"/>
      <c r="H20901" s="28"/>
    </row>
    <row r="20902" spans="4:8" x14ac:dyDescent="0.25">
      <c r="D20902" s="28"/>
      <c r="F20902" s="28"/>
      <c r="H20902" s="28"/>
    </row>
    <row r="20903" spans="4:8" x14ac:dyDescent="0.25">
      <c r="D20903" s="28"/>
      <c r="F20903" s="28"/>
      <c r="H20903" s="28"/>
    </row>
    <row r="20904" spans="4:8" x14ac:dyDescent="0.25">
      <c r="D20904" s="28"/>
      <c r="F20904" s="28"/>
      <c r="H20904" s="28"/>
    </row>
    <row r="20905" spans="4:8" x14ac:dyDescent="0.25">
      <c r="D20905" s="28"/>
      <c r="F20905" s="28"/>
      <c r="H20905" s="28"/>
    </row>
    <row r="20906" spans="4:8" x14ac:dyDescent="0.25">
      <c r="D20906" s="28"/>
      <c r="F20906" s="28"/>
      <c r="H20906" s="28"/>
    </row>
    <row r="20907" spans="4:8" x14ac:dyDescent="0.25">
      <c r="D20907" s="28"/>
      <c r="F20907" s="28"/>
      <c r="H20907" s="28"/>
    </row>
    <row r="20908" spans="4:8" x14ac:dyDescent="0.25">
      <c r="D20908" s="28"/>
      <c r="F20908" s="28"/>
      <c r="H20908" s="28"/>
    </row>
    <row r="20909" spans="4:8" x14ac:dyDescent="0.25">
      <c r="D20909" s="28"/>
      <c r="F20909" s="28"/>
      <c r="H20909" s="28"/>
    </row>
    <row r="20910" spans="4:8" x14ac:dyDescent="0.25">
      <c r="D20910" s="28"/>
      <c r="F20910" s="28"/>
      <c r="H20910" s="28"/>
    </row>
    <row r="20911" spans="4:8" x14ac:dyDescent="0.25">
      <c r="D20911" s="28"/>
      <c r="F20911" s="28"/>
      <c r="H20911" s="28"/>
    </row>
    <row r="20912" spans="4:8" x14ac:dyDescent="0.25">
      <c r="D20912" s="28"/>
      <c r="F20912" s="28"/>
      <c r="H20912" s="28"/>
    </row>
    <row r="20913" spans="4:8" x14ac:dyDescent="0.25">
      <c r="D20913" s="28"/>
      <c r="F20913" s="28"/>
      <c r="H20913" s="28"/>
    </row>
    <row r="20914" spans="4:8" x14ac:dyDescent="0.25">
      <c r="D20914" s="28"/>
      <c r="F20914" s="28"/>
      <c r="H20914" s="28"/>
    </row>
    <row r="20915" spans="4:8" x14ac:dyDescent="0.25">
      <c r="D20915" s="28"/>
      <c r="F20915" s="28"/>
      <c r="H20915" s="28"/>
    </row>
    <row r="20916" spans="4:8" x14ac:dyDescent="0.25">
      <c r="D20916" s="28"/>
      <c r="F20916" s="28"/>
      <c r="H20916" s="28"/>
    </row>
    <row r="20917" spans="4:8" x14ac:dyDescent="0.25">
      <c r="D20917" s="28"/>
      <c r="F20917" s="28"/>
      <c r="H20917" s="28"/>
    </row>
    <row r="20918" spans="4:8" x14ac:dyDescent="0.25">
      <c r="D20918" s="28"/>
      <c r="F20918" s="28"/>
      <c r="H20918" s="28"/>
    </row>
    <row r="20919" spans="4:8" x14ac:dyDescent="0.25">
      <c r="D20919" s="28"/>
      <c r="F20919" s="28"/>
      <c r="H20919" s="28"/>
    </row>
    <row r="20920" spans="4:8" x14ac:dyDescent="0.25">
      <c r="D20920" s="28"/>
      <c r="F20920" s="28"/>
      <c r="H20920" s="28"/>
    </row>
    <row r="20921" spans="4:8" x14ac:dyDescent="0.25">
      <c r="D20921" s="28"/>
      <c r="F20921" s="28"/>
      <c r="H20921" s="28"/>
    </row>
    <row r="20922" spans="4:8" x14ac:dyDescent="0.25">
      <c r="D20922" s="28"/>
      <c r="F20922" s="28"/>
      <c r="H20922" s="28"/>
    </row>
    <row r="20923" spans="4:8" x14ac:dyDescent="0.25">
      <c r="D20923" s="28"/>
      <c r="F20923" s="28"/>
      <c r="H20923" s="28"/>
    </row>
    <row r="20924" spans="4:8" x14ac:dyDescent="0.25">
      <c r="D20924" s="28"/>
      <c r="F20924" s="28"/>
      <c r="H20924" s="28"/>
    </row>
    <row r="20925" spans="4:8" x14ac:dyDescent="0.25">
      <c r="D20925" s="28"/>
      <c r="F20925" s="28"/>
      <c r="H20925" s="28"/>
    </row>
    <row r="20926" spans="4:8" x14ac:dyDescent="0.25">
      <c r="D20926" s="28"/>
      <c r="F20926" s="28"/>
      <c r="H20926" s="28"/>
    </row>
    <row r="20927" spans="4:8" x14ac:dyDescent="0.25">
      <c r="D20927" s="28"/>
      <c r="F20927" s="28"/>
      <c r="H20927" s="28"/>
    </row>
    <row r="20928" spans="4:8" x14ac:dyDescent="0.25">
      <c r="D20928" s="28"/>
      <c r="F20928" s="28"/>
      <c r="H20928" s="28"/>
    </row>
    <row r="20929" spans="4:8" x14ac:dyDescent="0.25">
      <c r="D20929" s="28"/>
      <c r="F20929" s="28"/>
      <c r="H20929" s="28"/>
    </row>
    <row r="20930" spans="4:8" x14ac:dyDescent="0.25">
      <c r="D20930" s="28"/>
      <c r="F20930" s="28"/>
      <c r="H20930" s="28"/>
    </row>
    <row r="20931" spans="4:8" x14ac:dyDescent="0.25">
      <c r="D20931" s="28"/>
      <c r="F20931" s="28"/>
      <c r="H20931" s="28"/>
    </row>
    <row r="20932" spans="4:8" x14ac:dyDescent="0.25">
      <c r="D20932" s="28"/>
      <c r="F20932" s="28"/>
      <c r="H20932" s="28"/>
    </row>
    <row r="20933" spans="4:8" x14ac:dyDescent="0.25">
      <c r="D20933" s="28"/>
      <c r="F20933" s="28"/>
      <c r="H20933" s="28"/>
    </row>
    <row r="20934" spans="4:8" x14ac:dyDescent="0.25">
      <c r="D20934" s="28"/>
      <c r="F20934" s="28"/>
      <c r="H20934" s="28"/>
    </row>
    <row r="20935" spans="4:8" x14ac:dyDescent="0.25">
      <c r="D20935" s="28"/>
      <c r="F20935" s="28"/>
      <c r="H20935" s="28"/>
    </row>
    <row r="20936" spans="4:8" x14ac:dyDescent="0.25">
      <c r="D20936" s="28"/>
      <c r="F20936" s="28"/>
      <c r="H20936" s="28"/>
    </row>
    <row r="20937" spans="4:8" x14ac:dyDescent="0.25">
      <c r="D20937" s="28"/>
      <c r="F20937" s="28"/>
      <c r="H20937" s="28"/>
    </row>
    <row r="20938" spans="4:8" x14ac:dyDescent="0.25">
      <c r="D20938" s="28"/>
      <c r="F20938" s="28"/>
      <c r="H20938" s="28"/>
    </row>
    <row r="20939" spans="4:8" x14ac:dyDescent="0.25">
      <c r="D20939" s="28"/>
      <c r="F20939" s="28"/>
      <c r="H20939" s="28"/>
    </row>
    <row r="20940" spans="4:8" x14ac:dyDescent="0.25">
      <c r="D20940" s="28"/>
      <c r="F20940" s="28"/>
      <c r="H20940" s="28"/>
    </row>
    <row r="20941" spans="4:8" x14ac:dyDescent="0.25">
      <c r="D20941" s="28"/>
      <c r="F20941" s="28"/>
      <c r="H20941" s="28"/>
    </row>
    <row r="20942" spans="4:8" x14ac:dyDescent="0.25">
      <c r="D20942" s="28"/>
      <c r="F20942" s="28"/>
      <c r="H20942" s="28"/>
    </row>
    <row r="20943" spans="4:8" x14ac:dyDescent="0.25">
      <c r="D20943" s="28"/>
      <c r="F20943" s="28"/>
      <c r="H20943" s="28"/>
    </row>
    <row r="20944" spans="4:8" x14ac:dyDescent="0.25">
      <c r="D20944" s="28"/>
      <c r="F20944" s="28"/>
      <c r="H20944" s="28"/>
    </row>
    <row r="20945" spans="4:8" x14ac:dyDescent="0.25">
      <c r="D20945" s="28"/>
      <c r="F20945" s="28"/>
      <c r="H20945" s="28"/>
    </row>
    <row r="20946" spans="4:8" x14ac:dyDescent="0.25">
      <c r="D20946" s="28"/>
      <c r="F20946" s="28"/>
      <c r="H20946" s="28"/>
    </row>
    <row r="20947" spans="4:8" x14ac:dyDescent="0.25">
      <c r="D20947" s="28"/>
      <c r="F20947" s="28"/>
      <c r="H20947" s="28"/>
    </row>
    <row r="20948" spans="4:8" x14ac:dyDescent="0.25">
      <c r="D20948" s="28"/>
      <c r="F20948" s="28"/>
      <c r="H20948" s="28"/>
    </row>
    <row r="20949" spans="4:8" x14ac:dyDescent="0.25">
      <c r="D20949" s="28"/>
      <c r="F20949" s="28"/>
      <c r="H20949" s="28"/>
    </row>
    <row r="20950" spans="4:8" x14ac:dyDescent="0.25">
      <c r="D20950" s="28"/>
      <c r="F20950" s="28"/>
      <c r="H20950" s="28"/>
    </row>
    <row r="20951" spans="4:8" x14ac:dyDescent="0.25">
      <c r="D20951" s="28"/>
      <c r="F20951" s="28"/>
      <c r="H20951" s="28"/>
    </row>
    <row r="20952" spans="4:8" x14ac:dyDescent="0.25">
      <c r="D20952" s="28"/>
      <c r="F20952" s="28"/>
      <c r="H20952" s="28"/>
    </row>
    <row r="20953" spans="4:8" x14ac:dyDescent="0.25">
      <c r="D20953" s="28"/>
      <c r="F20953" s="28"/>
      <c r="H20953" s="28"/>
    </row>
    <row r="20954" spans="4:8" x14ac:dyDescent="0.25">
      <c r="D20954" s="28"/>
      <c r="F20954" s="28"/>
      <c r="H20954" s="28"/>
    </row>
    <row r="20955" spans="4:8" x14ac:dyDescent="0.25">
      <c r="D20955" s="28"/>
      <c r="F20955" s="28"/>
      <c r="H20955" s="28"/>
    </row>
    <row r="20956" spans="4:8" x14ac:dyDescent="0.25">
      <c r="D20956" s="28"/>
      <c r="F20956" s="28"/>
      <c r="H20956" s="28"/>
    </row>
    <row r="20957" spans="4:8" x14ac:dyDescent="0.25">
      <c r="D20957" s="28"/>
      <c r="F20957" s="28"/>
      <c r="H20957" s="28"/>
    </row>
    <row r="20958" spans="4:8" x14ac:dyDescent="0.25">
      <c r="D20958" s="28"/>
      <c r="F20958" s="28"/>
      <c r="H20958" s="28"/>
    </row>
    <row r="20959" spans="4:8" x14ac:dyDescent="0.25">
      <c r="D20959" s="28"/>
      <c r="F20959" s="28"/>
      <c r="H20959" s="28"/>
    </row>
    <row r="20960" spans="4:8" x14ac:dyDescent="0.25">
      <c r="D20960" s="28"/>
      <c r="F20960" s="28"/>
      <c r="H20960" s="28"/>
    </row>
    <row r="20961" spans="4:8" x14ac:dyDescent="0.25">
      <c r="D20961" s="28"/>
      <c r="F20961" s="28"/>
      <c r="H20961" s="28"/>
    </row>
    <row r="20962" spans="4:8" x14ac:dyDescent="0.25">
      <c r="D20962" s="28"/>
      <c r="F20962" s="28"/>
      <c r="H20962" s="28"/>
    </row>
    <row r="20963" spans="4:8" x14ac:dyDescent="0.25">
      <c r="D20963" s="28"/>
      <c r="F20963" s="28"/>
      <c r="H20963" s="28"/>
    </row>
    <row r="20964" spans="4:8" x14ac:dyDescent="0.25">
      <c r="D20964" s="28"/>
      <c r="F20964" s="28"/>
      <c r="H20964" s="28"/>
    </row>
    <row r="20965" spans="4:8" x14ac:dyDescent="0.25">
      <c r="D20965" s="28"/>
      <c r="F20965" s="28"/>
      <c r="H20965" s="28"/>
    </row>
    <row r="20966" spans="4:8" x14ac:dyDescent="0.25">
      <c r="D20966" s="28"/>
      <c r="F20966" s="28"/>
      <c r="H20966" s="28"/>
    </row>
    <row r="20967" spans="4:8" x14ac:dyDescent="0.25">
      <c r="D20967" s="28"/>
      <c r="F20967" s="28"/>
      <c r="H20967" s="28"/>
    </row>
    <row r="20968" spans="4:8" x14ac:dyDescent="0.25">
      <c r="D20968" s="28"/>
      <c r="F20968" s="28"/>
      <c r="H20968" s="28"/>
    </row>
    <row r="20969" spans="4:8" x14ac:dyDescent="0.25">
      <c r="D20969" s="28"/>
      <c r="F20969" s="28"/>
      <c r="H20969" s="28"/>
    </row>
    <row r="20970" spans="4:8" x14ac:dyDescent="0.25">
      <c r="D20970" s="28"/>
      <c r="F20970" s="28"/>
      <c r="H20970" s="28"/>
    </row>
    <row r="20971" spans="4:8" x14ac:dyDescent="0.25">
      <c r="D20971" s="28"/>
      <c r="F20971" s="28"/>
      <c r="H20971" s="28"/>
    </row>
    <row r="20972" spans="4:8" x14ac:dyDescent="0.25">
      <c r="D20972" s="28"/>
      <c r="F20972" s="28"/>
      <c r="H20972" s="28"/>
    </row>
    <row r="20973" spans="4:8" x14ac:dyDescent="0.25">
      <c r="D20973" s="28"/>
      <c r="F20973" s="28"/>
      <c r="H20973" s="28"/>
    </row>
    <row r="20974" spans="4:8" x14ac:dyDescent="0.25">
      <c r="D20974" s="28"/>
      <c r="F20974" s="28"/>
      <c r="H20974" s="28"/>
    </row>
    <row r="20975" spans="4:8" x14ac:dyDescent="0.25">
      <c r="D20975" s="28"/>
      <c r="F20975" s="28"/>
      <c r="H20975" s="28"/>
    </row>
    <row r="20976" spans="4:8" x14ac:dyDescent="0.25">
      <c r="D20976" s="28"/>
      <c r="F20976" s="28"/>
      <c r="H20976" s="28"/>
    </row>
    <row r="20977" spans="4:8" x14ac:dyDescent="0.25">
      <c r="D20977" s="28"/>
      <c r="F20977" s="28"/>
      <c r="H20977" s="28"/>
    </row>
    <row r="20978" spans="4:8" x14ac:dyDescent="0.25">
      <c r="D20978" s="28"/>
      <c r="F20978" s="28"/>
      <c r="H20978" s="28"/>
    </row>
    <row r="20979" spans="4:8" x14ac:dyDescent="0.25">
      <c r="D20979" s="28"/>
      <c r="F20979" s="28"/>
      <c r="H20979" s="28"/>
    </row>
    <row r="20980" spans="4:8" x14ac:dyDescent="0.25">
      <c r="D20980" s="28"/>
      <c r="F20980" s="28"/>
      <c r="H20980" s="28"/>
    </row>
    <row r="20981" spans="4:8" x14ac:dyDescent="0.25">
      <c r="D20981" s="28"/>
      <c r="F20981" s="28"/>
      <c r="H20981" s="28"/>
    </row>
    <row r="20982" spans="4:8" x14ac:dyDescent="0.25">
      <c r="D20982" s="28"/>
      <c r="F20982" s="28"/>
      <c r="H20982" s="28"/>
    </row>
    <row r="20983" spans="4:8" x14ac:dyDescent="0.25">
      <c r="D20983" s="28"/>
      <c r="F20983" s="28"/>
      <c r="H20983" s="28"/>
    </row>
    <row r="20984" spans="4:8" x14ac:dyDescent="0.25">
      <c r="D20984" s="28"/>
      <c r="F20984" s="28"/>
      <c r="H20984" s="28"/>
    </row>
    <row r="20985" spans="4:8" x14ac:dyDescent="0.25">
      <c r="D20985" s="28"/>
      <c r="F20985" s="28"/>
      <c r="H20985" s="28"/>
    </row>
    <row r="20986" spans="4:8" x14ac:dyDescent="0.25">
      <c r="D20986" s="28"/>
      <c r="F20986" s="28"/>
      <c r="H20986" s="28"/>
    </row>
    <row r="20987" spans="4:8" x14ac:dyDescent="0.25">
      <c r="D20987" s="28"/>
      <c r="F20987" s="28"/>
      <c r="H20987" s="28"/>
    </row>
    <row r="20988" spans="4:8" x14ac:dyDescent="0.25">
      <c r="D20988" s="28"/>
      <c r="F20988" s="28"/>
      <c r="H20988" s="28"/>
    </row>
    <row r="20989" spans="4:8" x14ac:dyDescent="0.25">
      <c r="D20989" s="28"/>
      <c r="F20989" s="28"/>
      <c r="H20989" s="28"/>
    </row>
    <row r="20990" spans="4:8" x14ac:dyDescent="0.25">
      <c r="D20990" s="28"/>
      <c r="F20990" s="28"/>
      <c r="H20990" s="28"/>
    </row>
    <row r="20991" spans="4:8" x14ac:dyDescent="0.25">
      <c r="D20991" s="28"/>
      <c r="F20991" s="28"/>
      <c r="H20991" s="28"/>
    </row>
    <row r="20992" spans="4:8" x14ac:dyDescent="0.25">
      <c r="D20992" s="28"/>
      <c r="F20992" s="28"/>
      <c r="H20992" s="28"/>
    </row>
    <row r="20993" spans="4:8" x14ac:dyDescent="0.25">
      <c r="D20993" s="28"/>
      <c r="F20993" s="28"/>
      <c r="H20993" s="28"/>
    </row>
    <row r="20994" spans="4:8" x14ac:dyDescent="0.25">
      <c r="D20994" s="28"/>
      <c r="F20994" s="28"/>
      <c r="H20994" s="28"/>
    </row>
    <row r="20995" spans="4:8" x14ac:dyDescent="0.25">
      <c r="D20995" s="28"/>
      <c r="F20995" s="28"/>
      <c r="H20995" s="28"/>
    </row>
    <row r="20996" spans="4:8" x14ac:dyDescent="0.25">
      <c r="D20996" s="28"/>
      <c r="F20996" s="28"/>
      <c r="H20996" s="28"/>
    </row>
    <row r="20997" spans="4:8" x14ac:dyDescent="0.25">
      <c r="D20997" s="28"/>
      <c r="F20997" s="28"/>
      <c r="H20997" s="28"/>
    </row>
    <row r="20998" spans="4:8" x14ac:dyDescent="0.25">
      <c r="D20998" s="28"/>
      <c r="F20998" s="28"/>
      <c r="H20998" s="28"/>
    </row>
    <row r="20999" spans="4:8" x14ac:dyDescent="0.25">
      <c r="D20999" s="28"/>
      <c r="F20999" s="28"/>
      <c r="H20999" s="28"/>
    </row>
    <row r="21000" spans="4:8" x14ac:dyDescent="0.25">
      <c r="D21000" s="28"/>
      <c r="F21000" s="28"/>
      <c r="H21000" s="28"/>
    </row>
    <row r="21001" spans="4:8" x14ac:dyDescent="0.25">
      <c r="D21001" s="28"/>
      <c r="F21001" s="28"/>
      <c r="H21001" s="28"/>
    </row>
    <row r="21002" spans="4:8" x14ac:dyDescent="0.25">
      <c r="D21002" s="28"/>
      <c r="F21002" s="28"/>
      <c r="H21002" s="28"/>
    </row>
    <row r="21003" spans="4:8" x14ac:dyDescent="0.25">
      <c r="D21003" s="28"/>
      <c r="F21003" s="28"/>
      <c r="H21003" s="28"/>
    </row>
    <row r="21004" spans="4:8" x14ac:dyDescent="0.25">
      <c r="D21004" s="28"/>
      <c r="F21004" s="28"/>
      <c r="H21004" s="28"/>
    </row>
    <row r="21005" spans="4:8" x14ac:dyDescent="0.25">
      <c r="D21005" s="28"/>
      <c r="F21005" s="28"/>
      <c r="H21005" s="28"/>
    </row>
    <row r="21006" spans="4:8" x14ac:dyDescent="0.25">
      <c r="D21006" s="28"/>
      <c r="F21006" s="28"/>
      <c r="H21006" s="28"/>
    </row>
    <row r="21007" spans="4:8" x14ac:dyDescent="0.25">
      <c r="D21007" s="28"/>
      <c r="F21007" s="28"/>
      <c r="H21007" s="28"/>
    </row>
    <row r="21008" spans="4:8" x14ac:dyDescent="0.25">
      <c r="D21008" s="28"/>
      <c r="F21008" s="28"/>
      <c r="H21008" s="28"/>
    </row>
    <row r="21009" spans="4:8" x14ac:dyDescent="0.25">
      <c r="D21009" s="28"/>
      <c r="F21009" s="28"/>
      <c r="H21009" s="28"/>
    </row>
    <row r="21010" spans="4:8" x14ac:dyDescent="0.25">
      <c r="D21010" s="28"/>
      <c r="F21010" s="28"/>
      <c r="H21010" s="28"/>
    </row>
    <row r="21011" spans="4:8" x14ac:dyDescent="0.25">
      <c r="D21011" s="28"/>
      <c r="F21011" s="28"/>
      <c r="H21011" s="28"/>
    </row>
    <row r="21012" spans="4:8" x14ac:dyDescent="0.25">
      <c r="D21012" s="28"/>
      <c r="F21012" s="28"/>
      <c r="H21012" s="28"/>
    </row>
    <row r="21013" spans="4:8" x14ac:dyDescent="0.25">
      <c r="D21013" s="28"/>
      <c r="F21013" s="28"/>
      <c r="H21013" s="28"/>
    </row>
    <row r="21014" spans="4:8" x14ac:dyDescent="0.25">
      <c r="D21014" s="28"/>
      <c r="F21014" s="28"/>
      <c r="H21014" s="28"/>
    </row>
    <row r="21015" spans="4:8" x14ac:dyDescent="0.25">
      <c r="D21015" s="28"/>
      <c r="F21015" s="28"/>
      <c r="H21015" s="28"/>
    </row>
    <row r="21016" spans="4:8" x14ac:dyDescent="0.25">
      <c r="D21016" s="28"/>
      <c r="F21016" s="28"/>
      <c r="H21016" s="28"/>
    </row>
    <row r="21017" spans="4:8" x14ac:dyDescent="0.25">
      <c r="D21017" s="28"/>
      <c r="F21017" s="28"/>
      <c r="H21017" s="28"/>
    </row>
    <row r="21018" spans="4:8" x14ac:dyDescent="0.25">
      <c r="D21018" s="28"/>
      <c r="F21018" s="28"/>
      <c r="H21018" s="28"/>
    </row>
    <row r="21019" spans="4:8" x14ac:dyDescent="0.25">
      <c r="D21019" s="28"/>
      <c r="F21019" s="28"/>
      <c r="H21019" s="28"/>
    </row>
    <row r="21020" spans="4:8" x14ac:dyDescent="0.25">
      <c r="D21020" s="28"/>
      <c r="F21020" s="28"/>
      <c r="H21020" s="28"/>
    </row>
    <row r="21021" spans="4:8" x14ac:dyDescent="0.25">
      <c r="D21021" s="28"/>
      <c r="F21021" s="28"/>
      <c r="H21021" s="28"/>
    </row>
    <row r="21022" spans="4:8" x14ac:dyDescent="0.25">
      <c r="D21022" s="28"/>
      <c r="F21022" s="28"/>
      <c r="H21022" s="28"/>
    </row>
    <row r="21023" spans="4:8" x14ac:dyDescent="0.25">
      <c r="D21023" s="28"/>
      <c r="F21023" s="28"/>
      <c r="H21023" s="28"/>
    </row>
    <row r="21024" spans="4:8" x14ac:dyDescent="0.25">
      <c r="D21024" s="28"/>
      <c r="F21024" s="28"/>
      <c r="H21024" s="28"/>
    </row>
    <row r="21025" spans="4:8" x14ac:dyDescent="0.25">
      <c r="D21025" s="28"/>
      <c r="F21025" s="28"/>
      <c r="H21025" s="28"/>
    </row>
    <row r="21026" spans="4:8" x14ac:dyDescent="0.25">
      <c r="D21026" s="28"/>
      <c r="F21026" s="28"/>
      <c r="H21026" s="28"/>
    </row>
    <row r="21027" spans="4:8" x14ac:dyDescent="0.25">
      <c r="D21027" s="28"/>
      <c r="F21027" s="28"/>
      <c r="H21027" s="28"/>
    </row>
    <row r="21028" spans="4:8" x14ac:dyDescent="0.25">
      <c r="D21028" s="28"/>
      <c r="F21028" s="28"/>
      <c r="H21028" s="28"/>
    </row>
    <row r="21029" spans="4:8" x14ac:dyDescent="0.25">
      <c r="D21029" s="28"/>
      <c r="F21029" s="28"/>
      <c r="H21029" s="28"/>
    </row>
    <row r="21030" spans="4:8" x14ac:dyDescent="0.25">
      <c r="D21030" s="28"/>
      <c r="F21030" s="28"/>
      <c r="H21030" s="28"/>
    </row>
    <row r="21031" spans="4:8" x14ac:dyDescent="0.25">
      <c r="D21031" s="28"/>
      <c r="F21031" s="28"/>
      <c r="H21031" s="28"/>
    </row>
    <row r="21032" spans="4:8" x14ac:dyDescent="0.25">
      <c r="D21032" s="28"/>
      <c r="F21032" s="28"/>
      <c r="H21032" s="28"/>
    </row>
    <row r="21033" spans="4:8" x14ac:dyDescent="0.25">
      <c r="D21033" s="28"/>
      <c r="F21033" s="28"/>
      <c r="H21033" s="28"/>
    </row>
    <row r="21034" spans="4:8" x14ac:dyDescent="0.25">
      <c r="D21034" s="28"/>
      <c r="F21034" s="28"/>
      <c r="H21034" s="28"/>
    </row>
    <row r="21035" spans="4:8" x14ac:dyDescent="0.25">
      <c r="D21035" s="28"/>
      <c r="F21035" s="28"/>
      <c r="H21035" s="28"/>
    </row>
    <row r="21036" spans="4:8" x14ac:dyDescent="0.25">
      <c r="D21036" s="28"/>
      <c r="F21036" s="28"/>
      <c r="H21036" s="28"/>
    </row>
    <row r="21037" spans="4:8" x14ac:dyDescent="0.25">
      <c r="D21037" s="28"/>
      <c r="F21037" s="28"/>
      <c r="H21037" s="28"/>
    </row>
    <row r="21038" spans="4:8" x14ac:dyDescent="0.25">
      <c r="D21038" s="28"/>
      <c r="F21038" s="28"/>
      <c r="H21038" s="28"/>
    </row>
    <row r="21039" spans="4:8" x14ac:dyDescent="0.25">
      <c r="D21039" s="28"/>
      <c r="F21039" s="28"/>
      <c r="H21039" s="28"/>
    </row>
    <row r="21040" spans="4:8" x14ac:dyDescent="0.25">
      <c r="D21040" s="28"/>
      <c r="F21040" s="28"/>
      <c r="H21040" s="28"/>
    </row>
    <row r="21041" spans="4:8" x14ac:dyDescent="0.25">
      <c r="D21041" s="28"/>
      <c r="F21041" s="28"/>
      <c r="H21041" s="28"/>
    </row>
    <row r="21042" spans="4:8" x14ac:dyDescent="0.25">
      <c r="D21042" s="28"/>
      <c r="F21042" s="28"/>
      <c r="H21042" s="28"/>
    </row>
    <row r="21043" spans="4:8" x14ac:dyDescent="0.25">
      <c r="D21043" s="28"/>
      <c r="F21043" s="28"/>
      <c r="H21043" s="28"/>
    </row>
    <row r="21044" spans="4:8" x14ac:dyDescent="0.25">
      <c r="D21044" s="28"/>
      <c r="F21044" s="28"/>
      <c r="H21044" s="28"/>
    </row>
    <row r="21045" spans="4:8" x14ac:dyDescent="0.25">
      <c r="D21045" s="28"/>
      <c r="F21045" s="28"/>
      <c r="H21045" s="28"/>
    </row>
    <row r="21046" spans="4:8" x14ac:dyDescent="0.25">
      <c r="D21046" s="28"/>
      <c r="F21046" s="28"/>
      <c r="H21046" s="28"/>
    </row>
    <row r="21047" spans="4:8" x14ac:dyDescent="0.25">
      <c r="D21047" s="28"/>
      <c r="F21047" s="28"/>
      <c r="H21047" s="28"/>
    </row>
    <row r="21048" spans="4:8" x14ac:dyDescent="0.25">
      <c r="D21048" s="28"/>
      <c r="F21048" s="28"/>
      <c r="H21048" s="28"/>
    </row>
    <row r="21049" spans="4:8" x14ac:dyDescent="0.25">
      <c r="D21049" s="28"/>
      <c r="F21049" s="28"/>
      <c r="H21049" s="28"/>
    </row>
    <row r="21050" spans="4:8" x14ac:dyDescent="0.25">
      <c r="D21050" s="28"/>
      <c r="F21050" s="28"/>
      <c r="H21050" s="28"/>
    </row>
    <row r="21051" spans="4:8" x14ac:dyDescent="0.25">
      <c r="D21051" s="28"/>
      <c r="F21051" s="28"/>
      <c r="H21051" s="28"/>
    </row>
    <row r="21052" spans="4:8" x14ac:dyDescent="0.25">
      <c r="D21052" s="28"/>
      <c r="F21052" s="28"/>
      <c r="H21052" s="28"/>
    </row>
    <row r="21053" spans="4:8" x14ac:dyDescent="0.25">
      <c r="D21053" s="28"/>
      <c r="F21053" s="28"/>
      <c r="H21053" s="28"/>
    </row>
    <row r="21054" spans="4:8" x14ac:dyDescent="0.25">
      <c r="D21054" s="28"/>
      <c r="F21054" s="28"/>
      <c r="H21054" s="28"/>
    </row>
    <row r="21055" spans="4:8" x14ac:dyDescent="0.25">
      <c r="D21055" s="28"/>
      <c r="F21055" s="28"/>
      <c r="H21055" s="28"/>
    </row>
    <row r="21056" spans="4:8" x14ac:dyDescent="0.25">
      <c r="D21056" s="28"/>
      <c r="F21056" s="28"/>
      <c r="H21056" s="28"/>
    </row>
    <row r="21057" spans="4:8" x14ac:dyDescent="0.25">
      <c r="D21057" s="28"/>
      <c r="F21057" s="28"/>
      <c r="H21057" s="28"/>
    </row>
    <row r="21058" spans="4:8" x14ac:dyDescent="0.25">
      <c r="D21058" s="28"/>
      <c r="F21058" s="28"/>
      <c r="H21058" s="28"/>
    </row>
    <row r="21059" spans="4:8" x14ac:dyDescent="0.25">
      <c r="D21059" s="28"/>
      <c r="F21059" s="28"/>
      <c r="H21059" s="28"/>
    </row>
    <row r="21060" spans="4:8" x14ac:dyDescent="0.25">
      <c r="D21060" s="28"/>
      <c r="F21060" s="28"/>
      <c r="H21060" s="28"/>
    </row>
    <row r="21061" spans="4:8" x14ac:dyDescent="0.25">
      <c r="D21061" s="28"/>
      <c r="F21061" s="28"/>
      <c r="H21061" s="28"/>
    </row>
    <row r="21062" spans="4:8" x14ac:dyDescent="0.25">
      <c r="D21062" s="28"/>
      <c r="F21062" s="28"/>
      <c r="H21062" s="28"/>
    </row>
    <row r="21063" spans="4:8" x14ac:dyDescent="0.25">
      <c r="D21063" s="28"/>
      <c r="F21063" s="28"/>
      <c r="H21063" s="28"/>
    </row>
    <row r="21064" spans="4:8" x14ac:dyDescent="0.25">
      <c r="D21064" s="28"/>
      <c r="F21064" s="28"/>
      <c r="H21064" s="28"/>
    </row>
    <row r="21065" spans="4:8" x14ac:dyDescent="0.25">
      <c r="D21065" s="28"/>
      <c r="F21065" s="28"/>
      <c r="H21065" s="28"/>
    </row>
    <row r="21066" spans="4:8" x14ac:dyDescent="0.25">
      <c r="D21066" s="28"/>
      <c r="F21066" s="28"/>
      <c r="H21066" s="28"/>
    </row>
    <row r="21067" spans="4:8" x14ac:dyDescent="0.25">
      <c r="D21067" s="28"/>
      <c r="F21067" s="28"/>
      <c r="H21067" s="28"/>
    </row>
    <row r="21068" spans="4:8" x14ac:dyDescent="0.25">
      <c r="D21068" s="28"/>
      <c r="F21068" s="28"/>
      <c r="H21068" s="28"/>
    </row>
    <row r="21069" spans="4:8" x14ac:dyDescent="0.25">
      <c r="D21069" s="28"/>
      <c r="F21069" s="28"/>
      <c r="H21069" s="28"/>
    </row>
    <row r="21070" spans="4:8" x14ac:dyDescent="0.25">
      <c r="D21070" s="28"/>
      <c r="F21070" s="28"/>
      <c r="H21070" s="28"/>
    </row>
    <row r="21071" spans="4:8" x14ac:dyDescent="0.25">
      <c r="D21071" s="28"/>
      <c r="F21071" s="28"/>
      <c r="H21071" s="28"/>
    </row>
    <row r="21072" spans="4:8" x14ac:dyDescent="0.25">
      <c r="D21072" s="28"/>
      <c r="F21072" s="28"/>
      <c r="H21072" s="28"/>
    </row>
    <row r="21073" spans="4:8" x14ac:dyDescent="0.25">
      <c r="D21073" s="28"/>
      <c r="F21073" s="28"/>
      <c r="H21073" s="28"/>
    </row>
    <row r="21074" spans="4:8" x14ac:dyDescent="0.25">
      <c r="D21074" s="28"/>
      <c r="F21074" s="28"/>
      <c r="H21074" s="28"/>
    </row>
    <row r="21075" spans="4:8" x14ac:dyDescent="0.25">
      <c r="D21075" s="28"/>
      <c r="F21075" s="28"/>
      <c r="H21075" s="28"/>
    </row>
    <row r="21076" spans="4:8" x14ac:dyDescent="0.25">
      <c r="D21076" s="28"/>
      <c r="F21076" s="28"/>
      <c r="H21076" s="28"/>
    </row>
    <row r="21077" spans="4:8" x14ac:dyDescent="0.25">
      <c r="D21077" s="28"/>
      <c r="F21077" s="28"/>
      <c r="H21077" s="28"/>
    </row>
    <row r="21078" spans="4:8" x14ac:dyDescent="0.25">
      <c r="D21078" s="28"/>
      <c r="F21078" s="28"/>
      <c r="H21078" s="28"/>
    </row>
    <row r="21079" spans="4:8" x14ac:dyDescent="0.25">
      <c r="D21079" s="28"/>
      <c r="F21079" s="28"/>
      <c r="H21079" s="28"/>
    </row>
    <row r="21080" spans="4:8" x14ac:dyDescent="0.25">
      <c r="D21080" s="28"/>
      <c r="F21080" s="28"/>
      <c r="H21080" s="28"/>
    </row>
    <row r="21081" spans="4:8" x14ac:dyDescent="0.25">
      <c r="D21081" s="28"/>
      <c r="F21081" s="28"/>
      <c r="H21081" s="28"/>
    </row>
    <row r="21082" spans="4:8" x14ac:dyDescent="0.25">
      <c r="D21082" s="28"/>
      <c r="F21082" s="28"/>
      <c r="H21082" s="28"/>
    </row>
    <row r="21083" spans="4:8" x14ac:dyDescent="0.25">
      <c r="D21083" s="28"/>
      <c r="F21083" s="28"/>
      <c r="H21083" s="28"/>
    </row>
    <row r="21084" spans="4:8" x14ac:dyDescent="0.25">
      <c r="D21084" s="28"/>
      <c r="F21084" s="28"/>
      <c r="H21084" s="28"/>
    </row>
    <row r="21085" spans="4:8" x14ac:dyDescent="0.25">
      <c r="D21085" s="28"/>
      <c r="F21085" s="28"/>
      <c r="H21085" s="28"/>
    </row>
    <row r="21086" spans="4:8" x14ac:dyDescent="0.25">
      <c r="D21086" s="28"/>
      <c r="F21086" s="28"/>
      <c r="H21086" s="28"/>
    </row>
    <row r="21087" spans="4:8" x14ac:dyDescent="0.25">
      <c r="D21087" s="28"/>
      <c r="F21087" s="28"/>
      <c r="H21087" s="28"/>
    </row>
    <row r="21088" spans="4:8" x14ac:dyDescent="0.25">
      <c r="D21088" s="28"/>
      <c r="F21088" s="28"/>
      <c r="H21088" s="28"/>
    </row>
    <row r="21089" spans="4:8" x14ac:dyDescent="0.25">
      <c r="D21089" s="28"/>
      <c r="F21089" s="28"/>
      <c r="H21089" s="28"/>
    </row>
    <row r="21090" spans="4:8" x14ac:dyDescent="0.25">
      <c r="D21090" s="28"/>
      <c r="F21090" s="28"/>
      <c r="H21090" s="28"/>
    </row>
    <row r="21091" spans="4:8" x14ac:dyDescent="0.25">
      <c r="D21091" s="28"/>
      <c r="F21091" s="28"/>
      <c r="H21091" s="28"/>
    </row>
    <row r="21092" spans="4:8" x14ac:dyDescent="0.25">
      <c r="D21092" s="28"/>
      <c r="F21092" s="28"/>
      <c r="H21092" s="28"/>
    </row>
    <row r="21093" spans="4:8" x14ac:dyDescent="0.25">
      <c r="D21093" s="28"/>
      <c r="F21093" s="28"/>
      <c r="H21093" s="28"/>
    </row>
    <row r="21094" spans="4:8" x14ac:dyDescent="0.25">
      <c r="D21094" s="28"/>
      <c r="F21094" s="28"/>
      <c r="H21094" s="28"/>
    </row>
    <row r="21095" spans="4:8" x14ac:dyDescent="0.25">
      <c r="D21095" s="28"/>
      <c r="F21095" s="28"/>
      <c r="H21095" s="28"/>
    </row>
    <row r="21096" spans="4:8" x14ac:dyDescent="0.25">
      <c r="D21096" s="28"/>
      <c r="F21096" s="28"/>
      <c r="H21096" s="28"/>
    </row>
    <row r="21097" spans="4:8" x14ac:dyDescent="0.25">
      <c r="D21097" s="28"/>
      <c r="F21097" s="28"/>
      <c r="H21097" s="28"/>
    </row>
    <row r="21098" spans="4:8" x14ac:dyDescent="0.25">
      <c r="D21098" s="28"/>
      <c r="F21098" s="28"/>
      <c r="H21098" s="28"/>
    </row>
    <row r="21099" spans="4:8" x14ac:dyDescent="0.25">
      <c r="D21099" s="28"/>
      <c r="F21099" s="28"/>
      <c r="H21099" s="28"/>
    </row>
    <row r="21100" spans="4:8" x14ac:dyDescent="0.25">
      <c r="D21100" s="28"/>
      <c r="F21100" s="28"/>
      <c r="H21100" s="28"/>
    </row>
    <row r="21101" spans="4:8" x14ac:dyDescent="0.25">
      <c r="D21101" s="28"/>
      <c r="F21101" s="28"/>
      <c r="H21101" s="28"/>
    </row>
    <row r="21102" spans="4:8" x14ac:dyDescent="0.25">
      <c r="D21102" s="28"/>
      <c r="F21102" s="28"/>
      <c r="H21102" s="28"/>
    </row>
    <row r="21103" spans="4:8" x14ac:dyDescent="0.25">
      <c r="D21103" s="28"/>
      <c r="F21103" s="28"/>
      <c r="H21103" s="28"/>
    </row>
    <row r="21104" spans="4:8" x14ac:dyDescent="0.25">
      <c r="D21104" s="28"/>
      <c r="F21104" s="28"/>
      <c r="H21104" s="28"/>
    </row>
    <row r="21105" spans="4:8" x14ac:dyDescent="0.25">
      <c r="D21105" s="28"/>
      <c r="F21105" s="28"/>
      <c r="H21105" s="28"/>
    </row>
    <row r="21106" spans="4:8" x14ac:dyDescent="0.25">
      <c r="D21106" s="28"/>
      <c r="F21106" s="28"/>
      <c r="H21106" s="28"/>
    </row>
    <row r="21107" spans="4:8" x14ac:dyDescent="0.25">
      <c r="D21107" s="28"/>
      <c r="F21107" s="28"/>
      <c r="H21107" s="28"/>
    </row>
    <row r="21108" spans="4:8" x14ac:dyDescent="0.25">
      <c r="D21108" s="28"/>
      <c r="F21108" s="28"/>
      <c r="H21108" s="28"/>
    </row>
    <row r="21109" spans="4:8" x14ac:dyDescent="0.25">
      <c r="D21109" s="28"/>
      <c r="F21109" s="28"/>
      <c r="H21109" s="28"/>
    </row>
    <row r="21110" spans="4:8" x14ac:dyDescent="0.25">
      <c r="D21110" s="28"/>
      <c r="F21110" s="28"/>
      <c r="H21110" s="28"/>
    </row>
    <row r="21111" spans="4:8" x14ac:dyDescent="0.25">
      <c r="D21111" s="28"/>
      <c r="F21111" s="28"/>
      <c r="H21111" s="28"/>
    </row>
    <row r="21112" spans="4:8" x14ac:dyDescent="0.25">
      <c r="D21112" s="28"/>
      <c r="F21112" s="28"/>
      <c r="H21112" s="28"/>
    </row>
    <row r="21113" spans="4:8" x14ac:dyDescent="0.25">
      <c r="D21113" s="28"/>
      <c r="F21113" s="28"/>
      <c r="H21113" s="28"/>
    </row>
    <row r="21114" spans="4:8" x14ac:dyDescent="0.25">
      <c r="D21114" s="28"/>
      <c r="F21114" s="28"/>
      <c r="H21114" s="28"/>
    </row>
    <row r="21115" spans="4:8" x14ac:dyDescent="0.25">
      <c r="D21115" s="28"/>
      <c r="F21115" s="28"/>
      <c r="H21115" s="28"/>
    </row>
    <row r="21116" spans="4:8" x14ac:dyDescent="0.25">
      <c r="D21116" s="28"/>
      <c r="F21116" s="28"/>
      <c r="H21116" s="28"/>
    </row>
    <row r="21117" spans="4:8" x14ac:dyDescent="0.25">
      <c r="D21117" s="28"/>
      <c r="F21117" s="28"/>
      <c r="H21117" s="28"/>
    </row>
    <row r="21118" spans="4:8" x14ac:dyDescent="0.25">
      <c r="D21118" s="28"/>
      <c r="F21118" s="28"/>
      <c r="H21118" s="28"/>
    </row>
    <row r="21119" spans="4:8" x14ac:dyDescent="0.25">
      <c r="D21119" s="28"/>
      <c r="F21119" s="28"/>
      <c r="H21119" s="28"/>
    </row>
    <row r="21120" spans="4:8" x14ac:dyDescent="0.25">
      <c r="D21120" s="28"/>
      <c r="F21120" s="28"/>
      <c r="H21120" s="28"/>
    </row>
    <row r="21121" spans="4:8" x14ac:dyDescent="0.25">
      <c r="D21121" s="28"/>
      <c r="F21121" s="28"/>
      <c r="H21121" s="28"/>
    </row>
    <row r="21122" spans="4:8" x14ac:dyDescent="0.25">
      <c r="D21122" s="28"/>
      <c r="F21122" s="28"/>
      <c r="H21122" s="28"/>
    </row>
    <row r="21123" spans="4:8" x14ac:dyDescent="0.25">
      <c r="D21123" s="28"/>
      <c r="F21123" s="28"/>
      <c r="H21123" s="28"/>
    </row>
    <row r="21124" spans="4:8" x14ac:dyDescent="0.25">
      <c r="D21124" s="28"/>
      <c r="F21124" s="28"/>
      <c r="H21124" s="28"/>
    </row>
    <row r="21125" spans="4:8" x14ac:dyDescent="0.25">
      <c r="D21125" s="28"/>
      <c r="F21125" s="28"/>
      <c r="H21125" s="28"/>
    </row>
    <row r="21126" spans="4:8" x14ac:dyDescent="0.25">
      <c r="D21126" s="28"/>
      <c r="F21126" s="28"/>
      <c r="H21126" s="28"/>
    </row>
    <row r="21127" spans="4:8" x14ac:dyDescent="0.25">
      <c r="D21127" s="28"/>
      <c r="F21127" s="28"/>
      <c r="H21127" s="28"/>
    </row>
    <row r="21128" spans="4:8" x14ac:dyDescent="0.25">
      <c r="D21128" s="28"/>
      <c r="F21128" s="28"/>
      <c r="H21128" s="28"/>
    </row>
    <row r="21129" spans="4:8" x14ac:dyDescent="0.25">
      <c r="D21129" s="28"/>
      <c r="F21129" s="28"/>
      <c r="H21129" s="28"/>
    </row>
    <row r="21130" spans="4:8" x14ac:dyDescent="0.25">
      <c r="D21130" s="28"/>
      <c r="F21130" s="28"/>
      <c r="H21130" s="28"/>
    </row>
    <row r="21131" spans="4:8" x14ac:dyDescent="0.25">
      <c r="D21131" s="28"/>
      <c r="F21131" s="28"/>
      <c r="H21131" s="28"/>
    </row>
    <row r="21132" spans="4:8" x14ac:dyDescent="0.25">
      <c r="D21132" s="28"/>
      <c r="F21132" s="28"/>
      <c r="H21132" s="28"/>
    </row>
    <row r="21133" spans="4:8" x14ac:dyDescent="0.25">
      <c r="D21133" s="28"/>
      <c r="F21133" s="28"/>
      <c r="H21133" s="28"/>
    </row>
    <row r="21134" spans="4:8" x14ac:dyDescent="0.25">
      <c r="D21134" s="28"/>
      <c r="F21134" s="28"/>
      <c r="H21134" s="28"/>
    </row>
    <row r="21135" spans="4:8" x14ac:dyDescent="0.25">
      <c r="D21135" s="28"/>
      <c r="F21135" s="28"/>
      <c r="H21135" s="28"/>
    </row>
    <row r="21136" spans="4:8" x14ac:dyDescent="0.25">
      <c r="D21136" s="28"/>
      <c r="F21136" s="28"/>
      <c r="H21136" s="28"/>
    </row>
    <row r="21137" spans="4:8" x14ac:dyDescent="0.25">
      <c r="D21137" s="28"/>
      <c r="F21137" s="28"/>
      <c r="H21137" s="28"/>
    </row>
    <row r="21138" spans="4:8" x14ac:dyDescent="0.25">
      <c r="D21138" s="28"/>
      <c r="F21138" s="28"/>
      <c r="H21138" s="28"/>
    </row>
    <row r="21139" spans="4:8" x14ac:dyDescent="0.25">
      <c r="D21139" s="28"/>
      <c r="F21139" s="28"/>
      <c r="H21139" s="28"/>
    </row>
    <row r="21140" spans="4:8" x14ac:dyDescent="0.25">
      <c r="D21140" s="28"/>
      <c r="F21140" s="28"/>
      <c r="H21140" s="28"/>
    </row>
    <row r="21141" spans="4:8" x14ac:dyDescent="0.25">
      <c r="D21141" s="28"/>
      <c r="F21141" s="28"/>
      <c r="H21141" s="28"/>
    </row>
    <row r="21142" spans="4:8" x14ac:dyDescent="0.25">
      <c r="D21142" s="28"/>
      <c r="F21142" s="28"/>
      <c r="H21142" s="28"/>
    </row>
    <row r="21143" spans="4:8" x14ac:dyDescent="0.25">
      <c r="D21143" s="28"/>
      <c r="F21143" s="28"/>
      <c r="H21143" s="28"/>
    </row>
    <row r="21144" spans="4:8" x14ac:dyDescent="0.25">
      <c r="D21144" s="28"/>
      <c r="F21144" s="28"/>
      <c r="H21144" s="28"/>
    </row>
    <row r="21145" spans="4:8" x14ac:dyDescent="0.25">
      <c r="D21145" s="28"/>
      <c r="F21145" s="28"/>
      <c r="H21145" s="28"/>
    </row>
    <row r="21146" spans="4:8" x14ac:dyDescent="0.25">
      <c r="D21146" s="28"/>
      <c r="F21146" s="28"/>
      <c r="H21146" s="28"/>
    </row>
    <row r="21147" spans="4:8" x14ac:dyDescent="0.25">
      <c r="D21147" s="28"/>
      <c r="F21147" s="28"/>
      <c r="H21147" s="28"/>
    </row>
    <row r="21148" spans="4:8" x14ac:dyDescent="0.25">
      <c r="D21148" s="28"/>
      <c r="F21148" s="28"/>
      <c r="H21148" s="28"/>
    </row>
    <row r="21149" spans="4:8" x14ac:dyDescent="0.25">
      <c r="D21149" s="28"/>
      <c r="F21149" s="28"/>
      <c r="H21149" s="28"/>
    </row>
    <row r="21150" spans="4:8" x14ac:dyDescent="0.25">
      <c r="D21150" s="28"/>
      <c r="F21150" s="28"/>
      <c r="H21150" s="28"/>
    </row>
    <row r="21151" spans="4:8" x14ac:dyDescent="0.25">
      <c r="D21151" s="28"/>
      <c r="F21151" s="28"/>
      <c r="H21151" s="28"/>
    </row>
    <row r="21152" spans="4:8" x14ac:dyDescent="0.25">
      <c r="D21152" s="28"/>
      <c r="F21152" s="28"/>
      <c r="H21152" s="28"/>
    </row>
    <row r="21153" spans="4:8" x14ac:dyDescent="0.25">
      <c r="D21153" s="28"/>
      <c r="F21153" s="28"/>
      <c r="H21153" s="28"/>
    </row>
    <row r="21154" spans="4:8" x14ac:dyDescent="0.25">
      <c r="D21154" s="28"/>
      <c r="F21154" s="28"/>
      <c r="H21154" s="28"/>
    </row>
    <row r="21155" spans="4:8" x14ac:dyDescent="0.25">
      <c r="D21155" s="28"/>
      <c r="F21155" s="28"/>
      <c r="H21155" s="28"/>
    </row>
    <row r="21156" spans="4:8" x14ac:dyDescent="0.25">
      <c r="D21156" s="28"/>
      <c r="F21156" s="28"/>
      <c r="H21156" s="28"/>
    </row>
    <row r="21157" spans="4:8" x14ac:dyDescent="0.25">
      <c r="D21157" s="28"/>
      <c r="F21157" s="28"/>
      <c r="H21157" s="28"/>
    </row>
    <row r="21158" spans="4:8" x14ac:dyDescent="0.25">
      <c r="D21158" s="28"/>
      <c r="F21158" s="28"/>
      <c r="H21158" s="28"/>
    </row>
    <row r="21159" spans="4:8" x14ac:dyDescent="0.25">
      <c r="D21159" s="28"/>
      <c r="F21159" s="28"/>
      <c r="H21159" s="28"/>
    </row>
    <row r="21160" spans="4:8" x14ac:dyDescent="0.25">
      <c r="D21160" s="28"/>
      <c r="F21160" s="28"/>
      <c r="H21160" s="28"/>
    </row>
    <row r="21161" spans="4:8" x14ac:dyDescent="0.25">
      <c r="D21161" s="28"/>
      <c r="F21161" s="28"/>
      <c r="H21161" s="28"/>
    </row>
    <row r="21162" spans="4:8" x14ac:dyDescent="0.25">
      <c r="D21162" s="28"/>
      <c r="F21162" s="28"/>
      <c r="H21162" s="28"/>
    </row>
    <row r="21163" spans="4:8" x14ac:dyDescent="0.25">
      <c r="D21163" s="28"/>
      <c r="F21163" s="28"/>
      <c r="H21163" s="28"/>
    </row>
    <row r="21164" spans="4:8" x14ac:dyDescent="0.25">
      <c r="D21164" s="28"/>
      <c r="F21164" s="28"/>
      <c r="H21164" s="28"/>
    </row>
    <row r="21165" spans="4:8" x14ac:dyDescent="0.25">
      <c r="D21165" s="28"/>
      <c r="F21165" s="28"/>
      <c r="H21165" s="28"/>
    </row>
    <row r="21166" spans="4:8" x14ac:dyDescent="0.25">
      <c r="D21166" s="28"/>
      <c r="F21166" s="28"/>
      <c r="H21166" s="28"/>
    </row>
    <row r="21167" spans="4:8" x14ac:dyDescent="0.25">
      <c r="D21167" s="28"/>
      <c r="F21167" s="28"/>
      <c r="H21167" s="28"/>
    </row>
    <row r="21168" spans="4:8" x14ac:dyDescent="0.25">
      <c r="D21168" s="28"/>
      <c r="F21168" s="28"/>
      <c r="H21168" s="28"/>
    </row>
    <row r="21169" spans="4:8" x14ac:dyDescent="0.25">
      <c r="D21169" s="28"/>
      <c r="F21169" s="28"/>
      <c r="H21169" s="28"/>
    </row>
    <row r="21170" spans="4:8" x14ac:dyDescent="0.25">
      <c r="D21170" s="28"/>
      <c r="F21170" s="28"/>
      <c r="H21170" s="28"/>
    </row>
    <row r="21171" spans="4:8" x14ac:dyDescent="0.25">
      <c r="D21171" s="28"/>
      <c r="F21171" s="28"/>
      <c r="H21171" s="28"/>
    </row>
    <row r="21172" spans="4:8" x14ac:dyDescent="0.25">
      <c r="D21172" s="28"/>
      <c r="F21172" s="28"/>
      <c r="H21172" s="28"/>
    </row>
    <row r="21173" spans="4:8" x14ac:dyDescent="0.25">
      <c r="D21173" s="28"/>
      <c r="F21173" s="28"/>
      <c r="H21173" s="28"/>
    </row>
    <row r="21174" spans="4:8" x14ac:dyDescent="0.25">
      <c r="D21174" s="28"/>
      <c r="F21174" s="28"/>
      <c r="H21174" s="28"/>
    </row>
    <row r="21175" spans="4:8" x14ac:dyDescent="0.25">
      <c r="D21175" s="28"/>
      <c r="F21175" s="28"/>
      <c r="H21175" s="28"/>
    </row>
    <row r="21176" spans="4:8" x14ac:dyDescent="0.25">
      <c r="D21176" s="28"/>
      <c r="F21176" s="28"/>
      <c r="H21176" s="28"/>
    </row>
    <row r="21177" spans="4:8" x14ac:dyDescent="0.25">
      <c r="D21177" s="28"/>
      <c r="F21177" s="28"/>
      <c r="H21177" s="28"/>
    </row>
    <row r="21178" spans="4:8" x14ac:dyDescent="0.25">
      <c r="D21178" s="28"/>
      <c r="F21178" s="28"/>
      <c r="H21178" s="28"/>
    </row>
    <row r="21179" spans="4:8" x14ac:dyDescent="0.25">
      <c r="D21179" s="28"/>
      <c r="F21179" s="28"/>
      <c r="H21179" s="28"/>
    </row>
    <row r="21180" spans="4:8" x14ac:dyDescent="0.25">
      <c r="D21180" s="28"/>
      <c r="F21180" s="28"/>
      <c r="H21180" s="28"/>
    </row>
    <row r="21181" spans="4:8" x14ac:dyDescent="0.25">
      <c r="D21181" s="28"/>
      <c r="F21181" s="28"/>
      <c r="H21181" s="28"/>
    </row>
    <row r="21182" spans="4:8" x14ac:dyDescent="0.25">
      <c r="D21182" s="28"/>
      <c r="F21182" s="28"/>
      <c r="H21182" s="28"/>
    </row>
    <row r="21183" spans="4:8" x14ac:dyDescent="0.25">
      <c r="D21183" s="28"/>
      <c r="F21183" s="28"/>
      <c r="H21183" s="28"/>
    </row>
    <row r="21184" spans="4:8" x14ac:dyDescent="0.25">
      <c r="D21184" s="28"/>
      <c r="F21184" s="28"/>
      <c r="H21184" s="28"/>
    </row>
    <row r="21185" spans="4:8" x14ac:dyDescent="0.25">
      <c r="D21185" s="28"/>
      <c r="F21185" s="28"/>
      <c r="H21185" s="28"/>
    </row>
    <row r="21186" spans="4:8" x14ac:dyDescent="0.25">
      <c r="D21186" s="28"/>
      <c r="F21186" s="28"/>
      <c r="H21186" s="28"/>
    </row>
    <row r="21187" spans="4:8" x14ac:dyDescent="0.25">
      <c r="D21187" s="28"/>
      <c r="F21187" s="28"/>
      <c r="H21187" s="28"/>
    </row>
    <row r="21188" spans="4:8" x14ac:dyDescent="0.25">
      <c r="D21188" s="28"/>
      <c r="F21188" s="28"/>
      <c r="H21188" s="28"/>
    </row>
    <row r="21189" spans="4:8" x14ac:dyDescent="0.25">
      <c r="D21189" s="28"/>
      <c r="F21189" s="28"/>
      <c r="H21189" s="28"/>
    </row>
    <row r="21190" spans="4:8" x14ac:dyDescent="0.25">
      <c r="D21190" s="28"/>
      <c r="F21190" s="28"/>
      <c r="H21190" s="28"/>
    </row>
    <row r="21191" spans="4:8" x14ac:dyDescent="0.25">
      <c r="D21191" s="28"/>
      <c r="F21191" s="28"/>
      <c r="H21191" s="28"/>
    </row>
    <row r="21192" spans="4:8" x14ac:dyDescent="0.25">
      <c r="D21192" s="28"/>
      <c r="F21192" s="28"/>
      <c r="H21192" s="28"/>
    </row>
    <row r="21193" spans="4:8" x14ac:dyDescent="0.25">
      <c r="D21193" s="28"/>
      <c r="F21193" s="28"/>
      <c r="H21193" s="28"/>
    </row>
    <row r="21194" spans="4:8" x14ac:dyDescent="0.25">
      <c r="D21194" s="28"/>
      <c r="F21194" s="28"/>
      <c r="H21194" s="28"/>
    </row>
    <row r="21195" spans="4:8" x14ac:dyDescent="0.25">
      <c r="D21195" s="28"/>
      <c r="F21195" s="28"/>
      <c r="H21195" s="28"/>
    </row>
    <row r="21196" spans="4:8" x14ac:dyDescent="0.25">
      <c r="D21196" s="28"/>
      <c r="F21196" s="28"/>
      <c r="H21196" s="28"/>
    </row>
    <row r="21197" spans="4:8" x14ac:dyDescent="0.25">
      <c r="D21197" s="28"/>
      <c r="F21197" s="28"/>
      <c r="H21197" s="28"/>
    </row>
    <row r="21198" spans="4:8" x14ac:dyDescent="0.25">
      <c r="D21198" s="28"/>
      <c r="F21198" s="28"/>
      <c r="H21198" s="28"/>
    </row>
    <row r="21199" spans="4:8" x14ac:dyDescent="0.25">
      <c r="D21199" s="28"/>
      <c r="F21199" s="28"/>
      <c r="H21199" s="28"/>
    </row>
    <row r="21200" spans="4:8" x14ac:dyDescent="0.25">
      <c r="D21200" s="28"/>
      <c r="F21200" s="28"/>
      <c r="H21200" s="28"/>
    </row>
    <row r="21201" spans="4:8" x14ac:dyDescent="0.25">
      <c r="D21201" s="28"/>
      <c r="F21201" s="28"/>
      <c r="H21201" s="28"/>
    </row>
    <row r="21202" spans="4:8" x14ac:dyDescent="0.25">
      <c r="D21202" s="28"/>
      <c r="F21202" s="28"/>
      <c r="H21202" s="28"/>
    </row>
    <row r="21203" spans="4:8" x14ac:dyDescent="0.25">
      <c r="D21203" s="28"/>
      <c r="F21203" s="28"/>
      <c r="H21203" s="28"/>
    </row>
    <row r="21204" spans="4:8" x14ac:dyDescent="0.25">
      <c r="D21204" s="28"/>
      <c r="F21204" s="28"/>
      <c r="H21204" s="28"/>
    </row>
    <row r="21205" spans="4:8" x14ac:dyDescent="0.25">
      <c r="D21205" s="28"/>
      <c r="F21205" s="28"/>
      <c r="H21205" s="28"/>
    </row>
    <row r="21206" spans="4:8" x14ac:dyDescent="0.25">
      <c r="D21206" s="28"/>
      <c r="F21206" s="28"/>
      <c r="H21206" s="28"/>
    </row>
    <row r="21207" spans="4:8" x14ac:dyDescent="0.25">
      <c r="D21207" s="28"/>
      <c r="F21207" s="28"/>
      <c r="H21207" s="28"/>
    </row>
    <row r="21208" spans="4:8" x14ac:dyDescent="0.25">
      <c r="D21208" s="28"/>
      <c r="F21208" s="28"/>
      <c r="H21208" s="28"/>
    </row>
    <row r="21209" spans="4:8" x14ac:dyDescent="0.25">
      <c r="D21209" s="28"/>
      <c r="F21209" s="28"/>
      <c r="H21209" s="28"/>
    </row>
    <row r="21210" spans="4:8" x14ac:dyDescent="0.25">
      <c r="D21210" s="28"/>
      <c r="F21210" s="28"/>
      <c r="H21210" s="28"/>
    </row>
    <row r="21211" spans="4:8" x14ac:dyDescent="0.25">
      <c r="D21211" s="28"/>
      <c r="F21211" s="28"/>
      <c r="H21211" s="28"/>
    </row>
    <row r="21212" spans="4:8" x14ac:dyDescent="0.25">
      <c r="D21212" s="28"/>
      <c r="F21212" s="28"/>
      <c r="H21212" s="28"/>
    </row>
    <row r="21213" spans="4:8" x14ac:dyDescent="0.25">
      <c r="D21213" s="28"/>
      <c r="F21213" s="28"/>
      <c r="H21213" s="28"/>
    </row>
    <row r="21214" spans="4:8" x14ac:dyDescent="0.25">
      <c r="D21214" s="28"/>
      <c r="F21214" s="28"/>
      <c r="H21214" s="28"/>
    </row>
    <row r="21215" spans="4:8" x14ac:dyDescent="0.25">
      <c r="D21215" s="28"/>
      <c r="F21215" s="28"/>
      <c r="H21215" s="28"/>
    </row>
    <row r="21216" spans="4:8" x14ac:dyDescent="0.25">
      <c r="D21216" s="28"/>
      <c r="F21216" s="28"/>
      <c r="H21216" s="28"/>
    </row>
    <row r="21217" spans="4:8" x14ac:dyDescent="0.25">
      <c r="D21217" s="28"/>
      <c r="F21217" s="28"/>
      <c r="H21217" s="28"/>
    </row>
    <row r="21218" spans="4:8" x14ac:dyDescent="0.25">
      <c r="D21218" s="28"/>
      <c r="F21218" s="28"/>
      <c r="H21218" s="28"/>
    </row>
    <row r="21219" spans="4:8" x14ac:dyDescent="0.25">
      <c r="D21219" s="28"/>
      <c r="F21219" s="28"/>
      <c r="H21219" s="28"/>
    </row>
    <row r="21220" spans="4:8" x14ac:dyDescent="0.25">
      <c r="D21220" s="28"/>
      <c r="F21220" s="28"/>
      <c r="H21220" s="28"/>
    </row>
    <row r="21221" spans="4:8" x14ac:dyDescent="0.25">
      <c r="D21221" s="28"/>
      <c r="F21221" s="28"/>
      <c r="H21221" s="28"/>
    </row>
    <row r="21222" spans="4:8" x14ac:dyDescent="0.25">
      <c r="D21222" s="28"/>
      <c r="F21222" s="28"/>
      <c r="H21222" s="28"/>
    </row>
    <row r="21223" spans="4:8" x14ac:dyDescent="0.25">
      <c r="D21223" s="28"/>
      <c r="F21223" s="28"/>
      <c r="H21223" s="28"/>
    </row>
    <row r="21224" spans="4:8" x14ac:dyDescent="0.25">
      <c r="D21224" s="28"/>
      <c r="F21224" s="28"/>
      <c r="H21224" s="28"/>
    </row>
    <row r="21225" spans="4:8" x14ac:dyDescent="0.25">
      <c r="D21225" s="28"/>
      <c r="F21225" s="28"/>
      <c r="H21225" s="28"/>
    </row>
    <row r="21226" spans="4:8" x14ac:dyDescent="0.25">
      <c r="D21226" s="28"/>
      <c r="F21226" s="28"/>
      <c r="H21226" s="28"/>
    </row>
    <row r="21227" spans="4:8" x14ac:dyDescent="0.25">
      <c r="D21227" s="28"/>
      <c r="F21227" s="28"/>
      <c r="H21227" s="28"/>
    </row>
    <row r="21228" spans="4:8" x14ac:dyDescent="0.25">
      <c r="D21228" s="28"/>
      <c r="F21228" s="28"/>
      <c r="H21228" s="28"/>
    </row>
    <row r="21229" spans="4:8" x14ac:dyDescent="0.25">
      <c r="D21229" s="28"/>
      <c r="F21229" s="28"/>
      <c r="H21229" s="28"/>
    </row>
    <row r="21230" spans="4:8" x14ac:dyDescent="0.25">
      <c r="D21230" s="28"/>
      <c r="F21230" s="28"/>
      <c r="H21230" s="28"/>
    </row>
    <row r="21231" spans="4:8" x14ac:dyDescent="0.25">
      <c r="D21231" s="28"/>
      <c r="F21231" s="28"/>
      <c r="H21231" s="28"/>
    </row>
    <row r="21232" spans="4:8" x14ac:dyDescent="0.25">
      <c r="D21232" s="28"/>
      <c r="F21232" s="28"/>
      <c r="H21232" s="28"/>
    </row>
    <row r="21233" spans="4:8" x14ac:dyDescent="0.25">
      <c r="D21233" s="28"/>
      <c r="F21233" s="28"/>
      <c r="H21233" s="28"/>
    </row>
    <row r="21234" spans="4:8" x14ac:dyDescent="0.25">
      <c r="D21234" s="28"/>
      <c r="F21234" s="28"/>
      <c r="H21234" s="28"/>
    </row>
    <row r="21235" spans="4:8" x14ac:dyDescent="0.25">
      <c r="D21235" s="28"/>
      <c r="F21235" s="28"/>
      <c r="H21235" s="28"/>
    </row>
    <row r="21236" spans="4:8" x14ac:dyDescent="0.25">
      <c r="D21236" s="28"/>
      <c r="F21236" s="28"/>
      <c r="H21236" s="28"/>
    </row>
    <row r="21237" spans="4:8" x14ac:dyDescent="0.25">
      <c r="D21237" s="28"/>
      <c r="F21237" s="28"/>
      <c r="H21237" s="28"/>
    </row>
    <row r="21238" spans="4:8" x14ac:dyDescent="0.25">
      <c r="D21238" s="28"/>
      <c r="F21238" s="28"/>
      <c r="H21238" s="28"/>
    </row>
    <row r="21239" spans="4:8" x14ac:dyDescent="0.25">
      <c r="D21239" s="28"/>
      <c r="F21239" s="28"/>
      <c r="H21239" s="28"/>
    </row>
    <row r="21240" spans="4:8" x14ac:dyDescent="0.25">
      <c r="D21240" s="28"/>
      <c r="F21240" s="28"/>
      <c r="H21240" s="28"/>
    </row>
    <row r="21241" spans="4:8" x14ac:dyDescent="0.25">
      <c r="D21241" s="28"/>
      <c r="F21241" s="28"/>
      <c r="H21241" s="28"/>
    </row>
    <row r="21242" spans="4:8" x14ac:dyDescent="0.25">
      <c r="D21242" s="28"/>
      <c r="F21242" s="28"/>
      <c r="H21242" s="28"/>
    </row>
    <row r="21243" spans="4:8" x14ac:dyDescent="0.25">
      <c r="D21243" s="28"/>
      <c r="F21243" s="28"/>
      <c r="H21243" s="28"/>
    </row>
    <row r="21244" spans="4:8" x14ac:dyDescent="0.25">
      <c r="D21244" s="28"/>
      <c r="F21244" s="28"/>
      <c r="H21244" s="28"/>
    </row>
    <row r="21245" spans="4:8" x14ac:dyDescent="0.25">
      <c r="D21245" s="28"/>
      <c r="F21245" s="28"/>
      <c r="H21245" s="28"/>
    </row>
    <row r="21246" spans="4:8" x14ac:dyDescent="0.25">
      <c r="D21246" s="28"/>
      <c r="F21246" s="28"/>
      <c r="H21246" s="28"/>
    </row>
    <row r="21247" spans="4:8" x14ac:dyDescent="0.25">
      <c r="D21247" s="28"/>
      <c r="F21247" s="28"/>
      <c r="H21247" s="28"/>
    </row>
    <row r="21248" spans="4:8" x14ac:dyDescent="0.25">
      <c r="D21248" s="28"/>
      <c r="F21248" s="28"/>
      <c r="H21248" s="28"/>
    </row>
    <row r="21249" spans="4:8" x14ac:dyDescent="0.25">
      <c r="D21249" s="28"/>
      <c r="F21249" s="28"/>
      <c r="H21249" s="28"/>
    </row>
    <row r="21250" spans="4:8" x14ac:dyDescent="0.25">
      <c r="D21250" s="28"/>
      <c r="F21250" s="28"/>
      <c r="H21250" s="28"/>
    </row>
    <row r="21251" spans="4:8" x14ac:dyDescent="0.25">
      <c r="D21251" s="28"/>
      <c r="F21251" s="28"/>
      <c r="H21251" s="28"/>
    </row>
    <row r="21252" spans="4:8" x14ac:dyDescent="0.25">
      <c r="D21252" s="28"/>
      <c r="F21252" s="28"/>
      <c r="H21252" s="28"/>
    </row>
    <row r="21253" spans="4:8" x14ac:dyDescent="0.25">
      <c r="D21253" s="28"/>
      <c r="F21253" s="28"/>
      <c r="H21253" s="28"/>
    </row>
    <row r="21254" spans="4:8" x14ac:dyDescent="0.25">
      <c r="D21254" s="28"/>
      <c r="F21254" s="28"/>
      <c r="H21254" s="28"/>
    </row>
    <row r="21255" spans="4:8" x14ac:dyDescent="0.25">
      <c r="D21255" s="28"/>
      <c r="F21255" s="28"/>
      <c r="H21255" s="28"/>
    </row>
    <row r="21256" spans="4:8" x14ac:dyDescent="0.25">
      <c r="D21256" s="28"/>
      <c r="F21256" s="28"/>
      <c r="H21256" s="28"/>
    </row>
    <row r="21257" spans="4:8" x14ac:dyDescent="0.25">
      <c r="D21257" s="28"/>
      <c r="F21257" s="28"/>
      <c r="H21257" s="28"/>
    </row>
    <row r="21258" spans="4:8" x14ac:dyDescent="0.25">
      <c r="D21258" s="28"/>
      <c r="F21258" s="28"/>
      <c r="H21258" s="28"/>
    </row>
    <row r="21259" spans="4:8" x14ac:dyDescent="0.25">
      <c r="D21259" s="28"/>
      <c r="F21259" s="28"/>
      <c r="H21259" s="28"/>
    </row>
    <row r="21260" spans="4:8" x14ac:dyDescent="0.25">
      <c r="D21260" s="28"/>
      <c r="F21260" s="28"/>
      <c r="H21260" s="28"/>
    </row>
    <row r="21261" spans="4:8" x14ac:dyDescent="0.25">
      <c r="D21261" s="28"/>
      <c r="F21261" s="28"/>
      <c r="H21261" s="28"/>
    </row>
    <row r="21262" spans="4:8" x14ac:dyDescent="0.25">
      <c r="D21262" s="28"/>
      <c r="F21262" s="28"/>
      <c r="H21262" s="28"/>
    </row>
    <row r="21263" spans="4:8" x14ac:dyDescent="0.25">
      <c r="D21263" s="28"/>
      <c r="F21263" s="28"/>
      <c r="H21263" s="28"/>
    </row>
    <row r="21264" spans="4:8" x14ac:dyDescent="0.25">
      <c r="D21264" s="28"/>
      <c r="F21264" s="28"/>
      <c r="H21264" s="28"/>
    </row>
    <row r="21265" spans="4:8" x14ac:dyDescent="0.25">
      <c r="D21265" s="28"/>
      <c r="F21265" s="28"/>
      <c r="H21265" s="28"/>
    </row>
    <row r="21266" spans="4:8" x14ac:dyDescent="0.25">
      <c r="D21266" s="28"/>
      <c r="F21266" s="28"/>
      <c r="H21266" s="28"/>
    </row>
    <row r="21267" spans="4:8" x14ac:dyDescent="0.25">
      <c r="D21267" s="28"/>
      <c r="F21267" s="28"/>
      <c r="H21267" s="28"/>
    </row>
    <row r="21268" spans="4:8" x14ac:dyDescent="0.25">
      <c r="D21268" s="28"/>
      <c r="F21268" s="28"/>
      <c r="H21268" s="28"/>
    </row>
    <row r="21269" spans="4:8" x14ac:dyDescent="0.25">
      <c r="D21269" s="28"/>
      <c r="F21269" s="28"/>
      <c r="H21269" s="28"/>
    </row>
    <row r="21270" spans="4:8" x14ac:dyDescent="0.25">
      <c r="D21270" s="28"/>
      <c r="F21270" s="28"/>
      <c r="H21270" s="28"/>
    </row>
    <row r="21271" spans="4:8" x14ac:dyDescent="0.25">
      <c r="D21271" s="28"/>
      <c r="F21271" s="28"/>
      <c r="H21271" s="28"/>
    </row>
    <row r="21272" spans="4:8" x14ac:dyDescent="0.25">
      <c r="D21272" s="28"/>
      <c r="F21272" s="28"/>
      <c r="H21272" s="28"/>
    </row>
    <row r="21273" spans="4:8" x14ac:dyDescent="0.25">
      <c r="D21273" s="28"/>
      <c r="F21273" s="28"/>
      <c r="H21273" s="28"/>
    </row>
    <row r="21274" spans="4:8" x14ac:dyDescent="0.25">
      <c r="D21274" s="28"/>
      <c r="F21274" s="28"/>
      <c r="H21274" s="28"/>
    </row>
    <row r="21275" spans="4:8" x14ac:dyDescent="0.25">
      <c r="D21275" s="28"/>
      <c r="F21275" s="28"/>
      <c r="H21275" s="28"/>
    </row>
    <row r="21276" spans="4:8" x14ac:dyDescent="0.25">
      <c r="D21276" s="28"/>
      <c r="F21276" s="28"/>
      <c r="H21276" s="28"/>
    </row>
    <row r="21277" spans="4:8" x14ac:dyDescent="0.25">
      <c r="D21277" s="28"/>
      <c r="F21277" s="28"/>
      <c r="H21277" s="28"/>
    </row>
    <row r="21278" spans="4:8" x14ac:dyDescent="0.25">
      <c r="D21278" s="28"/>
      <c r="F21278" s="28"/>
      <c r="H21278" s="28"/>
    </row>
    <row r="21279" spans="4:8" x14ac:dyDescent="0.25">
      <c r="D21279" s="28"/>
      <c r="F21279" s="28"/>
      <c r="H21279" s="28"/>
    </row>
    <row r="21280" spans="4:8" x14ac:dyDescent="0.25">
      <c r="D21280" s="28"/>
      <c r="F21280" s="28"/>
      <c r="H21280" s="28"/>
    </row>
    <row r="21281" spans="4:8" x14ac:dyDescent="0.25">
      <c r="D21281" s="28"/>
      <c r="F21281" s="28"/>
      <c r="H21281" s="28"/>
    </row>
    <row r="21282" spans="4:8" x14ac:dyDescent="0.25">
      <c r="D21282" s="28"/>
      <c r="F21282" s="28"/>
      <c r="H21282" s="28"/>
    </row>
    <row r="21283" spans="4:8" x14ac:dyDescent="0.25">
      <c r="D21283" s="28"/>
      <c r="F21283" s="28"/>
      <c r="H21283" s="28"/>
    </row>
    <row r="21284" spans="4:8" x14ac:dyDescent="0.25">
      <c r="D21284" s="28"/>
      <c r="F21284" s="28"/>
      <c r="H21284" s="28"/>
    </row>
    <row r="21285" spans="4:8" x14ac:dyDescent="0.25">
      <c r="D21285" s="28"/>
      <c r="F21285" s="28"/>
      <c r="H21285" s="28"/>
    </row>
    <row r="21286" spans="4:8" x14ac:dyDescent="0.25">
      <c r="D21286" s="28"/>
      <c r="F21286" s="28"/>
      <c r="H21286" s="28"/>
    </row>
    <row r="21287" spans="4:8" x14ac:dyDescent="0.25">
      <c r="D21287" s="28"/>
      <c r="F21287" s="28"/>
      <c r="H21287" s="28"/>
    </row>
    <row r="21288" spans="4:8" x14ac:dyDescent="0.25">
      <c r="D21288" s="28"/>
      <c r="F21288" s="28"/>
      <c r="H21288" s="28"/>
    </row>
    <row r="21289" spans="4:8" x14ac:dyDescent="0.25">
      <c r="D21289" s="28"/>
      <c r="F21289" s="28"/>
      <c r="H21289" s="28"/>
    </row>
    <row r="21290" spans="4:8" x14ac:dyDescent="0.25">
      <c r="D21290" s="28"/>
      <c r="F21290" s="28"/>
      <c r="H21290" s="28"/>
    </row>
    <row r="21291" spans="4:8" x14ac:dyDescent="0.25">
      <c r="D21291" s="28"/>
      <c r="F21291" s="28"/>
      <c r="H21291" s="28"/>
    </row>
    <row r="21292" spans="4:8" x14ac:dyDescent="0.25">
      <c r="D21292" s="28"/>
      <c r="F21292" s="28"/>
      <c r="H21292" s="28"/>
    </row>
    <row r="21293" spans="4:8" x14ac:dyDescent="0.25">
      <c r="D21293" s="28"/>
      <c r="F21293" s="28"/>
      <c r="H21293" s="28"/>
    </row>
    <row r="21294" spans="4:8" x14ac:dyDescent="0.25">
      <c r="D21294" s="28"/>
      <c r="F21294" s="28"/>
      <c r="H21294" s="28"/>
    </row>
    <row r="21295" spans="4:8" x14ac:dyDescent="0.25">
      <c r="D21295" s="28"/>
      <c r="F21295" s="28"/>
      <c r="H21295" s="28"/>
    </row>
    <row r="21296" spans="4:8" x14ac:dyDescent="0.25">
      <c r="D21296" s="28"/>
      <c r="F21296" s="28"/>
      <c r="H21296" s="28"/>
    </row>
    <row r="21297" spans="4:8" x14ac:dyDescent="0.25">
      <c r="D21297" s="28"/>
      <c r="F21297" s="28"/>
      <c r="H21297" s="28"/>
    </row>
    <row r="21298" spans="4:8" x14ac:dyDescent="0.25">
      <c r="D21298" s="28"/>
      <c r="F21298" s="28"/>
      <c r="H21298" s="28"/>
    </row>
    <row r="21299" spans="4:8" x14ac:dyDescent="0.25">
      <c r="D21299" s="28"/>
      <c r="F21299" s="28"/>
      <c r="H21299" s="28"/>
    </row>
    <row r="21300" spans="4:8" x14ac:dyDescent="0.25">
      <c r="D21300" s="28"/>
      <c r="F21300" s="28"/>
      <c r="H21300" s="28"/>
    </row>
    <row r="21301" spans="4:8" x14ac:dyDescent="0.25">
      <c r="D21301" s="28"/>
      <c r="F21301" s="28"/>
      <c r="H21301" s="28"/>
    </row>
    <row r="21302" spans="4:8" x14ac:dyDescent="0.25">
      <c r="D21302" s="28"/>
      <c r="F21302" s="28"/>
      <c r="H21302" s="28"/>
    </row>
    <row r="21303" spans="4:8" x14ac:dyDescent="0.25">
      <c r="D21303" s="28"/>
      <c r="F21303" s="28"/>
      <c r="H21303" s="28"/>
    </row>
    <row r="21304" spans="4:8" x14ac:dyDescent="0.25">
      <c r="D21304" s="28"/>
      <c r="F21304" s="28"/>
      <c r="H21304" s="28"/>
    </row>
    <row r="21305" spans="4:8" x14ac:dyDescent="0.25">
      <c r="D21305" s="28"/>
      <c r="F21305" s="28"/>
      <c r="H21305" s="28"/>
    </row>
    <row r="21306" spans="4:8" x14ac:dyDescent="0.25">
      <c r="D21306" s="28"/>
      <c r="F21306" s="28"/>
      <c r="H21306" s="28"/>
    </row>
    <row r="21307" spans="4:8" x14ac:dyDescent="0.25">
      <c r="D21307" s="28"/>
      <c r="F21307" s="28"/>
      <c r="H21307" s="28"/>
    </row>
    <row r="21308" spans="4:8" x14ac:dyDescent="0.25">
      <c r="D21308" s="28"/>
      <c r="F21308" s="28"/>
      <c r="H21308" s="28"/>
    </row>
    <row r="21309" spans="4:8" x14ac:dyDescent="0.25">
      <c r="D21309" s="28"/>
      <c r="F21309" s="28"/>
      <c r="H21309" s="28"/>
    </row>
    <row r="21310" spans="4:8" x14ac:dyDescent="0.25">
      <c r="D21310" s="28"/>
      <c r="F21310" s="28"/>
      <c r="H21310" s="28"/>
    </row>
    <row r="21311" spans="4:8" x14ac:dyDescent="0.25">
      <c r="D21311" s="28"/>
      <c r="F21311" s="28"/>
      <c r="H21311" s="28"/>
    </row>
    <row r="21312" spans="4:8" x14ac:dyDescent="0.25">
      <c r="D21312" s="28"/>
      <c r="F21312" s="28"/>
      <c r="H21312" s="28"/>
    </row>
    <row r="21313" spans="4:8" x14ac:dyDescent="0.25">
      <c r="D21313" s="28"/>
      <c r="F21313" s="28"/>
      <c r="H21313" s="28"/>
    </row>
    <row r="21314" spans="4:8" x14ac:dyDescent="0.25">
      <c r="D21314" s="28"/>
      <c r="F21314" s="28"/>
      <c r="H21314" s="28"/>
    </row>
    <row r="21315" spans="4:8" x14ac:dyDescent="0.25">
      <c r="D21315" s="28"/>
      <c r="F21315" s="28"/>
      <c r="H21315" s="28"/>
    </row>
    <row r="21316" spans="4:8" x14ac:dyDescent="0.25">
      <c r="D21316" s="28"/>
      <c r="F21316" s="28"/>
      <c r="H21316" s="28"/>
    </row>
    <row r="21317" spans="4:8" x14ac:dyDescent="0.25">
      <c r="D21317" s="28"/>
      <c r="F21317" s="28"/>
      <c r="H21317" s="28"/>
    </row>
    <row r="21318" spans="4:8" x14ac:dyDescent="0.25">
      <c r="D21318" s="28"/>
      <c r="F21318" s="28"/>
      <c r="H21318" s="28"/>
    </row>
    <row r="21319" spans="4:8" x14ac:dyDescent="0.25">
      <c r="D21319" s="28"/>
      <c r="F21319" s="28"/>
      <c r="H21319" s="28"/>
    </row>
    <row r="21320" spans="4:8" x14ac:dyDescent="0.25">
      <c r="D21320" s="28"/>
      <c r="F21320" s="28"/>
      <c r="H21320" s="28"/>
    </row>
    <row r="21321" spans="4:8" x14ac:dyDescent="0.25">
      <c r="D21321" s="28"/>
      <c r="F21321" s="28"/>
      <c r="H21321" s="28"/>
    </row>
    <row r="21322" spans="4:8" x14ac:dyDescent="0.25">
      <c r="D21322" s="28"/>
      <c r="F21322" s="28"/>
      <c r="H21322" s="28"/>
    </row>
    <row r="21323" spans="4:8" x14ac:dyDescent="0.25">
      <c r="D21323" s="28"/>
      <c r="F21323" s="28"/>
      <c r="H21323" s="28"/>
    </row>
    <row r="21324" spans="4:8" x14ac:dyDescent="0.25">
      <c r="D21324" s="28"/>
      <c r="F21324" s="28"/>
      <c r="H21324" s="28"/>
    </row>
    <row r="21325" spans="4:8" x14ac:dyDescent="0.25">
      <c r="D21325" s="28"/>
      <c r="F21325" s="28"/>
      <c r="H21325" s="28"/>
    </row>
    <row r="21326" spans="4:8" x14ac:dyDescent="0.25">
      <c r="D21326" s="28"/>
      <c r="F21326" s="28"/>
      <c r="H21326" s="28"/>
    </row>
    <row r="21327" spans="4:8" x14ac:dyDescent="0.25">
      <c r="D21327" s="28"/>
      <c r="F21327" s="28"/>
      <c r="H21327" s="28"/>
    </row>
    <row r="21328" spans="4:8" x14ac:dyDescent="0.25">
      <c r="D21328" s="28"/>
      <c r="F21328" s="28"/>
      <c r="H21328" s="28"/>
    </row>
    <row r="21329" spans="4:8" x14ac:dyDescent="0.25">
      <c r="D21329" s="28"/>
      <c r="F21329" s="28"/>
      <c r="H21329" s="28"/>
    </row>
    <row r="21330" spans="4:8" x14ac:dyDescent="0.25">
      <c r="D21330" s="28"/>
      <c r="F21330" s="28"/>
      <c r="H21330" s="28"/>
    </row>
    <row r="21331" spans="4:8" x14ac:dyDescent="0.25">
      <c r="D21331" s="28"/>
      <c r="F21331" s="28"/>
      <c r="H21331" s="28"/>
    </row>
    <row r="21332" spans="4:8" x14ac:dyDescent="0.25">
      <c r="D21332" s="28"/>
      <c r="F21332" s="28"/>
      <c r="H21332" s="28"/>
    </row>
    <row r="21333" spans="4:8" x14ac:dyDescent="0.25">
      <c r="D21333" s="28"/>
      <c r="F21333" s="28"/>
      <c r="H21333" s="28"/>
    </row>
    <row r="21334" spans="4:8" x14ac:dyDescent="0.25">
      <c r="D21334" s="28"/>
      <c r="F21334" s="28"/>
      <c r="H21334" s="28"/>
    </row>
    <row r="21335" spans="4:8" x14ac:dyDescent="0.25">
      <c r="D21335" s="28"/>
      <c r="F21335" s="28"/>
      <c r="H21335" s="28"/>
    </row>
    <row r="21336" spans="4:8" x14ac:dyDescent="0.25">
      <c r="D21336" s="28"/>
      <c r="F21336" s="28"/>
      <c r="H21336" s="28"/>
    </row>
    <row r="21337" spans="4:8" x14ac:dyDescent="0.25">
      <c r="D21337" s="28"/>
      <c r="F21337" s="28"/>
      <c r="H21337" s="28"/>
    </row>
    <row r="21338" spans="4:8" x14ac:dyDescent="0.25">
      <c r="D21338" s="28"/>
      <c r="F21338" s="28"/>
      <c r="H21338" s="28"/>
    </row>
    <row r="21339" spans="4:8" x14ac:dyDescent="0.25">
      <c r="D21339" s="28"/>
      <c r="F21339" s="28"/>
      <c r="H21339" s="28"/>
    </row>
    <row r="21340" spans="4:8" x14ac:dyDescent="0.25">
      <c r="D21340" s="28"/>
      <c r="F21340" s="28"/>
      <c r="H21340" s="28"/>
    </row>
    <row r="21341" spans="4:8" x14ac:dyDescent="0.25">
      <c r="D21341" s="28"/>
      <c r="F21341" s="28"/>
      <c r="H21341" s="28"/>
    </row>
    <row r="21342" spans="4:8" x14ac:dyDescent="0.25">
      <c r="D21342" s="28"/>
      <c r="F21342" s="28"/>
      <c r="H21342" s="28"/>
    </row>
    <row r="21343" spans="4:8" x14ac:dyDescent="0.25">
      <c r="D21343" s="28"/>
      <c r="F21343" s="28"/>
      <c r="H21343" s="28"/>
    </row>
    <row r="21344" spans="4:8" x14ac:dyDescent="0.25">
      <c r="D21344" s="28"/>
      <c r="F21344" s="28"/>
      <c r="H21344" s="28"/>
    </row>
    <row r="21345" spans="4:8" x14ac:dyDescent="0.25">
      <c r="D21345" s="28"/>
      <c r="F21345" s="28"/>
      <c r="H21345" s="28"/>
    </row>
    <row r="21346" spans="4:8" x14ac:dyDescent="0.25">
      <c r="D21346" s="28"/>
      <c r="F21346" s="28"/>
      <c r="H21346" s="28"/>
    </row>
    <row r="21347" spans="4:8" x14ac:dyDescent="0.25">
      <c r="D21347" s="28"/>
      <c r="F21347" s="28"/>
      <c r="H21347" s="28"/>
    </row>
    <row r="21348" spans="4:8" x14ac:dyDescent="0.25">
      <c r="D21348" s="28"/>
      <c r="F21348" s="28"/>
      <c r="H21348" s="28"/>
    </row>
    <row r="21349" spans="4:8" x14ac:dyDescent="0.25">
      <c r="D21349" s="28"/>
      <c r="F21349" s="28"/>
      <c r="H21349" s="28"/>
    </row>
    <row r="21350" spans="4:8" x14ac:dyDescent="0.25">
      <c r="D21350" s="28"/>
      <c r="F21350" s="28"/>
      <c r="H21350" s="28"/>
    </row>
    <row r="21351" spans="4:8" x14ac:dyDescent="0.25">
      <c r="D21351" s="28"/>
      <c r="F21351" s="28"/>
      <c r="H21351" s="28"/>
    </row>
    <row r="21352" spans="4:8" x14ac:dyDescent="0.25">
      <c r="D21352" s="28"/>
      <c r="F21352" s="28"/>
      <c r="H21352" s="28"/>
    </row>
    <row r="21353" spans="4:8" x14ac:dyDescent="0.25">
      <c r="D21353" s="28"/>
      <c r="F21353" s="28"/>
      <c r="H21353" s="28"/>
    </row>
    <row r="21354" spans="4:8" x14ac:dyDescent="0.25">
      <c r="D21354" s="28"/>
      <c r="F21354" s="28"/>
      <c r="H21354" s="28"/>
    </row>
    <row r="21355" spans="4:8" x14ac:dyDescent="0.25">
      <c r="D21355" s="28"/>
      <c r="F21355" s="28"/>
      <c r="H21355" s="28"/>
    </row>
    <row r="21356" spans="4:8" x14ac:dyDescent="0.25">
      <c r="D21356" s="28"/>
      <c r="F21356" s="28"/>
      <c r="H21356" s="28"/>
    </row>
    <row r="21357" spans="4:8" x14ac:dyDescent="0.25">
      <c r="D21357" s="28"/>
      <c r="F21357" s="28"/>
      <c r="H21357" s="28"/>
    </row>
    <row r="21358" spans="4:8" x14ac:dyDescent="0.25">
      <c r="D21358" s="28"/>
      <c r="F21358" s="28"/>
      <c r="H21358" s="28"/>
    </row>
    <row r="21359" spans="4:8" x14ac:dyDescent="0.25">
      <c r="D21359" s="28"/>
      <c r="F21359" s="28"/>
      <c r="H21359" s="28"/>
    </row>
    <row r="21360" spans="4:8" x14ac:dyDescent="0.25">
      <c r="D21360" s="28"/>
      <c r="F21360" s="28"/>
      <c r="H21360" s="28"/>
    </row>
    <row r="21361" spans="4:8" x14ac:dyDescent="0.25">
      <c r="D21361" s="28"/>
      <c r="F21361" s="28"/>
      <c r="H21361" s="28"/>
    </row>
    <row r="21362" spans="4:8" x14ac:dyDescent="0.25">
      <c r="D21362" s="28"/>
      <c r="F21362" s="28"/>
      <c r="H21362" s="28"/>
    </row>
    <row r="21363" spans="4:8" x14ac:dyDescent="0.25">
      <c r="D21363" s="28"/>
      <c r="F21363" s="28"/>
      <c r="H21363" s="28"/>
    </row>
    <row r="21364" spans="4:8" x14ac:dyDescent="0.25">
      <c r="D21364" s="28"/>
      <c r="F21364" s="28"/>
      <c r="H21364" s="28"/>
    </row>
    <row r="21365" spans="4:8" x14ac:dyDescent="0.25">
      <c r="D21365" s="28"/>
      <c r="F21365" s="28"/>
      <c r="H21365" s="28"/>
    </row>
    <row r="21366" spans="4:8" x14ac:dyDescent="0.25">
      <c r="D21366" s="28"/>
      <c r="F21366" s="28"/>
      <c r="H21366" s="28"/>
    </row>
    <row r="21367" spans="4:8" x14ac:dyDescent="0.25">
      <c r="D21367" s="28"/>
      <c r="F21367" s="28"/>
      <c r="H21367" s="28"/>
    </row>
    <row r="21368" spans="4:8" x14ac:dyDescent="0.25">
      <c r="D21368" s="28"/>
      <c r="F21368" s="28"/>
      <c r="H21368" s="28"/>
    </row>
    <row r="21369" spans="4:8" x14ac:dyDescent="0.25">
      <c r="D21369" s="28"/>
      <c r="F21369" s="28"/>
      <c r="H21369" s="28"/>
    </row>
    <row r="21370" spans="4:8" x14ac:dyDescent="0.25">
      <c r="D21370" s="28"/>
      <c r="F21370" s="28"/>
      <c r="H21370" s="28"/>
    </row>
    <row r="21371" spans="4:8" x14ac:dyDescent="0.25">
      <c r="D21371" s="28"/>
      <c r="F21371" s="28"/>
      <c r="H21371" s="28"/>
    </row>
    <row r="21372" spans="4:8" x14ac:dyDescent="0.25">
      <c r="D21372" s="28"/>
      <c r="F21372" s="28"/>
      <c r="H21372" s="28"/>
    </row>
    <row r="21373" spans="4:8" x14ac:dyDescent="0.25">
      <c r="D21373" s="28"/>
      <c r="F21373" s="28"/>
      <c r="H21373" s="28"/>
    </row>
    <row r="21374" spans="4:8" x14ac:dyDescent="0.25">
      <c r="D21374" s="28"/>
      <c r="F21374" s="28"/>
      <c r="H21374" s="28"/>
    </row>
    <row r="21375" spans="4:8" x14ac:dyDescent="0.25">
      <c r="D21375" s="28"/>
      <c r="F21375" s="28"/>
      <c r="H21375" s="28"/>
    </row>
    <row r="21376" spans="4:8" x14ac:dyDescent="0.25">
      <c r="D21376" s="28"/>
      <c r="F21376" s="28"/>
      <c r="H21376" s="28"/>
    </row>
    <row r="21377" spans="4:8" x14ac:dyDescent="0.25">
      <c r="D21377" s="28"/>
      <c r="F21377" s="28"/>
      <c r="H21377" s="28"/>
    </row>
    <row r="21378" spans="4:8" x14ac:dyDescent="0.25">
      <c r="D21378" s="28"/>
      <c r="F21378" s="28"/>
      <c r="H21378" s="28"/>
    </row>
    <row r="21379" spans="4:8" x14ac:dyDescent="0.25">
      <c r="D21379" s="28"/>
      <c r="F21379" s="28"/>
      <c r="H21379" s="28"/>
    </row>
    <row r="21380" spans="4:8" x14ac:dyDescent="0.25">
      <c r="D21380" s="28"/>
      <c r="F21380" s="28"/>
      <c r="H21380" s="28"/>
    </row>
    <row r="21381" spans="4:8" x14ac:dyDescent="0.25">
      <c r="D21381" s="28"/>
      <c r="F21381" s="28"/>
      <c r="H21381" s="28"/>
    </row>
    <row r="21382" spans="4:8" x14ac:dyDescent="0.25">
      <c r="D21382" s="28"/>
      <c r="F21382" s="28"/>
      <c r="H21382" s="28"/>
    </row>
    <row r="21383" spans="4:8" x14ac:dyDescent="0.25">
      <c r="D21383" s="28"/>
      <c r="F21383" s="28"/>
      <c r="H21383" s="28"/>
    </row>
    <row r="21384" spans="4:8" x14ac:dyDescent="0.25">
      <c r="D21384" s="28"/>
      <c r="F21384" s="28"/>
      <c r="H21384" s="28"/>
    </row>
    <row r="21385" spans="4:8" x14ac:dyDescent="0.25">
      <c r="D21385" s="28"/>
      <c r="F21385" s="28"/>
      <c r="H21385" s="28"/>
    </row>
    <row r="21386" spans="4:8" x14ac:dyDescent="0.25">
      <c r="D21386" s="28"/>
      <c r="F21386" s="28"/>
      <c r="H21386" s="28"/>
    </row>
    <row r="21387" spans="4:8" x14ac:dyDescent="0.25">
      <c r="D21387" s="28"/>
      <c r="F21387" s="28"/>
      <c r="H21387" s="28"/>
    </row>
    <row r="21388" spans="4:8" x14ac:dyDescent="0.25">
      <c r="D21388" s="28"/>
      <c r="F21388" s="28"/>
      <c r="H21388" s="28"/>
    </row>
    <row r="21389" spans="4:8" x14ac:dyDescent="0.25">
      <c r="D21389" s="28"/>
      <c r="F21389" s="28"/>
      <c r="H21389" s="28"/>
    </row>
    <row r="21390" spans="4:8" x14ac:dyDescent="0.25">
      <c r="D21390" s="28"/>
      <c r="F21390" s="28"/>
      <c r="H21390" s="28"/>
    </row>
    <row r="21391" spans="4:8" x14ac:dyDescent="0.25">
      <c r="D21391" s="28"/>
      <c r="F21391" s="28"/>
      <c r="H21391" s="28"/>
    </row>
    <row r="21392" spans="4:8" x14ac:dyDescent="0.25">
      <c r="D21392" s="28"/>
      <c r="F21392" s="28"/>
      <c r="H21392" s="28"/>
    </row>
    <row r="21393" spans="4:8" x14ac:dyDescent="0.25">
      <c r="D21393" s="28"/>
      <c r="F21393" s="28"/>
      <c r="H21393" s="28"/>
    </row>
    <row r="21394" spans="4:8" x14ac:dyDescent="0.25">
      <c r="D21394" s="28"/>
      <c r="F21394" s="28"/>
      <c r="H21394" s="28"/>
    </row>
    <row r="21395" spans="4:8" x14ac:dyDescent="0.25">
      <c r="D21395" s="28"/>
      <c r="F21395" s="28"/>
      <c r="H21395" s="28"/>
    </row>
    <row r="21396" spans="4:8" x14ac:dyDescent="0.25">
      <c r="D21396" s="28"/>
      <c r="F21396" s="28"/>
      <c r="H21396" s="28"/>
    </row>
    <row r="21397" spans="4:8" x14ac:dyDescent="0.25">
      <c r="D21397" s="28"/>
      <c r="F21397" s="28"/>
      <c r="H21397" s="28"/>
    </row>
    <row r="21398" spans="4:8" x14ac:dyDescent="0.25">
      <c r="D21398" s="28"/>
      <c r="F21398" s="28"/>
      <c r="H21398" s="28"/>
    </row>
    <row r="21399" spans="4:8" x14ac:dyDescent="0.25">
      <c r="D21399" s="28"/>
      <c r="F21399" s="28"/>
      <c r="H21399" s="28"/>
    </row>
    <row r="21400" spans="4:8" x14ac:dyDescent="0.25">
      <c r="D21400" s="28"/>
      <c r="F21400" s="28"/>
      <c r="H21400" s="28"/>
    </row>
    <row r="21401" spans="4:8" x14ac:dyDescent="0.25">
      <c r="D21401" s="28"/>
      <c r="F21401" s="28"/>
      <c r="H21401" s="28"/>
    </row>
    <row r="21402" spans="4:8" x14ac:dyDescent="0.25">
      <c r="D21402" s="28"/>
      <c r="F21402" s="28"/>
      <c r="H21402" s="28"/>
    </row>
    <row r="21403" spans="4:8" x14ac:dyDescent="0.25">
      <c r="D21403" s="28"/>
      <c r="F21403" s="28"/>
      <c r="H21403" s="28"/>
    </row>
    <row r="21404" spans="4:8" x14ac:dyDescent="0.25">
      <c r="D21404" s="28"/>
      <c r="F21404" s="28"/>
      <c r="H21404" s="28"/>
    </row>
    <row r="21405" spans="4:8" x14ac:dyDescent="0.25">
      <c r="D21405" s="28"/>
      <c r="F21405" s="28"/>
      <c r="H21405" s="28"/>
    </row>
    <row r="21406" spans="4:8" x14ac:dyDescent="0.25">
      <c r="D21406" s="28"/>
      <c r="F21406" s="28"/>
      <c r="H21406" s="28"/>
    </row>
    <row r="21407" spans="4:8" x14ac:dyDescent="0.25">
      <c r="D21407" s="28"/>
      <c r="F21407" s="28"/>
      <c r="H21407" s="28"/>
    </row>
    <row r="21408" spans="4:8" x14ac:dyDescent="0.25">
      <c r="D21408" s="28"/>
      <c r="F21408" s="28"/>
      <c r="H21408" s="28"/>
    </row>
    <row r="21409" spans="4:8" x14ac:dyDescent="0.25">
      <c r="D21409" s="28"/>
      <c r="F21409" s="28"/>
      <c r="H21409" s="28"/>
    </row>
    <row r="21410" spans="4:8" x14ac:dyDescent="0.25">
      <c r="D21410" s="28"/>
      <c r="F21410" s="28"/>
      <c r="H21410" s="28"/>
    </row>
    <row r="21411" spans="4:8" x14ac:dyDescent="0.25">
      <c r="D21411" s="28"/>
      <c r="F21411" s="28"/>
      <c r="H21411" s="28"/>
    </row>
    <row r="21412" spans="4:8" x14ac:dyDescent="0.25">
      <c r="D21412" s="28"/>
      <c r="F21412" s="28"/>
      <c r="H21412" s="28"/>
    </row>
    <row r="21413" spans="4:8" x14ac:dyDescent="0.25">
      <c r="D21413" s="28"/>
      <c r="F21413" s="28"/>
      <c r="H21413" s="28"/>
    </row>
    <row r="21414" spans="4:8" x14ac:dyDescent="0.25">
      <c r="D21414" s="28"/>
      <c r="F21414" s="28"/>
      <c r="H21414" s="28"/>
    </row>
    <row r="21415" spans="4:8" x14ac:dyDescent="0.25">
      <c r="D21415" s="28"/>
      <c r="F21415" s="28"/>
      <c r="H21415" s="28"/>
    </row>
    <row r="21416" spans="4:8" x14ac:dyDescent="0.25">
      <c r="D21416" s="28"/>
      <c r="F21416" s="28"/>
      <c r="H21416" s="28"/>
    </row>
    <row r="21417" spans="4:8" x14ac:dyDescent="0.25">
      <c r="D21417" s="28"/>
      <c r="F21417" s="28"/>
      <c r="H21417" s="28"/>
    </row>
    <row r="21418" spans="4:8" x14ac:dyDescent="0.25">
      <c r="D21418" s="28"/>
      <c r="F21418" s="28"/>
      <c r="H21418" s="28"/>
    </row>
    <row r="21419" spans="4:8" x14ac:dyDescent="0.25">
      <c r="D21419" s="28"/>
      <c r="F21419" s="28"/>
      <c r="H21419" s="28"/>
    </row>
    <row r="21420" spans="4:8" x14ac:dyDescent="0.25">
      <c r="D21420" s="28"/>
      <c r="F21420" s="28"/>
      <c r="H21420" s="28"/>
    </row>
    <row r="21421" spans="4:8" x14ac:dyDescent="0.25">
      <c r="D21421" s="28"/>
      <c r="F21421" s="28"/>
      <c r="H21421" s="28"/>
    </row>
    <row r="21422" spans="4:8" x14ac:dyDescent="0.25">
      <c r="D21422" s="28"/>
      <c r="F21422" s="28"/>
      <c r="H21422" s="28"/>
    </row>
    <row r="21423" spans="4:8" x14ac:dyDescent="0.25">
      <c r="D21423" s="28"/>
      <c r="F21423" s="28"/>
      <c r="H21423" s="28"/>
    </row>
    <row r="21424" spans="4:8" x14ac:dyDescent="0.25">
      <c r="D21424" s="28"/>
      <c r="F21424" s="28"/>
      <c r="H21424" s="28"/>
    </row>
    <row r="21425" spans="4:8" x14ac:dyDescent="0.25">
      <c r="D21425" s="28"/>
      <c r="F21425" s="28"/>
      <c r="H21425" s="28"/>
    </row>
    <row r="21426" spans="4:8" x14ac:dyDescent="0.25">
      <c r="D21426" s="28"/>
      <c r="F21426" s="28"/>
      <c r="H21426" s="28"/>
    </row>
    <row r="21427" spans="4:8" x14ac:dyDescent="0.25">
      <c r="D21427" s="28"/>
      <c r="F21427" s="28"/>
      <c r="H21427" s="28"/>
    </row>
    <row r="21428" spans="4:8" x14ac:dyDescent="0.25">
      <c r="D21428" s="28"/>
      <c r="F21428" s="28"/>
      <c r="H21428" s="28"/>
    </row>
    <row r="21429" spans="4:8" x14ac:dyDescent="0.25">
      <c r="D21429" s="28"/>
      <c r="F21429" s="28"/>
      <c r="H21429" s="28"/>
    </row>
    <row r="21430" spans="4:8" x14ac:dyDescent="0.25">
      <c r="D21430" s="28"/>
      <c r="F21430" s="28"/>
      <c r="H21430" s="28"/>
    </row>
    <row r="21431" spans="4:8" x14ac:dyDescent="0.25">
      <c r="D21431" s="28"/>
      <c r="F21431" s="28"/>
      <c r="H21431" s="28"/>
    </row>
    <row r="21432" spans="4:8" x14ac:dyDescent="0.25">
      <c r="D21432" s="28"/>
      <c r="F21432" s="28"/>
      <c r="H21432" s="28"/>
    </row>
    <row r="21433" spans="4:8" x14ac:dyDescent="0.25">
      <c r="D21433" s="28"/>
      <c r="F21433" s="28"/>
      <c r="H21433" s="28"/>
    </row>
    <row r="21434" spans="4:8" x14ac:dyDescent="0.25">
      <c r="D21434" s="28"/>
      <c r="F21434" s="28"/>
      <c r="H21434" s="28"/>
    </row>
    <row r="21435" spans="4:8" x14ac:dyDescent="0.25">
      <c r="D21435" s="28"/>
      <c r="F21435" s="28"/>
      <c r="H21435" s="28"/>
    </row>
    <row r="21436" spans="4:8" x14ac:dyDescent="0.25">
      <c r="D21436" s="28"/>
      <c r="F21436" s="28"/>
      <c r="H21436" s="28"/>
    </row>
    <row r="21437" spans="4:8" x14ac:dyDescent="0.25">
      <c r="D21437" s="28"/>
      <c r="F21437" s="28"/>
      <c r="H21437" s="28"/>
    </row>
    <row r="21438" spans="4:8" x14ac:dyDescent="0.25">
      <c r="D21438" s="28"/>
      <c r="F21438" s="28"/>
      <c r="H21438" s="28"/>
    </row>
    <row r="21439" spans="4:8" x14ac:dyDescent="0.25">
      <c r="D21439" s="28"/>
      <c r="F21439" s="28"/>
      <c r="H21439" s="28"/>
    </row>
    <row r="21440" spans="4:8" x14ac:dyDescent="0.25">
      <c r="D21440" s="28"/>
      <c r="F21440" s="28"/>
      <c r="H21440" s="28"/>
    </row>
    <row r="21441" spans="4:8" x14ac:dyDescent="0.25">
      <c r="D21441" s="28"/>
      <c r="F21441" s="28"/>
      <c r="H21441" s="28"/>
    </row>
    <row r="21442" spans="4:8" x14ac:dyDescent="0.25">
      <c r="D21442" s="28"/>
      <c r="F21442" s="28"/>
      <c r="H21442" s="28"/>
    </row>
    <row r="21443" spans="4:8" x14ac:dyDescent="0.25">
      <c r="D21443" s="28"/>
      <c r="F21443" s="28"/>
      <c r="H21443" s="28"/>
    </row>
    <row r="21444" spans="4:8" x14ac:dyDescent="0.25">
      <c r="D21444" s="28"/>
      <c r="F21444" s="28"/>
      <c r="H21444" s="28"/>
    </row>
    <row r="21445" spans="4:8" x14ac:dyDescent="0.25">
      <c r="D21445" s="28"/>
      <c r="F21445" s="28"/>
      <c r="H21445" s="28"/>
    </row>
    <row r="21446" spans="4:8" x14ac:dyDescent="0.25">
      <c r="D21446" s="28"/>
      <c r="F21446" s="28"/>
      <c r="H21446" s="28"/>
    </row>
    <row r="21447" spans="4:8" x14ac:dyDescent="0.25">
      <c r="D21447" s="28"/>
      <c r="F21447" s="28"/>
      <c r="H21447" s="28"/>
    </row>
    <row r="21448" spans="4:8" x14ac:dyDescent="0.25">
      <c r="D21448" s="28"/>
      <c r="F21448" s="28"/>
      <c r="H21448" s="28"/>
    </row>
    <row r="21449" spans="4:8" x14ac:dyDescent="0.25">
      <c r="D21449" s="28"/>
      <c r="F21449" s="28"/>
      <c r="H21449" s="28"/>
    </row>
    <row r="21450" spans="4:8" x14ac:dyDescent="0.25">
      <c r="D21450" s="28"/>
      <c r="F21450" s="28"/>
      <c r="H21450" s="28"/>
    </row>
    <row r="21451" spans="4:8" x14ac:dyDescent="0.25">
      <c r="D21451" s="28"/>
      <c r="F21451" s="28"/>
      <c r="H21451" s="28"/>
    </row>
    <row r="21452" spans="4:8" x14ac:dyDescent="0.25">
      <c r="D21452" s="28"/>
      <c r="F21452" s="28"/>
      <c r="H21452" s="28"/>
    </row>
    <row r="21453" spans="4:8" x14ac:dyDescent="0.25">
      <c r="D21453" s="28"/>
      <c r="F21453" s="28"/>
      <c r="H21453" s="28"/>
    </row>
    <row r="21454" spans="4:8" x14ac:dyDescent="0.25">
      <c r="D21454" s="28"/>
      <c r="F21454" s="28"/>
      <c r="H21454" s="28"/>
    </row>
    <row r="21455" spans="4:8" x14ac:dyDescent="0.25">
      <c r="D21455" s="28"/>
      <c r="F21455" s="28"/>
      <c r="H21455" s="28"/>
    </row>
    <row r="21456" spans="4:8" x14ac:dyDescent="0.25">
      <c r="D21456" s="28"/>
      <c r="F21456" s="28"/>
      <c r="H21456" s="28"/>
    </row>
    <row r="21457" spans="4:8" x14ac:dyDescent="0.25">
      <c r="D21457" s="28"/>
      <c r="F21457" s="28"/>
      <c r="H21457" s="28"/>
    </row>
    <row r="21458" spans="4:8" x14ac:dyDescent="0.25">
      <c r="D21458" s="28"/>
      <c r="F21458" s="28"/>
      <c r="H21458" s="28"/>
    </row>
    <row r="21459" spans="4:8" x14ac:dyDescent="0.25">
      <c r="D21459" s="28"/>
      <c r="F21459" s="28"/>
      <c r="H21459" s="28"/>
    </row>
    <row r="21460" spans="4:8" x14ac:dyDescent="0.25">
      <c r="D21460" s="28"/>
      <c r="F21460" s="28"/>
      <c r="H21460" s="28"/>
    </row>
    <row r="21461" spans="4:8" x14ac:dyDescent="0.25">
      <c r="D21461" s="28"/>
      <c r="F21461" s="28"/>
      <c r="H21461" s="28"/>
    </row>
    <row r="21462" spans="4:8" x14ac:dyDescent="0.25">
      <c r="D21462" s="28"/>
      <c r="F21462" s="28"/>
      <c r="H21462" s="28"/>
    </row>
    <row r="21463" spans="4:8" x14ac:dyDescent="0.25">
      <c r="D21463" s="28"/>
      <c r="F21463" s="28"/>
      <c r="H21463" s="28"/>
    </row>
    <row r="21464" spans="4:8" x14ac:dyDescent="0.25">
      <c r="D21464" s="28"/>
      <c r="F21464" s="28"/>
      <c r="H21464" s="28"/>
    </row>
    <row r="21465" spans="4:8" x14ac:dyDescent="0.25">
      <c r="D21465" s="28"/>
      <c r="F21465" s="28"/>
      <c r="H21465" s="28"/>
    </row>
    <row r="21466" spans="4:8" x14ac:dyDescent="0.25">
      <c r="D21466" s="28"/>
      <c r="F21466" s="28"/>
      <c r="H21466" s="28"/>
    </row>
    <row r="21467" spans="4:8" x14ac:dyDescent="0.25">
      <c r="D21467" s="28"/>
      <c r="F21467" s="28"/>
      <c r="H21467" s="28"/>
    </row>
    <row r="21468" spans="4:8" x14ac:dyDescent="0.25">
      <c r="D21468" s="28"/>
      <c r="F21468" s="28"/>
      <c r="H21468" s="28"/>
    </row>
    <row r="21469" spans="4:8" x14ac:dyDescent="0.25">
      <c r="D21469" s="28"/>
      <c r="F21469" s="28"/>
      <c r="H21469" s="28"/>
    </row>
    <row r="21470" spans="4:8" x14ac:dyDescent="0.25">
      <c r="D21470" s="28"/>
      <c r="F21470" s="28"/>
      <c r="H21470" s="28"/>
    </row>
    <row r="21471" spans="4:8" x14ac:dyDescent="0.25">
      <c r="D21471" s="28"/>
      <c r="F21471" s="28"/>
      <c r="H21471" s="28"/>
    </row>
    <row r="21472" spans="4:8" x14ac:dyDescent="0.25">
      <c r="D21472" s="28"/>
      <c r="F21472" s="28"/>
      <c r="H21472" s="28"/>
    </row>
    <row r="21473" spans="4:8" x14ac:dyDescent="0.25">
      <c r="D21473" s="28"/>
      <c r="F21473" s="28"/>
      <c r="H21473" s="28"/>
    </row>
    <row r="21474" spans="4:8" x14ac:dyDescent="0.25">
      <c r="D21474" s="28"/>
      <c r="F21474" s="28"/>
      <c r="H21474" s="28"/>
    </row>
    <row r="21475" spans="4:8" x14ac:dyDescent="0.25">
      <c r="D21475" s="28"/>
      <c r="F21475" s="28"/>
      <c r="H21475" s="28"/>
    </row>
    <row r="21476" spans="4:8" x14ac:dyDescent="0.25">
      <c r="D21476" s="28"/>
      <c r="F21476" s="28"/>
      <c r="H21476" s="28"/>
    </row>
    <row r="21477" spans="4:8" x14ac:dyDescent="0.25">
      <c r="D21477" s="28"/>
      <c r="F21477" s="28"/>
      <c r="H21477" s="28"/>
    </row>
    <row r="21478" spans="4:8" x14ac:dyDescent="0.25">
      <c r="D21478" s="28"/>
      <c r="F21478" s="28"/>
      <c r="H21478" s="28"/>
    </row>
    <row r="21479" spans="4:8" x14ac:dyDescent="0.25">
      <c r="D21479" s="28"/>
      <c r="F21479" s="28"/>
      <c r="H21479" s="28"/>
    </row>
    <row r="21480" spans="4:8" x14ac:dyDescent="0.25">
      <c r="D21480" s="28"/>
      <c r="F21480" s="28"/>
      <c r="H21480" s="28"/>
    </row>
    <row r="21481" spans="4:8" x14ac:dyDescent="0.25">
      <c r="D21481" s="28"/>
      <c r="F21481" s="28"/>
      <c r="H21481" s="28"/>
    </row>
    <row r="21482" spans="4:8" x14ac:dyDescent="0.25">
      <c r="D21482" s="28"/>
      <c r="F21482" s="28"/>
      <c r="H21482" s="28"/>
    </row>
    <row r="21483" spans="4:8" x14ac:dyDescent="0.25">
      <c r="D21483" s="28"/>
      <c r="F21483" s="28"/>
      <c r="H21483" s="28"/>
    </row>
    <row r="21484" spans="4:8" x14ac:dyDescent="0.25">
      <c r="D21484" s="28"/>
      <c r="F21484" s="28"/>
      <c r="H21484" s="28"/>
    </row>
    <row r="21485" spans="4:8" x14ac:dyDescent="0.25">
      <c r="D21485" s="28"/>
      <c r="F21485" s="28"/>
      <c r="H21485" s="28"/>
    </row>
    <row r="21486" spans="4:8" x14ac:dyDescent="0.25">
      <c r="D21486" s="28"/>
      <c r="F21486" s="28"/>
      <c r="H21486" s="28"/>
    </row>
    <row r="21487" spans="4:8" x14ac:dyDescent="0.25">
      <c r="D21487" s="28"/>
      <c r="F21487" s="28"/>
      <c r="H21487" s="28"/>
    </row>
    <row r="21488" spans="4:8" x14ac:dyDescent="0.25">
      <c r="D21488" s="28"/>
      <c r="F21488" s="28"/>
      <c r="H21488" s="28"/>
    </row>
    <row r="21489" spans="4:8" x14ac:dyDescent="0.25">
      <c r="D21489" s="28"/>
      <c r="F21489" s="28"/>
      <c r="H21489" s="28"/>
    </row>
    <row r="21490" spans="4:8" x14ac:dyDescent="0.25">
      <c r="D21490" s="28"/>
      <c r="F21490" s="28"/>
      <c r="H21490" s="28"/>
    </row>
    <row r="21491" spans="4:8" x14ac:dyDescent="0.25">
      <c r="D21491" s="28"/>
      <c r="F21491" s="28"/>
      <c r="H21491" s="28"/>
    </row>
    <row r="21492" spans="4:8" x14ac:dyDescent="0.25">
      <c r="D21492" s="28"/>
      <c r="F21492" s="28"/>
      <c r="H21492" s="28"/>
    </row>
    <row r="21493" spans="4:8" x14ac:dyDescent="0.25">
      <c r="D21493" s="28"/>
      <c r="F21493" s="28"/>
      <c r="H21493" s="28"/>
    </row>
    <row r="21494" spans="4:8" x14ac:dyDescent="0.25">
      <c r="D21494" s="28"/>
      <c r="F21494" s="28"/>
      <c r="H21494" s="28"/>
    </row>
    <row r="21495" spans="4:8" x14ac:dyDescent="0.25">
      <c r="D21495" s="28"/>
      <c r="F21495" s="28"/>
      <c r="H21495" s="28"/>
    </row>
    <row r="21496" spans="4:8" x14ac:dyDescent="0.25">
      <c r="D21496" s="28"/>
      <c r="F21496" s="28"/>
      <c r="H21496" s="28"/>
    </row>
    <row r="21497" spans="4:8" x14ac:dyDescent="0.25">
      <c r="D21497" s="28"/>
      <c r="F21497" s="28"/>
      <c r="H21497" s="28"/>
    </row>
    <row r="21498" spans="4:8" x14ac:dyDescent="0.25">
      <c r="D21498" s="28"/>
      <c r="F21498" s="28"/>
      <c r="H21498" s="28"/>
    </row>
    <row r="21499" spans="4:8" x14ac:dyDescent="0.25">
      <c r="D21499" s="28"/>
      <c r="F21499" s="28"/>
      <c r="H21499" s="28"/>
    </row>
    <row r="21500" spans="4:8" x14ac:dyDescent="0.25">
      <c r="D21500" s="28"/>
      <c r="F21500" s="28"/>
      <c r="H21500" s="28"/>
    </row>
    <row r="21501" spans="4:8" x14ac:dyDescent="0.25">
      <c r="D21501" s="28"/>
      <c r="F21501" s="28"/>
      <c r="H21501" s="28"/>
    </row>
    <row r="21502" spans="4:8" x14ac:dyDescent="0.25">
      <c r="D21502" s="28"/>
      <c r="F21502" s="28"/>
      <c r="H21502" s="28"/>
    </row>
    <row r="21503" spans="4:8" x14ac:dyDescent="0.25">
      <c r="D21503" s="28"/>
      <c r="F21503" s="28"/>
      <c r="H21503" s="28"/>
    </row>
    <row r="21504" spans="4:8" x14ac:dyDescent="0.25">
      <c r="D21504" s="28"/>
      <c r="F21504" s="28"/>
      <c r="H21504" s="28"/>
    </row>
    <row r="21505" spans="4:8" x14ac:dyDescent="0.25">
      <c r="D21505" s="28"/>
      <c r="F21505" s="28"/>
      <c r="H21505" s="28"/>
    </row>
    <row r="21506" spans="4:8" x14ac:dyDescent="0.25">
      <c r="D21506" s="28"/>
      <c r="F21506" s="28"/>
      <c r="H21506" s="28"/>
    </row>
    <row r="21507" spans="4:8" x14ac:dyDescent="0.25">
      <c r="D21507" s="28"/>
      <c r="F21507" s="28"/>
      <c r="H21507" s="28"/>
    </row>
    <row r="21508" spans="4:8" x14ac:dyDescent="0.25">
      <c r="D21508" s="28"/>
      <c r="F21508" s="28"/>
      <c r="H21508" s="28"/>
    </row>
    <row r="21509" spans="4:8" x14ac:dyDescent="0.25">
      <c r="D21509" s="28"/>
      <c r="F21509" s="28"/>
      <c r="H21509" s="28"/>
    </row>
    <row r="21510" spans="4:8" x14ac:dyDescent="0.25">
      <c r="D21510" s="28"/>
      <c r="F21510" s="28"/>
      <c r="H21510" s="28"/>
    </row>
    <row r="21511" spans="4:8" x14ac:dyDescent="0.25">
      <c r="D21511" s="28"/>
      <c r="F21511" s="28"/>
      <c r="H21511" s="28"/>
    </row>
    <row r="21512" spans="4:8" x14ac:dyDescent="0.25">
      <c r="D21512" s="28"/>
      <c r="F21512" s="28"/>
      <c r="H21512" s="28"/>
    </row>
    <row r="21513" spans="4:8" x14ac:dyDescent="0.25">
      <c r="D21513" s="28"/>
      <c r="F21513" s="28"/>
      <c r="H21513" s="28"/>
    </row>
    <row r="21514" spans="4:8" x14ac:dyDescent="0.25">
      <c r="D21514" s="28"/>
      <c r="F21514" s="28"/>
      <c r="H21514" s="28"/>
    </row>
    <row r="21515" spans="4:8" x14ac:dyDescent="0.25">
      <c r="D21515" s="28"/>
      <c r="F21515" s="28"/>
      <c r="H21515" s="28"/>
    </row>
    <row r="21516" spans="4:8" x14ac:dyDescent="0.25">
      <c r="D21516" s="28"/>
      <c r="F21516" s="28"/>
      <c r="H21516" s="28"/>
    </row>
    <row r="21517" spans="4:8" x14ac:dyDescent="0.25">
      <c r="D21517" s="28"/>
      <c r="F21517" s="28"/>
      <c r="H21517" s="28"/>
    </row>
    <row r="21518" spans="4:8" x14ac:dyDescent="0.25">
      <c r="D21518" s="28"/>
      <c r="F21518" s="28"/>
      <c r="H21518" s="28"/>
    </row>
    <row r="21519" spans="4:8" x14ac:dyDescent="0.25">
      <c r="D21519" s="28"/>
      <c r="F21519" s="28"/>
      <c r="H21519" s="28"/>
    </row>
    <row r="21520" spans="4:8" x14ac:dyDescent="0.25">
      <c r="D21520" s="28"/>
      <c r="F21520" s="28"/>
      <c r="H21520" s="28"/>
    </row>
    <row r="21521" spans="4:8" x14ac:dyDescent="0.25">
      <c r="D21521" s="28"/>
      <c r="F21521" s="28"/>
      <c r="H21521" s="28"/>
    </row>
    <row r="21522" spans="4:8" x14ac:dyDescent="0.25">
      <c r="D21522" s="28"/>
      <c r="F21522" s="28"/>
      <c r="H21522" s="28"/>
    </row>
    <row r="21523" spans="4:8" x14ac:dyDescent="0.25">
      <c r="D21523" s="28"/>
      <c r="F21523" s="28"/>
      <c r="H21523" s="28"/>
    </row>
    <row r="21524" spans="4:8" x14ac:dyDescent="0.25">
      <c r="D21524" s="28"/>
      <c r="F21524" s="28"/>
      <c r="H21524" s="28"/>
    </row>
    <row r="21525" spans="4:8" x14ac:dyDescent="0.25">
      <c r="D21525" s="28"/>
      <c r="F21525" s="28"/>
      <c r="H21525" s="28"/>
    </row>
    <row r="21526" spans="4:8" x14ac:dyDescent="0.25">
      <c r="D21526" s="28"/>
      <c r="F21526" s="28"/>
      <c r="H21526" s="28"/>
    </row>
    <row r="21527" spans="4:8" x14ac:dyDescent="0.25">
      <c r="D21527" s="28"/>
      <c r="F21527" s="28"/>
      <c r="H21527" s="28"/>
    </row>
    <row r="21528" spans="4:8" x14ac:dyDescent="0.25">
      <c r="D21528" s="28"/>
      <c r="F21528" s="28"/>
      <c r="H21528" s="28"/>
    </row>
    <row r="21529" spans="4:8" x14ac:dyDescent="0.25">
      <c r="D21529" s="28"/>
      <c r="F21529" s="28"/>
      <c r="H21529" s="28"/>
    </row>
    <row r="21530" spans="4:8" x14ac:dyDescent="0.25">
      <c r="D21530" s="28"/>
      <c r="F21530" s="28"/>
      <c r="H21530" s="28"/>
    </row>
    <row r="21531" spans="4:8" x14ac:dyDescent="0.25">
      <c r="D21531" s="28"/>
      <c r="F21531" s="28"/>
      <c r="H21531" s="28"/>
    </row>
    <row r="21532" spans="4:8" x14ac:dyDescent="0.25">
      <c r="D21532" s="28"/>
      <c r="F21532" s="28"/>
      <c r="H21532" s="28"/>
    </row>
    <row r="21533" spans="4:8" x14ac:dyDescent="0.25">
      <c r="D21533" s="28"/>
      <c r="F21533" s="28"/>
      <c r="H21533" s="28"/>
    </row>
    <row r="21534" spans="4:8" x14ac:dyDescent="0.25">
      <c r="D21534" s="28"/>
      <c r="F21534" s="28"/>
      <c r="H21534" s="28"/>
    </row>
    <row r="21535" spans="4:8" x14ac:dyDescent="0.25">
      <c r="D21535" s="28"/>
      <c r="F21535" s="28"/>
      <c r="H21535" s="28"/>
    </row>
    <row r="21536" spans="4:8" x14ac:dyDescent="0.25">
      <c r="D21536" s="28"/>
      <c r="F21536" s="28"/>
      <c r="H21536" s="28"/>
    </row>
    <row r="21537" spans="4:8" x14ac:dyDescent="0.25">
      <c r="D21537" s="28"/>
      <c r="F21537" s="28"/>
      <c r="H21537" s="28"/>
    </row>
    <row r="21538" spans="4:8" x14ac:dyDescent="0.25">
      <c r="D21538" s="28"/>
      <c r="F21538" s="28"/>
      <c r="H21538" s="28"/>
    </row>
    <row r="21539" spans="4:8" x14ac:dyDescent="0.25">
      <c r="D21539" s="28"/>
      <c r="F21539" s="28"/>
      <c r="H21539" s="28"/>
    </row>
    <row r="21540" spans="4:8" x14ac:dyDescent="0.25">
      <c r="D21540" s="28"/>
      <c r="F21540" s="28"/>
      <c r="H21540" s="28"/>
    </row>
    <row r="21541" spans="4:8" x14ac:dyDescent="0.25">
      <c r="D21541" s="28"/>
      <c r="F21541" s="28"/>
      <c r="H21541" s="28"/>
    </row>
    <row r="21542" spans="4:8" x14ac:dyDescent="0.25">
      <c r="D21542" s="28"/>
      <c r="F21542" s="28"/>
      <c r="H21542" s="28"/>
    </row>
    <row r="21543" spans="4:8" x14ac:dyDescent="0.25">
      <c r="D21543" s="28"/>
      <c r="F21543" s="28"/>
      <c r="H21543" s="28"/>
    </row>
    <row r="21544" spans="4:8" x14ac:dyDescent="0.25">
      <c r="D21544" s="28"/>
      <c r="F21544" s="28"/>
      <c r="H21544" s="28"/>
    </row>
    <row r="21545" spans="4:8" x14ac:dyDescent="0.25">
      <c r="D21545" s="28"/>
      <c r="F21545" s="28"/>
      <c r="H21545" s="28"/>
    </row>
    <row r="21546" spans="4:8" x14ac:dyDescent="0.25">
      <c r="D21546" s="28"/>
      <c r="F21546" s="28"/>
      <c r="H21546" s="28"/>
    </row>
    <row r="21547" spans="4:8" x14ac:dyDescent="0.25">
      <c r="D21547" s="28"/>
      <c r="F21547" s="28"/>
      <c r="H21547" s="28"/>
    </row>
    <row r="21548" spans="4:8" x14ac:dyDescent="0.25">
      <c r="D21548" s="28"/>
      <c r="F21548" s="28"/>
      <c r="H21548" s="28"/>
    </row>
    <row r="21549" spans="4:8" x14ac:dyDescent="0.25">
      <c r="D21549" s="28"/>
      <c r="F21549" s="28"/>
      <c r="H21549" s="28"/>
    </row>
    <row r="21550" spans="4:8" x14ac:dyDescent="0.25">
      <c r="D21550" s="28"/>
      <c r="F21550" s="28"/>
      <c r="H21550" s="28"/>
    </row>
    <row r="21551" spans="4:8" x14ac:dyDescent="0.25">
      <c r="D21551" s="28"/>
      <c r="F21551" s="28"/>
      <c r="H21551" s="28"/>
    </row>
    <row r="21552" spans="4:8" x14ac:dyDescent="0.25">
      <c r="D21552" s="28"/>
      <c r="F21552" s="28"/>
      <c r="H21552" s="28"/>
    </row>
    <row r="21553" spans="4:8" x14ac:dyDescent="0.25">
      <c r="D21553" s="28"/>
      <c r="F21553" s="28"/>
      <c r="H21553" s="28"/>
    </row>
    <row r="21554" spans="4:8" x14ac:dyDescent="0.25">
      <c r="D21554" s="28"/>
      <c r="F21554" s="28"/>
      <c r="H21554" s="28"/>
    </row>
    <row r="21555" spans="4:8" x14ac:dyDescent="0.25">
      <c r="D21555" s="28"/>
      <c r="F21555" s="28"/>
      <c r="H21555" s="28"/>
    </row>
    <row r="21556" spans="4:8" x14ac:dyDescent="0.25">
      <c r="D21556" s="28"/>
      <c r="F21556" s="28"/>
      <c r="H21556" s="28"/>
    </row>
    <row r="21557" spans="4:8" x14ac:dyDescent="0.25">
      <c r="D21557" s="28"/>
      <c r="F21557" s="28"/>
      <c r="H21557" s="28"/>
    </row>
    <row r="21558" spans="4:8" x14ac:dyDescent="0.25">
      <c r="D21558" s="28"/>
      <c r="F21558" s="28"/>
      <c r="H21558" s="28"/>
    </row>
    <row r="21559" spans="4:8" x14ac:dyDescent="0.25">
      <c r="D21559" s="28"/>
      <c r="F21559" s="28"/>
      <c r="H21559" s="28"/>
    </row>
    <row r="21560" spans="4:8" x14ac:dyDescent="0.25">
      <c r="D21560" s="28"/>
      <c r="F21560" s="28"/>
      <c r="H21560" s="28"/>
    </row>
    <row r="21561" spans="4:8" x14ac:dyDescent="0.25">
      <c r="D21561" s="28"/>
      <c r="F21561" s="28"/>
      <c r="H21561" s="28"/>
    </row>
    <row r="21562" spans="4:8" x14ac:dyDescent="0.25">
      <c r="D21562" s="28"/>
      <c r="F21562" s="28"/>
      <c r="H21562" s="28"/>
    </row>
    <row r="21563" spans="4:8" x14ac:dyDescent="0.25">
      <c r="D21563" s="28"/>
      <c r="F21563" s="28"/>
      <c r="H21563" s="28"/>
    </row>
    <row r="21564" spans="4:8" x14ac:dyDescent="0.25">
      <c r="D21564" s="28"/>
      <c r="F21564" s="28"/>
      <c r="H21564" s="28"/>
    </row>
    <row r="21565" spans="4:8" x14ac:dyDescent="0.25">
      <c r="D21565" s="28"/>
      <c r="F21565" s="28"/>
      <c r="H21565" s="28"/>
    </row>
    <row r="21566" spans="4:8" x14ac:dyDescent="0.25">
      <c r="D21566" s="28"/>
      <c r="F21566" s="28"/>
      <c r="H21566" s="28"/>
    </row>
    <row r="21567" spans="4:8" x14ac:dyDescent="0.25">
      <c r="D21567" s="28"/>
      <c r="F21567" s="28"/>
      <c r="H21567" s="28"/>
    </row>
    <row r="21568" spans="4:8" x14ac:dyDescent="0.25">
      <c r="D21568" s="28"/>
      <c r="F21568" s="28"/>
      <c r="H21568" s="28"/>
    </row>
    <row r="21569" spans="4:8" x14ac:dyDescent="0.25">
      <c r="D21569" s="28"/>
      <c r="F21569" s="28"/>
      <c r="H21569" s="28"/>
    </row>
    <row r="21570" spans="4:8" x14ac:dyDescent="0.25">
      <c r="D21570" s="28"/>
      <c r="F21570" s="28"/>
      <c r="H21570" s="28"/>
    </row>
    <row r="21571" spans="4:8" x14ac:dyDescent="0.25">
      <c r="D21571" s="28"/>
      <c r="F21571" s="28"/>
      <c r="H21571" s="28"/>
    </row>
    <row r="21572" spans="4:8" x14ac:dyDescent="0.25">
      <c r="D21572" s="28"/>
      <c r="F21572" s="28"/>
      <c r="H21572" s="28"/>
    </row>
    <row r="21573" spans="4:8" x14ac:dyDescent="0.25">
      <c r="D21573" s="28"/>
      <c r="F21573" s="28"/>
      <c r="H21573" s="28"/>
    </row>
    <row r="21574" spans="4:8" x14ac:dyDescent="0.25">
      <c r="D21574" s="28"/>
      <c r="F21574" s="28"/>
      <c r="H21574" s="28"/>
    </row>
    <row r="21575" spans="4:8" x14ac:dyDescent="0.25">
      <c r="D21575" s="28"/>
      <c r="F21575" s="28"/>
      <c r="H21575" s="28"/>
    </row>
    <row r="21576" spans="4:8" x14ac:dyDescent="0.25">
      <c r="D21576" s="28"/>
      <c r="F21576" s="28"/>
      <c r="H21576" s="28"/>
    </row>
    <row r="21577" spans="4:8" x14ac:dyDescent="0.25">
      <c r="D21577" s="28"/>
      <c r="F21577" s="28"/>
      <c r="H21577" s="28"/>
    </row>
    <row r="21578" spans="4:8" x14ac:dyDescent="0.25">
      <c r="D21578" s="28"/>
      <c r="F21578" s="28"/>
      <c r="H21578" s="28"/>
    </row>
    <row r="21579" spans="4:8" x14ac:dyDescent="0.25">
      <c r="D21579" s="28"/>
      <c r="F21579" s="28"/>
      <c r="H21579" s="28"/>
    </row>
    <row r="21580" spans="4:8" x14ac:dyDescent="0.25">
      <c r="D21580" s="28"/>
      <c r="F21580" s="28"/>
      <c r="H21580" s="28"/>
    </row>
    <row r="21581" spans="4:8" x14ac:dyDescent="0.25">
      <c r="D21581" s="28"/>
      <c r="F21581" s="28"/>
      <c r="H21581" s="28"/>
    </row>
    <row r="21582" spans="4:8" x14ac:dyDescent="0.25">
      <c r="D21582" s="28"/>
      <c r="F21582" s="28"/>
      <c r="H21582" s="28"/>
    </row>
    <row r="21583" spans="4:8" x14ac:dyDescent="0.25">
      <c r="D21583" s="28"/>
      <c r="F21583" s="28"/>
      <c r="H21583" s="28"/>
    </row>
    <row r="21584" spans="4:8" x14ac:dyDescent="0.25">
      <c r="D21584" s="28"/>
      <c r="F21584" s="28"/>
      <c r="H21584" s="28"/>
    </row>
    <row r="21585" spans="4:8" x14ac:dyDescent="0.25">
      <c r="D21585" s="28"/>
      <c r="F21585" s="28"/>
      <c r="H21585" s="28"/>
    </row>
    <row r="21586" spans="4:8" x14ac:dyDescent="0.25">
      <c r="D21586" s="28"/>
      <c r="F21586" s="28"/>
      <c r="H21586" s="28"/>
    </row>
    <row r="21587" spans="4:8" x14ac:dyDescent="0.25">
      <c r="D21587" s="28"/>
      <c r="F21587" s="28"/>
      <c r="H21587" s="28"/>
    </row>
    <row r="21588" spans="4:8" x14ac:dyDescent="0.25">
      <c r="D21588" s="28"/>
      <c r="F21588" s="28"/>
      <c r="H21588" s="28"/>
    </row>
    <row r="21589" spans="4:8" x14ac:dyDescent="0.25">
      <c r="D21589" s="28"/>
      <c r="F21589" s="28"/>
      <c r="H21589" s="28"/>
    </row>
    <row r="21590" spans="4:8" x14ac:dyDescent="0.25">
      <c r="D21590" s="28"/>
      <c r="F21590" s="28"/>
      <c r="H21590" s="28"/>
    </row>
    <row r="21591" spans="4:8" x14ac:dyDescent="0.25">
      <c r="D21591" s="28"/>
      <c r="F21591" s="28"/>
      <c r="H21591" s="28"/>
    </row>
    <row r="21592" spans="4:8" x14ac:dyDescent="0.25">
      <c r="D21592" s="28"/>
      <c r="F21592" s="28"/>
      <c r="H21592" s="28"/>
    </row>
    <row r="21593" spans="4:8" x14ac:dyDescent="0.25">
      <c r="D21593" s="28"/>
      <c r="F21593" s="28"/>
      <c r="H21593" s="28"/>
    </row>
    <row r="21594" spans="4:8" x14ac:dyDescent="0.25">
      <c r="D21594" s="28"/>
      <c r="F21594" s="28"/>
      <c r="H21594" s="28"/>
    </row>
    <row r="21595" spans="4:8" x14ac:dyDescent="0.25">
      <c r="D21595" s="28"/>
      <c r="F21595" s="28"/>
      <c r="H21595" s="28"/>
    </row>
    <row r="21596" spans="4:8" x14ac:dyDescent="0.25">
      <c r="D21596" s="28"/>
      <c r="F21596" s="28"/>
      <c r="H21596" s="28"/>
    </row>
    <row r="21597" spans="4:8" x14ac:dyDescent="0.25">
      <c r="D21597" s="28"/>
      <c r="F21597" s="28"/>
      <c r="H21597" s="28"/>
    </row>
    <row r="21598" spans="4:8" x14ac:dyDescent="0.25">
      <c r="D21598" s="28"/>
      <c r="F21598" s="28"/>
      <c r="H21598" s="28"/>
    </row>
    <row r="21599" spans="4:8" x14ac:dyDescent="0.25">
      <c r="D21599" s="28"/>
      <c r="F21599" s="28"/>
      <c r="H21599" s="28"/>
    </row>
    <row r="21600" spans="4:8" x14ac:dyDescent="0.25">
      <c r="D21600" s="28"/>
      <c r="F21600" s="28"/>
      <c r="H21600" s="28"/>
    </row>
    <row r="21601" spans="4:8" x14ac:dyDescent="0.25">
      <c r="D21601" s="28"/>
      <c r="F21601" s="28"/>
      <c r="H21601" s="28"/>
    </row>
    <row r="21602" spans="4:8" x14ac:dyDescent="0.25">
      <c r="D21602" s="28"/>
      <c r="F21602" s="28"/>
      <c r="H21602" s="28"/>
    </row>
    <row r="21603" spans="4:8" x14ac:dyDescent="0.25">
      <c r="D21603" s="28"/>
      <c r="F21603" s="28"/>
      <c r="H21603" s="28"/>
    </row>
    <row r="21604" spans="4:8" x14ac:dyDescent="0.25">
      <c r="D21604" s="28"/>
      <c r="F21604" s="28"/>
      <c r="H21604" s="28"/>
    </row>
    <row r="21605" spans="4:8" x14ac:dyDescent="0.25">
      <c r="D21605" s="28"/>
      <c r="F21605" s="28"/>
      <c r="H21605" s="28"/>
    </row>
    <row r="21606" spans="4:8" x14ac:dyDescent="0.25">
      <c r="D21606" s="28"/>
      <c r="F21606" s="28"/>
      <c r="H21606" s="28"/>
    </row>
    <row r="21607" spans="4:8" x14ac:dyDescent="0.25">
      <c r="D21607" s="28"/>
      <c r="F21607" s="28"/>
      <c r="H21607" s="28"/>
    </row>
    <row r="21608" spans="4:8" x14ac:dyDescent="0.25">
      <c r="D21608" s="28"/>
      <c r="F21608" s="28"/>
      <c r="H21608" s="28"/>
    </row>
    <row r="21609" spans="4:8" x14ac:dyDescent="0.25">
      <c r="D21609" s="28"/>
      <c r="F21609" s="28"/>
      <c r="H21609" s="28"/>
    </row>
    <row r="21610" spans="4:8" x14ac:dyDescent="0.25">
      <c r="D21610" s="28"/>
      <c r="F21610" s="28"/>
      <c r="H21610" s="28"/>
    </row>
    <row r="21611" spans="4:8" x14ac:dyDescent="0.25">
      <c r="D21611" s="28"/>
      <c r="F21611" s="28"/>
      <c r="H21611" s="28"/>
    </row>
    <row r="21612" spans="4:8" x14ac:dyDescent="0.25">
      <c r="D21612" s="28"/>
      <c r="F21612" s="28"/>
      <c r="H21612" s="28"/>
    </row>
    <row r="21613" spans="4:8" x14ac:dyDescent="0.25">
      <c r="D21613" s="28"/>
      <c r="F21613" s="28"/>
      <c r="H21613" s="28"/>
    </row>
    <row r="21614" spans="4:8" x14ac:dyDescent="0.25">
      <c r="D21614" s="28"/>
      <c r="F21614" s="28"/>
      <c r="H21614" s="28"/>
    </row>
    <row r="21615" spans="4:8" x14ac:dyDescent="0.25">
      <c r="D21615" s="28"/>
      <c r="F21615" s="28"/>
      <c r="H21615" s="28"/>
    </row>
    <row r="21616" spans="4:8" x14ac:dyDescent="0.25">
      <c r="D21616" s="28"/>
      <c r="F21616" s="28"/>
      <c r="H21616" s="28"/>
    </row>
    <row r="21617" spans="4:8" x14ac:dyDescent="0.25">
      <c r="D21617" s="28"/>
      <c r="F21617" s="28"/>
      <c r="H21617" s="28"/>
    </row>
    <row r="21618" spans="4:8" x14ac:dyDescent="0.25">
      <c r="D21618" s="28"/>
      <c r="F21618" s="28"/>
      <c r="H21618" s="28"/>
    </row>
    <row r="21619" spans="4:8" x14ac:dyDescent="0.25">
      <c r="D21619" s="28"/>
      <c r="F21619" s="28"/>
      <c r="H21619" s="28"/>
    </row>
    <row r="21620" spans="4:8" x14ac:dyDescent="0.25">
      <c r="D21620" s="28"/>
      <c r="F21620" s="28"/>
      <c r="H21620" s="28"/>
    </row>
    <row r="21621" spans="4:8" x14ac:dyDescent="0.25">
      <c r="D21621" s="28"/>
      <c r="F21621" s="28"/>
      <c r="H21621" s="28"/>
    </row>
    <row r="21622" spans="4:8" x14ac:dyDescent="0.25">
      <c r="D21622" s="28"/>
      <c r="F21622" s="28"/>
      <c r="H21622" s="28"/>
    </row>
    <row r="21623" spans="4:8" x14ac:dyDescent="0.25">
      <c r="D21623" s="28"/>
      <c r="F21623" s="28"/>
      <c r="H21623" s="28"/>
    </row>
    <row r="21624" spans="4:8" x14ac:dyDescent="0.25">
      <c r="D21624" s="28"/>
      <c r="F21624" s="28"/>
      <c r="H21624" s="28"/>
    </row>
    <row r="21625" spans="4:8" x14ac:dyDescent="0.25">
      <c r="D21625" s="28"/>
      <c r="F21625" s="28"/>
      <c r="H21625" s="28"/>
    </row>
    <row r="21626" spans="4:8" x14ac:dyDescent="0.25">
      <c r="D21626" s="28"/>
      <c r="F21626" s="28"/>
      <c r="H21626" s="28"/>
    </row>
    <row r="21627" spans="4:8" x14ac:dyDescent="0.25">
      <c r="D21627" s="28"/>
      <c r="F21627" s="28"/>
      <c r="H21627" s="28"/>
    </row>
    <row r="21628" spans="4:8" x14ac:dyDescent="0.25">
      <c r="D21628" s="28"/>
      <c r="F21628" s="28"/>
      <c r="H21628" s="28"/>
    </row>
    <row r="21629" spans="4:8" x14ac:dyDescent="0.25">
      <c r="D21629" s="28"/>
      <c r="F21629" s="28"/>
      <c r="H21629" s="28"/>
    </row>
    <row r="21630" spans="4:8" x14ac:dyDescent="0.25">
      <c r="D21630" s="28"/>
      <c r="F21630" s="28"/>
      <c r="H21630" s="28"/>
    </row>
    <row r="21631" spans="4:8" x14ac:dyDescent="0.25">
      <c r="D21631" s="28"/>
      <c r="F21631" s="28"/>
      <c r="H21631" s="28"/>
    </row>
    <row r="21632" spans="4:8" x14ac:dyDescent="0.25">
      <c r="D21632" s="28"/>
      <c r="F21632" s="28"/>
      <c r="H21632" s="28"/>
    </row>
    <row r="21633" spans="4:8" x14ac:dyDescent="0.25">
      <c r="D21633" s="28"/>
      <c r="F21633" s="28"/>
      <c r="H21633" s="28"/>
    </row>
    <row r="21634" spans="4:8" x14ac:dyDescent="0.25">
      <c r="D21634" s="28"/>
      <c r="F21634" s="28"/>
      <c r="H21634" s="28"/>
    </row>
    <row r="21635" spans="4:8" x14ac:dyDescent="0.25">
      <c r="D21635" s="28"/>
      <c r="F21635" s="28"/>
      <c r="H21635" s="28"/>
    </row>
    <row r="21636" spans="4:8" x14ac:dyDescent="0.25">
      <c r="D21636" s="28"/>
      <c r="F21636" s="28"/>
      <c r="H21636" s="28"/>
    </row>
    <row r="21637" spans="4:8" x14ac:dyDescent="0.25">
      <c r="D21637" s="28"/>
      <c r="F21637" s="28"/>
      <c r="H21637" s="28"/>
    </row>
    <row r="21638" spans="4:8" x14ac:dyDescent="0.25">
      <c r="D21638" s="28"/>
      <c r="F21638" s="28"/>
      <c r="H21638" s="28"/>
    </row>
    <row r="21639" spans="4:8" x14ac:dyDescent="0.25">
      <c r="D21639" s="28"/>
      <c r="F21639" s="28"/>
      <c r="H21639" s="28"/>
    </row>
    <row r="21640" spans="4:8" x14ac:dyDescent="0.25">
      <c r="D21640" s="28"/>
      <c r="F21640" s="28"/>
      <c r="H21640" s="28"/>
    </row>
    <row r="21641" spans="4:8" x14ac:dyDescent="0.25">
      <c r="D21641" s="28"/>
      <c r="F21641" s="28"/>
      <c r="H21641" s="28"/>
    </row>
    <row r="21642" spans="4:8" x14ac:dyDescent="0.25">
      <c r="D21642" s="28"/>
      <c r="F21642" s="28"/>
      <c r="H21642" s="28"/>
    </row>
    <row r="21643" spans="4:8" x14ac:dyDescent="0.25">
      <c r="D21643" s="28"/>
      <c r="F21643" s="28"/>
      <c r="H21643" s="28"/>
    </row>
    <row r="21644" spans="4:8" x14ac:dyDescent="0.25">
      <c r="D21644" s="28"/>
      <c r="F21644" s="28"/>
      <c r="H21644" s="28"/>
    </row>
    <row r="21645" spans="4:8" x14ac:dyDescent="0.25">
      <c r="D21645" s="28"/>
      <c r="F21645" s="28"/>
      <c r="H21645" s="28"/>
    </row>
    <row r="21646" spans="4:8" x14ac:dyDescent="0.25">
      <c r="D21646" s="28"/>
      <c r="F21646" s="28"/>
      <c r="H21646" s="28"/>
    </row>
    <row r="21647" spans="4:8" x14ac:dyDescent="0.25">
      <c r="D21647" s="28"/>
      <c r="F21647" s="28"/>
      <c r="H21647" s="28"/>
    </row>
    <row r="21648" spans="4:8" x14ac:dyDescent="0.25">
      <c r="D21648" s="28"/>
      <c r="F21648" s="28"/>
      <c r="H21648" s="28"/>
    </row>
    <row r="21649" spans="4:8" x14ac:dyDescent="0.25">
      <c r="D21649" s="28"/>
      <c r="F21649" s="28"/>
      <c r="H21649" s="28"/>
    </row>
    <row r="21650" spans="4:8" x14ac:dyDescent="0.25">
      <c r="D21650" s="28"/>
      <c r="F21650" s="28"/>
      <c r="H21650" s="28"/>
    </row>
    <row r="21651" spans="4:8" x14ac:dyDescent="0.25">
      <c r="D21651" s="28"/>
      <c r="F21651" s="28"/>
      <c r="H21651" s="28"/>
    </row>
    <row r="21652" spans="4:8" x14ac:dyDescent="0.25">
      <c r="D21652" s="28"/>
      <c r="F21652" s="28"/>
      <c r="H21652" s="28"/>
    </row>
    <row r="21653" spans="4:8" x14ac:dyDescent="0.25">
      <c r="D21653" s="28"/>
      <c r="F21653" s="28"/>
      <c r="H21653" s="28"/>
    </row>
    <row r="21654" spans="4:8" x14ac:dyDescent="0.25">
      <c r="D21654" s="28"/>
      <c r="F21654" s="28"/>
      <c r="H21654" s="28"/>
    </row>
    <row r="21655" spans="4:8" x14ac:dyDescent="0.25">
      <c r="D21655" s="28"/>
      <c r="F21655" s="28"/>
      <c r="H21655" s="28"/>
    </row>
    <row r="21656" spans="4:8" x14ac:dyDescent="0.25">
      <c r="D21656" s="28"/>
      <c r="F21656" s="28"/>
      <c r="H21656" s="28"/>
    </row>
    <row r="21657" spans="4:8" x14ac:dyDescent="0.25">
      <c r="D21657" s="28"/>
      <c r="F21657" s="28"/>
      <c r="H21657" s="28"/>
    </row>
    <row r="21658" spans="4:8" x14ac:dyDescent="0.25">
      <c r="D21658" s="28"/>
      <c r="F21658" s="28"/>
      <c r="H21658" s="28"/>
    </row>
    <row r="21659" spans="4:8" x14ac:dyDescent="0.25">
      <c r="D21659" s="28"/>
      <c r="F21659" s="28"/>
      <c r="H21659" s="28"/>
    </row>
    <row r="21660" spans="4:8" x14ac:dyDescent="0.25">
      <c r="D21660" s="28"/>
      <c r="F21660" s="28"/>
      <c r="H21660" s="28"/>
    </row>
    <row r="21661" spans="4:8" x14ac:dyDescent="0.25">
      <c r="D21661" s="28"/>
      <c r="F21661" s="28"/>
      <c r="H21661" s="28"/>
    </row>
    <row r="21662" spans="4:8" x14ac:dyDescent="0.25">
      <c r="D21662" s="28"/>
      <c r="F21662" s="28"/>
      <c r="H21662" s="28"/>
    </row>
    <row r="21663" spans="4:8" x14ac:dyDescent="0.25">
      <c r="D21663" s="28"/>
      <c r="F21663" s="28"/>
      <c r="H21663" s="28"/>
    </row>
    <row r="21664" spans="4:8" x14ac:dyDescent="0.25">
      <c r="D21664" s="28"/>
      <c r="F21664" s="28"/>
      <c r="H21664" s="28"/>
    </row>
    <row r="21665" spans="4:8" x14ac:dyDescent="0.25">
      <c r="D21665" s="28"/>
      <c r="F21665" s="28"/>
      <c r="H21665" s="28"/>
    </row>
    <row r="21666" spans="4:8" x14ac:dyDescent="0.25">
      <c r="D21666" s="28"/>
      <c r="F21666" s="28"/>
      <c r="H21666" s="28"/>
    </row>
    <row r="21667" spans="4:8" x14ac:dyDescent="0.25">
      <c r="D21667" s="28"/>
      <c r="F21667" s="28"/>
      <c r="H21667" s="28"/>
    </row>
    <row r="21668" spans="4:8" x14ac:dyDescent="0.25">
      <c r="D21668" s="28"/>
      <c r="F21668" s="28"/>
      <c r="H21668" s="28"/>
    </row>
    <row r="21669" spans="4:8" x14ac:dyDescent="0.25">
      <c r="D21669" s="28"/>
      <c r="F21669" s="28"/>
      <c r="H21669" s="28"/>
    </row>
    <row r="21670" spans="4:8" x14ac:dyDescent="0.25">
      <c r="D21670" s="28"/>
      <c r="F21670" s="28"/>
      <c r="H21670" s="28"/>
    </row>
    <row r="21671" spans="4:8" x14ac:dyDescent="0.25">
      <c r="D21671" s="28"/>
      <c r="F21671" s="28"/>
      <c r="H21671" s="28"/>
    </row>
    <row r="21672" spans="4:8" x14ac:dyDescent="0.25">
      <c r="D21672" s="28"/>
      <c r="F21672" s="28"/>
      <c r="H21672" s="28"/>
    </row>
    <row r="21673" spans="4:8" x14ac:dyDescent="0.25">
      <c r="D21673" s="28"/>
      <c r="F21673" s="28"/>
      <c r="H21673" s="28"/>
    </row>
    <row r="21674" spans="4:8" x14ac:dyDescent="0.25">
      <c r="D21674" s="28"/>
      <c r="F21674" s="28"/>
      <c r="H21674" s="28"/>
    </row>
    <row r="21675" spans="4:8" x14ac:dyDescent="0.25">
      <c r="D21675" s="28"/>
      <c r="F21675" s="28"/>
      <c r="H21675" s="28"/>
    </row>
    <row r="21676" spans="4:8" x14ac:dyDescent="0.25">
      <c r="D21676" s="28"/>
      <c r="F21676" s="28"/>
      <c r="H21676" s="28"/>
    </row>
    <row r="21677" spans="4:8" x14ac:dyDescent="0.25">
      <c r="D21677" s="28"/>
      <c r="F21677" s="28"/>
      <c r="H21677" s="28"/>
    </row>
    <row r="21678" spans="4:8" x14ac:dyDescent="0.25">
      <c r="D21678" s="28"/>
      <c r="F21678" s="28"/>
      <c r="H21678" s="28"/>
    </row>
    <row r="21679" spans="4:8" x14ac:dyDescent="0.25">
      <c r="D21679" s="28"/>
      <c r="F21679" s="28"/>
      <c r="H21679" s="28"/>
    </row>
    <row r="21680" spans="4:8" x14ac:dyDescent="0.25">
      <c r="D21680" s="28"/>
      <c r="F21680" s="28"/>
      <c r="H21680" s="28"/>
    </row>
    <row r="21681" spans="4:8" x14ac:dyDescent="0.25">
      <c r="D21681" s="28"/>
      <c r="F21681" s="28"/>
      <c r="H21681" s="28"/>
    </row>
    <row r="21682" spans="4:8" x14ac:dyDescent="0.25">
      <c r="D21682" s="28"/>
      <c r="F21682" s="28"/>
      <c r="H21682" s="28"/>
    </row>
    <row r="21683" spans="4:8" x14ac:dyDescent="0.25">
      <c r="D21683" s="28"/>
      <c r="F21683" s="28"/>
      <c r="H21683" s="28"/>
    </row>
    <row r="21684" spans="4:8" x14ac:dyDescent="0.25">
      <c r="D21684" s="28"/>
      <c r="F21684" s="28"/>
      <c r="H21684" s="28"/>
    </row>
    <row r="21685" spans="4:8" x14ac:dyDescent="0.25">
      <c r="D21685" s="28"/>
      <c r="F21685" s="28"/>
      <c r="H21685" s="28"/>
    </row>
    <row r="21686" spans="4:8" x14ac:dyDescent="0.25">
      <c r="D21686" s="28"/>
      <c r="F21686" s="28"/>
      <c r="H21686" s="28"/>
    </row>
    <row r="21687" spans="4:8" x14ac:dyDescent="0.25">
      <c r="D21687" s="28"/>
      <c r="F21687" s="28"/>
      <c r="H21687" s="28"/>
    </row>
    <row r="21688" spans="4:8" x14ac:dyDescent="0.25">
      <c r="D21688" s="28"/>
      <c r="F21688" s="28"/>
      <c r="H21688" s="28"/>
    </row>
    <row r="21689" spans="4:8" x14ac:dyDescent="0.25">
      <c r="D21689" s="28"/>
      <c r="F21689" s="28"/>
      <c r="H21689" s="28"/>
    </row>
    <row r="21690" spans="4:8" x14ac:dyDescent="0.25">
      <c r="D21690" s="28"/>
      <c r="F21690" s="28"/>
      <c r="H21690" s="28"/>
    </row>
    <row r="21691" spans="4:8" x14ac:dyDescent="0.25">
      <c r="D21691" s="28"/>
      <c r="F21691" s="28"/>
      <c r="H21691" s="28"/>
    </row>
    <row r="21692" spans="4:8" x14ac:dyDescent="0.25">
      <c r="D21692" s="28"/>
      <c r="F21692" s="28"/>
      <c r="H21692" s="28"/>
    </row>
    <row r="21693" spans="4:8" x14ac:dyDescent="0.25">
      <c r="D21693" s="28"/>
      <c r="F21693" s="28"/>
      <c r="H21693" s="28"/>
    </row>
    <row r="21694" spans="4:8" x14ac:dyDescent="0.25">
      <c r="D21694" s="28"/>
      <c r="F21694" s="28"/>
      <c r="H21694" s="28"/>
    </row>
    <row r="21695" spans="4:8" x14ac:dyDescent="0.25">
      <c r="D21695" s="28"/>
      <c r="F21695" s="28"/>
      <c r="H21695" s="28"/>
    </row>
    <row r="21696" spans="4:8" x14ac:dyDescent="0.25">
      <c r="D21696" s="28"/>
      <c r="F21696" s="28"/>
      <c r="H21696" s="28"/>
    </row>
    <row r="21697" spans="4:8" x14ac:dyDescent="0.25">
      <c r="D21697" s="28"/>
      <c r="F21697" s="28"/>
      <c r="H21697" s="28"/>
    </row>
    <row r="21698" spans="4:8" x14ac:dyDescent="0.25">
      <c r="D21698" s="28"/>
      <c r="F21698" s="28"/>
      <c r="H21698" s="28"/>
    </row>
    <row r="21699" spans="4:8" x14ac:dyDescent="0.25">
      <c r="D21699" s="28"/>
      <c r="F21699" s="28"/>
      <c r="H21699" s="28"/>
    </row>
    <row r="21700" spans="4:8" x14ac:dyDescent="0.25">
      <c r="D21700" s="28"/>
      <c r="F21700" s="28"/>
      <c r="H21700" s="28"/>
    </row>
    <row r="21701" spans="4:8" x14ac:dyDescent="0.25">
      <c r="D21701" s="28"/>
      <c r="F21701" s="28"/>
      <c r="H21701" s="28"/>
    </row>
    <row r="21702" spans="4:8" x14ac:dyDescent="0.25">
      <c r="D21702" s="28"/>
      <c r="F21702" s="28"/>
      <c r="H21702" s="28"/>
    </row>
    <row r="21703" spans="4:8" x14ac:dyDescent="0.25">
      <c r="D21703" s="28"/>
      <c r="F21703" s="28"/>
      <c r="H21703" s="28"/>
    </row>
    <row r="21704" spans="4:8" x14ac:dyDescent="0.25">
      <c r="D21704" s="28"/>
      <c r="F21704" s="28"/>
      <c r="H21704" s="28"/>
    </row>
    <row r="21705" spans="4:8" x14ac:dyDescent="0.25">
      <c r="D21705" s="28"/>
      <c r="F21705" s="28"/>
      <c r="H21705" s="28"/>
    </row>
    <row r="21706" spans="4:8" x14ac:dyDescent="0.25">
      <c r="D21706" s="28"/>
      <c r="F21706" s="28"/>
      <c r="H21706" s="28"/>
    </row>
    <row r="21707" spans="4:8" x14ac:dyDescent="0.25">
      <c r="D21707" s="28"/>
      <c r="F21707" s="28"/>
      <c r="H21707" s="28"/>
    </row>
    <row r="21708" spans="4:8" x14ac:dyDescent="0.25">
      <c r="D21708" s="28"/>
      <c r="F21708" s="28"/>
      <c r="H21708" s="28"/>
    </row>
    <row r="21709" spans="4:8" x14ac:dyDescent="0.25">
      <c r="D21709" s="28"/>
      <c r="F21709" s="28"/>
      <c r="H21709" s="28"/>
    </row>
    <row r="21710" spans="4:8" x14ac:dyDescent="0.25">
      <c r="D21710" s="28"/>
      <c r="F21710" s="28"/>
      <c r="H21710" s="28"/>
    </row>
    <row r="21711" spans="4:8" x14ac:dyDescent="0.25">
      <c r="D21711" s="28"/>
      <c r="F21711" s="28"/>
      <c r="H21711" s="28"/>
    </row>
    <row r="21712" spans="4:8" x14ac:dyDescent="0.25">
      <c r="D21712" s="28"/>
      <c r="F21712" s="28"/>
      <c r="H21712" s="28"/>
    </row>
    <row r="21713" spans="4:8" x14ac:dyDescent="0.25">
      <c r="D21713" s="28"/>
      <c r="F21713" s="28"/>
      <c r="H21713" s="28"/>
    </row>
    <row r="21714" spans="4:8" x14ac:dyDescent="0.25">
      <c r="D21714" s="28"/>
      <c r="F21714" s="28"/>
      <c r="H21714" s="28"/>
    </row>
    <row r="21715" spans="4:8" x14ac:dyDescent="0.25">
      <c r="D21715" s="28"/>
      <c r="F21715" s="28"/>
      <c r="H21715" s="28"/>
    </row>
    <row r="21716" spans="4:8" x14ac:dyDescent="0.25">
      <c r="D21716" s="28"/>
      <c r="F21716" s="28"/>
      <c r="H21716" s="28"/>
    </row>
    <row r="21717" spans="4:8" x14ac:dyDescent="0.25">
      <c r="D21717" s="28"/>
      <c r="F21717" s="28"/>
      <c r="H21717" s="28"/>
    </row>
    <row r="21718" spans="4:8" x14ac:dyDescent="0.25">
      <c r="D21718" s="28"/>
      <c r="F21718" s="28"/>
      <c r="H21718" s="28"/>
    </row>
    <row r="21719" spans="4:8" x14ac:dyDescent="0.25">
      <c r="D21719" s="28"/>
      <c r="F21719" s="28"/>
      <c r="H21719" s="28"/>
    </row>
    <row r="21720" spans="4:8" x14ac:dyDescent="0.25">
      <c r="D21720" s="28"/>
      <c r="F21720" s="28"/>
      <c r="H21720" s="28"/>
    </row>
    <row r="21721" spans="4:8" x14ac:dyDescent="0.25">
      <c r="D21721" s="28"/>
      <c r="F21721" s="28"/>
      <c r="H21721" s="28"/>
    </row>
    <row r="21722" spans="4:8" x14ac:dyDescent="0.25">
      <c r="D21722" s="28"/>
      <c r="F21722" s="28"/>
      <c r="H21722" s="28"/>
    </row>
    <row r="21723" spans="4:8" x14ac:dyDescent="0.25">
      <c r="D21723" s="28"/>
      <c r="F21723" s="28"/>
      <c r="H21723" s="28"/>
    </row>
    <row r="21724" spans="4:8" x14ac:dyDescent="0.25">
      <c r="D21724" s="28"/>
      <c r="F21724" s="28"/>
      <c r="H21724" s="28"/>
    </row>
    <row r="21725" spans="4:8" x14ac:dyDescent="0.25">
      <c r="D21725" s="28"/>
      <c r="F21725" s="28"/>
      <c r="H21725" s="28"/>
    </row>
    <row r="21726" spans="4:8" x14ac:dyDescent="0.25">
      <c r="D21726" s="28"/>
      <c r="F21726" s="28"/>
      <c r="H21726" s="28"/>
    </row>
    <row r="21727" spans="4:8" x14ac:dyDescent="0.25">
      <c r="D21727" s="28"/>
      <c r="F21727" s="28"/>
      <c r="H21727" s="28"/>
    </row>
    <row r="21728" spans="4:8" x14ac:dyDescent="0.25">
      <c r="D21728" s="28"/>
      <c r="F21728" s="28"/>
      <c r="H21728" s="28"/>
    </row>
    <row r="21729" spans="4:8" x14ac:dyDescent="0.25">
      <c r="D21729" s="28"/>
      <c r="F21729" s="28"/>
      <c r="H21729" s="28"/>
    </row>
    <row r="21730" spans="4:8" x14ac:dyDescent="0.25">
      <c r="D21730" s="28"/>
      <c r="F21730" s="28"/>
      <c r="H21730" s="28"/>
    </row>
    <row r="21731" spans="4:8" x14ac:dyDescent="0.25">
      <c r="D21731" s="28"/>
      <c r="F21731" s="28"/>
      <c r="H21731" s="28"/>
    </row>
    <row r="21732" spans="4:8" x14ac:dyDescent="0.25">
      <c r="D21732" s="28"/>
      <c r="F21732" s="28"/>
      <c r="H21732" s="28"/>
    </row>
    <row r="21733" spans="4:8" x14ac:dyDescent="0.25">
      <c r="D21733" s="28"/>
      <c r="F21733" s="28"/>
      <c r="H21733" s="28"/>
    </row>
    <row r="21734" spans="4:8" x14ac:dyDescent="0.25">
      <c r="D21734" s="28"/>
      <c r="F21734" s="28"/>
      <c r="H21734" s="28"/>
    </row>
    <row r="21735" spans="4:8" x14ac:dyDescent="0.25">
      <c r="D21735" s="28"/>
      <c r="F21735" s="28"/>
      <c r="H21735" s="28"/>
    </row>
    <row r="21736" spans="4:8" x14ac:dyDescent="0.25">
      <c r="D21736" s="28"/>
      <c r="F21736" s="28"/>
      <c r="H21736" s="28"/>
    </row>
    <row r="21737" spans="4:8" x14ac:dyDescent="0.25">
      <c r="D21737" s="28"/>
      <c r="F21737" s="28"/>
      <c r="H21737" s="28"/>
    </row>
    <row r="21738" spans="4:8" x14ac:dyDescent="0.25">
      <c r="D21738" s="28"/>
      <c r="F21738" s="28"/>
      <c r="H21738" s="28"/>
    </row>
    <row r="21739" spans="4:8" x14ac:dyDescent="0.25">
      <c r="D21739" s="28"/>
      <c r="F21739" s="28"/>
      <c r="H21739" s="28"/>
    </row>
    <row r="21740" spans="4:8" x14ac:dyDescent="0.25">
      <c r="D21740" s="28"/>
      <c r="F21740" s="28"/>
      <c r="H21740" s="28"/>
    </row>
    <row r="21741" spans="4:8" x14ac:dyDescent="0.25">
      <c r="D21741" s="28"/>
      <c r="F21741" s="28"/>
      <c r="H21741" s="28"/>
    </row>
    <row r="21742" spans="4:8" x14ac:dyDescent="0.25">
      <c r="D21742" s="28"/>
      <c r="F21742" s="28"/>
      <c r="H21742" s="28"/>
    </row>
    <row r="21743" spans="4:8" x14ac:dyDescent="0.25">
      <c r="D21743" s="28"/>
      <c r="F21743" s="28"/>
      <c r="H21743" s="28"/>
    </row>
    <row r="21744" spans="4:8" x14ac:dyDescent="0.25">
      <c r="D21744" s="28"/>
      <c r="F21744" s="28"/>
      <c r="H21744" s="28"/>
    </row>
    <row r="21745" spans="4:8" x14ac:dyDescent="0.25">
      <c r="D21745" s="28"/>
      <c r="F21745" s="28"/>
      <c r="H21745" s="28"/>
    </row>
    <row r="21746" spans="4:8" x14ac:dyDescent="0.25">
      <c r="D21746" s="28"/>
      <c r="F21746" s="28"/>
      <c r="H21746" s="28"/>
    </row>
    <row r="21747" spans="4:8" x14ac:dyDescent="0.25">
      <c r="D21747" s="28"/>
      <c r="F21747" s="28"/>
      <c r="H21747" s="28"/>
    </row>
    <row r="21748" spans="4:8" x14ac:dyDescent="0.25">
      <c r="D21748" s="28"/>
      <c r="F21748" s="28"/>
      <c r="H21748" s="28"/>
    </row>
    <row r="21749" spans="4:8" x14ac:dyDescent="0.25">
      <c r="D21749" s="28"/>
      <c r="F21749" s="28"/>
      <c r="H21749" s="28"/>
    </row>
    <row r="21750" spans="4:8" x14ac:dyDescent="0.25">
      <c r="D21750" s="28"/>
      <c r="F21750" s="28"/>
      <c r="H21750" s="28"/>
    </row>
    <row r="21751" spans="4:8" x14ac:dyDescent="0.25">
      <c r="D21751" s="28"/>
      <c r="F21751" s="28"/>
      <c r="H21751" s="28"/>
    </row>
    <row r="21752" spans="4:8" x14ac:dyDescent="0.25">
      <c r="D21752" s="28"/>
      <c r="F21752" s="28"/>
      <c r="H21752" s="28"/>
    </row>
    <row r="21753" spans="4:8" x14ac:dyDescent="0.25">
      <c r="D21753" s="28"/>
      <c r="F21753" s="28"/>
      <c r="H21753" s="28"/>
    </row>
    <row r="21754" spans="4:8" x14ac:dyDescent="0.25">
      <c r="D21754" s="28"/>
      <c r="F21754" s="28"/>
      <c r="H21754" s="28"/>
    </row>
    <row r="21755" spans="4:8" x14ac:dyDescent="0.25">
      <c r="D21755" s="28"/>
      <c r="F21755" s="28"/>
      <c r="H21755" s="28"/>
    </row>
    <row r="21756" spans="4:8" x14ac:dyDescent="0.25">
      <c r="D21756" s="28"/>
      <c r="F21756" s="28"/>
      <c r="H21756" s="28"/>
    </row>
    <row r="21757" spans="4:8" x14ac:dyDescent="0.25">
      <c r="D21757" s="28"/>
      <c r="F21757" s="28"/>
      <c r="H21757" s="28"/>
    </row>
    <row r="21758" spans="4:8" x14ac:dyDescent="0.25">
      <c r="D21758" s="28"/>
      <c r="F21758" s="28"/>
      <c r="H21758" s="28"/>
    </row>
    <row r="21759" spans="4:8" x14ac:dyDescent="0.25">
      <c r="D21759" s="28"/>
      <c r="F21759" s="28"/>
      <c r="H21759" s="28"/>
    </row>
    <row r="21760" spans="4:8" x14ac:dyDescent="0.25">
      <c r="D21760" s="28"/>
      <c r="F21760" s="28"/>
      <c r="H21760" s="28"/>
    </row>
    <row r="21761" spans="4:8" x14ac:dyDescent="0.25">
      <c r="D21761" s="28"/>
      <c r="F21761" s="28"/>
      <c r="H21761" s="28"/>
    </row>
    <row r="21762" spans="4:8" x14ac:dyDescent="0.25">
      <c r="D21762" s="28"/>
      <c r="F21762" s="28"/>
      <c r="H21762" s="28"/>
    </row>
    <row r="21763" spans="4:8" x14ac:dyDescent="0.25">
      <c r="D21763" s="28"/>
      <c r="F21763" s="28"/>
      <c r="H21763" s="28"/>
    </row>
    <row r="21764" spans="4:8" x14ac:dyDescent="0.25">
      <c r="D21764" s="28"/>
      <c r="F21764" s="28"/>
      <c r="H21764" s="28"/>
    </row>
    <row r="21765" spans="4:8" x14ac:dyDescent="0.25">
      <c r="D21765" s="28"/>
      <c r="F21765" s="28"/>
      <c r="H21765" s="28"/>
    </row>
    <row r="21766" spans="4:8" x14ac:dyDescent="0.25">
      <c r="D21766" s="28"/>
      <c r="F21766" s="28"/>
      <c r="H21766" s="28"/>
    </row>
    <row r="21767" spans="4:8" x14ac:dyDescent="0.25">
      <c r="D21767" s="28"/>
      <c r="F21767" s="28"/>
      <c r="H21767" s="28"/>
    </row>
    <row r="21768" spans="4:8" x14ac:dyDescent="0.25">
      <c r="D21768" s="28"/>
      <c r="F21768" s="28"/>
      <c r="H21768" s="28"/>
    </row>
    <row r="21769" spans="4:8" x14ac:dyDescent="0.25">
      <c r="D21769" s="28"/>
      <c r="F21769" s="28"/>
      <c r="H21769" s="28"/>
    </row>
    <row r="21770" spans="4:8" x14ac:dyDescent="0.25">
      <c r="D21770" s="28"/>
      <c r="F21770" s="28"/>
      <c r="H21770" s="28"/>
    </row>
    <row r="21771" spans="4:8" x14ac:dyDescent="0.25">
      <c r="D21771" s="28"/>
      <c r="F21771" s="28"/>
      <c r="H21771" s="28"/>
    </row>
    <row r="21772" spans="4:8" x14ac:dyDescent="0.25">
      <c r="D21772" s="28"/>
      <c r="F21772" s="28"/>
      <c r="H21772" s="28"/>
    </row>
    <row r="21773" spans="4:8" x14ac:dyDescent="0.25">
      <c r="D21773" s="28"/>
      <c r="F21773" s="28"/>
      <c r="H21773" s="28"/>
    </row>
    <row r="21774" spans="4:8" x14ac:dyDescent="0.25">
      <c r="D21774" s="28"/>
      <c r="F21774" s="28"/>
      <c r="H21774" s="28"/>
    </row>
    <row r="21775" spans="4:8" x14ac:dyDescent="0.25">
      <c r="D21775" s="28"/>
      <c r="F21775" s="28"/>
      <c r="H21775" s="28"/>
    </row>
    <row r="21776" spans="4:8" x14ac:dyDescent="0.25">
      <c r="D21776" s="28"/>
      <c r="F21776" s="28"/>
      <c r="H21776" s="28"/>
    </row>
    <row r="21777" spans="4:8" x14ac:dyDescent="0.25">
      <c r="D21777" s="28"/>
      <c r="F21777" s="28"/>
      <c r="H21777" s="28"/>
    </row>
    <row r="21778" spans="4:8" x14ac:dyDescent="0.25">
      <c r="D21778" s="28"/>
      <c r="F21778" s="28"/>
      <c r="H21778" s="28"/>
    </row>
    <row r="21779" spans="4:8" x14ac:dyDescent="0.25">
      <c r="D21779" s="28"/>
      <c r="F21779" s="28"/>
      <c r="H21779" s="28"/>
    </row>
    <row r="21780" spans="4:8" x14ac:dyDescent="0.25">
      <c r="D21780" s="28"/>
      <c r="F21780" s="28"/>
      <c r="H21780" s="28"/>
    </row>
    <row r="21781" spans="4:8" x14ac:dyDescent="0.25">
      <c r="D21781" s="28"/>
      <c r="F21781" s="28"/>
      <c r="H21781" s="28"/>
    </row>
    <row r="21782" spans="4:8" x14ac:dyDescent="0.25">
      <c r="D21782" s="28"/>
      <c r="F21782" s="28"/>
      <c r="H21782" s="28"/>
    </row>
    <row r="21783" spans="4:8" x14ac:dyDescent="0.25">
      <c r="D21783" s="28"/>
      <c r="F21783" s="28"/>
      <c r="H21783" s="28"/>
    </row>
    <row r="21784" spans="4:8" x14ac:dyDescent="0.25">
      <c r="D21784" s="28"/>
      <c r="F21784" s="28"/>
      <c r="H21784" s="28"/>
    </row>
    <row r="21785" spans="4:8" x14ac:dyDescent="0.25">
      <c r="D21785" s="28"/>
      <c r="F21785" s="28"/>
      <c r="H21785" s="28"/>
    </row>
    <row r="21786" spans="4:8" x14ac:dyDescent="0.25">
      <c r="D21786" s="28"/>
      <c r="F21786" s="28"/>
      <c r="H21786" s="28"/>
    </row>
    <row r="21787" spans="4:8" x14ac:dyDescent="0.25">
      <c r="D21787" s="28"/>
      <c r="F21787" s="28"/>
      <c r="H21787" s="28"/>
    </row>
    <row r="21788" spans="4:8" x14ac:dyDescent="0.25">
      <c r="D21788" s="28"/>
      <c r="F21788" s="28"/>
      <c r="H21788" s="28"/>
    </row>
    <row r="21789" spans="4:8" x14ac:dyDescent="0.25">
      <c r="D21789" s="28"/>
      <c r="F21789" s="28"/>
      <c r="H21789" s="28"/>
    </row>
    <row r="21790" spans="4:8" x14ac:dyDescent="0.25">
      <c r="D21790" s="28"/>
      <c r="F21790" s="28"/>
      <c r="H21790" s="28"/>
    </row>
    <row r="21791" spans="4:8" x14ac:dyDescent="0.25">
      <c r="D21791" s="28"/>
      <c r="F21791" s="28"/>
      <c r="H21791" s="28"/>
    </row>
    <row r="21792" spans="4:8" x14ac:dyDescent="0.25">
      <c r="D21792" s="28"/>
      <c r="F21792" s="28"/>
      <c r="H21792" s="28"/>
    </row>
    <row r="21793" spans="4:8" x14ac:dyDescent="0.25">
      <c r="D21793" s="28"/>
      <c r="F21793" s="28"/>
      <c r="H21793" s="28"/>
    </row>
    <row r="21794" spans="4:8" x14ac:dyDescent="0.25">
      <c r="D21794" s="28"/>
      <c r="F21794" s="28"/>
      <c r="H21794" s="28"/>
    </row>
    <row r="21795" spans="4:8" x14ac:dyDescent="0.25">
      <c r="D21795" s="28"/>
      <c r="F21795" s="28"/>
      <c r="H21795" s="28"/>
    </row>
    <row r="21796" spans="4:8" x14ac:dyDescent="0.25">
      <c r="D21796" s="28"/>
      <c r="F21796" s="28"/>
      <c r="H21796" s="28"/>
    </row>
    <row r="21797" spans="4:8" x14ac:dyDescent="0.25">
      <c r="D21797" s="28"/>
      <c r="F21797" s="28"/>
      <c r="H21797" s="28"/>
    </row>
    <row r="21798" spans="4:8" x14ac:dyDescent="0.25">
      <c r="D21798" s="28"/>
      <c r="F21798" s="28"/>
      <c r="H21798" s="28"/>
    </row>
    <row r="21799" spans="4:8" x14ac:dyDescent="0.25">
      <c r="D21799" s="28"/>
      <c r="F21799" s="28"/>
      <c r="H21799" s="28"/>
    </row>
    <row r="21800" spans="4:8" x14ac:dyDescent="0.25">
      <c r="D21800" s="28"/>
      <c r="F21800" s="28"/>
      <c r="H21800" s="28"/>
    </row>
    <row r="21801" spans="4:8" x14ac:dyDescent="0.25">
      <c r="D21801" s="28"/>
      <c r="F21801" s="28"/>
      <c r="H21801" s="28"/>
    </row>
    <row r="21802" spans="4:8" x14ac:dyDescent="0.25">
      <c r="D21802" s="28"/>
      <c r="F21802" s="28"/>
      <c r="H21802" s="28"/>
    </row>
    <row r="21803" spans="4:8" x14ac:dyDescent="0.25">
      <c r="D21803" s="28"/>
      <c r="F21803" s="28"/>
      <c r="H21803" s="28"/>
    </row>
    <row r="21804" spans="4:8" x14ac:dyDescent="0.25">
      <c r="D21804" s="28"/>
      <c r="F21804" s="28"/>
      <c r="H21804" s="28"/>
    </row>
    <row r="21805" spans="4:8" x14ac:dyDescent="0.25">
      <c r="D21805" s="28"/>
      <c r="F21805" s="28"/>
      <c r="H21805" s="28"/>
    </row>
    <row r="21806" spans="4:8" x14ac:dyDescent="0.25">
      <c r="D21806" s="28"/>
      <c r="F21806" s="28"/>
      <c r="H21806" s="28"/>
    </row>
    <row r="21807" spans="4:8" x14ac:dyDescent="0.25">
      <c r="D21807" s="28"/>
      <c r="F21807" s="28"/>
      <c r="H21807" s="28"/>
    </row>
    <row r="21808" spans="4:8" x14ac:dyDescent="0.25">
      <c r="D21808" s="28"/>
      <c r="F21808" s="28"/>
      <c r="H21808" s="28"/>
    </row>
    <row r="21809" spans="4:8" x14ac:dyDescent="0.25">
      <c r="D21809" s="28"/>
      <c r="F21809" s="28"/>
      <c r="H21809" s="28"/>
    </row>
    <row r="21810" spans="4:8" x14ac:dyDescent="0.25">
      <c r="D21810" s="28"/>
      <c r="F21810" s="28"/>
      <c r="H21810" s="28"/>
    </row>
    <row r="21811" spans="4:8" x14ac:dyDescent="0.25">
      <c r="D21811" s="28"/>
      <c r="F21811" s="28"/>
      <c r="H21811" s="28"/>
    </row>
    <row r="21812" spans="4:8" x14ac:dyDescent="0.25">
      <c r="D21812" s="28"/>
      <c r="F21812" s="28"/>
      <c r="H21812" s="28"/>
    </row>
    <row r="21813" spans="4:8" x14ac:dyDescent="0.25">
      <c r="D21813" s="28"/>
      <c r="F21813" s="28"/>
      <c r="H21813" s="28"/>
    </row>
    <row r="21814" spans="4:8" x14ac:dyDescent="0.25">
      <c r="D21814" s="28"/>
      <c r="F21814" s="28"/>
      <c r="H21814" s="28"/>
    </row>
    <row r="21815" spans="4:8" x14ac:dyDescent="0.25">
      <c r="D21815" s="28"/>
      <c r="F21815" s="28"/>
      <c r="H21815" s="28"/>
    </row>
    <row r="21816" spans="4:8" x14ac:dyDescent="0.25">
      <c r="D21816" s="28"/>
      <c r="F21816" s="28"/>
      <c r="H21816" s="28"/>
    </row>
    <row r="21817" spans="4:8" x14ac:dyDescent="0.25">
      <c r="D21817" s="28"/>
      <c r="F21817" s="28"/>
      <c r="H21817" s="28"/>
    </row>
    <row r="21818" spans="4:8" x14ac:dyDescent="0.25">
      <c r="D21818" s="28"/>
      <c r="F21818" s="28"/>
      <c r="H21818" s="28"/>
    </row>
    <row r="21819" spans="4:8" x14ac:dyDescent="0.25">
      <c r="D21819" s="28"/>
      <c r="F21819" s="28"/>
      <c r="H21819" s="28"/>
    </row>
    <row r="21820" spans="4:8" x14ac:dyDescent="0.25">
      <c r="D21820" s="28"/>
      <c r="F21820" s="28"/>
      <c r="H21820" s="28"/>
    </row>
    <row r="21821" spans="4:8" x14ac:dyDescent="0.25">
      <c r="D21821" s="28"/>
      <c r="F21821" s="28"/>
      <c r="H21821" s="28"/>
    </row>
    <row r="21822" spans="4:8" x14ac:dyDescent="0.25">
      <c r="D21822" s="28"/>
      <c r="F21822" s="28"/>
      <c r="H21822" s="28"/>
    </row>
    <row r="21823" spans="4:8" x14ac:dyDescent="0.25">
      <c r="D21823" s="28"/>
      <c r="F21823" s="28"/>
      <c r="H21823" s="28"/>
    </row>
    <row r="21824" spans="4:8" x14ac:dyDescent="0.25">
      <c r="D21824" s="28"/>
      <c r="F21824" s="28"/>
      <c r="H21824" s="28"/>
    </row>
    <row r="21825" spans="4:8" x14ac:dyDescent="0.25">
      <c r="D21825" s="28"/>
      <c r="F21825" s="28"/>
      <c r="H21825" s="28"/>
    </row>
    <row r="21826" spans="4:8" x14ac:dyDescent="0.25">
      <c r="D21826" s="28"/>
      <c r="F21826" s="28"/>
      <c r="H21826" s="28"/>
    </row>
    <row r="21827" spans="4:8" x14ac:dyDescent="0.25">
      <c r="D21827" s="28"/>
      <c r="F21827" s="28"/>
      <c r="H21827" s="28"/>
    </row>
    <row r="21828" spans="4:8" x14ac:dyDescent="0.25">
      <c r="D21828" s="28"/>
      <c r="F21828" s="28"/>
      <c r="H21828" s="28"/>
    </row>
    <row r="21829" spans="4:8" x14ac:dyDescent="0.25">
      <c r="D21829" s="28"/>
      <c r="F21829" s="28"/>
      <c r="H21829" s="28"/>
    </row>
    <row r="21830" spans="4:8" x14ac:dyDescent="0.25">
      <c r="D21830" s="28"/>
      <c r="F21830" s="28"/>
      <c r="H21830" s="28"/>
    </row>
    <row r="21831" spans="4:8" x14ac:dyDescent="0.25">
      <c r="D21831" s="28"/>
      <c r="F21831" s="28"/>
      <c r="H21831" s="28"/>
    </row>
    <row r="21832" spans="4:8" x14ac:dyDescent="0.25">
      <c r="D21832" s="28"/>
      <c r="F21832" s="28"/>
      <c r="H21832" s="28"/>
    </row>
    <row r="21833" spans="4:8" x14ac:dyDescent="0.25">
      <c r="D21833" s="28"/>
      <c r="F21833" s="28"/>
      <c r="H21833" s="28"/>
    </row>
    <row r="21834" spans="4:8" x14ac:dyDescent="0.25">
      <c r="D21834" s="28"/>
      <c r="F21834" s="28"/>
      <c r="H21834" s="28"/>
    </row>
    <row r="21835" spans="4:8" x14ac:dyDescent="0.25">
      <c r="D21835" s="28"/>
      <c r="F21835" s="28"/>
      <c r="H21835" s="28"/>
    </row>
    <row r="21836" spans="4:8" x14ac:dyDescent="0.25">
      <c r="D21836" s="28"/>
      <c r="F21836" s="28"/>
      <c r="H21836" s="28"/>
    </row>
    <row r="21837" spans="4:8" x14ac:dyDescent="0.25">
      <c r="D21837" s="28"/>
      <c r="F21837" s="28"/>
      <c r="H21837" s="28"/>
    </row>
    <row r="21838" spans="4:8" x14ac:dyDescent="0.25">
      <c r="D21838" s="28"/>
      <c r="F21838" s="28"/>
      <c r="H21838" s="28"/>
    </row>
    <row r="21839" spans="4:8" x14ac:dyDescent="0.25">
      <c r="D21839" s="28"/>
      <c r="F21839" s="28"/>
      <c r="H21839" s="28"/>
    </row>
    <row r="21840" spans="4:8" x14ac:dyDescent="0.25">
      <c r="D21840" s="28"/>
      <c r="F21840" s="28"/>
      <c r="H21840" s="28"/>
    </row>
    <row r="21841" spans="4:8" x14ac:dyDescent="0.25">
      <c r="D21841" s="28"/>
      <c r="F21841" s="28"/>
      <c r="H21841" s="28"/>
    </row>
    <row r="21842" spans="4:8" x14ac:dyDescent="0.25">
      <c r="D21842" s="28"/>
      <c r="F21842" s="28"/>
      <c r="H21842" s="28"/>
    </row>
    <row r="21843" spans="4:8" x14ac:dyDescent="0.25">
      <c r="D21843" s="28"/>
      <c r="F21843" s="28"/>
      <c r="H21843" s="28"/>
    </row>
    <row r="21844" spans="4:8" x14ac:dyDescent="0.25">
      <c r="D21844" s="28"/>
      <c r="F21844" s="28"/>
      <c r="H21844" s="28"/>
    </row>
    <row r="21845" spans="4:8" x14ac:dyDescent="0.25">
      <c r="D21845" s="28"/>
      <c r="F21845" s="28"/>
      <c r="H21845" s="28"/>
    </row>
    <row r="21846" spans="4:8" x14ac:dyDescent="0.25">
      <c r="D21846" s="28"/>
      <c r="F21846" s="28"/>
      <c r="H21846" s="28"/>
    </row>
    <row r="21847" spans="4:8" x14ac:dyDescent="0.25">
      <c r="D21847" s="28"/>
      <c r="F21847" s="28"/>
      <c r="H21847" s="28"/>
    </row>
    <row r="21848" spans="4:8" x14ac:dyDescent="0.25">
      <c r="D21848" s="28"/>
      <c r="F21848" s="28"/>
      <c r="H21848" s="28"/>
    </row>
    <row r="21849" spans="4:8" x14ac:dyDescent="0.25">
      <c r="D21849" s="28"/>
      <c r="F21849" s="28"/>
      <c r="H21849" s="28"/>
    </row>
    <row r="21850" spans="4:8" x14ac:dyDescent="0.25">
      <c r="D21850" s="28"/>
      <c r="F21850" s="28"/>
      <c r="H21850" s="28"/>
    </row>
    <row r="21851" spans="4:8" x14ac:dyDescent="0.25">
      <c r="D21851" s="28"/>
      <c r="F21851" s="28"/>
      <c r="H21851" s="28"/>
    </row>
    <row r="21852" spans="4:8" x14ac:dyDescent="0.25">
      <c r="D21852" s="28"/>
      <c r="F21852" s="28"/>
      <c r="H21852" s="28"/>
    </row>
    <row r="21853" spans="4:8" x14ac:dyDescent="0.25">
      <c r="D21853" s="28"/>
      <c r="F21853" s="28"/>
      <c r="H21853" s="28"/>
    </row>
    <row r="21854" spans="4:8" x14ac:dyDescent="0.25">
      <c r="D21854" s="28"/>
      <c r="F21854" s="28"/>
      <c r="H21854" s="28"/>
    </row>
    <row r="21855" spans="4:8" x14ac:dyDescent="0.25">
      <c r="D21855" s="28"/>
      <c r="F21855" s="28"/>
      <c r="H21855" s="28"/>
    </row>
    <row r="21856" spans="4:8" x14ac:dyDescent="0.25">
      <c r="D21856" s="28"/>
      <c r="F21856" s="28"/>
      <c r="H21856" s="28"/>
    </row>
    <row r="21857" spans="4:8" x14ac:dyDescent="0.25">
      <c r="D21857" s="28"/>
      <c r="F21857" s="28"/>
      <c r="H21857" s="28"/>
    </row>
    <row r="21858" spans="4:8" x14ac:dyDescent="0.25">
      <c r="D21858" s="28"/>
      <c r="F21858" s="28"/>
      <c r="H21858" s="28"/>
    </row>
    <row r="21859" spans="4:8" x14ac:dyDescent="0.25">
      <c r="D21859" s="28"/>
      <c r="F21859" s="28"/>
      <c r="H21859" s="28"/>
    </row>
    <row r="21860" spans="4:8" x14ac:dyDescent="0.25">
      <c r="D21860" s="28"/>
      <c r="F21860" s="28"/>
      <c r="H21860" s="28"/>
    </row>
    <row r="21861" spans="4:8" x14ac:dyDescent="0.25">
      <c r="D21861" s="28"/>
      <c r="F21861" s="28"/>
      <c r="H21861" s="28"/>
    </row>
    <row r="21862" spans="4:8" x14ac:dyDescent="0.25">
      <c r="D21862" s="28"/>
      <c r="F21862" s="28"/>
      <c r="H21862" s="28"/>
    </row>
    <row r="21863" spans="4:8" x14ac:dyDescent="0.25">
      <c r="D21863" s="28"/>
      <c r="F21863" s="28"/>
      <c r="H21863" s="28"/>
    </row>
    <row r="21864" spans="4:8" x14ac:dyDescent="0.25">
      <c r="D21864" s="28"/>
      <c r="F21864" s="28"/>
      <c r="H21864" s="28"/>
    </row>
    <row r="21865" spans="4:8" x14ac:dyDescent="0.25">
      <c r="D21865" s="28"/>
      <c r="F21865" s="28"/>
      <c r="H21865" s="28"/>
    </row>
    <row r="21866" spans="4:8" x14ac:dyDescent="0.25">
      <c r="D21866" s="28"/>
      <c r="F21866" s="28"/>
      <c r="H21866" s="28"/>
    </row>
    <row r="21867" spans="4:8" x14ac:dyDescent="0.25">
      <c r="D21867" s="28"/>
      <c r="F21867" s="28"/>
      <c r="H21867" s="28"/>
    </row>
    <row r="21868" spans="4:8" x14ac:dyDescent="0.25">
      <c r="D21868" s="28"/>
      <c r="F21868" s="28"/>
      <c r="H21868" s="28"/>
    </row>
    <row r="21869" spans="4:8" x14ac:dyDescent="0.25">
      <c r="D21869" s="28"/>
      <c r="F21869" s="28"/>
      <c r="H21869" s="28"/>
    </row>
    <row r="21870" spans="4:8" x14ac:dyDescent="0.25">
      <c r="D21870" s="28"/>
      <c r="F21870" s="28"/>
      <c r="H21870" s="28"/>
    </row>
    <row r="21871" spans="4:8" x14ac:dyDescent="0.25">
      <c r="D21871" s="28"/>
      <c r="F21871" s="28"/>
      <c r="H21871" s="28"/>
    </row>
    <row r="21872" spans="4:8" x14ac:dyDescent="0.25">
      <c r="D21872" s="28"/>
      <c r="F21872" s="28"/>
      <c r="H21872" s="28"/>
    </row>
    <row r="21873" spans="4:8" x14ac:dyDescent="0.25">
      <c r="D21873" s="28"/>
      <c r="F21873" s="28"/>
      <c r="H21873" s="28"/>
    </row>
    <row r="21874" spans="4:8" x14ac:dyDescent="0.25">
      <c r="D21874" s="28"/>
      <c r="F21874" s="28"/>
      <c r="H21874" s="28"/>
    </row>
    <row r="21875" spans="4:8" x14ac:dyDescent="0.25">
      <c r="D21875" s="28"/>
      <c r="F21875" s="28"/>
      <c r="H21875" s="28"/>
    </row>
    <row r="21876" spans="4:8" x14ac:dyDescent="0.25">
      <c r="D21876" s="28"/>
      <c r="F21876" s="28"/>
      <c r="H21876" s="28"/>
    </row>
    <row r="21877" spans="4:8" x14ac:dyDescent="0.25">
      <c r="D21877" s="28"/>
      <c r="F21877" s="28"/>
      <c r="H21877" s="28"/>
    </row>
    <row r="21878" spans="4:8" x14ac:dyDescent="0.25">
      <c r="D21878" s="28"/>
      <c r="F21878" s="28"/>
      <c r="H21878" s="28"/>
    </row>
    <row r="21879" spans="4:8" x14ac:dyDescent="0.25">
      <c r="D21879" s="28"/>
      <c r="F21879" s="28"/>
      <c r="H21879" s="28"/>
    </row>
    <row r="21880" spans="4:8" x14ac:dyDescent="0.25">
      <c r="D21880" s="28"/>
      <c r="F21880" s="28"/>
      <c r="H21880" s="28"/>
    </row>
    <row r="21881" spans="4:8" x14ac:dyDescent="0.25">
      <c r="D21881" s="28"/>
      <c r="F21881" s="28"/>
      <c r="H21881" s="28"/>
    </row>
    <row r="21882" spans="4:8" x14ac:dyDescent="0.25">
      <c r="D21882" s="28"/>
      <c r="F21882" s="28"/>
      <c r="H21882" s="28"/>
    </row>
    <row r="21883" spans="4:8" x14ac:dyDescent="0.25">
      <c r="D21883" s="28"/>
      <c r="F21883" s="28"/>
      <c r="H21883" s="28"/>
    </row>
    <row r="21884" spans="4:8" x14ac:dyDescent="0.25">
      <c r="D21884" s="28"/>
      <c r="F21884" s="28"/>
      <c r="H21884" s="28"/>
    </row>
    <row r="21885" spans="4:8" x14ac:dyDescent="0.25">
      <c r="D21885" s="28"/>
      <c r="F21885" s="28"/>
      <c r="H21885" s="28"/>
    </row>
    <row r="21886" spans="4:8" x14ac:dyDescent="0.25">
      <c r="D21886" s="28"/>
      <c r="F21886" s="28"/>
      <c r="H21886" s="28"/>
    </row>
    <row r="21887" spans="4:8" x14ac:dyDescent="0.25">
      <c r="D21887" s="28"/>
      <c r="F21887" s="28"/>
      <c r="H21887" s="28"/>
    </row>
    <row r="21888" spans="4:8" x14ac:dyDescent="0.25">
      <c r="D21888" s="28"/>
      <c r="F21888" s="28"/>
      <c r="H21888" s="28"/>
    </row>
    <row r="21889" spans="4:8" x14ac:dyDescent="0.25">
      <c r="D21889" s="28"/>
      <c r="F21889" s="28"/>
      <c r="H21889" s="28"/>
    </row>
    <row r="21890" spans="4:8" x14ac:dyDescent="0.25">
      <c r="D21890" s="28"/>
      <c r="F21890" s="28"/>
      <c r="H21890" s="28"/>
    </row>
    <row r="21891" spans="4:8" x14ac:dyDescent="0.25">
      <c r="D21891" s="28"/>
      <c r="F21891" s="28"/>
      <c r="H21891" s="28"/>
    </row>
    <row r="21892" spans="4:8" x14ac:dyDescent="0.25">
      <c r="D21892" s="28"/>
      <c r="F21892" s="28"/>
      <c r="H21892" s="28"/>
    </row>
    <row r="21893" spans="4:8" x14ac:dyDescent="0.25">
      <c r="D21893" s="28"/>
      <c r="F21893" s="28"/>
      <c r="H21893" s="28"/>
    </row>
    <row r="21894" spans="4:8" x14ac:dyDescent="0.25">
      <c r="D21894" s="28"/>
      <c r="F21894" s="28"/>
      <c r="H21894" s="28"/>
    </row>
    <row r="21895" spans="4:8" x14ac:dyDescent="0.25">
      <c r="D21895" s="28"/>
      <c r="F21895" s="28"/>
      <c r="H21895" s="28"/>
    </row>
    <row r="21896" spans="4:8" x14ac:dyDescent="0.25">
      <c r="D21896" s="28"/>
      <c r="F21896" s="28"/>
      <c r="H21896" s="28"/>
    </row>
    <row r="21897" spans="4:8" x14ac:dyDescent="0.25">
      <c r="D21897" s="28"/>
      <c r="F21897" s="28"/>
      <c r="H21897" s="28"/>
    </row>
    <row r="21898" spans="4:8" x14ac:dyDescent="0.25">
      <c r="D21898" s="28"/>
      <c r="F21898" s="28"/>
      <c r="H21898" s="28"/>
    </row>
    <row r="21899" spans="4:8" x14ac:dyDescent="0.25">
      <c r="D21899" s="28"/>
      <c r="F21899" s="28"/>
      <c r="H21899" s="28"/>
    </row>
    <row r="21900" spans="4:8" x14ac:dyDescent="0.25">
      <c r="D21900" s="28"/>
      <c r="F21900" s="28"/>
      <c r="H21900" s="28"/>
    </row>
    <row r="21901" spans="4:8" x14ac:dyDescent="0.25">
      <c r="D21901" s="28"/>
      <c r="F21901" s="28"/>
      <c r="H21901" s="28"/>
    </row>
    <row r="21902" spans="4:8" x14ac:dyDescent="0.25">
      <c r="D21902" s="28"/>
      <c r="F21902" s="28"/>
      <c r="H21902" s="28"/>
    </row>
    <row r="21903" spans="4:8" x14ac:dyDescent="0.25">
      <c r="D21903" s="28"/>
      <c r="F21903" s="28"/>
      <c r="H21903" s="28"/>
    </row>
    <row r="21904" spans="4:8" x14ac:dyDescent="0.25">
      <c r="D21904" s="28"/>
      <c r="F21904" s="28"/>
      <c r="H21904" s="28"/>
    </row>
    <row r="21905" spans="4:8" x14ac:dyDescent="0.25">
      <c r="D21905" s="28"/>
      <c r="F21905" s="28"/>
      <c r="H21905" s="28"/>
    </row>
    <row r="21906" spans="4:8" x14ac:dyDescent="0.25">
      <c r="D21906" s="28"/>
      <c r="F21906" s="28"/>
      <c r="H21906" s="28"/>
    </row>
    <row r="21907" spans="4:8" x14ac:dyDescent="0.25">
      <c r="D21907" s="28"/>
      <c r="F21907" s="28"/>
      <c r="H21907" s="28"/>
    </row>
    <row r="21908" spans="4:8" x14ac:dyDescent="0.25">
      <c r="D21908" s="28"/>
      <c r="F21908" s="28"/>
      <c r="H21908" s="28"/>
    </row>
    <row r="21909" spans="4:8" x14ac:dyDescent="0.25">
      <c r="D21909" s="28"/>
      <c r="F21909" s="28"/>
      <c r="H21909" s="28"/>
    </row>
    <row r="21910" spans="4:8" x14ac:dyDescent="0.25">
      <c r="D21910" s="28"/>
      <c r="F21910" s="28"/>
      <c r="H21910" s="28"/>
    </row>
    <row r="21911" spans="4:8" x14ac:dyDescent="0.25">
      <c r="D21911" s="28"/>
      <c r="F21911" s="28"/>
      <c r="H21911" s="28"/>
    </row>
    <row r="21912" spans="4:8" x14ac:dyDescent="0.25">
      <c r="D21912" s="28"/>
      <c r="F21912" s="28"/>
      <c r="H21912" s="28"/>
    </row>
    <row r="21913" spans="4:8" x14ac:dyDescent="0.25">
      <c r="D21913" s="28"/>
      <c r="F21913" s="28"/>
      <c r="H21913" s="28"/>
    </row>
    <row r="21914" spans="4:8" x14ac:dyDescent="0.25">
      <c r="D21914" s="28"/>
      <c r="F21914" s="28"/>
      <c r="H21914" s="28"/>
    </row>
    <row r="21915" spans="4:8" x14ac:dyDescent="0.25">
      <c r="D21915" s="28"/>
      <c r="F21915" s="28"/>
      <c r="H21915" s="28"/>
    </row>
    <row r="21916" spans="4:8" x14ac:dyDescent="0.25">
      <c r="D21916" s="28"/>
      <c r="F21916" s="28"/>
      <c r="H21916" s="28"/>
    </row>
    <row r="21917" spans="4:8" x14ac:dyDescent="0.25">
      <c r="D21917" s="28"/>
      <c r="F21917" s="28"/>
      <c r="H21917" s="28"/>
    </row>
    <row r="21918" spans="4:8" x14ac:dyDescent="0.25">
      <c r="D21918" s="28"/>
      <c r="F21918" s="28"/>
      <c r="H21918" s="28"/>
    </row>
    <row r="21919" spans="4:8" x14ac:dyDescent="0.25">
      <c r="D21919" s="28"/>
      <c r="F21919" s="28"/>
      <c r="H21919" s="28"/>
    </row>
    <row r="21920" spans="4:8" x14ac:dyDescent="0.25">
      <c r="D21920" s="28"/>
      <c r="F21920" s="28"/>
      <c r="H21920" s="28"/>
    </row>
    <row r="21921" spans="4:8" x14ac:dyDescent="0.25">
      <c r="D21921" s="28"/>
      <c r="F21921" s="28"/>
      <c r="H21921" s="28"/>
    </row>
    <row r="21922" spans="4:8" x14ac:dyDescent="0.25">
      <c r="D21922" s="28"/>
      <c r="F21922" s="28"/>
      <c r="H21922" s="28"/>
    </row>
    <row r="21923" spans="4:8" x14ac:dyDescent="0.25">
      <c r="D21923" s="28"/>
      <c r="F21923" s="28"/>
      <c r="H21923" s="28"/>
    </row>
    <row r="21924" spans="4:8" x14ac:dyDescent="0.25">
      <c r="D21924" s="28"/>
      <c r="F21924" s="28"/>
      <c r="H21924" s="28"/>
    </row>
    <row r="21925" spans="4:8" x14ac:dyDescent="0.25">
      <c r="D21925" s="28"/>
      <c r="F21925" s="28"/>
      <c r="H21925" s="28"/>
    </row>
    <row r="21926" spans="4:8" x14ac:dyDescent="0.25">
      <c r="D21926" s="28"/>
      <c r="F21926" s="28"/>
      <c r="H21926" s="28"/>
    </row>
    <row r="21927" spans="4:8" x14ac:dyDescent="0.25">
      <c r="D21927" s="28"/>
      <c r="F21927" s="28"/>
      <c r="H21927" s="28"/>
    </row>
    <row r="21928" spans="4:8" x14ac:dyDescent="0.25">
      <c r="D21928" s="28"/>
      <c r="F21928" s="28"/>
      <c r="H21928" s="28"/>
    </row>
    <row r="21929" spans="4:8" x14ac:dyDescent="0.25">
      <c r="D21929" s="28"/>
      <c r="F21929" s="28"/>
      <c r="H21929" s="28"/>
    </row>
    <row r="21930" spans="4:8" x14ac:dyDescent="0.25">
      <c r="D21930" s="28"/>
      <c r="F21930" s="28"/>
      <c r="H21930" s="28"/>
    </row>
    <row r="21931" spans="4:8" x14ac:dyDescent="0.25">
      <c r="D21931" s="28"/>
      <c r="F21931" s="28"/>
      <c r="H21931" s="28"/>
    </row>
    <row r="21932" spans="4:8" x14ac:dyDescent="0.25">
      <c r="D21932" s="28"/>
      <c r="F21932" s="28"/>
      <c r="H21932" s="28"/>
    </row>
    <row r="21933" spans="4:8" x14ac:dyDescent="0.25">
      <c r="D21933" s="28"/>
      <c r="F21933" s="28"/>
      <c r="H21933" s="28"/>
    </row>
    <row r="21934" spans="4:8" x14ac:dyDescent="0.25">
      <c r="D21934" s="28"/>
      <c r="F21934" s="28"/>
      <c r="H21934" s="28"/>
    </row>
    <row r="21935" spans="4:8" x14ac:dyDescent="0.25">
      <c r="D21935" s="28"/>
      <c r="F21935" s="28"/>
      <c r="H21935" s="28"/>
    </row>
    <row r="21936" spans="4:8" x14ac:dyDescent="0.25">
      <c r="D21936" s="28"/>
      <c r="F21936" s="28"/>
      <c r="H21936" s="28"/>
    </row>
    <row r="21937" spans="4:8" x14ac:dyDescent="0.25">
      <c r="D21937" s="28"/>
      <c r="F21937" s="28"/>
      <c r="H21937" s="28"/>
    </row>
    <row r="21938" spans="4:8" x14ac:dyDescent="0.25">
      <c r="D21938" s="28"/>
      <c r="F21938" s="28"/>
      <c r="H21938" s="28"/>
    </row>
    <row r="21939" spans="4:8" x14ac:dyDescent="0.25">
      <c r="D21939" s="28"/>
      <c r="F21939" s="28"/>
      <c r="H21939" s="28"/>
    </row>
    <row r="21940" spans="4:8" x14ac:dyDescent="0.25">
      <c r="D21940" s="28"/>
      <c r="F21940" s="28"/>
      <c r="H21940" s="28"/>
    </row>
    <row r="21941" spans="4:8" x14ac:dyDescent="0.25">
      <c r="D21941" s="28"/>
      <c r="F21941" s="28"/>
      <c r="H21941" s="28"/>
    </row>
    <row r="21942" spans="4:8" x14ac:dyDescent="0.25">
      <c r="D21942" s="28"/>
      <c r="F21942" s="28"/>
      <c r="H21942" s="28"/>
    </row>
    <row r="21943" spans="4:8" x14ac:dyDescent="0.25">
      <c r="D21943" s="28"/>
      <c r="F21943" s="28"/>
      <c r="H21943" s="28"/>
    </row>
    <row r="21944" spans="4:8" x14ac:dyDescent="0.25">
      <c r="D21944" s="28"/>
      <c r="F21944" s="28"/>
      <c r="H21944" s="28"/>
    </row>
    <row r="21945" spans="4:8" x14ac:dyDescent="0.25">
      <c r="D21945" s="28"/>
      <c r="F21945" s="28"/>
      <c r="H21945" s="28"/>
    </row>
    <row r="21946" spans="4:8" x14ac:dyDescent="0.25">
      <c r="D21946" s="28"/>
      <c r="F21946" s="28"/>
      <c r="H21946" s="28"/>
    </row>
    <row r="21947" spans="4:8" x14ac:dyDescent="0.25">
      <c r="D21947" s="28"/>
      <c r="F21947" s="28"/>
      <c r="H21947" s="28"/>
    </row>
    <row r="21948" spans="4:8" x14ac:dyDescent="0.25">
      <c r="D21948" s="28"/>
      <c r="F21948" s="28"/>
      <c r="H21948" s="28"/>
    </row>
    <row r="21949" spans="4:8" x14ac:dyDescent="0.25">
      <c r="D21949" s="28"/>
      <c r="F21949" s="28"/>
      <c r="H21949" s="28"/>
    </row>
    <row r="21950" spans="4:8" x14ac:dyDescent="0.25">
      <c r="D21950" s="28"/>
      <c r="F21950" s="28"/>
      <c r="H21950" s="28"/>
    </row>
    <row r="21951" spans="4:8" x14ac:dyDescent="0.25">
      <c r="D21951" s="28"/>
      <c r="F21951" s="28"/>
      <c r="H21951" s="28"/>
    </row>
    <row r="21952" spans="4:8" x14ac:dyDescent="0.25">
      <c r="D21952" s="28"/>
      <c r="F21952" s="28"/>
      <c r="H21952" s="28"/>
    </row>
    <row r="21953" spans="4:8" x14ac:dyDescent="0.25">
      <c r="D21953" s="28"/>
      <c r="F21953" s="28"/>
      <c r="H21953" s="28"/>
    </row>
    <row r="21954" spans="4:8" x14ac:dyDescent="0.25">
      <c r="D21954" s="28"/>
      <c r="F21954" s="28"/>
      <c r="H21954" s="28"/>
    </row>
    <row r="21955" spans="4:8" x14ac:dyDescent="0.25">
      <c r="D21955" s="28"/>
      <c r="F21955" s="28"/>
      <c r="H21955" s="28"/>
    </row>
    <row r="21956" spans="4:8" x14ac:dyDescent="0.25">
      <c r="D21956" s="28"/>
      <c r="F21956" s="28"/>
      <c r="H21956" s="28"/>
    </row>
    <row r="21957" spans="4:8" x14ac:dyDescent="0.25">
      <c r="D21957" s="28"/>
      <c r="F21957" s="28"/>
      <c r="H21957" s="28"/>
    </row>
    <row r="21958" spans="4:8" x14ac:dyDescent="0.25">
      <c r="D21958" s="28"/>
      <c r="F21958" s="28"/>
      <c r="H21958" s="28"/>
    </row>
    <row r="21959" spans="4:8" x14ac:dyDescent="0.25">
      <c r="D21959" s="28"/>
      <c r="F21959" s="28"/>
      <c r="H21959" s="28"/>
    </row>
    <row r="21960" spans="4:8" x14ac:dyDescent="0.25">
      <c r="D21960" s="28"/>
      <c r="F21960" s="28"/>
      <c r="H21960" s="28"/>
    </row>
    <row r="21961" spans="4:8" x14ac:dyDescent="0.25">
      <c r="D21961" s="28"/>
      <c r="F21961" s="28"/>
      <c r="H21961" s="28"/>
    </row>
    <row r="21962" spans="4:8" x14ac:dyDescent="0.25">
      <c r="D21962" s="28"/>
      <c r="F21962" s="28"/>
      <c r="H21962" s="28"/>
    </row>
    <row r="21963" spans="4:8" x14ac:dyDescent="0.25">
      <c r="D21963" s="28"/>
      <c r="F21963" s="28"/>
      <c r="H21963" s="28"/>
    </row>
    <row r="21964" spans="4:8" x14ac:dyDescent="0.25">
      <c r="D21964" s="28"/>
      <c r="F21964" s="28"/>
      <c r="H21964" s="28"/>
    </row>
    <row r="21965" spans="4:8" x14ac:dyDescent="0.25">
      <c r="D21965" s="28"/>
      <c r="F21965" s="28"/>
      <c r="H21965" s="28"/>
    </row>
    <row r="21966" spans="4:8" x14ac:dyDescent="0.25">
      <c r="D21966" s="28"/>
      <c r="F21966" s="28"/>
      <c r="H21966" s="28"/>
    </row>
    <row r="21967" spans="4:8" x14ac:dyDescent="0.25">
      <c r="D21967" s="28"/>
      <c r="F21967" s="28"/>
      <c r="H21967" s="28"/>
    </row>
    <row r="21968" spans="4:8" x14ac:dyDescent="0.25">
      <c r="D21968" s="28"/>
      <c r="F21968" s="28"/>
      <c r="H21968" s="28"/>
    </row>
    <row r="21969" spans="4:8" x14ac:dyDescent="0.25">
      <c r="D21969" s="28"/>
      <c r="F21969" s="28"/>
      <c r="H21969" s="28"/>
    </row>
    <row r="21970" spans="4:8" x14ac:dyDescent="0.25">
      <c r="D21970" s="28"/>
      <c r="F21970" s="28"/>
      <c r="H21970" s="28"/>
    </row>
    <row r="21971" spans="4:8" x14ac:dyDescent="0.25">
      <c r="D21971" s="28"/>
      <c r="F21971" s="28"/>
      <c r="H21971" s="28"/>
    </row>
    <row r="21972" spans="4:8" x14ac:dyDescent="0.25">
      <c r="D21972" s="28"/>
      <c r="F21972" s="28"/>
      <c r="H21972" s="28"/>
    </row>
    <row r="21973" spans="4:8" x14ac:dyDescent="0.25">
      <c r="D21973" s="28"/>
      <c r="F21973" s="28"/>
      <c r="H21973" s="28"/>
    </row>
    <row r="21974" spans="4:8" x14ac:dyDescent="0.25">
      <c r="D21974" s="28"/>
      <c r="F21974" s="28"/>
      <c r="H21974" s="28"/>
    </row>
    <row r="21975" spans="4:8" x14ac:dyDescent="0.25">
      <c r="D21975" s="28"/>
      <c r="F21975" s="28"/>
      <c r="H21975" s="28"/>
    </row>
    <row r="21976" spans="4:8" x14ac:dyDescent="0.25">
      <c r="D21976" s="28"/>
      <c r="F21976" s="28"/>
      <c r="H21976" s="28"/>
    </row>
    <row r="21977" spans="4:8" x14ac:dyDescent="0.25">
      <c r="D21977" s="28"/>
      <c r="F21977" s="28"/>
      <c r="H21977" s="28"/>
    </row>
    <row r="21978" spans="4:8" x14ac:dyDescent="0.25">
      <c r="D21978" s="28"/>
      <c r="F21978" s="28"/>
      <c r="H21978" s="28"/>
    </row>
    <row r="21979" spans="4:8" x14ac:dyDescent="0.25">
      <c r="D21979" s="28"/>
      <c r="F21979" s="28"/>
      <c r="H21979" s="28"/>
    </row>
    <row r="21980" spans="4:8" x14ac:dyDescent="0.25">
      <c r="D21980" s="28"/>
      <c r="F21980" s="28"/>
      <c r="H21980" s="28"/>
    </row>
    <row r="21981" spans="4:8" x14ac:dyDescent="0.25">
      <c r="D21981" s="28"/>
      <c r="F21981" s="28"/>
      <c r="H21981" s="28"/>
    </row>
    <row r="21982" spans="4:8" x14ac:dyDescent="0.25">
      <c r="D21982" s="28"/>
      <c r="F21982" s="28"/>
      <c r="H21982" s="28"/>
    </row>
    <row r="21983" spans="4:8" x14ac:dyDescent="0.25">
      <c r="D21983" s="28"/>
      <c r="F21983" s="28"/>
      <c r="H21983" s="28"/>
    </row>
    <row r="21984" spans="4:8" x14ac:dyDescent="0.25">
      <c r="D21984" s="28"/>
      <c r="F21984" s="28"/>
      <c r="H21984" s="28"/>
    </row>
    <row r="21985" spans="4:8" x14ac:dyDescent="0.25">
      <c r="D21985" s="28"/>
      <c r="F21985" s="28"/>
      <c r="H21985" s="28"/>
    </row>
    <row r="21986" spans="4:8" x14ac:dyDescent="0.25">
      <c r="D21986" s="28"/>
      <c r="F21986" s="28"/>
      <c r="H21986" s="28"/>
    </row>
    <row r="21987" spans="4:8" x14ac:dyDescent="0.25">
      <c r="D21987" s="28"/>
      <c r="F21987" s="28"/>
      <c r="H21987" s="28"/>
    </row>
    <row r="21988" spans="4:8" x14ac:dyDescent="0.25">
      <c r="D21988" s="28"/>
      <c r="F21988" s="28"/>
      <c r="H21988" s="28"/>
    </row>
    <row r="21989" spans="4:8" x14ac:dyDescent="0.25">
      <c r="D21989" s="28"/>
      <c r="F21989" s="28"/>
      <c r="H21989" s="28"/>
    </row>
    <row r="21990" spans="4:8" x14ac:dyDescent="0.25">
      <c r="D21990" s="28"/>
      <c r="F21990" s="28"/>
      <c r="H21990" s="28"/>
    </row>
    <row r="21991" spans="4:8" x14ac:dyDescent="0.25">
      <c r="D21991" s="28"/>
      <c r="F21991" s="28"/>
      <c r="H21991" s="28"/>
    </row>
    <row r="21992" spans="4:8" x14ac:dyDescent="0.25">
      <c r="D21992" s="28"/>
      <c r="F21992" s="28"/>
      <c r="H21992" s="28"/>
    </row>
    <row r="21993" spans="4:8" x14ac:dyDescent="0.25">
      <c r="D21993" s="28"/>
      <c r="F21993" s="28"/>
      <c r="H21993" s="28"/>
    </row>
    <row r="21994" spans="4:8" x14ac:dyDescent="0.25">
      <c r="D21994" s="28"/>
      <c r="F21994" s="28"/>
      <c r="H21994" s="28"/>
    </row>
    <row r="21995" spans="4:8" x14ac:dyDescent="0.25">
      <c r="D21995" s="28"/>
      <c r="F21995" s="28"/>
      <c r="H21995" s="28"/>
    </row>
    <row r="21996" spans="4:8" x14ac:dyDescent="0.25">
      <c r="D21996" s="28"/>
      <c r="F21996" s="28"/>
      <c r="H21996" s="28"/>
    </row>
    <row r="21997" spans="4:8" x14ac:dyDescent="0.25">
      <c r="D21997" s="28"/>
      <c r="F21997" s="28"/>
      <c r="H21997" s="28"/>
    </row>
    <row r="21998" spans="4:8" x14ac:dyDescent="0.25">
      <c r="D21998" s="28"/>
      <c r="F21998" s="28"/>
      <c r="H21998" s="28"/>
    </row>
    <row r="21999" spans="4:8" x14ac:dyDescent="0.25">
      <c r="D21999" s="28"/>
      <c r="F21999" s="28"/>
      <c r="H21999" s="28"/>
    </row>
    <row r="22000" spans="4:8" x14ac:dyDescent="0.25">
      <c r="D22000" s="28"/>
      <c r="F22000" s="28"/>
      <c r="H22000" s="28"/>
    </row>
    <row r="22001" spans="4:8" x14ac:dyDescent="0.25">
      <c r="D22001" s="28"/>
      <c r="F22001" s="28"/>
      <c r="H22001" s="28"/>
    </row>
    <row r="22002" spans="4:8" x14ac:dyDescent="0.25">
      <c r="D22002" s="28"/>
      <c r="F22002" s="28"/>
      <c r="H22002" s="28"/>
    </row>
    <row r="22003" spans="4:8" x14ac:dyDescent="0.25">
      <c r="D22003" s="28"/>
      <c r="F22003" s="28"/>
      <c r="H22003" s="28"/>
    </row>
    <row r="22004" spans="4:8" x14ac:dyDescent="0.25">
      <c r="D22004" s="28"/>
      <c r="F22004" s="28"/>
      <c r="H22004" s="28"/>
    </row>
    <row r="22005" spans="4:8" x14ac:dyDescent="0.25">
      <c r="D22005" s="28"/>
      <c r="F22005" s="28"/>
      <c r="H22005" s="28"/>
    </row>
    <row r="22006" spans="4:8" x14ac:dyDescent="0.25">
      <c r="D22006" s="28"/>
      <c r="F22006" s="28"/>
      <c r="H22006" s="28"/>
    </row>
    <row r="22007" spans="4:8" x14ac:dyDescent="0.25">
      <c r="D22007" s="28"/>
      <c r="F22007" s="28"/>
      <c r="H22007" s="28"/>
    </row>
    <row r="22008" spans="4:8" x14ac:dyDescent="0.25">
      <c r="D22008" s="28"/>
      <c r="F22008" s="28"/>
      <c r="H22008" s="28"/>
    </row>
    <row r="22009" spans="4:8" x14ac:dyDescent="0.25">
      <c r="D22009" s="28"/>
      <c r="F22009" s="28"/>
      <c r="H22009" s="28"/>
    </row>
    <row r="22010" spans="4:8" x14ac:dyDescent="0.25">
      <c r="D22010" s="28"/>
      <c r="F22010" s="28"/>
      <c r="H22010" s="28"/>
    </row>
    <row r="22011" spans="4:8" x14ac:dyDescent="0.25">
      <c r="D22011" s="28"/>
      <c r="F22011" s="28"/>
      <c r="H22011" s="28"/>
    </row>
    <row r="22012" spans="4:8" x14ac:dyDescent="0.25">
      <c r="D22012" s="28"/>
      <c r="F22012" s="28"/>
      <c r="H22012" s="28"/>
    </row>
    <row r="22013" spans="4:8" x14ac:dyDescent="0.25">
      <c r="D22013" s="28"/>
      <c r="F22013" s="28"/>
      <c r="H22013" s="28"/>
    </row>
    <row r="22014" spans="4:8" x14ac:dyDescent="0.25">
      <c r="D22014" s="28"/>
      <c r="F22014" s="28"/>
      <c r="H22014" s="28"/>
    </row>
    <row r="22015" spans="4:8" x14ac:dyDescent="0.25">
      <c r="D22015" s="28"/>
      <c r="F22015" s="28"/>
      <c r="H22015" s="28"/>
    </row>
    <row r="22016" spans="4:8" x14ac:dyDescent="0.25">
      <c r="D22016" s="28"/>
      <c r="F22016" s="28"/>
      <c r="H22016" s="28"/>
    </row>
    <row r="22017" spans="4:8" x14ac:dyDescent="0.25">
      <c r="D22017" s="28"/>
      <c r="F22017" s="28"/>
      <c r="H22017" s="28"/>
    </row>
    <row r="22018" spans="4:8" x14ac:dyDescent="0.25">
      <c r="D22018" s="28"/>
      <c r="F22018" s="28"/>
      <c r="H22018" s="28"/>
    </row>
    <row r="22019" spans="4:8" x14ac:dyDescent="0.25">
      <c r="D22019" s="28"/>
      <c r="F22019" s="28"/>
      <c r="H22019" s="28"/>
    </row>
    <row r="22020" spans="4:8" x14ac:dyDescent="0.25">
      <c r="D22020" s="28"/>
      <c r="F22020" s="28"/>
      <c r="H22020" s="28"/>
    </row>
    <row r="22021" spans="4:8" x14ac:dyDescent="0.25">
      <c r="D22021" s="28"/>
      <c r="F22021" s="28"/>
      <c r="H22021" s="28"/>
    </row>
    <row r="22022" spans="4:8" x14ac:dyDescent="0.25">
      <c r="D22022" s="28"/>
      <c r="F22022" s="28"/>
      <c r="H22022" s="28"/>
    </row>
    <row r="22023" spans="4:8" x14ac:dyDescent="0.25">
      <c r="D22023" s="28"/>
      <c r="F22023" s="28"/>
      <c r="H22023" s="28"/>
    </row>
    <row r="22024" spans="4:8" x14ac:dyDescent="0.25">
      <c r="D22024" s="28"/>
      <c r="F22024" s="28"/>
      <c r="H22024" s="28"/>
    </row>
    <row r="22025" spans="4:8" x14ac:dyDescent="0.25">
      <c r="D22025" s="28"/>
      <c r="F22025" s="28"/>
      <c r="H22025" s="28"/>
    </row>
    <row r="22026" spans="4:8" x14ac:dyDescent="0.25">
      <c r="D22026" s="28"/>
      <c r="F22026" s="28"/>
      <c r="H22026" s="28"/>
    </row>
    <row r="22027" spans="4:8" x14ac:dyDescent="0.25">
      <c r="D22027" s="28"/>
      <c r="F22027" s="28"/>
      <c r="H22027" s="28"/>
    </row>
    <row r="22028" spans="4:8" x14ac:dyDescent="0.25">
      <c r="D22028" s="28"/>
      <c r="F22028" s="28"/>
      <c r="H22028" s="28"/>
    </row>
    <row r="22029" spans="4:8" x14ac:dyDescent="0.25">
      <c r="D22029" s="28"/>
      <c r="F22029" s="28"/>
      <c r="H22029" s="28"/>
    </row>
    <row r="22030" spans="4:8" x14ac:dyDescent="0.25">
      <c r="D22030" s="28"/>
      <c r="F22030" s="28"/>
      <c r="H22030" s="28"/>
    </row>
    <row r="22031" spans="4:8" x14ac:dyDescent="0.25">
      <c r="D22031" s="28"/>
      <c r="F22031" s="28"/>
      <c r="H22031" s="28"/>
    </row>
    <row r="22032" spans="4:8" x14ac:dyDescent="0.25">
      <c r="D22032" s="28"/>
      <c r="F22032" s="28"/>
      <c r="H22032" s="28"/>
    </row>
    <row r="22033" spans="4:8" x14ac:dyDescent="0.25">
      <c r="D22033" s="28"/>
      <c r="F22033" s="28"/>
      <c r="H22033" s="28"/>
    </row>
    <row r="22034" spans="4:8" x14ac:dyDescent="0.25">
      <c r="D22034" s="28"/>
      <c r="F22034" s="28"/>
      <c r="H22034" s="28"/>
    </row>
    <row r="22035" spans="4:8" x14ac:dyDescent="0.25">
      <c r="D22035" s="28"/>
      <c r="F22035" s="28"/>
      <c r="H22035" s="28"/>
    </row>
    <row r="22036" spans="4:8" x14ac:dyDescent="0.25">
      <c r="D22036" s="28"/>
      <c r="F22036" s="28"/>
      <c r="H22036" s="28"/>
    </row>
    <row r="22037" spans="4:8" x14ac:dyDescent="0.25">
      <c r="D22037" s="28"/>
      <c r="F22037" s="28"/>
      <c r="H22037" s="28"/>
    </row>
    <row r="22038" spans="4:8" x14ac:dyDescent="0.25">
      <c r="D22038" s="28"/>
      <c r="F22038" s="28"/>
      <c r="H22038" s="28"/>
    </row>
    <row r="22039" spans="4:8" x14ac:dyDescent="0.25">
      <c r="D22039" s="28"/>
      <c r="F22039" s="28"/>
      <c r="H22039" s="28"/>
    </row>
    <row r="22040" spans="4:8" x14ac:dyDescent="0.25">
      <c r="D22040" s="28"/>
      <c r="F22040" s="28"/>
      <c r="H22040" s="28"/>
    </row>
    <row r="22041" spans="4:8" x14ac:dyDescent="0.25">
      <c r="D22041" s="28"/>
      <c r="F22041" s="28"/>
      <c r="H22041" s="28"/>
    </row>
    <row r="22042" spans="4:8" x14ac:dyDescent="0.25">
      <c r="D22042" s="28"/>
      <c r="F22042" s="28"/>
      <c r="H22042" s="28"/>
    </row>
    <row r="22043" spans="4:8" x14ac:dyDescent="0.25">
      <c r="D22043" s="28"/>
      <c r="F22043" s="28"/>
      <c r="H22043" s="28"/>
    </row>
    <row r="22044" spans="4:8" x14ac:dyDescent="0.25">
      <c r="D22044" s="28"/>
      <c r="F22044" s="28"/>
      <c r="H22044" s="28"/>
    </row>
    <row r="22045" spans="4:8" x14ac:dyDescent="0.25">
      <c r="D22045" s="28"/>
      <c r="F22045" s="28"/>
      <c r="H22045" s="28"/>
    </row>
    <row r="22046" spans="4:8" x14ac:dyDescent="0.25">
      <c r="D22046" s="28"/>
      <c r="F22046" s="28"/>
      <c r="H22046" s="28"/>
    </row>
    <row r="22047" spans="4:8" x14ac:dyDescent="0.25">
      <c r="D22047" s="28"/>
      <c r="F22047" s="28"/>
      <c r="H22047" s="28"/>
    </row>
    <row r="22048" spans="4:8" x14ac:dyDescent="0.25">
      <c r="D22048" s="28"/>
      <c r="F22048" s="28"/>
      <c r="H22048" s="28"/>
    </row>
    <row r="22049" spans="4:8" x14ac:dyDescent="0.25">
      <c r="D22049" s="28"/>
      <c r="F22049" s="28"/>
      <c r="H22049" s="28"/>
    </row>
    <row r="22050" spans="4:8" x14ac:dyDescent="0.25">
      <c r="D22050" s="28"/>
      <c r="F22050" s="28"/>
      <c r="H22050" s="28"/>
    </row>
    <row r="22051" spans="4:8" x14ac:dyDescent="0.25">
      <c r="D22051" s="28"/>
      <c r="F22051" s="28"/>
      <c r="H22051" s="28"/>
    </row>
    <row r="22052" spans="4:8" x14ac:dyDescent="0.25">
      <c r="D22052" s="28"/>
      <c r="F22052" s="28"/>
      <c r="H22052" s="28"/>
    </row>
    <row r="22053" spans="4:8" x14ac:dyDescent="0.25">
      <c r="D22053" s="28"/>
      <c r="F22053" s="28"/>
      <c r="H22053" s="28"/>
    </row>
    <row r="22054" spans="4:8" x14ac:dyDescent="0.25">
      <c r="D22054" s="28"/>
      <c r="F22054" s="28"/>
      <c r="H22054" s="28"/>
    </row>
    <row r="22055" spans="4:8" x14ac:dyDescent="0.25">
      <c r="D22055" s="28"/>
      <c r="F22055" s="28"/>
      <c r="H22055" s="28"/>
    </row>
    <row r="22056" spans="4:8" x14ac:dyDescent="0.25">
      <c r="D22056" s="28"/>
      <c r="F22056" s="28"/>
      <c r="H22056" s="28"/>
    </row>
    <row r="22057" spans="4:8" x14ac:dyDescent="0.25">
      <c r="D22057" s="28"/>
      <c r="F22057" s="28"/>
      <c r="H22057" s="28"/>
    </row>
    <row r="22058" spans="4:8" x14ac:dyDescent="0.25">
      <c r="D22058" s="28"/>
      <c r="F22058" s="28"/>
      <c r="H22058" s="28"/>
    </row>
    <row r="22059" spans="4:8" x14ac:dyDescent="0.25">
      <c r="D22059" s="28"/>
      <c r="F22059" s="28"/>
      <c r="H22059" s="28"/>
    </row>
    <row r="22060" spans="4:8" x14ac:dyDescent="0.25">
      <c r="D22060" s="28"/>
      <c r="F22060" s="28"/>
      <c r="H22060" s="28"/>
    </row>
    <row r="22061" spans="4:8" x14ac:dyDescent="0.25">
      <c r="D22061" s="28"/>
      <c r="F22061" s="28"/>
      <c r="H22061" s="28"/>
    </row>
    <row r="22062" spans="4:8" x14ac:dyDescent="0.25">
      <c r="D22062" s="28"/>
      <c r="F22062" s="28"/>
      <c r="H22062" s="28"/>
    </row>
    <row r="22063" spans="4:8" x14ac:dyDescent="0.25">
      <c r="D22063" s="28"/>
      <c r="F22063" s="28"/>
      <c r="H22063" s="28"/>
    </row>
    <row r="22064" spans="4:8" x14ac:dyDescent="0.25">
      <c r="D22064" s="28"/>
      <c r="F22064" s="28"/>
      <c r="H22064" s="28"/>
    </row>
    <row r="22065" spans="4:8" x14ac:dyDescent="0.25">
      <c r="D22065" s="28"/>
      <c r="F22065" s="28"/>
      <c r="H22065" s="28"/>
    </row>
    <row r="22066" spans="4:8" x14ac:dyDescent="0.25">
      <c r="D22066" s="28"/>
      <c r="F22066" s="28"/>
      <c r="H22066" s="28"/>
    </row>
    <row r="22067" spans="4:8" x14ac:dyDescent="0.25">
      <c r="D22067" s="28"/>
      <c r="F22067" s="28"/>
      <c r="H22067" s="28"/>
    </row>
    <row r="22068" spans="4:8" x14ac:dyDescent="0.25">
      <c r="D22068" s="28"/>
      <c r="F22068" s="28"/>
      <c r="H22068" s="28"/>
    </row>
    <row r="22069" spans="4:8" x14ac:dyDescent="0.25">
      <c r="D22069" s="28"/>
      <c r="F22069" s="28"/>
      <c r="H22069" s="28"/>
    </row>
    <row r="22070" spans="4:8" x14ac:dyDescent="0.25">
      <c r="D22070" s="28"/>
      <c r="F22070" s="28"/>
      <c r="H22070" s="28"/>
    </row>
    <row r="22071" spans="4:8" x14ac:dyDescent="0.25">
      <c r="D22071" s="28"/>
      <c r="F22071" s="28"/>
      <c r="H22071" s="28"/>
    </row>
    <row r="22072" spans="4:8" x14ac:dyDescent="0.25">
      <c r="D22072" s="28"/>
      <c r="F22072" s="28"/>
      <c r="H22072" s="28"/>
    </row>
    <row r="22073" spans="4:8" x14ac:dyDescent="0.25">
      <c r="D22073" s="28"/>
      <c r="F22073" s="28"/>
      <c r="H22073" s="28"/>
    </row>
    <row r="22074" spans="4:8" x14ac:dyDescent="0.25">
      <c r="D22074" s="28"/>
      <c r="F22074" s="28"/>
      <c r="H22074" s="28"/>
    </row>
    <row r="22075" spans="4:8" x14ac:dyDescent="0.25">
      <c r="D22075" s="28"/>
      <c r="F22075" s="28"/>
      <c r="H22075" s="28"/>
    </row>
    <row r="22076" spans="4:8" x14ac:dyDescent="0.25">
      <c r="D22076" s="28"/>
      <c r="F22076" s="28"/>
      <c r="H22076" s="28"/>
    </row>
    <row r="22077" spans="4:8" x14ac:dyDescent="0.25">
      <c r="D22077" s="28"/>
      <c r="F22077" s="28"/>
      <c r="H22077" s="28"/>
    </row>
    <row r="22078" spans="4:8" x14ac:dyDescent="0.25">
      <c r="D22078" s="28"/>
      <c r="F22078" s="28"/>
      <c r="H22078" s="28"/>
    </row>
    <row r="22079" spans="4:8" x14ac:dyDescent="0.25">
      <c r="D22079" s="28"/>
      <c r="F22079" s="28"/>
      <c r="H22079" s="28"/>
    </row>
    <row r="22080" spans="4:8" x14ac:dyDescent="0.25">
      <c r="D22080" s="28"/>
      <c r="F22080" s="28"/>
      <c r="H22080" s="28"/>
    </row>
    <row r="22081" spans="4:8" x14ac:dyDescent="0.25">
      <c r="D22081" s="28"/>
      <c r="F22081" s="28"/>
      <c r="H22081" s="28"/>
    </row>
    <row r="22082" spans="4:8" x14ac:dyDescent="0.25">
      <c r="D22082" s="28"/>
      <c r="F22082" s="28"/>
      <c r="H22082" s="28"/>
    </row>
    <row r="22083" spans="4:8" x14ac:dyDescent="0.25">
      <c r="D22083" s="28"/>
      <c r="F22083" s="28"/>
      <c r="H22083" s="28"/>
    </row>
    <row r="22084" spans="4:8" x14ac:dyDescent="0.25">
      <c r="D22084" s="28"/>
      <c r="F22084" s="28"/>
      <c r="H22084" s="28"/>
    </row>
    <row r="22085" spans="4:8" x14ac:dyDescent="0.25">
      <c r="D22085" s="28"/>
      <c r="F22085" s="28"/>
      <c r="H22085" s="28"/>
    </row>
    <row r="22086" spans="4:8" x14ac:dyDescent="0.25">
      <c r="D22086" s="28"/>
      <c r="F22086" s="28"/>
      <c r="H22086" s="28"/>
    </row>
    <row r="22087" spans="4:8" x14ac:dyDescent="0.25">
      <c r="D22087" s="28"/>
      <c r="F22087" s="28"/>
      <c r="H22087" s="28"/>
    </row>
    <row r="22088" spans="4:8" x14ac:dyDescent="0.25">
      <c r="D22088" s="28"/>
      <c r="F22088" s="28"/>
      <c r="H22088" s="28"/>
    </row>
    <row r="22089" spans="4:8" x14ac:dyDescent="0.25">
      <c r="D22089" s="28"/>
      <c r="F22089" s="28"/>
      <c r="H22089" s="28"/>
    </row>
    <row r="22090" spans="4:8" x14ac:dyDescent="0.25">
      <c r="D22090" s="28"/>
      <c r="F22090" s="28"/>
      <c r="H22090" s="28"/>
    </row>
    <row r="22091" spans="4:8" x14ac:dyDescent="0.25">
      <c r="D22091" s="28"/>
      <c r="F22091" s="28"/>
      <c r="H22091" s="28"/>
    </row>
    <row r="22092" spans="4:8" x14ac:dyDescent="0.25">
      <c r="D22092" s="28"/>
      <c r="F22092" s="28"/>
      <c r="H22092" s="28"/>
    </row>
    <row r="22093" spans="4:8" x14ac:dyDescent="0.25">
      <c r="D22093" s="28"/>
      <c r="F22093" s="28"/>
      <c r="H22093" s="28"/>
    </row>
    <row r="22094" spans="4:8" x14ac:dyDescent="0.25">
      <c r="D22094" s="28"/>
      <c r="F22094" s="28"/>
      <c r="H22094" s="28"/>
    </row>
    <row r="22095" spans="4:8" x14ac:dyDescent="0.25">
      <c r="D22095" s="28"/>
      <c r="F22095" s="28"/>
      <c r="H22095" s="28"/>
    </row>
    <row r="22096" spans="4:8" x14ac:dyDescent="0.25">
      <c r="D22096" s="28"/>
      <c r="F22096" s="28"/>
      <c r="H22096" s="28"/>
    </row>
    <row r="22097" spans="4:8" x14ac:dyDescent="0.25">
      <c r="D22097" s="28"/>
      <c r="F22097" s="28"/>
      <c r="H22097" s="28"/>
    </row>
    <row r="22098" spans="4:8" x14ac:dyDescent="0.25">
      <c r="D22098" s="28"/>
      <c r="F22098" s="28"/>
      <c r="H22098" s="28"/>
    </row>
    <row r="22099" spans="4:8" x14ac:dyDescent="0.25">
      <c r="D22099" s="28"/>
      <c r="F22099" s="28"/>
      <c r="H22099" s="28"/>
    </row>
    <row r="22100" spans="4:8" x14ac:dyDescent="0.25">
      <c r="D22100" s="28"/>
      <c r="F22100" s="28"/>
      <c r="H22100" s="28"/>
    </row>
    <row r="22101" spans="4:8" x14ac:dyDescent="0.25">
      <c r="D22101" s="28"/>
      <c r="F22101" s="28"/>
      <c r="H22101" s="28"/>
    </row>
    <row r="22102" spans="4:8" x14ac:dyDescent="0.25">
      <c r="D22102" s="28"/>
      <c r="F22102" s="28"/>
      <c r="H22102" s="28"/>
    </row>
    <row r="22103" spans="4:8" x14ac:dyDescent="0.25">
      <c r="D22103" s="28"/>
      <c r="F22103" s="28"/>
      <c r="H22103" s="28"/>
    </row>
    <row r="22104" spans="4:8" x14ac:dyDescent="0.25">
      <c r="D22104" s="28"/>
      <c r="F22104" s="28"/>
      <c r="H22104" s="28"/>
    </row>
    <row r="22105" spans="4:8" x14ac:dyDescent="0.25">
      <c r="D22105" s="28"/>
      <c r="F22105" s="28"/>
      <c r="H22105" s="28"/>
    </row>
    <row r="22106" spans="4:8" x14ac:dyDescent="0.25">
      <c r="D22106" s="28"/>
      <c r="F22106" s="28"/>
      <c r="H22106" s="28"/>
    </row>
    <row r="22107" spans="4:8" x14ac:dyDescent="0.25">
      <c r="D22107" s="28"/>
      <c r="F22107" s="28"/>
      <c r="H22107" s="28"/>
    </row>
    <row r="22108" spans="4:8" x14ac:dyDescent="0.25">
      <c r="D22108" s="28"/>
      <c r="F22108" s="28"/>
      <c r="H22108" s="28"/>
    </row>
    <row r="22109" spans="4:8" x14ac:dyDescent="0.25">
      <c r="D22109" s="28"/>
      <c r="F22109" s="28"/>
      <c r="H22109" s="28"/>
    </row>
    <row r="22110" spans="4:8" x14ac:dyDescent="0.25">
      <c r="D22110" s="28"/>
      <c r="F22110" s="28"/>
      <c r="H22110" s="28"/>
    </row>
    <row r="22111" spans="4:8" x14ac:dyDescent="0.25">
      <c r="D22111" s="28"/>
      <c r="F22111" s="28"/>
      <c r="H22111" s="28"/>
    </row>
    <row r="22112" spans="4:8" x14ac:dyDescent="0.25">
      <c r="D22112" s="28"/>
      <c r="F22112" s="28"/>
      <c r="H22112" s="28"/>
    </row>
    <row r="22113" spans="4:8" x14ac:dyDescent="0.25">
      <c r="D22113" s="28"/>
      <c r="F22113" s="28"/>
      <c r="H22113" s="28"/>
    </row>
    <row r="22114" spans="4:8" x14ac:dyDescent="0.25">
      <c r="D22114" s="28"/>
      <c r="F22114" s="28"/>
      <c r="H22114" s="28"/>
    </row>
    <row r="22115" spans="4:8" x14ac:dyDescent="0.25">
      <c r="D22115" s="28"/>
      <c r="F22115" s="28"/>
      <c r="H22115" s="28"/>
    </row>
    <row r="22116" spans="4:8" x14ac:dyDescent="0.25">
      <c r="D22116" s="28"/>
      <c r="F22116" s="28"/>
      <c r="H22116" s="28"/>
    </row>
    <row r="22117" spans="4:8" x14ac:dyDescent="0.25">
      <c r="D22117" s="28"/>
      <c r="F22117" s="28"/>
      <c r="H22117" s="28"/>
    </row>
    <row r="22118" spans="4:8" x14ac:dyDescent="0.25">
      <c r="D22118" s="28"/>
      <c r="F22118" s="28"/>
      <c r="H22118" s="28"/>
    </row>
    <row r="22119" spans="4:8" x14ac:dyDescent="0.25">
      <c r="D22119" s="28"/>
      <c r="F22119" s="28"/>
      <c r="H22119" s="28"/>
    </row>
    <row r="22120" spans="4:8" x14ac:dyDescent="0.25">
      <c r="D22120" s="28"/>
      <c r="F22120" s="28"/>
      <c r="H22120" s="28"/>
    </row>
    <row r="22121" spans="4:8" x14ac:dyDescent="0.25">
      <c r="D22121" s="28"/>
      <c r="F22121" s="28"/>
      <c r="H22121" s="28"/>
    </row>
    <row r="22122" spans="4:8" x14ac:dyDescent="0.25">
      <c r="D22122" s="28"/>
      <c r="F22122" s="28"/>
      <c r="H22122" s="28"/>
    </row>
    <row r="22123" spans="4:8" x14ac:dyDescent="0.25">
      <c r="D22123" s="28"/>
      <c r="F22123" s="28"/>
      <c r="H22123" s="28"/>
    </row>
    <row r="22124" spans="4:8" x14ac:dyDescent="0.25">
      <c r="D22124" s="28"/>
      <c r="F22124" s="28"/>
      <c r="H22124" s="28"/>
    </row>
    <row r="22125" spans="4:8" x14ac:dyDescent="0.25">
      <c r="D22125" s="28"/>
      <c r="F22125" s="28"/>
      <c r="H22125" s="28"/>
    </row>
    <row r="22126" spans="4:8" x14ac:dyDescent="0.25">
      <c r="D22126" s="28"/>
      <c r="F22126" s="28"/>
      <c r="H22126" s="28"/>
    </row>
    <row r="22127" spans="4:8" x14ac:dyDescent="0.25">
      <c r="D22127" s="28"/>
      <c r="F22127" s="28"/>
      <c r="H22127" s="28"/>
    </row>
    <row r="22128" spans="4:8" x14ac:dyDescent="0.25">
      <c r="D22128" s="28"/>
      <c r="F22128" s="28"/>
      <c r="H22128" s="28"/>
    </row>
    <row r="22129" spans="4:8" x14ac:dyDescent="0.25">
      <c r="D22129" s="28"/>
      <c r="F22129" s="28"/>
      <c r="H22129" s="28"/>
    </row>
    <row r="22130" spans="4:8" x14ac:dyDescent="0.25">
      <c r="D22130" s="28"/>
      <c r="F22130" s="28"/>
      <c r="H22130" s="28"/>
    </row>
    <row r="22131" spans="4:8" x14ac:dyDescent="0.25">
      <c r="D22131" s="28"/>
      <c r="F22131" s="28"/>
      <c r="H22131" s="28"/>
    </row>
    <row r="22132" spans="4:8" x14ac:dyDescent="0.25">
      <c r="D22132" s="28"/>
      <c r="F22132" s="28"/>
      <c r="H22132" s="28"/>
    </row>
    <row r="22133" spans="4:8" x14ac:dyDescent="0.25">
      <c r="D22133" s="28"/>
      <c r="F22133" s="28"/>
      <c r="H22133" s="28"/>
    </row>
    <row r="22134" spans="4:8" x14ac:dyDescent="0.25">
      <c r="D22134" s="28"/>
      <c r="F22134" s="28"/>
      <c r="H22134" s="28"/>
    </row>
    <row r="22135" spans="4:8" x14ac:dyDescent="0.25">
      <c r="D22135" s="28"/>
      <c r="F22135" s="28"/>
      <c r="H22135" s="28"/>
    </row>
    <row r="22136" spans="4:8" x14ac:dyDescent="0.25">
      <c r="D22136" s="28"/>
      <c r="F22136" s="28"/>
      <c r="H22136" s="28"/>
    </row>
    <row r="22137" spans="4:8" x14ac:dyDescent="0.25">
      <c r="D22137" s="28"/>
      <c r="F22137" s="28"/>
      <c r="H22137" s="28"/>
    </row>
    <row r="22138" spans="4:8" x14ac:dyDescent="0.25">
      <c r="D22138" s="28"/>
      <c r="F22138" s="28"/>
      <c r="H22138" s="28"/>
    </row>
    <row r="22139" spans="4:8" x14ac:dyDescent="0.25">
      <c r="D22139" s="28"/>
      <c r="F22139" s="28"/>
      <c r="H22139" s="28"/>
    </row>
    <row r="22140" spans="4:8" x14ac:dyDescent="0.25">
      <c r="D22140" s="28"/>
      <c r="F22140" s="28"/>
      <c r="H22140" s="28"/>
    </row>
    <row r="22141" spans="4:8" x14ac:dyDescent="0.25">
      <c r="D22141" s="28"/>
      <c r="F22141" s="28"/>
      <c r="H22141" s="28"/>
    </row>
    <row r="22142" spans="4:8" x14ac:dyDescent="0.25">
      <c r="D22142" s="28"/>
      <c r="F22142" s="28"/>
      <c r="H22142" s="28"/>
    </row>
    <row r="22143" spans="4:8" x14ac:dyDescent="0.25">
      <c r="D22143" s="28"/>
      <c r="F22143" s="28"/>
      <c r="H22143" s="28"/>
    </row>
    <row r="22144" spans="4:8" x14ac:dyDescent="0.25">
      <c r="D22144" s="28"/>
      <c r="F22144" s="28"/>
      <c r="H22144" s="28"/>
    </row>
    <row r="22145" spans="4:8" x14ac:dyDescent="0.25">
      <c r="D22145" s="28"/>
      <c r="F22145" s="28"/>
      <c r="H22145" s="28"/>
    </row>
    <row r="22146" spans="4:8" x14ac:dyDescent="0.25">
      <c r="D22146" s="28"/>
      <c r="F22146" s="28"/>
      <c r="H22146" s="28"/>
    </row>
    <row r="22147" spans="4:8" x14ac:dyDescent="0.25">
      <c r="D22147" s="28"/>
      <c r="F22147" s="28"/>
      <c r="H22147" s="28"/>
    </row>
    <row r="22148" spans="4:8" x14ac:dyDescent="0.25">
      <c r="D22148" s="28"/>
      <c r="F22148" s="28"/>
      <c r="H22148" s="28"/>
    </row>
    <row r="22149" spans="4:8" x14ac:dyDescent="0.25">
      <c r="D22149" s="28"/>
      <c r="F22149" s="28"/>
      <c r="H22149" s="28"/>
    </row>
    <row r="22150" spans="4:8" x14ac:dyDescent="0.25">
      <c r="D22150" s="28"/>
      <c r="F22150" s="28"/>
      <c r="H22150" s="28"/>
    </row>
    <row r="22151" spans="4:8" x14ac:dyDescent="0.25">
      <c r="D22151" s="28"/>
      <c r="F22151" s="28"/>
      <c r="H22151" s="28"/>
    </row>
    <row r="22152" spans="4:8" x14ac:dyDescent="0.25">
      <c r="D22152" s="28"/>
      <c r="F22152" s="28"/>
      <c r="H22152" s="28"/>
    </row>
    <row r="22153" spans="4:8" x14ac:dyDescent="0.25">
      <c r="D22153" s="28"/>
      <c r="F22153" s="28"/>
      <c r="H22153" s="28"/>
    </row>
    <row r="22154" spans="4:8" x14ac:dyDescent="0.25">
      <c r="D22154" s="28"/>
      <c r="F22154" s="28"/>
      <c r="H22154" s="28"/>
    </row>
    <row r="22155" spans="4:8" x14ac:dyDescent="0.25">
      <c r="D22155" s="28"/>
      <c r="F22155" s="28"/>
      <c r="H22155" s="28"/>
    </row>
    <row r="22156" spans="4:8" x14ac:dyDescent="0.25">
      <c r="D22156" s="28"/>
      <c r="F22156" s="28"/>
      <c r="H22156" s="28"/>
    </row>
    <row r="22157" spans="4:8" x14ac:dyDescent="0.25">
      <c r="D22157" s="28"/>
      <c r="F22157" s="28"/>
      <c r="H22157" s="28"/>
    </row>
    <row r="22158" spans="4:8" x14ac:dyDescent="0.25">
      <c r="D22158" s="28"/>
      <c r="F22158" s="28"/>
      <c r="H22158" s="28"/>
    </row>
    <row r="22159" spans="4:8" x14ac:dyDescent="0.25">
      <c r="D22159" s="28"/>
      <c r="F22159" s="28"/>
      <c r="H22159" s="28"/>
    </row>
    <row r="22160" spans="4:8" x14ac:dyDescent="0.25">
      <c r="D22160" s="28"/>
      <c r="F22160" s="28"/>
      <c r="H22160" s="28"/>
    </row>
    <row r="22161" spans="4:8" x14ac:dyDescent="0.25">
      <c r="D22161" s="28"/>
      <c r="F22161" s="28"/>
      <c r="H22161" s="28"/>
    </row>
    <row r="22162" spans="4:8" x14ac:dyDescent="0.25">
      <c r="D22162" s="28"/>
      <c r="F22162" s="28"/>
      <c r="H22162" s="28"/>
    </row>
    <row r="22163" spans="4:8" x14ac:dyDescent="0.25">
      <c r="D22163" s="28"/>
      <c r="F22163" s="28"/>
      <c r="H22163" s="28"/>
    </row>
    <row r="22164" spans="4:8" x14ac:dyDescent="0.25">
      <c r="D22164" s="28"/>
      <c r="F22164" s="28"/>
      <c r="H22164" s="28"/>
    </row>
    <row r="22165" spans="4:8" x14ac:dyDescent="0.25">
      <c r="D22165" s="28"/>
      <c r="F22165" s="28"/>
      <c r="H22165" s="28"/>
    </row>
    <row r="22166" spans="4:8" x14ac:dyDescent="0.25">
      <c r="D22166" s="28"/>
      <c r="F22166" s="28"/>
      <c r="H22166" s="28"/>
    </row>
    <row r="22167" spans="4:8" x14ac:dyDescent="0.25">
      <c r="D22167" s="28"/>
      <c r="F22167" s="28"/>
      <c r="H22167" s="28"/>
    </row>
    <row r="22168" spans="4:8" x14ac:dyDescent="0.25">
      <c r="D22168" s="28"/>
      <c r="F22168" s="28"/>
      <c r="H22168" s="28"/>
    </row>
    <row r="22169" spans="4:8" x14ac:dyDescent="0.25">
      <c r="D22169" s="28"/>
      <c r="F22169" s="28"/>
      <c r="H22169" s="28"/>
    </row>
    <row r="22170" spans="4:8" x14ac:dyDescent="0.25">
      <c r="D22170" s="28"/>
      <c r="F22170" s="28"/>
      <c r="H22170" s="28"/>
    </row>
    <row r="22171" spans="4:8" x14ac:dyDescent="0.25">
      <c r="D22171" s="28"/>
      <c r="F22171" s="28"/>
      <c r="H22171" s="28"/>
    </row>
    <row r="22172" spans="4:8" x14ac:dyDescent="0.25">
      <c r="D22172" s="28"/>
      <c r="F22172" s="28"/>
      <c r="H22172" s="28"/>
    </row>
    <row r="22173" spans="4:8" x14ac:dyDescent="0.25">
      <c r="D22173" s="28"/>
      <c r="F22173" s="28"/>
      <c r="H22173" s="28"/>
    </row>
    <row r="22174" spans="4:8" x14ac:dyDescent="0.25">
      <c r="D22174" s="28"/>
      <c r="F22174" s="28"/>
      <c r="H22174" s="28"/>
    </row>
    <row r="22175" spans="4:8" x14ac:dyDescent="0.25">
      <c r="D22175" s="28"/>
      <c r="F22175" s="28"/>
      <c r="H22175" s="28"/>
    </row>
    <row r="22176" spans="4:8" x14ac:dyDescent="0.25">
      <c r="D22176" s="28"/>
      <c r="F22176" s="28"/>
      <c r="H22176" s="28"/>
    </row>
    <row r="22177" spans="4:8" x14ac:dyDescent="0.25">
      <c r="D22177" s="28"/>
      <c r="F22177" s="28"/>
      <c r="H22177" s="28"/>
    </row>
    <row r="22178" spans="4:8" x14ac:dyDescent="0.25">
      <c r="D22178" s="28"/>
      <c r="F22178" s="28"/>
      <c r="H22178" s="28"/>
    </row>
    <row r="22179" spans="4:8" x14ac:dyDescent="0.25">
      <c r="D22179" s="28"/>
      <c r="F22179" s="28"/>
      <c r="H22179" s="28"/>
    </row>
    <row r="22180" spans="4:8" x14ac:dyDescent="0.25">
      <c r="D22180" s="28"/>
      <c r="F22180" s="28"/>
      <c r="H22180" s="28"/>
    </row>
    <row r="22181" spans="4:8" x14ac:dyDescent="0.25">
      <c r="D22181" s="28"/>
      <c r="F22181" s="28"/>
      <c r="H22181" s="28"/>
    </row>
    <row r="22182" spans="4:8" x14ac:dyDescent="0.25">
      <c r="D22182" s="28"/>
      <c r="F22182" s="28"/>
      <c r="H22182" s="28"/>
    </row>
    <row r="22183" spans="4:8" x14ac:dyDescent="0.25">
      <c r="D22183" s="28"/>
      <c r="F22183" s="28"/>
      <c r="H22183" s="28"/>
    </row>
    <row r="22184" spans="4:8" x14ac:dyDescent="0.25">
      <c r="D22184" s="28"/>
      <c r="F22184" s="28"/>
      <c r="H22184" s="28"/>
    </row>
    <row r="22185" spans="4:8" x14ac:dyDescent="0.25">
      <c r="D22185" s="28"/>
      <c r="F22185" s="28"/>
      <c r="H22185" s="28"/>
    </row>
    <row r="22186" spans="4:8" x14ac:dyDescent="0.25">
      <c r="D22186" s="28"/>
      <c r="F22186" s="28"/>
      <c r="H22186" s="28"/>
    </row>
    <row r="22187" spans="4:8" x14ac:dyDescent="0.25">
      <c r="D22187" s="28"/>
      <c r="F22187" s="28"/>
      <c r="H22187" s="28"/>
    </row>
    <row r="22188" spans="4:8" x14ac:dyDescent="0.25">
      <c r="D22188" s="28"/>
      <c r="F22188" s="28"/>
      <c r="H22188" s="28"/>
    </row>
    <row r="22189" spans="4:8" x14ac:dyDescent="0.25">
      <c r="D22189" s="28"/>
      <c r="F22189" s="28"/>
      <c r="H22189" s="28"/>
    </row>
    <row r="22190" spans="4:8" x14ac:dyDescent="0.25">
      <c r="D22190" s="28"/>
      <c r="F22190" s="28"/>
      <c r="H22190" s="28"/>
    </row>
    <row r="22191" spans="4:8" x14ac:dyDescent="0.25">
      <c r="D22191" s="28"/>
      <c r="F22191" s="28"/>
      <c r="H22191" s="28"/>
    </row>
    <row r="22192" spans="4:8" x14ac:dyDescent="0.25">
      <c r="D22192" s="28"/>
      <c r="F22192" s="28"/>
      <c r="H22192" s="28"/>
    </row>
    <row r="22193" spans="4:8" x14ac:dyDescent="0.25">
      <c r="D22193" s="28"/>
      <c r="F22193" s="28"/>
      <c r="H22193" s="28"/>
    </row>
    <row r="22194" spans="4:8" x14ac:dyDescent="0.25">
      <c r="D22194" s="28"/>
      <c r="F22194" s="28"/>
      <c r="H22194" s="28"/>
    </row>
    <row r="22195" spans="4:8" x14ac:dyDescent="0.25">
      <c r="D22195" s="28"/>
      <c r="F22195" s="28"/>
      <c r="H22195" s="28"/>
    </row>
    <row r="22196" spans="4:8" x14ac:dyDescent="0.25">
      <c r="D22196" s="28"/>
      <c r="F22196" s="28"/>
      <c r="H22196" s="28"/>
    </row>
    <row r="22197" spans="4:8" x14ac:dyDescent="0.25">
      <c r="D22197" s="28"/>
      <c r="F22197" s="28"/>
      <c r="H22197" s="28"/>
    </row>
    <row r="22198" spans="4:8" x14ac:dyDescent="0.25">
      <c r="D22198" s="28"/>
      <c r="F22198" s="28"/>
      <c r="H22198" s="28"/>
    </row>
    <row r="22199" spans="4:8" x14ac:dyDescent="0.25">
      <c r="D22199" s="28"/>
      <c r="F22199" s="28"/>
      <c r="H22199" s="28"/>
    </row>
    <row r="22200" spans="4:8" x14ac:dyDescent="0.25">
      <c r="D22200" s="28"/>
      <c r="F22200" s="28"/>
      <c r="H22200" s="28"/>
    </row>
    <row r="22201" spans="4:8" x14ac:dyDescent="0.25">
      <c r="D22201" s="28"/>
      <c r="F22201" s="28"/>
      <c r="H22201" s="28"/>
    </row>
    <row r="22202" spans="4:8" x14ac:dyDescent="0.25">
      <c r="D22202" s="28"/>
      <c r="F22202" s="28"/>
      <c r="H22202" s="28"/>
    </row>
    <row r="22203" spans="4:8" x14ac:dyDescent="0.25">
      <c r="D22203" s="28"/>
      <c r="F22203" s="28"/>
      <c r="H22203" s="28"/>
    </row>
    <row r="22204" spans="4:8" x14ac:dyDescent="0.25">
      <c r="D22204" s="28"/>
      <c r="F22204" s="28"/>
      <c r="H22204" s="28"/>
    </row>
    <row r="22205" spans="4:8" x14ac:dyDescent="0.25">
      <c r="D22205" s="28"/>
      <c r="F22205" s="28"/>
      <c r="H22205" s="28"/>
    </row>
    <row r="22206" spans="4:8" x14ac:dyDescent="0.25">
      <c r="D22206" s="28"/>
      <c r="F22206" s="28"/>
      <c r="H22206" s="28"/>
    </row>
    <row r="22207" spans="4:8" x14ac:dyDescent="0.25">
      <c r="D22207" s="28"/>
      <c r="F22207" s="28"/>
      <c r="H22207" s="28"/>
    </row>
    <row r="22208" spans="4:8" x14ac:dyDescent="0.25">
      <c r="D22208" s="28"/>
      <c r="F22208" s="28"/>
      <c r="H22208" s="28"/>
    </row>
    <row r="22209" spans="4:8" x14ac:dyDescent="0.25">
      <c r="D22209" s="28"/>
      <c r="F22209" s="28"/>
      <c r="H22209" s="28"/>
    </row>
    <row r="22210" spans="4:8" x14ac:dyDescent="0.25">
      <c r="D22210" s="28"/>
      <c r="F22210" s="28"/>
      <c r="H22210" s="28"/>
    </row>
    <row r="22211" spans="4:8" x14ac:dyDescent="0.25">
      <c r="D22211" s="28"/>
      <c r="F22211" s="28"/>
      <c r="H22211" s="28"/>
    </row>
    <row r="22212" spans="4:8" x14ac:dyDescent="0.25">
      <c r="D22212" s="28"/>
      <c r="F22212" s="28"/>
      <c r="H22212" s="28"/>
    </row>
    <row r="22213" spans="4:8" x14ac:dyDescent="0.25">
      <c r="D22213" s="28"/>
      <c r="F22213" s="28"/>
      <c r="H22213" s="28"/>
    </row>
    <row r="22214" spans="4:8" x14ac:dyDescent="0.25">
      <c r="D22214" s="28"/>
      <c r="F22214" s="28"/>
      <c r="H22214" s="28"/>
    </row>
    <row r="22215" spans="4:8" x14ac:dyDescent="0.25">
      <c r="D22215" s="28"/>
      <c r="F22215" s="28"/>
      <c r="H22215" s="28"/>
    </row>
    <row r="22216" spans="4:8" x14ac:dyDescent="0.25">
      <c r="D22216" s="28"/>
      <c r="F22216" s="28"/>
      <c r="H22216" s="28"/>
    </row>
    <row r="22217" spans="4:8" x14ac:dyDescent="0.25">
      <c r="D22217" s="28"/>
      <c r="F22217" s="28"/>
      <c r="H22217" s="28"/>
    </row>
    <row r="22218" spans="4:8" x14ac:dyDescent="0.25">
      <c r="D22218" s="28"/>
      <c r="F22218" s="28"/>
      <c r="H22218" s="28"/>
    </row>
    <row r="22219" spans="4:8" x14ac:dyDescent="0.25">
      <c r="D22219" s="28"/>
      <c r="F22219" s="28"/>
      <c r="H22219" s="28"/>
    </row>
    <row r="22220" spans="4:8" x14ac:dyDescent="0.25">
      <c r="D22220" s="28"/>
      <c r="F22220" s="28"/>
      <c r="H22220" s="28"/>
    </row>
    <row r="22221" spans="4:8" x14ac:dyDescent="0.25">
      <c r="D22221" s="28"/>
      <c r="F22221" s="28"/>
      <c r="H22221" s="28"/>
    </row>
    <row r="22222" spans="4:8" x14ac:dyDescent="0.25">
      <c r="D22222" s="28"/>
      <c r="F22222" s="28"/>
      <c r="H22222" s="28"/>
    </row>
    <row r="22223" spans="4:8" x14ac:dyDescent="0.25">
      <c r="D22223" s="28"/>
      <c r="F22223" s="28"/>
      <c r="H22223" s="28"/>
    </row>
    <row r="22224" spans="4:8" x14ac:dyDescent="0.25">
      <c r="D22224" s="28"/>
      <c r="F22224" s="28"/>
      <c r="H22224" s="28"/>
    </row>
    <row r="22225" spans="4:8" x14ac:dyDescent="0.25">
      <c r="D22225" s="28"/>
      <c r="F22225" s="28"/>
      <c r="H22225" s="28"/>
    </row>
    <row r="22226" spans="4:8" x14ac:dyDescent="0.25">
      <c r="D22226" s="28"/>
      <c r="F22226" s="28"/>
      <c r="H22226" s="28"/>
    </row>
    <row r="22227" spans="4:8" x14ac:dyDescent="0.25">
      <c r="D22227" s="28"/>
      <c r="F22227" s="28"/>
      <c r="H22227" s="28"/>
    </row>
    <row r="22228" spans="4:8" x14ac:dyDescent="0.25">
      <c r="D22228" s="28"/>
      <c r="F22228" s="28"/>
      <c r="H22228" s="28"/>
    </row>
    <row r="22229" spans="4:8" x14ac:dyDescent="0.25">
      <c r="D22229" s="28"/>
      <c r="F22229" s="28"/>
      <c r="H22229" s="28"/>
    </row>
    <row r="22230" spans="4:8" x14ac:dyDescent="0.25">
      <c r="D22230" s="28"/>
      <c r="F22230" s="28"/>
      <c r="H22230" s="28"/>
    </row>
    <row r="22231" spans="4:8" x14ac:dyDescent="0.25">
      <c r="D22231" s="28"/>
      <c r="F22231" s="28"/>
      <c r="H22231" s="28"/>
    </row>
    <row r="22232" spans="4:8" x14ac:dyDescent="0.25">
      <c r="D22232" s="28"/>
      <c r="F22232" s="28"/>
      <c r="H22232" s="28"/>
    </row>
    <row r="22233" spans="4:8" x14ac:dyDescent="0.25">
      <c r="D22233" s="28"/>
      <c r="F22233" s="28"/>
      <c r="H22233" s="28"/>
    </row>
    <row r="22234" spans="4:8" x14ac:dyDescent="0.25">
      <c r="D22234" s="28"/>
      <c r="F22234" s="28"/>
      <c r="H22234" s="28"/>
    </row>
    <row r="22235" spans="4:8" x14ac:dyDescent="0.25">
      <c r="D22235" s="28"/>
      <c r="F22235" s="28"/>
      <c r="H22235" s="28"/>
    </row>
    <row r="22236" spans="4:8" x14ac:dyDescent="0.25">
      <c r="D22236" s="28"/>
      <c r="F22236" s="28"/>
      <c r="H22236" s="28"/>
    </row>
    <row r="22237" spans="4:8" x14ac:dyDescent="0.25">
      <c r="D22237" s="28"/>
      <c r="F22237" s="28"/>
      <c r="H22237" s="28"/>
    </row>
    <row r="22238" spans="4:8" x14ac:dyDescent="0.25">
      <c r="D22238" s="28"/>
      <c r="F22238" s="28"/>
      <c r="H22238" s="28"/>
    </row>
    <row r="22239" spans="4:8" x14ac:dyDescent="0.25">
      <c r="D22239" s="28"/>
      <c r="F22239" s="28"/>
      <c r="H22239" s="28"/>
    </row>
    <row r="22240" spans="4:8" x14ac:dyDescent="0.25">
      <c r="D22240" s="28"/>
      <c r="F22240" s="28"/>
      <c r="H22240" s="28"/>
    </row>
    <row r="22241" spans="4:8" x14ac:dyDescent="0.25">
      <c r="D22241" s="28"/>
      <c r="F22241" s="28"/>
      <c r="H22241" s="28"/>
    </row>
    <row r="22242" spans="4:8" x14ac:dyDescent="0.25">
      <c r="D22242" s="28"/>
      <c r="F22242" s="28"/>
      <c r="H22242" s="28"/>
    </row>
    <row r="22243" spans="4:8" x14ac:dyDescent="0.25">
      <c r="D22243" s="28"/>
      <c r="F22243" s="28"/>
      <c r="H22243" s="28"/>
    </row>
    <row r="22244" spans="4:8" x14ac:dyDescent="0.25">
      <c r="D22244" s="28"/>
      <c r="F22244" s="28"/>
      <c r="H22244" s="28"/>
    </row>
    <row r="22245" spans="4:8" x14ac:dyDescent="0.25">
      <c r="D22245" s="28"/>
      <c r="F22245" s="28"/>
      <c r="H22245" s="28"/>
    </row>
    <row r="22246" spans="4:8" x14ac:dyDescent="0.25">
      <c r="D22246" s="28"/>
      <c r="F22246" s="28"/>
      <c r="H22246" s="28"/>
    </row>
    <row r="22247" spans="4:8" x14ac:dyDescent="0.25">
      <c r="D22247" s="28"/>
      <c r="F22247" s="28"/>
      <c r="H22247" s="28"/>
    </row>
    <row r="22248" spans="4:8" x14ac:dyDescent="0.25">
      <c r="D22248" s="28"/>
      <c r="F22248" s="28"/>
      <c r="H22248" s="28"/>
    </row>
    <row r="22249" spans="4:8" x14ac:dyDescent="0.25">
      <c r="D22249" s="28"/>
      <c r="F22249" s="28"/>
      <c r="H22249" s="28"/>
    </row>
    <row r="22250" spans="4:8" x14ac:dyDescent="0.25">
      <c r="D22250" s="28"/>
      <c r="F22250" s="28"/>
      <c r="H22250" s="28"/>
    </row>
    <row r="22251" spans="4:8" x14ac:dyDescent="0.25">
      <c r="D22251" s="28"/>
      <c r="F22251" s="28"/>
      <c r="H22251" s="28"/>
    </row>
    <row r="22252" spans="4:8" x14ac:dyDescent="0.25">
      <c r="D22252" s="28"/>
      <c r="F22252" s="28"/>
      <c r="H22252" s="28"/>
    </row>
    <row r="22253" spans="4:8" x14ac:dyDescent="0.25">
      <c r="D22253" s="28"/>
      <c r="F22253" s="28"/>
      <c r="H22253" s="28"/>
    </row>
    <row r="22254" spans="4:8" x14ac:dyDescent="0.25">
      <c r="D22254" s="28"/>
      <c r="F22254" s="28"/>
      <c r="H22254" s="28"/>
    </row>
    <row r="22255" spans="4:8" x14ac:dyDescent="0.25">
      <c r="D22255" s="28"/>
      <c r="F22255" s="28"/>
      <c r="H22255" s="28"/>
    </row>
    <row r="22256" spans="4:8" x14ac:dyDescent="0.25">
      <c r="D22256" s="28"/>
      <c r="F22256" s="28"/>
      <c r="H22256" s="28"/>
    </row>
    <row r="22257" spans="4:8" x14ac:dyDescent="0.25">
      <c r="D22257" s="28"/>
      <c r="F22257" s="28"/>
      <c r="H22257" s="28"/>
    </row>
    <row r="22258" spans="4:8" x14ac:dyDescent="0.25">
      <c r="D22258" s="28"/>
      <c r="F22258" s="28"/>
      <c r="H22258" s="28"/>
    </row>
    <row r="22259" spans="4:8" x14ac:dyDescent="0.25">
      <c r="D22259" s="28"/>
      <c r="F22259" s="28"/>
      <c r="H22259" s="28"/>
    </row>
    <row r="22260" spans="4:8" x14ac:dyDescent="0.25">
      <c r="D22260" s="28"/>
      <c r="F22260" s="28"/>
      <c r="H22260" s="28"/>
    </row>
    <row r="22261" spans="4:8" x14ac:dyDescent="0.25">
      <c r="D22261" s="28"/>
      <c r="F22261" s="28"/>
      <c r="H22261" s="28"/>
    </row>
    <row r="22262" spans="4:8" x14ac:dyDescent="0.25">
      <c r="D22262" s="28"/>
      <c r="F22262" s="28"/>
      <c r="H22262" s="28"/>
    </row>
    <row r="22263" spans="4:8" x14ac:dyDescent="0.25">
      <c r="D22263" s="28"/>
      <c r="F22263" s="28"/>
      <c r="H22263" s="28"/>
    </row>
    <row r="22264" spans="4:8" x14ac:dyDescent="0.25">
      <c r="D22264" s="28"/>
      <c r="F22264" s="28"/>
      <c r="H22264" s="28"/>
    </row>
    <row r="22265" spans="4:8" x14ac:dyDescent="0.25">
      <c r="D22265" s="28"/>
      <c r="F22265" s="28"/>
      <c r="H22265" s="28"/>
    </row>
    <row r="22266" spans="4:8" x14ac:dyDescent="0.25">
      <c r="D22266" s="28"/>
      <c r="F22266" s="28"/>
      <c r="H22266" s="28"/>
    </row>
    <row r="22267" spans="4:8" x14ac:dyDescent="0.25">
      <c r="D22267" s="28"/>
      <c r="F22267" s="28"/>
      <c r="H22267" s="28"/>
    </row>
    <row r="22268" spans="4:8" x14ac:dyDescent="0.25">
      <c r="D22268" s="28"/>
      <c r="F22268" s="28"/>
      <c r="H22268" s="28"/>
    </row>
    <row r="22269" spans="4:8" x14ac:dyDescent="0.25">
      <c r="D22269" s="28"/>
      <c r="F22269" s="28"/>
      <c r="H22269" s="28"/>
    </row>
    <row r="22270" spans="4:8" x14ac:dyDescent="0.25">
      <c r="D22270" s="28"/>
      <c r="F22270" s="28"/>
      <c r="H22270" s="28"/>
    </row>
    <row r="22271" spans="4:8" x14ac:dyDescent="0.25">
      <c r="D22271" s="28"/>
      <c r="F22271" s="28"/>
      <c r="H22271" s="28"/>
    </row>
    <row r="22272" spans="4:8" x14ac:dyDescent="0.25">
      <c r="D22272" s="28"/>
      <c r="F22272" s="28"/>
      <c r="H22272" s="28"/>
    </row>
    <row r="22273" spans="4:8" x14ac:dyDescent="0.25">
      <c r="D22273" s="28"/>
      <c r="F22273" s="28"/>
      <c r="H22273" s="28"/>
    </row>
    <row r="22274" spans="4:8" x14ac:dyDescent="0.25">
      <c r="D22274" s="28"/>
      <c r="F22274" s="28"/>
      <c r="H22274" s="28"/>
    </row>
    <row r="22275" spans="4:8" x14ac:dyDescent="0.25">
      <c r="D22275" s="28"/>
      <c r="F22275" s="28"/>
      <c r="H22275" s="28"/>
    </row>
    <row r="22276" spans="4:8" x14ac:dyDescent="0.25">
      <c r="D22276" s="28"/>
      <c r="F22276" s="28"/>
      <c r="H22276" s="28"/>
    </row>
    <row r="22277" spans="4:8" x14ac:dyDescent="0.25">
      <c r="D22277" s="28"/>
      <c r="F22277" s="28"/>
      <c r="H22277" s="28"/>
    </row>
    <row r="22278" spans="4:8" x14ac:dyDescent="0.25">
      <c r="D22278" s="28"/>
      <c r="F22278" s="28"/>
      <c r="H22278" s="28"/>
    </row>
    <row r="22279" spans="4:8" x14ac:dyDescent="0.25">
      <c r="D22279" s="28"/>
      <c r="F22279" s="28"/>
      <c r="H22279" s="28"/>
    </row>
    <row r="22280" spans="4:8" x14ac:dyDescent="0.25">
      <c r="D22280" s="28"/>
      <c r="F22280" s="28"/>
      <c r="H22280" s="28"/>
    </row>
    <row r="22281" spans="4:8" x14ac:dyDescent="0.25">
      <c r="D22281" s="28"/>
      <c r="F22281" s="28"/>
      <c r="H22281" s="28"/>
    </row>
    <row r="22282" spans="4:8" x14ac:dyDescent="0.25">
      <c r="D22282" s="28"/>
      <c r="F22282" s="28"/>
      <c r="H22282" s="28"/>
    </row>
    <row r="22283" spans="4:8" x14ac:dyDescent="0.25">
      <c r="D22283" s="28"/>
      <c r="F22283" s="28"/>
      <c r="H22283" s="28"/>
    </row>
    <row r="22284" spans="4:8" x14ac:dyDescent="0.25">
      <c r="D22284" s="28"/>
      <c r="F22284" s="28"/>
      <c r="H22284" s="28"/>
    </row>
    <row r="22285" spans="4:8" x14ac:dyDescent="0.25">
      <c r="D22285" s="28"/>
      <c r="F22285" s="28"/>
      <c r="H22285" s="28"/>
    </row>
    <row r="22286" spans="4:8" x14ac:dyDescent="0.25">
      <c r="D22286" s="28"/>
      <c r="F22286" s="28"/>
      <c r="H22286" s="28"/>
    </row>
    <row r="22287" spans="4:8" x14ac:dyDescent="0.25">
      <c r="D22287" s="28"/>
      <c r="F22287" s="28"/>
      <c r="H22287" s="28"/>
    </row>
    <row r="22288" spans="4:8" x14ac:dyDescent="0.25">
      <c r="D22288" s="28"/>
      <c r="F22288" s="28"/>
      <c r="H22288" s="28"/>
    </row>
    <row r="22289" spans="4:8" x14ac:dyDescent="0.25">
      <c r="D22289" s="28"/>
      <c r="F22289" s="28"/>
      <c r="H22289" s="28"/>
    </row>
    <row r="22290" spans="4:8" x14ac:dyDescent="0.25">
      <c r="D22290" s="28"/>
      <c r="F22290" s="28"/>
      <c r="H22290" s="28"/>
    </row>
    <row r="22291" spans="4:8" x14ac:dyDescent="0.25">
      <c r="D22291" s="28"/>
      <c r="F22291" s="28"/>
      <c r="H22291" s="28"/>
    </row>
    <row r="22292" spans="4:8" x14ac:dyDescent="0.25">
      <c r="D22292" s="28"/>
      <c r="F22292" s="28"/>
      <c r="H22292" s="28"/>
    </row>
    <row r="22293" spans="4:8" x14ac:dyDescent="0.25">
      <c r="D22293" s="28"/>
      <c r="F22293" s="28"/>
      <c r="H22293" s="28"/>
    </row>
    <row r="22294" spans="4:8" x14ac:dyDescent="0.25">
      <c r="D22294" s="28"/>
      <c r="F22294" s="28"/>
      <c r="H22294" s="28"/>
    </row>
    <row r="22295" spans="4:8" x14ac:dyDescent="0.25">
      <c r="D22295" s="28"/>
      <c r="F22295" s="28"/>
      <c r="H22295" s="28"/>
    </row>
    <row r="22296" spans="4:8" x14ac:dyDescent="0.25">
      <c r="D22296" s="28"/>
      <c r="F22296" s="28"/>
      <c r="H22296" s="28"/>
    </row>
    <row r="22297" spans="4:8" x14ac:dyDescent="0.25">
      <c r="D22297" s="28"/>
      <c r="F22297" s="28"/>
      <c r="H22297" s="28"/>
    </row>
    <row r="22298" spans="4:8" x14ac:dyDescent="0.25">
      <c r="D22298" s="28"/>
      <c r="F22298" s="28"/>
      <c r="H22298" s="28"/>
    </row>
    <row r="22299" spans="4:8" x14ac:dyDescent="0.25">
      <c r="D22299" s="28"/>
      <c r="F22299" s="28"/>
      <c r="H22299" s="28"/>
    </row>
    <row r="22300" spans="4:8" x14ac:dyDescent="0.25">
      <c r="D22300" s="28"/>
      <c r="F22300" s="28"/>
      <c r="H22300" s="28"/>
    </row>
    <row r="22301" spans="4:8" x14ac:dyDescent="0.25">
      <c r="D22301" s="28"/>
      <c r="F22301" s="28"/>
      <c r="H22301" s="28"/>
    </row>
    <row r="22302" spans="4:8" x14ac:dyDescent="0.25">
      <c r="D22302" s="28"/>
      <c r="F22302" s="28"/>
      <c r="H22302" s="28"/>
    </row>
    <row r="22303" spans="4:8" x14ac:dyDescent="0.25">
      <c r="D22303" s="28"/>
      <c r="F22303" s="28"/>
      <c r="H22303" s="28"/>
    </row>
    <row r="22304" spans="4:8" x14ac:dyDescent="0.25">
      <c r="D22304" s="28"/>
      <c r="F22304" s="28"/>
      <c r="H22304" s="28"/>
    </row>
    <row r="22305" spans="4:8" x14ac:dyDescent="0.25">
      <c r="D22305" s="28"/>
      <c r="F22305" s="28"/>
      <c r="H22305" s="28"/>
    </row>
    <row r="22306" spans="4:8" x14ac:dyDescent="0.25">
      <c r="D22306" s="28"/>
      <c r="F22306" s="28"/>
      <c r="H22306" s="28"/>
    </row>
    <row r="22307" spans="4:8" x14ac:dyDescent="0.25">
      <c r="D22307" s="28"/>
      <c r="F22307" s="28"/>
      <c r="H22307" s="28"/>
    </row>
    <row r="22308" spans="4:8" x14ac:dyDescent="0.25">
      <c r="D22308" s="28"/>
      <c r="F22308" s="28"/>
      <c r="H22308" s="28"/>
    </row>
    <row r="22309" spans="4:8" x14ac:dyDescent="0.25">
      <c r="D22309" s="28"/>
      <c r="F22309" s="28"/>
      <c r="H22309" s="28"/>
    </row>
    <row r="22310" spans="4:8" x14ac:dyDescent="0.25">
      <c r="D22310" s="28"/>
      <c r="F22310" s="28"/>
      <c r="H22310" s="28"/>
    </row>
    <row r="22311" spans="4:8" x14ac:dyDescent="0.25">
      <c r="D22311" s="28"/>
      <c r="F22311" s="28"/>
      <c r="H22311" s="28"/>
    </row>
    <row r="22312" spans="4:8" x14ac:dyDescent="0.25">
      <c r="D22312" s="28"/>
      <c r="F22312" s="28"/>
      <c r="H22312" s="28"/>
    </row>
    <row r="22313" spans="4:8" x14ac:dyDescent="0.25">
      <c r="D22313" s="28"/>
      <c r="F22313" s="28"/>
      <c r="H22313" s="28"/>
    </row>
    <row r="22314" spans="4:8" x14ac:dyDescent="0.25">
      <c r="D22314" s="28"/>
      <c r="F22314" s="28"/>
      <c r="H22314" s="28"/>
    </row>
    <row r="22315" spans="4:8" x14ac:dyDescent="0.25">
      <c r="D22315" s="28"/>
      <c r="F22315" s="28"/>
      <c r="H22315" s="28"/>
    </row>
    <row r="22316" spans="4:8" x14ac:dyDescent="0.25">
      <c r="D22316" s="28"/>
      <c r="F22316" s="28"/>
      <c r="H22316" s="28"/>
    </row>
    <row r="22317" spans="4:8" x14ac:dyDescent="0.25">
      <c r="D22317" s="28"/>
      <c r="F22317" s="28"/>
      <c r="H22317" s="28"/>
    </row>
    <row r="22318" spans="4:8" x14ac:dyDescent="0.25">
      <c r="D22318" s="28"/>
      <c r="F22318" s="28"/>
      <c r="H22318" s="28"/>
    </row>
    <row r="22319" spans="4:8" x14ac:dyDescent="0.25">
      <c r="D22319" s="28"/>
      <c r="F22319" s="28"/>
      <c r="H22319" s="28"/>
    </row>
    <row r="22320" spans="4:8" x14ac:dyDescent="0.25">
      <c r="D22320" s="28"/>
      <c r="F22320" s="28"/>
      <c r="H22320" s="28"/>
    </row>
    <row r="22321" spans="4:8" x14ac:dyDescent="0.25">
      <c r="D22321" s="28"/>
      <c r="F22321" s="28"/>
      <c r="H22321" s="28"/>
    </row>
    <row r="22322" spans="4:8" x14ac:dyDescent="0.25">
      <c r="D22322" s="28"/>
      <c r="F22322" s="28"/>
      <c r="H22322" s="28"/>
    </row>
    <row r="22323" spans="4:8" x14ac:dyDescent="0.25">
      <c r="D22323" s="28"/>
      <c r="F22323" s="28"/>
      <c r="H22323" s="28"/>
    </row>
    <row r="22324" spans="4:8" x14ac:dyDescent="0.25">
      <c r="D22324" s="28"/>
      <c r="F22324" s="28"/>
      <c r="H22324" s="28"/>
    </row>
    <row r="22325" spans="4:8" x14ac:dyDescent="0.25">
      <c r="D22325" s="28"/>
      <c r="F22325" s="28"/>
      <c r="H22325" s="28"/>
    </row>
    <row r="22326" spans="4:8" x14ac:dyDescent="0.25">
      <c r="D22326" s="28"/>
      <c r="F22326" s="28"/>
      <c r="H22326" s="28"/>
    </row>
    <row r="22327" spans="4:8" x14ac:dyDescent="0.25">
      <c r="D22327" s="28"/>
      <c r="F22327" s="28"/>
      <c r="H22327" s="28"/>
    </row>
    <row r="22328" spans="4:8" x14ac:dyDescent="0.25">
      <c r="D22328" s="28"/>
      <c r="F22328" s="28"/>
      <c r="H22328" s="28"/>
    </row>
    <row r="22329" spans="4:8" x14ac:dyDescent="0.25">
      <c r="D22329" s="28"/>
      <c r="F22329" s="28"/>
      <c r="H22329" s="28"/>
    </row>
    <row r="22330" spans="4:8" x14ac:dyDescent="0.25">
      <c r="D22330" s="28"/>
      <c r="F22330" s="28"/>
      <c r="H22330" s="28"/>
    </row>
    <row r="22331" spans="4:8" x14ac:dyDescent="0.25">
      <c r="D22331" s="28"/>
      <c r="F22331" s="28"/>
      <c r="H22331" s="28"/>
    </row>
    <row r="22332" spans="4:8" x14ac:dyDescent="0.25">
      <c r="D22332" s="28"/>
      <c r="F22332" s="28"/>
      <c r="H22332" s="28"/>
    </row>
    <row r="22333" spans="4:8" x14ac:dyDescent="0.25">
      <c r="D22333" s="28"/>
      <c r="F22333" s="28"/>
      <c r="H22333" s="28"/>
    </row>
    <row r="22334" spans="4:8" x14ac:dyDescent="0.25">
      <c r="D22334" s="28"/>
      <c r="F22334" s="28"/>
      <c r="H22334" s="28"/>
    </row>
    <row r="22335" spans="4:8" x14ac:dyDescent="0.25">
      <c r="D22335" s="28"/>
      <c r="F22335" s="28"/>
      <c r="H22335" s="28"/>
    </row>
    <row r="22336" spans="4:8" x14ac:dyDescent="0.25">
      <c r="D22336" s="28"/>
      <c r="F22336" s="28"/>
      <c r="H22336" s="28"/>
    </row>
    <row r="22337" spans="4:8" x14ac:dyDescent="0.25">
      <c r="D22337" s="28"/>
      <c r="F22337" s="28"/>
      <c r="H22337" s="28"/>
    </row>
    <row r="22338" spans="4:8" x14ac:dyDescent="0.25">
      <c r="D22338" s="28"/>
      <c r="F22338" s="28"/>
      <c r="H22338" s="28"/>
    </row>
    <row r="22339" spans="4:8" x14ac:dyDescent="0.25">
      <c r="D22339" s="28"/>
      <c r="F22339" s="28"/>
      <c r="H22339" s="28"/>
    </row>
    <row r="22340" spans="4:8" x14ac:dyDescent="0.25">
      <c r="D22340" s="28"/>
      <c r="F22340" s="28"/>
      <c r="H22340" s="28"/>
    </row>
    <row r="22341" spans="4:8" x14ac:dyDescent="0.25">
      <c r="D22341" s="28"/>
      <c r="F22341" s="28"/>
      <c r="H22341" s="28"/>
    </row>
    <row r="22342" spans="4:8" x14ac:dyDescent="0.25">
      <c r="D22342" s="28"/>
      <c r="F22342" s="28"/>
      <c r="H22342" s="28"/>
    </row>
    <row r="22343" spans="4:8" x14ac:dyDescent="0.25">
      <c r="D22343" s="28"/>
      <c r="F22343" s="28"/>
      <c r="H22343" s="28"/>
    </row>
    <row r="22344" spans="4:8" x14ac:dyDescent="0.25">
      <c r="D22344" s="28"/>
      <c r="F22344" s="28"/>
      <c r="H22344" s="28"/>
    </row>
    <row r="22345" spans="4:8" x14ac:dyDescent="0.25">
      <c r="D22345" s="28"/>
      <c r="F22345" s="28"/>
      <c r="H22345" s="28"/>
    </row>
    <row r="22346" spans="4:8" x14ac:dyDescent="0.25">
      <c r="D22346" s="28"/>
      <c r="F22346" s="28"/>
      <c r="H22346" s="28"/>
    </row>
    <row r="22347" spans="4:8" x14ac:dyDescent="0.25">
      <c r="D22347" s="28"/>
      <c r="F22347" s="28"/>
      <c r="H22347" s="28"/>
    </row>
    <row r="22348" spans="4:8" x14ac:dyDescent="0.25">
      <c r="D22348" s="28"/>
      <c r="F22348" s="28"/>
      <c r="H22348" s="28"/>
    </row>
    <row r="22349" spans="4:8" x14ac:dyDescent="0.25">
      <c r="D22349" s="28"/>
      <c r="F22349" s="28"/>
      <c r="H22349" s="28"/>
    </row>
    <row r="22350" spans="4:8" x14ac:dyDescent="0.25">
      <c r="D22350" s="28"/>
      <c r="F22350" s="28"/>
      <c r="H22350" s="28"/>
    </row>
    <row r="22351" spans="4:8" x14ac:dyDescent="0.25">
      <c r="D22351" s="28"/>
      <c r="F22351" s="28"/>
      <c r="H22351" s="28"/>
    </row>
    <row r="22352" spans="4:8" x14ac:dyDescent="0.25">
      <c r="D22352" s="28"/>
      <c r="F22352" s="28"/>
      <c r="H22352" s="28"/>
    </row>
    <row r="22353" spans="4:8" x14ac:dyDescent="0.25">
      <c r="D22353" s="28"/>
      <c r="F22353" s="28"/>
      <c r="H22353" s="28"/>
    </row>
    <row r="22354" spans="4:8" x14ac:dyDescent="0.25">
      <c r="D22354" s="28"/>
      <c r="F22354" s="28"/>
      <c r="H22354" s="28"/>
    </row>
    <row r="22355" spans="4:8" x14ac:dyDescent="0.25">
      <c r="D22355" s="28"/>
      <c r="F22355" s="28"/>
      <c r="H22355" s="28"/>
    </row>
    <row r="22356" spans="4:8" x14ac:dyDescent="0.25">
      <c r="D22356" s="28"/>
      <c r="F22356" s="28"/>
      <c r="H22356" s="28"/>
    </row>
    <row r="22357" spans="4:8" x14ac:dyDescent="0.25">
      <c r="D22357" s="28"/>
      <c r="F22357" s="28"/>
      <c r="H22357" s="28"/>
    </row>
    <row r="22358" spans="4:8" x14ac:dyDescent="0.25">
      <c r="D22358" s="28"/>
      <c r="F22358" s="28"/>
      <c r="H22358" s="28"/>
    </row>
    <row r="22359" spans="4:8" x14ac:dyDescent="0.25">
      <c r="D22359" s="28"/>
      <c r="F22359" s="28"/>
      <c r="H22359" s="28"/>
    </row>
    <row r="22360" spans="4:8" x14ac:dyDescent="0.25">
      <c r="D22360" s="28"/>
      <c r="F22360" s="28"/>
      <c r="H22360" s="28"/>
    </row>
    <row r="22361" spans="4:8" x14ac:dyDescent="0.25">
      <c r="D22361" s="28"/>
      <c r="F22361" s="28"/>
      <c r="H22361" s="28"/>
    </row>
    <row r="22362" spans="4:8" x14ac:dyDescent="0.25">
      <c r="D22362" s="28"/>
      <c r="F22362" s="28"/>
      <c r="H22362" s="28"/>
    </row>
    <row r="22363" spans="4:8" x14ac:dyDescent="0.25">
      <c r="D22363" s="28"/>
      <c r="F22363" s="28"/>
      <c r="H22363" s="28"/>
    </row>
    <row r="22364" spans="4:8" x14ac:dyDescent="0.25">
      <c r="D22364" s="28"/>
      <c r="F22364" s="28"/>
      <c r="H22364" s="28"/>
    </row>
    <row r="22365" spans="4:8" x14ac:dyDescent="0.25">
      <c r="D22365" s="28"/>
      <c r="F22365" s="28"/>
      <c r="H22365" s="28"/>
    </row>
    <row r="22366" spans="4:8" x14ac:dyDescent="0.25">
      <c r="D22366" s="28"/>
      <c r="F22366" s="28"/>
      <c r="H22366" s="28"/>
    </row>
    <row r="22367" spans="4:8" x14ac:dyDescent="0.25">
      <c r="D22367" s="28"/>
      <c r="F22367" s="28"/>
      <c r="H22367" s="28"/>
    </row>
    <row r="22368" spans="4:8" x14ac:dyDescent="0.25">
      <c r="D22368" s="28"/>
      <c r="F22368" s="28"/>
      <c r="H22368" s="28"/>
    </row>
    <row r="22369" spans="4:8" x14ac:dyDescent="0.25">
      <c r="D22369" s="28"/>
      <c r="F22369" s="28"/>
      <c r="H22369" s="28"/>
    </row>
    <row r="22370" spans="4:8" x14ac:dyDescent="0.25">
      <c r="D22370" s="28"/>
      <c r="F22370" s="28"/>
      <c r="H22370" s="28"/>
    </row>
    <row r="22371" spans="4:8" x14ac:dyDescent="0.25">
      <c r="D22371" s="28"/>
      <c r="F22371" s="28"/>
      <c r="H22371" s="28"/>
    </row>
    <row r="22372" spans="4:8" x14ac:dyDescent="0.25">
      <c r="D22372" s="28"/>
      <c r="F22372" s="28"/>
      <c r="H22372" s="28"/>
    </row>
    <row r="22373" spans="4:8" x14ac:dyDescent="0.25">
      <c r="D22373" s="28"/>
      <c r="F22373" s="28"/>
      <c r="H22373" s="28"/>
    </row>
    <row r="22374" spans="4:8" x14ac:dyDescent="0.25">
      <c r="D22374" s="28"/>
      <c r="F22374" s="28"/>
      <c r="H22374" s="28"/>
    </row>
    <row r="22375" spans="4:8" x14ac:dyDescent="0.25">
      <c r="D22375" s="28"/>
      <c r="F22375" s="28"/>
      <c r="H22375" s="28"/>
    </row>
    <row r="22376" spans="4:8" x14ac:dyDescent="0.25">
      <c r="D22376" s="28"/>
      <c r="F22376" s="28"/>
      <c r="H22376" s="28"/>
    </row>
    <row r="22377" spans="4:8" x14ac:dyDescent="0.25">
      <c r="D22377" s="28"/>
      <c r="F22377" s="28"/>
      <c r="H22377" s="28"/>
    </row>
    <row r="22378" spans="4:8" x14ac:dyDescent="0.25">
      <c r="D22378" s="28"/>
      <c r="F22378" s="28"/>
      <c r="H22378" s="28"/>
    </row>
    <row r="22379" spans="4:8" x14ac:dyDescent="0.25">
      <c r="D22379" s="28"/>
      <c r="F22379" s="28"/>
      <c r="H22379" s="28"/>
    </row>
    <row r="22380" spans="4:8" x14ac:dyDescent="0.25">
      <c r="D22380" s="28"/>
      <c r="F22380" s="28"/>
      <c r="H22380" s="28"/>
    </row>
    <row r="22381" spans="4:8" x14ac:dyDescent="0.25">
      <c r="D22381" s="28"/>
      <c r="F22381" s="28"/>
      <c r="H22381" s="28"/>
    </row>
    <row r="22382" spans="4:8" x14ac:dyDescent="0.25">
      <c r="D22382" s="28"/>
      <c r="F22382" s="28"/>
      <c r="H22382" s="28"/>
    </row>
    <row r="22383" spans="4:8" x14ac:dyDescent="0.25">
      <c r="D22383" s="28"/>
      <c r="F22383" s="28"/>
      <c r="H22383" s="28"/>
    </row>
    <row r="22384" spans="4:8" x14ac:dyDescent="0.25">
      <c r="D22384" s="28"/>
      <c r="F22384" s="28"/>
      <c r="H22384" s="28"/>
    </row>
    <row r="22385" spans="4:8" x14ac:dyDescent="0.25">
      <c r="D22385" s="28"/>
      <c r="F22385" s="28"/>
      <c r="H22385" s="28"/>
    </row>
    <row r="22386" spans="4:8" x14ac:dyDescent="0.25">
      <c r="D22386" s="28"/>
      <c r="F22386" s="28"/>
      <c r="H22386" s="28"/>
    </row>
    <row r="22387" spans="4:8" x14ac:dyDescent="0.25">
      <c r="D22387" s="28"/>
      <c r="F22387" s="28"/>
      <c r="H22387" s="28"/>
    </row>
    <row r="22388" spans="4:8" x14ac:dyDescent="0.25">
      <c r="D22388" s="28"/>
      <c r="F22388" s="28"/>
      <c r="H22388" s="28"/>
    </row>
    <row r="22389" spans="4:8" x14ac:dyDescent="0.25">
      <c r="D22389" s="28"/>
      <c r="F22389" s="28"/>
      <c r="H22389" s="28"/>
    </row>
    <row r="22390" spans="4:8" x14ac:dyDescent="0.25">
      <c r="D22390" s="28"/>
      <c r="F22390" s="28"/>
      <c r="H22390" s="28"/>
    </row>
    <row r="22391" spans="4:8" x14ac:dyDescent="0.25">
      <c r="D22391" s="28"/>
      <c r="F22391" s="28"/>
      <c r="H22391" s="28"/>
    </row>
    <row r="22392" spans="4:8" x14ac:dyDescent="0.25">
      <c r="D22392" s="28"/>
      <c r="F22392" s="28"/>
      <c r="H22392" s="28"/>
    </row>
    <row r="22393" spans="4:8" x14ac:dyDescent="0.25">
      <c r="D22393" s="28"/>
      <c r="F22393" s="28"/>
      <c r="H22393" s="28"/>
    </row>
    <row r="22394" spans="4:8" x14ac:dyDescent="0.25">
      <c r="D22394" s="28"/>
      <c r="F22394" s="28"/>
      <c r="H22394" s="28"/>
    </row>
    <row r="22395" spans="4:8" x14ac:dyDescent="0.25">
      <c r="D22395" s="28"/>
      <c r="F22395" s="28"/>
      <c r="H22395" s="28"/>
    </row>
    <row r="22396" spans="4:8" x14ac:dyDescent="0.25">
      <c r="D22396" s="28"/>
      <c r="F22396" s="28"/>
      <c r="H22396" s="28"/>
    </row>
    <row r="22397" spans="4:8" x14ac:dyDescent="0.25">
      <c r="D22397" s="28"/>
      <c r="F22397" s="28"/>
      <c r="H22397" s="28"/>
    </row>
    <row r="22398" spans="4:8" x14ac:dyDescent="0.25">
      <c r="D22398" s="28"/>
      <c r="F22398" s="28"/>
      <c r="H22398" s="28"/>
    </row>
    <row r="22399" spans="4:8" x14ac:dyDescent="0.25">
      <c r="D22399" s="28"/>
      <c r="F22399" s="28"/>
      <c r="H22399" s="28"/>
    </row>
    <row r="22400" spans="4:8" x14ac:dyDescent="0.25">
      <c r="D22400" s="28"/>
      <c r="F22400" s="28"/>
      <c r="H22400" s="28"/>
    </row>
    <row r="22401" spans="4:8" x14ac:dyDescent="0.25">
      <c r="D22401" s="28"/>
      <c r="F22401" s="28"/>
      <c r="H22401" s="28"/>
    </row>
    <row r="22402" spans="4:8" x14ac:dyDescent="0.25">
      <c r="D22402" s="28"/>
      <c r="F22402" s="28"/>
      <c r="H22402" s="28"/>
    </row>
    <row r="22403" spans="4:8" x14ac:dyDescent="0.25">
      <c r="D22403" s="28"/>
      <c r="F22403" s="28"/>
      <c r="H22403" s="28"/>
    </row>
    <row r="22404" spans="4:8" x14ac:dyDescent="0.25">
      <c r="D22404" s="28"/>
      <c r="F22404" s="28"/>
      <c r="H22404" s="28"/>
    </row>
    <row r="22405" spans="4:8" x14ac:dyDescent="0.25">
      <c r="D22405" s="28"/>
      <c r="F22405" s="28"/>
      <c r="H22405" s="28"/>
    </row>
    <row r="22406" spans="4:8" x14ac:dyDescent="0.25">
      <c r="D22406" s="28"/>
      <c r="F22406" s="28"/>
      <c r="H22406" s="28"/>
    </row>
    <row r="22407" spans="4:8" x14ac:dyDescent="0.25">
      <c r="D22407" s="28"/>
      <c r="F22407" s="28"/>
      <c r="H22407" s="28"/>
    </row>
    <row r="22408" spans="4:8" x14ac:dyDescent="0.25">
      <c r="D22408" s="28"/>
      <c r="F22408" s="28"/>
      <c r="H22408" s="28"/>
    </row>
    <row r="22409" spans="4:8" x14ac:dyDescent="0.25">
      <c r="D22409" s="28"/>
      <c r="F22409" s="28"/>
      <c r="H22409" s="28"/>
    </row>
    <row r="22410" spans="4:8" x14ac:dyDescent="0.25">
      <c r="D22410" s="28"/>
      <c r="F22410" s="28"/>
      <c r="H22410" s="28"/>
    </row>
    <row r="22411" spans="4:8" x14ac:dyDescent="0.25">
      <c r="D22411" s="28"/>
      <c r="F22411" s="28"/>
      <c r="H22411" s="28"/>
    </row>
    <row r="22412" spans="4:8" x14ac:dyDescent="0.25">
      <c r="D22412" s="28"/>
      <c r="F22412" s="28"/>
      <c r="H22412" s="28"/>
    </row>
    <row r="22413" spans="4:8" x14ac:dyDescent="0.25">
      <c r="D22413" s="28"/>
      <c r="F22413" s="28"/>
      <c r="H22413" s="28"/>
    </row>
    <row r="22414" spans="4:8" x14ac:dyDescent="0.25">
      <c r="D22414" s="28"/>
      <c r="F22414" s="28"/>
      <c r="H22414" s="28"/>
    </row>
    <row r="22415" spans="4:8" x14ac:dyDescent="0.25">
      <c r="D22415" s="28"/>
      <c r="F22415" s="28"/>
      <c r="H22415" s="28"/>
    </row>
    <row r="22416" spans="4:8" x14ac:dyDescent="0.25">
      <c r="D22416" s="28"/>
      <c r="F22416" s="28"/>
      <c r="H22416" s="28"/>
    </row>
    <row r="22417" spans="4:8" x14ac:dyDescent="0.25">
      <c r="D22417" s="28"/>
      <c r="F22417" s="28"/>
      <c r="H22417" s="28"/>
    </row>
    <row r="22418" spans="4:8" x14ac:dyDescent="0.25">
      <c r="D22418" s="28"/>
      <c r="F22418" s="28"/>
      <c r="H22418" s="28"/>
    </row>
    <row r="22419" spans="4:8" x14ac:dyDescent="0.25">
      <c r="D22419" s="28"/>
      <c r="F22419" s="28"/>
      <c r="H22419" s="28"/>
    </row>
    <row r="22420" spans="4:8" x14ac:dyDescent="0.25">
      <c r="D22420" s="28"/>
      <c r="F22420" s="28"/>
      <c r="H22420" s="28"/>
    </row>
    <row r="22421" spans="4:8" x14ac:dyDescent="0.25">
      <c r="D22421" s="28"/>
      <c r="F22421" s="28"/>
      <c r="H22421" s="28"/>
    </row>
    <row r="22422" spans="4:8" x14ac:dyDescent="0.25">
      <c r="D22422" s="28"/>
      <c r="F22422" s="28"/>
      <c r="H22422" s="28"/>
    </row>
    <row r="22423" spans="4:8" x14ac:dyDescent="0.25">
      <c r="D22423" s="28"/>
      <c r="F22423" s="28"/>
      <c r="H22423" s="28"/>
    </row>
    <row r="22424" spans="4:8" x14ac:dyDescent="0.25">
      <c r="D22424" s="28"/>
      <c r="F22424" s="28"/>
      <c r="H22424" s="28"/>
    </row>
    <row r="22425" spans="4:8" x14ac:dyDescent="0.25">
      <c r="D22425" s="28"/>
      <c r="F22425" s="28"/>
      <c r="H22425" s="28"/>
    </row>
    <row r="22426" spans="4:8" x14ac:dyDescent="0.25">
      <c r="D22426" s="28"/>
      <c r="F22426" s="28"/>
      <c r="H22426" s="28"/>
    </row>
    <row r="22427" spans="4:8" x14ac:dyDescent="0.25">
      <c r="D22427" s="28"/>
      <c r="F22427" s="28"/>
      <c r="H22427" s="28"/>
    </row>
    <row r="22428" spans="4:8" x14ac:dyDescent="0.25">
      <c r="D22428" s="28"/>
      <c r="F22428" s="28"/>
      <c r="H22428" s="28"/>
    </row>
    <row r="22429" spans="4:8" x14ac:dyDescent="0.25">
      <c r="D22429" s="28"/>
      <c r="F22429" s="28"/>
      <c r="H22429" s="28"/>
    </row>
    <row r="22430" spans="4:8" x14ac:dyDescent="0.25">
      <c r="D22430" s="28"/>
      <c r="F22430" s="28"/>
      <c r="H22430" s="28"/>
    </row>
    <row r="22431" spans="4:8" x14ac:dyDescent="0.25">
      <c r="D22431" s="28"/>
      <c r="F22431" s="28"/>
      <c r="H22431" s="28"/>
    </row>
    <row r="22432" spans="4:8" x14ac:dyDescent="0.25">
      <c r="D22432" s="28"/>
      <c r="F22432" s="28"/>
      <c r="H22432" s="28"/>
    </row>
    <row r="22433" spans="4:8" x14ac:dyDescent="0.25">
      <c r="D22433" s="28"/>
      <c r="F22433" s="28"/>
      <c r="H22433" s="28"/>
    </row>
    <row r="22434" spans="4:8" x14ac:dyDescent="0.25">
      <c r="D22434" s="28"/>
      <c r="F22434" s="28"/>
      <c r="H22434" s="28"/>
    </row>
    <row r="22435" spans="4:8" x14ac:dyDescent="0.25">
      <c r="D22435" s="28"/>
      <c r="F22435" s="28"/>
      <c r="H22435" s="28"/>
    </row>
    <row r="22436" spans="4:8" x14ac:dyDescent="0.25">
      <c r="D22436" s="28"/>
      <c r="F22436" s="28"/>
      <c r="H22436" s="28"/>
    </row>
    <row r="22437" spans="4:8" x14ac:dyDescent="0.25">
      <c r="D22437" s="28"/>
      <c r="F22437" s="28"/>
      <c r="H22437" s="28"/>
    </row>
    <row r="22438" spans="4:8" x14ac:dyDescent="0.25">
      <c r="D22438" s="28"/>
      <c r="F22438" s="28"/>
      <c r="H22438" s="28"/>
    </row>
    <row r="22439" spans="4:8" x14ac:dyDescent="0.25">
      <c r="D22439" s="28"/>
      <c r="F22439" s="28"/>
      <c r="H22439" s="28"/>
    </row>
    <row r="22440" spans="4:8" x14ac:dyDescent="0.25">
      <c r="D22440" s="28"/>
      <c r="F22440" s="28"/>
      <c r="H22440" s="28"/>
    </row>
    <row r="22441" spans="4:8" x14ac:dyDescent="0.25">
      <c r="D22441" s="28"/>
      <c r="F22441" s="28"/>
      <c r="H22441" s="28"/>
    </row>
    <row r="22442" spans="4:8" x14ac:dyDescent="0.25">
      <c r="D22442" s="28"/>
      <c r="F22442" s="28"/>
      <c r="H22442" s="28"/>
    </row>
    <row r="22443" spans="4:8" x14ac:dyDescent="0.25">
      <c r="D22443" s="28"/>
      <c r="F22443" s="28"/>
      <c r="H22443" s="28"/>
    </row>
    <row r="22444" spans="4:8" x14ac:dyDescent="0.25">
      <c r="D22444" s="28"/>
      <c r="F22444" s="28"/>
      <c r="H22444" s="28"/>
    </row>
    <row r="22445" spans="4:8" x14ac:dyDescent="0.25">
      <c r="D22445" s="28"/>
      <c r="F22445" s="28"/>
      <c r="H22445" s="28"/>
    </row>
    <row r="22446" spans="4:8" x14ac:dyDescent="0.25">
      <c r="D22446" s="28"/>
      <c r="F22446" s="28"/>
      <c r="H22446" s="28"/>
    </row>
    <row r="22447" spans="4:8" x14ac:dyDescent="0.25">
      <c r="D22447" s="28"/>
      <c r="F22447" s="28"/>
      <c r="H22447" s="28"/>
    </row>
    <row r="22448" spans="4:8" x14ac:dyDescent="0.25">
      <c r="D22448" s="28"/>
      <c r="F22448" s="28"/>
      <c r="H22448" s="28"/>
    </row>
    <row r="22449" spans="4:8" x14ac:dyDescent="0.25">
      <c r="D22449" s="28"/>
      <c r="F22449" s="28"/>
      <c r="H22449" s="28"/>
    </row>
    <row r="22450" spans="4:8" x14ac:dyDescent="0.25">
      <c r="D22450" s="28"/>
      <c r="F22450" s="28"/>
      <c r="H22450" s="28"/>
    </row>
    <row r="22451" spans="4:8" x14ac:dyDescent="0.25">
      <c r="D22451" s="28"/>
      <c r="F22451" s="28"/>
      <c r="H22451" s="28"/>
    </row>
    <row r="22452" spans="4:8" x14ac:dyDescent="0.25">
      <c r="D22452" s="28"/>
      <c r="F22452" s="28"/>
      <c r="H22452" s="28"/>
    </row>
    <row r="22453" spans="4:8" x14ac:dyDescent="0.25">
      <c r="D22453" s="28"/>
      <c r="F22453" s="28"/>
      <c r="H22453" s="28"/>
    </row>
    <row r="22454" spans="4:8" x14ac:dyDescent="0.25">
      <c r="D22454" s="28"/>
      <c r="F22454" s="28"/>
      <c r="H22454" s="28"/>
    </row>
    <row r="22455" spans="4:8" x14ac:dyDescent="0.25">
      <c r="D22455" s="28"/>
      <c r="F22455" s="28"/>
      <c r="H22455" s="28"/>
    </row>
    <row r="22456" spans="4:8" x14ac:dyDescent="0.25">
      <c r="D22456" s="28"/>
      <c r="F22456" s="28"/>
      <c r="H22456" s="28"/>
    </row>
    <row r="22457" spans="4:8" x14ac:dyDescent="0.25">
      <c r="D22457" s="28"/>
      <c r="F22457" s="28"/>
      <c r="H22457" s="28"/>
    </row>
    <row r="22458" spans="4:8" x14ac:dyDescent="0.25">
      <c r="D22458" s="28"/>
      <c r="F22458" s="28"/>
      <c r="H22458" s="28"/>
    </row>
    <row r="22459" spans="4:8" x14ac:dyDescent="0.25">
      <c r="D22459" s="28"/>
      <c r="F22459" s="28"/>
      <c r="H22459" s="28"/>
    </row>
    <row r="22460" spans="4:8" x14ac:dyDescent="0.25">
      <c r="D22460" s="28"/>
      <c r="F22460" s="28"/>
      <c r="H22460" s="28"/>
    </row>
    <row r="22461" spans="4:8" x14ac:dyDescent="0.25">
      <c r="D22461" s="28"/>
      <c r="F22461" s="28"/>
      <c r="H22461" s="28"/>
    </row>
    <row r="22462" spans="4:8" x14ac:dyDescent="0.25">
      <c r="D22462" s="28"/>
      <c r="F22462" s="28"/>
      <c r="H22462" s="28"/>
    </row>
    <row r="22463" spans="4:8" x14ac:dyDescent="0.25">
      <c r="D22463" s="28"/>
      <c r="F22463" s="28"/>
      <c r="H22463" s="28"/>
    </row>
    <row r="22464" spans="4:8" x14ac:dyDescent="0.25">
      <c r="D22464" s="28"/>
      <c r="F22464" s="28"/>
      <c r="H22464" s="28"/>
    </row>
    <row r="22465" spans="4:8" x14ac:dyDescent="0.25">
      <c r="D22465" s="28"/>
      <c r="F22465" s="28"/>
      <c r="H22465" s="28"/>
    </row>
    <row r="22466" spans="4:8" x14ac:dyDescent="0.25">
      <c r="D22466" s="28"/>
      <c r="F22466" s="28"/>
      <c r="H22466" s="28"/>
    </row>
    <row r="22467" spans="4:8" x14ac:dyDescent="0.25">
      <c r="D22467" s="28"/>
      <c r="F22467" s="28"/>
      <c r="H22467" s="28"/>
    </row>
    <row r="22468" spans="4:8" x14ac:dyDescent="0.25">
      <c r="D22468" s="28"/>
      <c r="F22468" s="28"/>
      <c r="H22468" s="28"/>
    </row>
    <row r="22469" spans="4:8" x14ac:dyDescent="0.25">
      <c r="D22469" s="28"/>
      <c r="F22469" s="28"/>
      <c r="H22469" s="28"/>
    </row>
    <row r="22470" spans="4:8" x14ac:dyDescent="0.25">
      <c r="D22470" s="28"/>
      <c r="F22470" s="28"/>
      <c r="H22470" s="28"/>
    </row>
    <row r="22471" spans="4:8" x14ac:dyDescent="0.25">
      <c r="D22471" s="28"/>
      <c r="F22471" s="28"/>
      <c r="H22471" s="28"/>
    </row>
    <row r="22472" spans="4:8" x14ac:dyDescent="0.25">
      <c r="D22472" s="28"/>
      <c r="F22472" s="28"/>
      <c r="H22472" s="28"/>
    </row>
    <row r="22473" spans="4:8" x14ac:dyDescent="0.25">
      <c r="D22473" s="28"/>
      <c r="F22473" s="28"/>
      <c r="H22473" s="28"/>
    </row>
    <row r="22474" spans="4:8" x14ac:dyDescent="0.25">
      <c r="D22474" s="28"/>
      <c r="F22474" s="28"/>
      <c r="H22474" s="28"/>
    </row>
    <row r="22475" spans="4:8" x14ac:dyDescent="0.25">
      <c r="D22475" s="28"/>
      <c r="F22475" s="28"/>
      <c r="H22475" s="28"/>
    </row>
    <row r="22476" spans="4:8" x14ac:dyDescent="0.25">
      <c r="D22476" s="28"/>
      <c r="F22476" s="28"/>
      <c r="H22476" s="28"/>
    </row>
    <row r="22477" spans="4:8" x14ac:dyDescent="0.25">
      <c r="D22477" s="28"/>
      <c r="F22477" s="28"/>
      <c r="H22477" s="28"/>
    </row>
    <row r="22478" spans="4:8" x14ac:dyDescent="0.25">
      <c r="D22478" s="28"/>
      <c r="F22478" s="28"/>
      <c r="H22478" s="28"/>
    </row>
    <row r="22479" spans="4:8" x14ac:dyDescent="0.25">
      <c r="D22479" s="28"/>
      <c r="F22479" s="28"/>
      <c r="H22479" s="28"/>
    </row>
    <row r="22480" spans="4:8" x14ac:dyDescent="0.25">
      <c r="D22480" s="28"/>
      <c r="F22480" s="28"/>
      <c r="H22480" s="28"/>
    </row>
    <row r="22481" spans="4:8" x14ac:dyDescent="0.25">
      <c r="D22481" s="28"/>
      <c r="F22481" s="28"/>
      <c r="H22481" s="28"/>
    </row>
    <row r="22482" spans="4:8" x14ac:dyDescent="0.25">
      <c r="D22482" s="28"/>
      <c r="F22482" s="28"/>
      <c r="H22482" s="28"/>
    </row>
    <row r="22483" spans="4:8" x14ac:dyDescent="0.25">
      <c r="D22483" s="28"/>
      <c r="F22483" s="28"/>
      <c r="H22483" s="28"/>
    </row>
    <row r="22484" spans="4:8" x14ac:dyDescent="0.25">
      <c r="D22484" s="28"/>
      <c r="F22484" s="28"/>
      <c r="H22484" s="28"/>
    </row>
    <row r="22485" spans="4:8" x14ac:dyDescent="0.25">
      <c r="D22485" s="28"/>
      <c r="F22485" s="28"/>
      <c r="H22485" s="28"/>
    </row>
    <row r="22486" spans="4:8" x14ac:dyDescent="0.25">
      <c r="D22486" s="28"/>
      <c r="F22486" s="28"/>
      <c r="H22486" s="28"/>
    </row>
    <row r="22487" spans="4:8" x14ac:dyDescent="0.25">
      <c r="D22487" s="28"/>
      <c r="F22487" s="28"/>
      <c r="H22487" s="28"/>
    </row>
    <row r="22488" spans="4:8" x14ac:dyDescent="0.25">
      <c r="D22488" s="28"/>
      <c r="F22488" s="28"/>
      <c r="H22488" s="28"/>
    </row>
    <row r="22489" spans="4:8" x14ac:dyDescent="0.25">
      <c r="D22489" s="28"/>
      <c r="F22489" s="28"/>
      <c r="H22489" s="28"/>
    </row>
    <row r="22490" spans="4:8" x14ac:dyDescent="0.25">
      <c r="D22490" s="28"/>
      <c r="F22490" s="28"/>
      <c r="H22490" s="28"/>
    </row>
    <row r="22491" spans="4:8" x14ac:dyDescent="0.25">
      <c r="D22491" s="28"/>
      <c r="F22491" s="28"/>
      <c r="H22491" s="28"/>
    </row>
    <row r="22492" spans="4:8" x14ac:dyDescent="0.25">
      <c r="D22492" s="28"/>
      <c r="F22492" s="28"/>
      <c r="H22492" s="28"/>
    </row>
    <row r="22493" spans="4:8" x14ac:dyDescent="0.25">
      <c r="D22493" s="28"/>
      <c r="F22493" s="28"/>
      <c r="H22493" s="28"/>
    </row>
    <row r="22494" spans="4:8" x14ac:dyDescent="0.25">
      <c r="D22494" s="28"/>
      <c r="F22494" s="28"/>
      <c r="H22494" s="28"/>
    </row>
    <row r="22495" spans="4:8" x14ac:dyDescent="0.25">
      <c r="D22495" s="28"/>
      <c r="F22495" s="28"/>
      <c r="H22495" s="28"/>
    </row>
    <row r="22496" spans="4:8" x14ac:dyDescent="0.25">
      <c r="D22496" s="28"/>
      <c r="F22496" s="28"/>
      <c r="H22496" s="28"/>
    </row>
    <row r="22497" spans="4:8" x14ac:dyDescent="0.25">
      <c r="D22497" s="28"/>
      <c r="F22497" s="28"/>
      <c r="H22497" s="28"/>
    </row>
    <row r="22498" spans="4:8" x14ac:dyDescent="0.25">
      <c r="D22498" s="28"/>
      <c r="F22498" s="28"/>
      <c r="H22498" s="28"/>
    </row>
    <row r="22499" spans="4:8" x14ac:dyDescent="0.25">
      <c r="D22499" s="28"/>
      <c r="F22499" s="28"/>
      <c r="H22499" s="28"/>
    </row>
    <row r="22500" spans="4:8" x14ac:dyDescent="0.25">
      <c r="D22500" s="28"/>
      <c r="F22500" s="28"/>
      <c r="H22500" s="28"/>
    </row>
    <row r="22501" spans="4:8" x14ac:dyDescent="0.25">
      <c r="D22501" s="28"/>
      <c r="F22501" s="28"/>
      <c r="H22501" s="28"/>
    </row>
    <row r="22502" spans="4:8" x14ac:dyDescent="0.25">
      <c r="D22502" s="28"/>
      <c r="F22502" s="28"/>
      <c r="H22502" s="28"/>
    </row>
    <row r="22503" spans="4:8" x14ac:dyDescent="0.25">
      <c r="D22503" s="28"/>
      <c r="F22503" s="28"/>
      <c r="H22503" s="28"/>
    </row>
    <row r="22504" spans="4:8" x14ac:dyDescent="0.25">
      <c r="D22504" s="28"/>
      <c r="F22504" s="28"/>
      <c r="H22504" s="28"/>
    </row>
    <row r="22505" spans="4:8" x14ac:dyDescent="0.25">
      <c r="D22505" s="28"/>
      <c r="F22505" s="28"/>
      <c r="H22505" s="28"/>
    </row>
    <row r="22506" spans="4:8" x14ac:dyDescent="0.25">
      <c r="D22506" s="28"/>
      <c r="F22506" s="28"/>
      <c r="H22506" s="28"/>
    </row>
    <row r="22507" spans="4:8" x14ac:dyDescent="0.25">
      <c r="D22507" s="28"/>
      <c r="F22507" s="28"/>
      <c r="H22507" s="28"/>
    </row>
    <row r="22508" spans="4:8" x14ac:dyDescent="0.25">
      <c r="D22508" s="28"/>
      <c r="F22508" s="28"/>
      <c r="H22508" s="28"/>
    </row>
    <row r="22509" spans="4:8" x14ac:dyDescent="0.25">
      <c r="D22509" s="28"/>
      <c r="F22509" s="28"/>
      <c r="H22509" s="28"/>
    </row>
    <row r="22510" spans="4:8" x14ac:dyDescent="0.25">
      <c r="D22510" s="28"/>
      <c r="F22510" s="28"/>
      <c r="H22510" s="28"/>
    </row>
    <row r="22511" spans="4:8" x14ac:dyDescent="0.25">
      <c r="D22511" s="28"/>
      <c r="F22511" s="28"/>
      <c r="H22511" s="28"/>
    </row>
    <row r="22512" spans="4:8" x14ac:dyDescent="0.25">
      <c r="D22512" s="28"/>
      <c r="F22512" s="28"/>
      <c r="H22512" s="28"/>
    </row>
    <row r="22513" spans="4:8" x14ac:dyDescent="0.25">
      <c r="D22513" s="28"/>
      <c r="F22513" s="28"/>
      <c r="H22513" s="28"/>
    </row>
    <row r="22514" spans="4:8" x14ac:dyDescent="0.25">
      <c r="D22514" s="28"/>
      <c r="F22514" s="28"/>
      <c r="H22514" s="28"/>
    </row>
    <row r="22515" spans="4:8" x14ac:dyDescent="0.25">
      <c r="D22515" s="28"/>
      <c r="F22515" s="28"/>
      <c r="H22515" s="28"/>
    </row>
    <row r="22516" spans="4:8" x14ac:dyDescent="0.25">
      <c r="D22516" s="28"/>
      <c r="F22516" s="28"/>
      <c r="H22516" s="28"/>
    </row>
    <row r="22517" spans="4:8" x14ac:dyDescent="0.25">
      <c r="D22517" s="28"/>
      <c r="F22517" s="28"/>
      <c r="H22517" s="28"/>
    </row>
    <row r="22518" spans="4:8" x14ac:dyDescent="0.25">
      <c r="D22518" s="28"/>
      <c r="F22518" s="28"/>
      <c r="H22518" s="28"/>
    </row>
    <row r="22519" spans="4:8" x14ac:dyDescent="0.25">
      <c r="D22519" s="28"/>
      <c r="F22519" s="28"/>
      <c r="H22519" s="28"/>
    </row>
    <row r="22520" spans="4:8" x14ac:dyDescent="0.25">
      <c r="D22520" s="28"/>
      <c r="F22520" s="28"/>
      <c r="H22520" s="28"/>
    </row>
    <row r="22521" spans="4:8" x14ac:dyDescent="0.25">
      <c r="D22521" s="28"/>
      <c r="F22521" s="28"/>
      <c r="H22521" s="28"/>
    </row>
    <row r="22522" spans="4:8" x14ac:dyDescent="0.25">
      <c r="D22522" s="28"/>
      <c r="F22522" s="28"/>
      <c r="H22522" s="28"/>
    </row>
    <row r="22523" spans="4:8" x14ac:dyDescent="0.25">
      <c r="D22523" s="28"/>
      <c r="F22523" s="28"/>
      <c r="H22523" s="28"/>
    </row>
    <row r="22524" spans="4:8" x14ac:dyDescent="0.25">
      <c r="D22524" s="28"/>
      <c r="F22524" s="28"/>
      <c r="H22524" s="28"/>
    </row>
    <row r="22525" spans="4:8" x14ac:dyDescent="0.25">
      <c r="D22525" s="28"/>
      <c r="F22525" s="28"/>
      <c r="H22525" s="28"/>
    </row>
    <row r="22526" spans="4:8" x14ac:dyDescent="0.25">
      <c r="D22526" s="28"/>
      <c r="F22526" s="28"/>
      <c r="H22526" s="28"/>
    </row>
    <row r="22527" spans="4:8" x14ac:dyDescent="0.25">
      <c r="D22527" s="28"/>
      <c r="F22527" s="28"/>
      <c r="H22527" s="28"/>
    </row>
    <row r="22528" spans="4:8" x14ac:dyDescent="0.25">
      <c r="D22528" s="28"/>
      <c r="F22528" s="28"/>
      <c r="H22528" s="28"/>
    </row>
    <row r="22529" spans="4:8" x14ac:dyDescent="0.25">
      <c r="D22529" s="28"/>
      <c r="F22529" s="28"/>
      <c r="H22529" s="28"/>
    </row>
    <row r="22530" spans="4:8" x14ac:dyDescent="0.25">
      <c r="D22530" s="28"/>
      <c r="F22530" s="28"/>
      <c r="H22530" s="28"/>
    </row>
    <row r="22531" spans="4:8" x14ac:dyDescent="0.25">
      <c r="D22531" s="28"/>
      <c r="F22531" s="28"/>
      <c r="H22531" s="28"/>
    </row>
    <row r="22532" spans="4:8" x14ac:dyDescent="0.25">
      <c r="D22532" s="28"/>
      <c r="F22532" s="28"/>
      <c r="H22532" s="28"/>
    </row>
    <row r="22533" spans="4:8" x14ac:dyDescent="0.25">
      <c r="D22533" s="28"/>
      <c r="F22533" s="28"/>
      <c r="H22533" s="28"/>
    </row>
    <row r="22534" spans="4:8" x14ac:dyDescent="0.25">
      <c r="D22534" s="28"/>
      <c r="F22534" s="28"/>
      <c r="H22534" s="28"/>
    </row>
    <row r="22535" spans="4:8" x14ac:dyDescent="0.25">
      <c r="D22535" s="28"/>
      <c r="F22535" s="28"/>
      <c r="H22535" s="28"/>
    </row>
    <row r="22536" spans="4:8" x14ac:dyDescent="0.25">
      <c r="D22536" s="28"/>
      <c r="F22536" s="28"/>
      <c r="H22536" s="28"/>
    </row>
    <row r="22537" spans="4:8" x14ac:dyDescent="0.25">
      <c r="D22537" s="28"/>
      <c r="F22537" s="28"/>
      <c r="H22537" s="28"/>
    </row>
    <row r="22538" spans="4:8" x14ac:dyDescent="0.25">
      <c r="D22538" s="28"/>
      <c r="F22538" s="28"/>
      <c r="H22538" s="28"/>
    </row>
    <row r="22539" spans="4:8" x14ac:dyDescent="0.25">
      <c r="D22539" s="28"/>
      <c r="F22539" s="28"/>
      <c r="H22539" s="28"/>
    </row>
    <row r="22540" spans="4:8" x14ac:dyDescent="0.25">
      <c r="D22540" s="28"/>
      <c r="F22540" s="28"/>
      <c r="H22540" s="28"/>
    </row>
    <row r="22541" spans="4:8" x14ac:dyDescent="0.25">
      <c r="D22541" s="28"/>
      <c r="F22541" s="28"/>
      <c r="H22541" s="28"/>
    </row>
    <row r="22542" spans="4:8" x14ac:dyDescent="0.25">
      <c r="D22542" s="28"/>
      <c r="F22542" s="28"/>
      <c r="H22542" s="28"/>
    </row>
    <row r="22543" spans="4:8" x14ac:dyDescent="0.25">
      <c r="D22543" s="28"/>
      <c r="F22543" s="28"/>
      <c r="H22543" s="28"/>
    </row>
    <row r="22544" spans="4:8" x14ac:dyDescent="0.25">
      <c r="D22544" s="28"/>
      <c r="F22544" s="28"/>
      <c r="H22544" s="28"/>
    </row>
    <row r="22545" spans="4:8" x14ac:dyDescent="0.25">
      <c r="D22545" s="28"/>
      <c r="F22545" s="28"/>
      <c r="H22545" s="28"/>
    </row>
    <row r="22546" spans="4:8" x14ac:dyDescent="0.25">
      <c r="D22546" s="28"/>
      <c r="F22546" s="28"/>
      <c r="H22546" s="28"/>
    </row>
    <row r="22547" spans="4:8" x14ac:dyDescent="0.25">
      <c r="D22547" s="28"/>
      <c r="F22547" s="28"/>
      <c r="H22547" s="28"/>
    </row>
    <row r="22548" spans="4:8" x14ac:dyDescent="0.25">
      <c r="D22548" s="28"/>
      <c r="F22548" s="28"/>
      <c r="H22548" s="28"/>
    </row>
    <row r="22549" spans="4:8" x14ac:dyDescent="0.25">
      <c r="D22549" s="28"/>
      <c r="F22549" s="28"/>
      <c r="H22549" s="28"/>
    </row>
    <row r="22550" spans="4:8" x14ac:dyDescent="0.25">
      <c r="D22550" s="28"/>
      <c r="F22550" s="28"/>
      <c r="H22550" s="28"/>
    </row>
    <row r="22551" spans="4:8" x14ac:dyDescent="0.25">
      <c r="D22551" s="28"/>
      <c r="F22551" s="28"/>
      <c r="H22551" s="28"/>
    </row>
    <row r="22552" spans="4:8" x14ac:dyDescent="0.25">
      <c r="D22552" s="28"/>
      <c r="F22552" s="28"/>
      <c r="H22552" s="28"/>
    </row>
    <row r="22553" spans="4:8" x14ac:dyDescent="0.25">
      <c r="D22553" s="28"/>
      <c r="F22553" s="28"/>
      <c r="H22553" s="28"/>
    </row>
    <row r="22554" spans="4:8" x14ac:dyDescent="0.25">
      <c r="D22554" s="28"/>
      <c r="F22554" s="28"/>
      <c r="H22554" s="28"/>
    </row>
    <row r="22555" spans="4:8" x14ac:dyDescent="0.25">
      <c r="D22555" s="28"/>
      <c r="F22555" s="28"/>
      <c r="H22555" s="28"/>
    </row>
    <row r="22556" spans="4:8" x14ac:dyDescent="0.25">
      <c r="D22556" s="28"/>
      <c r="F22556" s="28"/>
      <c r="H22556" s="28"/>
    </row>
    <row r="22557" spans="4:8" x14ac:dyDescent="0.25">
      <c r="D22557" s="28"/>
      <c r="F22557" s="28"/>
      <c r="H22557" s="28"/>
    </row>
    <row r="22558" spans="4:8" x14ac:dyDescent="0.25">
      <c r="D22558" s="28"/>
      <c r="F22558" s="28"/>
      <c r="H22558" s="28"/>
    </row>
    <row r="22559" spans="4:8" x14ac:dyDescent="0.25">
      <c r="D22559" s="28"/>
      <c r="F22559" s="28"/>
      <c r="H22559" s="28"/>
    </row>
    <row r="22560" spans="4:8" x14ac:dyDescent="0.25">
      <c r="D22560" s="28"/>
      <c r="F22560" s="28"/>
      <c r="H22560" s="28"/>
    </row>
    <row r="22561" spans="4:8" x14ac:dyDescent="0.25">
      <c r="D22561" s="28"/>
      <c r="F22561" s="28"/>
      <c r="H22561" s="28"/>
    </row>
    <row r="22562" spans="4:8" x14ac:dyDescent="0.25">
      <c r="D22562" s="28"/>
      <c r="F22562" s="28"/>
      <c r="H22562" s="28"/>
    </row>
    <row r="22563" spans="4:8" x14ac:dyDescent="0.25">
      <c r="D22563" s="28"/>
      <c r="F22563" s="28"/>
      <c r="H22563" s="28"/>
    </row>
    <row r="22564" spans="4:8" x14ac:dyDescent="0.25">
      <c r="D22564" s="28"/>
      <c r="F22564" s="28"/>
      <c r="H22564" s="28"/>
    </row>
    <row r="22565" spans="4:8" x14ac:dyDescent="0.25">
      <c r="D22565" s="28"/>
      <c r="F22565" s="28"/>
      <c r="H22565" s="28"/>
    </row>
    <row r="22566" spans="4:8" x14ac:dyDescent="0.25">
      <c r="D22566" s="28"/>
      <c r="F22566" s="28"/>
      <c r="H22566" s="28"/>
    </row>
    <row r="22567" spans="4:8" x14ac:dyDescent="0.25">
      <c r="D22567" s="28"/>
      <c r="F22567" s="28"/>
      <c r="H22567" s="28"/>
    </row>
    <row r="22568" spans="4:8" x14ac:dyDescent="0.25">
      <c r="D22568" s="28"/>
      <c r="F22568" s="28"/>
      <c r="H22568" s="28"/>
    </row>
    <row r="22569" spans="4:8" x14ac:dyDescent="0.25">
      <c r="D22569" s="28"/>
      <c r="F22569" s="28"/>
      <c r="H22569" s="28"/>
    </row>
    <row r="22570" spans="4:8" x14ac:dyDescent="0.25">
      <c r="D22570" s="28"/>
      <c r="F22570" s="28"/>
      <c r="H22570" s="28"/>
    </row>
    <row r="22571" spans="4:8" x14ac:dyDescent="0.25">
      <c r="D22571" s="28"/>
      <c r="F22571" s="28"/>
      <c r="H22571" s="28"/>
    </row>
    <row r="22572" spans="4:8" x14ac:dyDescent="0.25">
      <c r="D22572" s="28"/>
      <c r="F22572" s="28"/>
      <c r="H22572" s="28"/>
    </row>
    <row r="22573" spans="4:8" x14ac:dyDescent="0.25">
      <c r="D22573" s="28"/>
      <c r="F22573" s="28"/>
      <c r="H22573" s="28"/>
    </row>
    <row r="22574" spans="4:8" x14ac:dyDescent="0.25">
      <c r="D22574" s="28"/>
      <c r="F22574" s="28"/>
      <c r="H22574" s="28"/>
    </row>
    <row r="22575" spans="4:8" x14ac:dyDescent="0.25">
      <c r="D22575" s="28"/>
      <c r="F22575" s="28"/>
      <c r="H22575" s="28"/>
    </row>
    <row r="22576" spans="4:8" x14ac:dyDescent="0.25">
      <c r="D22576" s="28"/>
      <c r="F22576" s="28"/>
      <c r="H22576" s="28"/>
    </row>
    <row r="22577" spans="4:8" x14ac:dyDescent="0.25">
      <c r="D22577" s="28"/>
      <c r="F22577" s="28"/>
      <c r="H22577" s="28"/>
    </row>
    <row r="22578" spans="4:8" x14ac:dyDescent="0.25">
      <c r="D22578" s="28"/>
      <c r="F22578" s="28"/>
      <c r="H22578" s="28"/>
    </row>
    <row r="22579" spans="4:8" x14ac:dyDescent="0.25">
      <c r="D22579" s="28"/>
      <c r="F22579" s="28"/>
      <c r="H22579" s="28"/>
    </row>
    <row r="22580" spans="4:8" x14ac:dyDescent="0.25">
      <c r="D22580" s="28"/>
      <c r="F22580" s="28"/>
      <c r="H22580" s="28"/>
    </row>
    <row r="22581" spans="4:8" x14ac:dyDescent="0.25">
      <c r="D22581" s="28"/>
      <c r="F22581" s="28"/>
      <c r="H22581" s="28"/>
    </row>
    <row r="22582" spans="4:8" x14ac:dyDescent="0.25">
      <c r="D22582" s="28"/>
      <c r="F22582" s="28"/>
      <c r="H22582" s="28"/>
    </row>
    <row r="22583" spans="4:8" x14ac:dyDescent="0.25">
      <c r="D22583" s="28"/>
      <c r="F22583" s="28"/>
      <c r="H22583" s="28"/>
    </row>
    <row r="22584" spans="4:8" x14ac:dyDescent="0.25">
      <c r="D22584" s="28"/>
      <c r="F22584" s="28"/>
      <c r="H22584" s="28"/>
    </row>
    <row r="22585" spans="4:8" x14ac:dyDescent="0.25">
      <c r="D22585" s="28"/>
      <c r="F22585" s="28"/>
      <c r="H22585" s="28"/>
    </row>
    <row r="22586" spans="4:8" x14ac:dyDescent="0.25">
      <c r="D22586" s="28"/>
      <c r="F22586" s="28"/>
      <c r="H22586" s="28"/>
    </row>
    <row r="22587" spans="4:8" x14ac:dyDescent="0.25">
      <c r="D22587" s="28"/>
      <c r="F22587" s="28"/>
      <c r="H22587" s="28"/>
    </row>
    <row r="22588" spans="4:8" x14ac:dyDescent="0.25">
      <c r="D22588" s="28"/>
      <c r="F22588" s="28"/>
      <c r="H22588" s="28"/>
    </row>
    <row r="22589" spans="4:8" x14ac:dyDescent="0.25">
      <c r="D22589" s="28"/>
      <c r="F22589" s="28"/>
      <c r="H22589" s="28"/>
    </row>
    <row r="22590" spans="4:8" x14ac:dyDescent="0.25">
      <c r="D22590" s="28"/>
      <c r="F22590" s="28"/>
      <c r="H22590" s="28"/>
    </row>
    <row r="22591" spans="4:8" x14ac:dyDescent="0.25">
      <c r="D22591" s="28"/>
      <c r="F22591" s="28"/>
      <c r="H22591" s="28"/>
    </row>
    <row r="22592" spans="4:8" x14ac:dyDescent="0.25">
      <c r="D22592" s="28"/>
      <c r="F22592" s="28"/>
      <c r="H22592" s="28"/>
    </row>
    <row r="22593" spans="4:8" x14ac:dyDescent="0.25">
      <c r="D22593" s="28"/>
      <c r="F22593" s="28"/>
      <c r="H22593" s="28"/>
    </row>
    <row r="22594" spans="4:8" x14ac:dyDescent="0.25">
      <c r="D22594" s="28"/>
      <c r="F22594" s="28"/>
      <c r="H22594" s="28"/>
    </row>
    <row r="22595" spans="4:8" x14ac:dyDescent="0.25">
      <c r="D22595" s="28"/>
      <c r="F22595" s="28"/>
      <c r="H22595" s="28"/>
    </row>
    <row r="22596" spans="4:8" x14ac:dyDescent="0.25">
      <c r="D22596" s="28"/>
      <c r="F22596" s="28"/>
      <c r="H22596" s="28"/>
    </row>
    <row r="22597" spans="4:8" x14ac:dyDescent="0.25">
      <c r="D22597" s="28"/>
      <c r="F22597" s="28"/>
      <c r="H22597" s="28"/>
    </row>
    <row r="22598" spans="4:8" x14ac:dyDescent="0.25">
      <c r="D22598" s="28"/>
      <c r="F22598" s="28"/>
      <c r="H22598" s="28"/>
    </row>
    <row r="22599" spans="4:8" x14ac:dyDescent="0.25">
      <c r="D22599" s="28"/>
      <c r="F22599" s="28"/>
      <c r="H22599" s="28"/>
    </row>
    <row r="22600" spans="4:8" x14ac:dyDescent="0.25">
      <c r="D22600" s="28"/>
      <c r="F22600" s="28"/>
      <c r="H22600" s="28"/>
    </row>
    <row r="22601" spans="4:8" x14ac:dyDescent="0.25">
      <c r="D22601" s="28"/>
      <c r="F22601" s="28"/>
      <c r="H22601" s="28"/>
    </row>
    <row r="22602" spans="4:8" x14ac:dyDescent="0.25">
      <c r="D22602" s="28"/>
      <c r="F22602" s="28"/>
      <c r="H22602" s="28"/>
    </row>
    <row r="22603" spans="4:8" x14ac:dyDescent="0.25">
      <c r="D22603" s="28"/>
      <c r="F22603" s="28"/>
      <c r="H22603" s="28"/>
    </row>
    <row r="22604" spans="4:8" x14ac:dyDescent="0.25">
      <c r="D22604" s="28"/>
      <c r="F22604" s="28"/>
      <c r="H22604" s="28"/>
    </row>
    <row r="22605" spans="4:8" x14ac:dyDescent="0.25">
      <c r="D22605" s="28"/>
      <c r="F22605" s="28"/>
      <c r="H22605" s="28"/>
    </row>
    <row r="22606" spans="4:8" x14ac:dyDescent="0.25">
      <c r="D22606" s="28"/>
      <c r="F22606" s="28"/>
      <c r="H22606" s="28"/>
    </row>
    <row r="22607" spans="4:8" x14ac:dyDescent="0.25">
      <c r="D22607" s="28"/>
      <c r="F22607" s="28"/>
      <c r="H22607" s="28"/>
    </row>
    <row r="22608" spans="4:8" x14ac:dyDescent="0.25">
      <c r="D22608" s="28"/>
      <c r="F22608" s="28"/>
      <c r="H22608" s="28"/>
    </row>
    <row r="22609" spans="4:8" x14ac:dyDescent="0.25">
      <c r="D22609" s="28"/>
      <c r="F22609" s="28"/>
      <c r="H22609" s="28"/>
    </row>
    <row r="22610" spans="4:8" x14ac:dyDescent="0.25">
      <c r="D22610" s="28"/>
      <c r="F22610" s="28"/>
      <c r="H22610" s="28"/>
    </row>
    <row r="22611" spans="4:8" x14ac:dyDescent="0.25">
      <c r="D22611" s="28"/>
      <c r="F22611" s="28"/>
      <c r="H22611" s="28"/>
    </row>
    <row r="22612" spans="4:8" x14ac:dyDescent="0.25">
      <c r="D22612" s="28"/>
      <c r="F22612" s="28"/>
      <c r="H22612" s="28"/>
    </row>
    <row r="22613" spans="4:8" x14ac:dyDescent="0.25">
      <c r="D22613" s="28"/>
      <c r="F22613" s="28"/>
      <c r="H22613" s="28"/>
    </row>
    <row r="22614" spans="4:8" x14ac:dyDescent="0.25">
      <c r="D22614" s="28"/>
      <c r="F22614" s="28"/>
      <c r="H22614" s="28"/>
    </row>
    <row r="22615" spans="4:8" x14ac:dyDescent="0.25">
      <c r="D22615" s="28"/>
      <c r="F22615" s="28"/>
      <c r="H22615" s="28"/>
    </row>
    <row r="22616" spans="4:8" x14ac:dyDescent="0.25">
      <c r="D22616" s="28"/>
      <c r="F22616" s="28"/>
      <c r="H22616" s="28"/>
    </row>
    <row r="22617" spans="4:8" x14ac:dyDescent="0.25">
      <c r="D22617" s="28"/>
      <c r="F22617" s="28"/>
      <c r="H22617" s="28"/>
    </row>
    <row r="22618" spans="4:8" x14ac:dyDescent="0.25">
      <c r="D22618" s="28"/>
      <c r="F22618" s="28"/>
      <c r="H22618" s="28"/>
    </row>
    <row r="22619" spans="4:8" x14ac:dyDescent="0.25">
      <c r="D22619" s="28"/>
      <c r="F22619" s="28"/>
      <c r="H22619" s="28"/>
    </row>
    <row r="22620" spans="4:8" x14ac:dyDescent="0.25">
      <c r="D22620" s="28"/>
      <c r="F22620" s="28"/>
      <c r="H22620" s="28"/>
    </row>
    <row r="22621" spans="4:8" x14ac:dyDescent="0.25">
      <c r="D22621" s="28"/>
      <c r="F22621" s="28"/>
      <c r="H22621" s="28"/>
    </row>
    <row r="22622" spans="4:8" x14ac:dyDescent="0.25">
      <c r="D22622" s="28"/>
      <c r="F22622" s="28"/>
      <c r="H22622" s="28"/>
    </row>
    <row r="22623" spans="4:8" x14ac:dyDescent="0.25">
      <c r="D22623" s="28"/>
      <c r="F22623" s="28"/>
      <c r="H22623" s="28"/>
    </row>
    <row r="22624" spans="4:8" x14ac:dyDescent="0.25">
      <c r="D22624" s="28"/>
      <c r="F22624" s="28"/>
      <c r="H22624" s="28"/>
    </row>
    <row r="22625" spans="4:8" x14ac:dyDescent="0.25">
      <c r="D22625" s="28"/>
      <c r="F22625" s="28"/>
      <c r="H22625" s="28"/>
    </row>
    <row r="22626" spans="4:8" x14ac:dyDescent="0.25">
      <c r="D22626" s="28"/>
      <c r="F22626" s="28"/>
      <c r="H22626" s="28"/>
    </row>
    <row r="22627" spans="4:8" x14ac:dyDescent="0.25">
      <c r="D22627" s="28"/>
      <c r="F22627" s="28"/>
      <c r="H22627" s="28"/>
    </row>
    <row r="22628" spans="4:8" x14ac:dyDescent="0.25">
      <c r="D22628" s="28"/>
      <c r="F22628" s="28"/>
      <c r="H22628" s="28"/>
    </row>
    <row r="22629" spans="4:8" x14ac:dyDescent="0.25">
      <c r="D22629" s="28"/>
      <c r="F22629" s="28"/>
      <c r="H22629" s="28"/>
    </row>
    <row r="22630" spans="4:8" x14ac:dyDescent="0.25">
      <c r="D22630" s="28"/>
      <c r="F22630" s="28"/>
      <c r="H22630" s="28"/>
    </row>
    <row r="22631" spans="4:8" x14ac:dyDescent="0.25">
      <c r="D22631" s="28"/>
      <c r="F22631" s="28"/>
      <c r="H22631" s="28"/>
    </row>
    <row r="22632" spans="4:8" x14ac:dyDescent="0.25">
      <c r="D22632" s="28"/>
      <c r="F22632" s="28"/>
      <c r="H22632" s="28"/>
    </row>
    <row r="22633" spans="4:8" x14ac:dyDescent="0.25">
      <c r="D22633" s="28"/>
      <c r="F22633" s="28"/>
      <c r="H22633" s="28"/>
    </row>
    <row r="22634" spans="4:8" x14ac:dyDescent="0.25">
      <c r="D22634" s="28"/>
      <c r="F22634" s="28"/>
      <c r="H22634" s="28"/>
    </row>
    <row r="22635" spans="4:8" x14ac:dyDescent="0.25">
      <c r="D22635" s="28"/>
      <c r="F22635" s="28"/>
      <c r="H22635" s="28"/>
    </row>
    <row r="22636" spans="4:8" x14ac:dyDescent="0.25">
      <c r="D22636" s="28"/>
      <c r="F22636" s="28"/>
      <c r="H22636" s="28"/>
    </row>
    <row r="22637" spans="4:8" x14ac:dyDescent="0.25">
      <c r="D22637" s="28"/>
      <c r="F22637" s="28"/>
      <c r="H22637" s="28"/>
    </row>
    <row r="22638" spans="4:8" x14ac:dyDescent="0.25">
      <c r="D22638" s="28"/>
      <c r="F22638" s="28"/>
      <c r="H22638" s="28"/>
    </row>
    <row r="22639" spans="4:8" x14ac:dyDescent="0.25">
      <c r="D22639" s="28"/>
      <c r="F22639" s="28"/>
      <c r="H22639" s="28"/>
    </row>
    <row r="22640" spans="4:8" x14ac:dyDescent="0.25">
      <c r="D22640" s="28"/>
      <c r="F22640" s="28"/>
      <c r="H22640" s="28"/>
    </row>
    <row r="22641" spans="4:8" x14ac:dyDescent="0.25">
      <c r="D22641" s="28"/>
      <c r="F22641" s="28"/>
      <c r="H22641" s="28"/>
    </row>
    <row r="22642" spans="4:8" x14ac:dyDescent="0.25">
      <c r="D22642" s="28"/>
      <c r="F22642" s="28"/>
      <c r="H22642" s="28"/>
    </row>
    <row r="22643" spans="4:8" x14ac:dyDescent="0.25">
      <c r="D22643" s="28"/>
      <c r="F22643" s="28"/>
      <c r="H22643" s="28"/>
    </row>
    <row r="22644" spans="4:8" x14ac:dyDescent="0.25">
      <c r="D22644" s="28"/>
      <c r="F22644" s="28"/>
      <c r="H22644" s="28"/>
    </row>
    <row r="22645" spans="4:8" x14ac:dyDescent="0.25">
      <c r="D22645" s="28"/>
      <c r="F22645" s="28"/>
      <c r="H22645" s="28"/>
    </row>
    <row r="22646" spans="4:8" x14ac:dyDescent="0.25">
      <c r="D22646" s="28"/>
      <c r="F22646" s="28"/>
      <c r="H22646" s="28"/>
    </row>
    <row r="22647" spans="4:8" x14ac:dyDescent="0.25">
      <c r="D22647" s="28"/>
      <c r="F22647" s="28"/>
      <c r="H22647" s="28"/>
    </row>
    <row r="22648" spans="4:8" x14ac:dyDescent="0.25">
      <c r="D22648" s="28"/>
      <c r="F22648" s="28"/>
      <c r="H22648" s="28"/>
    </row>
    <row r="22649" spans="4:8" x14ac:dyDescent="0.25">
      <c r="D22649" s="28"/>
      <c r="F22649" s="28"/>
      <c r="H22649" s="28"/>
    </row>
    <row r="22650" spans="4:8" x14ac:dyDescent="0.25">
      <c r="D22650" s="28"/>
      <c r="F22650" s="28"/>
      <c r="H22650" s="28"/>
    </row>
    <row r="22651" spans="4:8" x14ac:dyDescent="0.25">
      <c r="D22651" s="28"/>
      <c r="F22651" s="28"/>
      <c r="H22651" s="28"/>
    </row>
    <row r="22652" spans="4:8" x14ac:dyDescent="0.25">
      <c r="D22652" s="28"/>
      <c r="F22652" s="28"/>
      <c r="H22652" s="28"/>
    </row>
    <row r="22653" spans="4:8" x14ac:dyDescent="0.25">
      <c r="D22653" s="28"/>
      <c r="F22653" s="28"/>
      <c r="H22653" s="28"/>
    </row>
    <row r="22654" spans="4:8" x14ac:dyDescent="0.25">
      <c r="D22654" s="28"/>
      <c r="F22654" s="28"/>
      <c r="H22654" s="28"/>
    </row>
    <row r="22655" spans="4:8" x14ac:dyDescent="0.25">
      <c r="D22655" s="28"/>
      <c r="F22655" s="28"/>
      <c r="H22655" s="28"/>
    </row>
    <row r="22656" spans="4:8" x14ac:dyDescent="0.25">
      <c r="D22656" s="28"/>
      <c r="F22656" s="28"/>
      <c r="H22656" s="28"/>
    </row>
    <row r="22657" spans="4:8" x14ac:dyDescent="0.25">
      <c r="D22657" s="28"/>
      <c r="F22657" s="28"/>
      <c r="H22657" s="28"/>
    </row>
    <row r="22658" spans="4:8" x14ac:dyDescent="0.25">
      <c r="D22658" s="28"/>
      <c r="F22658" s="28"/>
      <c r="H22658" s="28"/>
    </row>
    <row r="22659" spans="4:8" x14ac:dyDescent="0.25">
      <c r="D22659" s="28"/>
      <c r="F22659" s="28"/>
      <c r="H22659" s="28"/>
    </row>
    <row r="22660" spans="4:8" x14ac:dyDescent="0.25">
      <c r="D22660" s="28"/>
      <c r="F22660" s="28"/>
      <c r="H22660" s="28"/>
    </row>
    <row r="22661" spans="4:8" x14ac:dyDescent="0.25">
      <c r="D22661" s="28"/>
      <c r="F22661" s="28"/>
      <c r="H22661" s="28"/>
    </row>
    <row r="22662" spans="4:8" x14ac:dyDescent="0.25">
      <c r="D22662" s="28"/>
      <c r="F22662" s="28"/>
      <c r="H22662" s="28"/>
    </row>
    <row r="22663" spans="4:8" x14ac:dyDescent="0.25">
      <c r="D22663" s="28"/>
      <c r="F22663" s="28"/>
      <c r="H22663" s="28"/>
    </row>
    <row r="22664" spans="4:8" x14ac:dyDescent="0.25">
      <c r="D22664" s="28"/>
      <c r="F22664" s="28"/>
      <c r="H22664" s="28"/>
    </row>
    <row r="22665" spans="4:8" x14ac:dyDescent="0.25">
      <c r="D22665" s="28"/>
      <c r="F22665" s="28"/>
      <c r="H22665" s="28"/>
    </row>
    <row r="22666" spans="4:8" x14ac:dyDescent="0.25">
      <c r="D22666" s="28"/>
      <c r="F22666" s="28"/>
      <c r="H22666" s="28"/>
    </row>
    <row r="22667" spans="4:8" x14ac:dyDescent="0.25">
      <c r="D22667" s="28"/>
      <c r="F22667" s="28"/>
      <c r="H22667" s="28"/>
    </row>
    <row r="22668" spans="4:8" x14ac:dyDescent="0.25">
      <c r="D22668" s="28"/>
      <c r="F22668" s="28"/>
      <c r="H22668" s="28"/>
    </row>
    <row r="22669" spans="4:8" x14ac:dyDescent="0.25">
      <c r="D22669" s="28"/>
      <c r="F22669" s="28"/>
      <c r="H22669" s="28"/>
    </row>
    <row r="22670" spans="4:8" x14ac:dyDescent="0.25">
      <c r="D22670" s="28"/>
      <c r="F22670" s="28"/>
      <c r="H22670" s="28"/>
    </row>
    <row r="22671" spans="4:8" x14ac:dyDescent="0.25">
      <c r="D22671" s="28"/>
      <c r="F22671" s="28"/>
      <c r="H22671" s="28"/>
    </row>
    <row r="22672" spans="4:8" x14ac:dyDescent="0.25">
      <c r="D22672" s="28"/>
      <c r="F22672" s="28"/>
      <c r="H22672" s="28"/>
    </row>
    <row r="22673" spans="4:8" x14ac:dyDescent="0.25">
      <c r="D22673" s="28"/>
      <c r="F22673" s="28"/>
      <c r="H22673" s="28"/>
    </row>
    <row r="22674" spans="4:8" x14ac:dyDescent="0.25">
      <c r="D22674" s="28"/>
      <c r="F22674" s="28"/>
      <c r="H22674" s="28"/>
    </row>
    <row r="22675" spans="4:8" x14ac:dyDescent="0.25">
      <c r="D22675" s="28"/>
      <c r="F22675" s="28"/>
      <c r="H22675" s="28"/>
    </row>
    <row r="22676" spans="4:8" x14ac:dyDescent="0.25">
      <c r="D22676" s="28"/>
      <c r="F22676" s="28"/>
      <c r="H22676" s="28"/>
    </row>
    <row r="22677" spans="4:8" x14ac:dyDescent="0.25">
      <c r="D22677" s="28"/>
      <c r="F22677" s="28"/>
      <c r="H22677" s="28"/>
    </row>
    <row r="22678" spans="4:8" x14ac:dyDescent="0.25">
      <c r="D22678" s="28"/>
      <c r="F22678" s="28"/>
      <c r="H22678" s="28"/>
    </row>
    <row r="22679" spans="4:8" x14ac:dyDescent="0.25">
      <c r="D22679" s="28"/>
      <c r="F22679" s="28"/>
      <c r="H22679" s="28"/>
    </row>
    <row r="22680" spans="4:8" x14ac:dyDescent="0.25">
      <c r="D22680" s="28"/>
      <c r="F22680" s="28"/>
      <c r="H22680" s="28"/>
    </row>
    <row r="22681" spans="4:8" x14ac:dyDescent="0.25">
      <c r="D22681" s="28"/>
      <c r="F22681" s="28"/>
      <c r="H22681" s="28"/>
    </row>
    <row r="22682" spans="4:8" x14ac:dyDescent="0.25">
      <c r="D22682" s="28"/>
      <c r="F22682" s="28"/>
      <c r="H22682" s="28"/>
    </row>
    <row r="22683" spans="4:8" x14ac:dyDescent="0.25">
      <c r="D22683" s="28"/>
      <c r="F22683" s="28"/>
      <c r="H22683" s="28"/>
    </row>
    <row r="22684" spans="4:8" x14ac:dyDescent="0.25">
      <c r="D22684" s="28"/>
      <c r="F22684" s="28"/>
      <c r="H22684" s="28"/>
    </row>
    <row r="22685" spans="4:8" x14ac:dyDescent="0.25">
      <c r="D22685" s="28"/>
      <c r="F22685" s="28"/>
      <c r="H22685" s="28"/>
    </row>
    <row r="22686" spans="4:8" x14ac:dyDescent="0.25">
      <c r="D22686" s="28"/>
      <c r="F22686" s="28"/>
      <c r="H22686" s="28"/>
    </row>
    <row r="22687" spans="4:8" x14ac:dyDescent="0.25">
      <c r="D22687" s="28"/>
      <c r="F22687" s="28"/>
      <c r="H22687" s="28"/>
    </row>
    <row r="22688" spans="4:8" x14ac:dyDescent="0.25">
      <c r="D22688" s="28"/>
      <c r="F22688" s="28"/>
      <c r="H22688" s="28"/>
    </row>
    <row r="22689" spans="4:8" x14ac:dyDescent="0.25">
      <c r="D22689" s="28"/>
      <c r="F22689" s="28"/>
      <c r="H22689" s="28"/>
    </row>
    <row r="22690" spans="4:8" x14ac:dyDescent="0.25">
      <c r="D22690" s="28"/>
      <c r="F22690" s="28"/>
      <c r="H22690" s="28"/>
    </row>
    <row r="22691" spans="4:8" x14ac:dyDescent="0.25">
      <c r="D22691" s="28"/>
      <c r="F22691" s="28"/>
      <c r="H22691" s="28"/>
    </row>
    <row r="22692" spans="4:8" x14ac:dyDescent="0.25">
      <c r="D22692" s="28"/>
      <c r="F22692" s="28"/>
      <c r="H22692" s="28"/>
    </row>
    <row r="22693" spans="4:8" x14ac:dyDescent="0.25">
      <c r="D22693" s="28"/>
      <c r="F22693" s="28"/>
      <c r="H22693" s="28"/>
    </row>
    <row r="22694" spans="4:8" x14ac:dyDescent="0.25">
      <c r="D22694" s="28"/>
      <c r="F22694" s="28"/>
      <c r="H22694" s="28"/>
    </row>
    <row r="22695" spans="4:8" x14ac:dyDescent="0.25">
      <c r="D22695" s="28"/>
      <c r="F22695" s="28"/>
      <c r="H22695" s="28"/>
    </row>
    <row r="22696" spans="4:8" x14ac:dyDescent="0.25">
      <c r="D22696" s="28"/>
      <c r="F22696" s="28"/>
      <c r="H22696" s="28"/>
    </row>
    <row r="22697" spans="4:8" x14ac:dyDescent="0.25">
      <c r="D22697" s="28"/>
      <c r="F22697" s="28"/>
      <c r="H22697" s="28"/>
    </row>
    <row r="22698" spans="4:8" x14ac:dyDescent="0.25">
      <c r="D22698" s="28"/>
      <c r="F22698" s="28"/>
      <c r="H22698" s="28"/>
    </row>
    <row r="22699" spans="4:8" x14ac:dyDescent="0.25">
      <c r="D22699" s="28"/>
      <c r="F22699" s="28"/>
      <c r="H22699" s="28"/>
    </row>
    <row r="22700" spans="4:8" x14ac:dyDescent="0.25">
      <c r="D22700" s="28"/>
      <c r="F22700" s="28"/>
      <c r="H22700" s="28"/>
    </row>
    <row r="22701" spans="4:8" x14ac:dyDescent="0.25">
      <c r="D22701" s="28"/>
      <c r="F22701" s="28"/>
      <c r="H22701" s="28"/>
    </row>
    <row r="22702" spans="4:8" x14ac:dyDescent="0.25">
      <c r="D22702" s="28"/>
      <c r="F22702" s="28"/>
      <c r="H22702" s="28"/>
    </row>
    <row r="22703" spans="4:8" x14ac:dyDescent="0.25">
      <c r="D22703" s="28"/>
      <c r="F22703" s="28"/>
      <c r="H22703" s="28"/>
    </row>
    <row r="22704" spans="4:8" x14ac:dyDescent="0.25">
      <c r="D22704" s="28"/>
      <c r="F22704" s="28"/>
      <c r="H22704" s="28"/>
    </row>
    <row r="22705" spans="4:8" x14ac:dyDescent="0.25">
      <c r="D22705" s="28"/>
      <c r="F22705" s="28"/>
      <c r="H22705" s="28"/>
    </row>
    <row r="22706" spans="4:8" x14ac:dyDescent="0.25">
      <c r="D22706" s="28"/>
      <c r="F22706" s="28"/>
      <c r="H22706" s="28"/>
    </row>
    <row r="22707" spans="4:8" x14ac:dyDescent="0.25">
      <c r="D22707" s="28"/>
      <c r="F22707" s="28"/>
      <c r="H22707" s="28"/>
    </row>
    <row r="22708" spans="4:8" x14ac:dyDescent="0.25">
      <c r="D22708" s="28"/>
      <c r="F22708" s="28"/>
      <c r="H22708" s="28"/>
    </row>
    <row r="22709" spans="4:8" x14ac:dyDescent="0.25">
      <c r="D22709" s="28"/>
      <c r="F22709" s="28"/>
      <c r="H22709" s="28"/>
    </row>
    <row r="22710" spans="4:8" x14ac:dyDescent="0.25">
      <c r="D22710" s="28"/>
      <c r="F22710" s="28"/>
      <c r="H22710" s="28"/>
    </row>
    <row r="22711" spans="4:8" x14ac:dyDescent="0.25">
      <c r="D22711" s="28"/>
      <c r="F22711" s="28"/>
      <c r="H22711" s="28"/>
    </row>
    <row r="22712" spans="4:8" x14ac:dyDescent="0.25">
      <c r="D22712" s="28"/>
      <c r="F22712" s="28"/>
      <c r="H22712" s="28"/>
    </row>
    <row r="22713" spans="4:8" x14ac:dyDescent="0.25">
      <c r="D22713" s="28"/>
      <c r="F22713" s="28"/>
      <c r="H22713" s="28"/>
    </row>
    <row r="22714" spans="4:8" x14ac:dyDescent="0.25">
      <c r="D22714" s="28"/>
      <c r="F22714" s="28"/>
      <c r="H22714" s="28"/>
    </row>
    <row r="22715" spans="4:8" x14ac:dyDescent="0.25">
      <c r="D22715" s="28"/>
      <c r="F22715" s="28"/>
      <c r="H22715" s="28"/>
    </row>
    <row r="22716" spans="4:8" x14ac:dyDescent="0.25">
      <c r="D22716" s="28"/>
      <c r="F22716" s="28"/>
      <c r="H22716" s="28"/>
    </row>
    <row r="22717" spans="4:8" x14ac:dyDescent="0.25">
      <c r="D22717" s="28"/>
      <c r="F22717" s="28"/>
      <c r="H22717" s="28"/>
    </row>
    <row r="22718" spans="4:8" x14ac:dyDescent="0.25">
      <c r="D22718" s="28"/>
      <c r="F22718" s="28"/>
      <c r="H22718" s="28"/>
    </row>
    <row r="22719" spans="4:8" x14ac:dyDescent="0.25">
      <c r="D22719" s="28"/>
      <c r="F22719" s="28"/>
      <c r="H22719" s="28"/>
    </row>
    <row r="22720" spans="4:8" x14ac:dyDescent="0.25">
      <c r="D22720" s="28"/>
      <c r="F22720" s="28"/>
      <c r="H22720" s="28"/>
    </row>
    <row r="22721" spans="4:8" x14ac:dyDescent="0.25">
      <c r="D22721" s="28"/>
      <c r="F22721" s="28"/>
      <c r="H22721" s="28"/>
    </row>
    <row r="22722" spans="4:8" x14ac:dyDescent="0.25">
      <c r="D22722" s="28"/>
      <c r="F22722" s="28"/>
      <c r="H22722" s="28"/>
    </row>
    <row r="22723" spans="4:8" x14ac:dyDescent="0.25">
      <c r="D22723" s="28"/>
      <c r="F22723" s="28"/>
      <c r="H22723" s="28"/>
    </row>
    <row r="22724" spans="4:8" x14ac:dyDescent="0.25">
      <c r="D22724" s="28"/>
      <c r="F22724" s="28"/>
      <c r="H22724" s="28"/>
    </row>
    <row r="22725" spans="4:8" x14ac:dyDescent="0.25">
      <c r="D22725" s="28"/>
      <c r="F22725" s="28"/>
      <c r="H22725" s="28"/>
    </row>
    <row r="22726" spans="4:8" x14ac:dyDescent="0.25">
      <c r="D22726" s="28"/>
      <c r="F22726" s="28"/>
      <c r="H22726" s="28"/>
    </row>
    <row r="22727" spans="4:8" x14ac:dyDescent="0.25">
      <c r="D22727" s="28"/>
      <c r="F22727" s="28"/>
      <c r="H22727" s="28"/>
    </row>
    <row r="22728" spans="4:8" x14ac:dyDescent="0.25">
      <c r="D22728" s="28"/>
      <c r="F22728" s="28"/>
      <c r="H22728" s="28"/>
    </row>
    <row r="22729" spans="4:8" x14ac:dyDescent="0.25">
      <c r="D22729" s="28"/>
      <c r="F22729" s="28"/>
      <c r="H22729" s="28"/>
    </row>
    <row r="22730" spans="4:8" x14ac:dyDescent="0.25">
      <c r="D22730" s="28"/>
      <c r="F22730" s="28"/>
      <c r="H22730" s="28"/>
    </row>
    <row r="22731" spans="4:8" x14ac:dyDescent="0.25">
      <c r="D22731" s="28"/>
      <c r="F22731" s="28"/>
      <c r="H22731" s="28"/>
    </row>
    <row r="22732" spans="4:8" x14ac:dyDescent="0.25">
      <c r="D22732" s="28"/>
      <c r="F22732" s="28"/>
      <c r="H22732" s="28"/>
    </row>
    <row r="22733" spans="4:8" x14ac:dyDescent="0.25">
      <c r="D22733" s="28"/>
      <c r="F22733" s="28"/>
      <c r="H22733" s="28"/>
    </row>
    <row r="22734" spans="4:8" x14ac:dyDescent="0.25">
      <c r="D22734" s="28"/>
      <c r="F22734" s="28"/>
      <c r="H22734" s="28"/>
    </row>
    <row r="22735" spans="4:8" x14ac:dyDescent="0.25">
      <c r="D22735" s="28"/>
      <c r="F22735" s="28"/>
      <c r="H22735" s="28"/>
    </row>
    <row r="22736" spans="4:8" x14ac:dyDescent="0.25">
      <c r="D22736" s="28"/>
      <c r="F22736" s="28"/>
      <c r="H22736" s="28"/>
    </row>
    <row r="22737" spans="4:8" x14ac:dyDescent="0.25">
      <c r="D22737" s="28"/>
      <c r="F22737" s="28"/>
      <c r="H22737" s="28"/>
    </row>
    <row r="22738" spans="4:8" x14ac:dyDescent="0.25">
      <c r="D22738" s="28"/>
      <c r="F22738" s="28"/>
      <c r="H22738" s="28"/>
    </row>
    <row r="22739" spans="4:8" x14ac:dyDescent="0.25">
      <c r="D22739" s="28"/>
      <c r="F22739" s="28"/>
      <c r="H22739" s="28"/>
    </row>
    <row r="22740" spans="4:8" x14ac:dyDescent="0.25">
      <c r="D22740" s="28"/>
      <c r="F22740" s="28"/>
      <c r="H22740" s="28"/>
    </row>
    <row r="22741" spans="4:8" x14ac:dyDescent="0.25">
      <c r="D22741" s="28"/>
      <c r="F22741" s="28"/>
      <c r="H22741" s="28"/>
    </row>
    <row r="22742" spans="4:8" x14ac:dyDescent="0.25">
      <c r="D22742" s="28"/>
      <c r="F22742" s="28"/>
      <c r="H22742" s="28"/>
    </row>
    <row r="22743" spans="4:8" x14ac:dyDescent="0.25">
      <c r="D22743" s="28"/>
      <c r="F22743" s="28"/>
      <c r="H22743" s="28"/>
    </row>
    <row r="22744" spans="4:8" x14ac:dyDescent="0.25">
      <c r="D22744" s="28"/>
      <c r="F22744" s="28"/>
      <c r="H22744" s="28"/>
    </row>
    <row r="22745" spans="4:8" x14ac:dyDescent="0.25">
      <c r="D22745" s="28"/>
      <c r="F22745" s="28"/>
      <c r="H22745" s="28"/>
    </row>
    <row r="22746" spans="4:8" x14ac:dyDescent="0.25">
      <c r="D22746" s="28"/>
      <c r="F22746" s="28"/>
      <c r="H22746" s="28"/>
    </row>
    <row r="22747" spans="4:8" x14ac:dyDescent="0.25">
      <c r="D22747" s="28"/>
      <c r="F22747" s="28"/>
      <c r="H22747" s="28"/>
    </row>
    <row r="22748" spans="4:8" x14ac:dyDescent="0.25">
      <c r="D22748" s="28"/>
      <c r="F22748" s="28"/>
      <c r="H22748" s="28"/>
    </row>
    <row r="22749" spans="4:8" x14ac:dyDescent="0.25">
      <c r="D22749" s="28"/>
      <c r="F22749" s="28"/>
      <c r="H22749" s="28"/>
    </row>
    <row r="22750" spans="4:8" x14ac:dyDescent="0.25">
      <c r="D22750" s="28"/>
      <c r="F22750" s="28"/>
      <c r="H22750" s="28"/>
    </row>
    <row r="22751" spans="4:8" x14ac:dyDescent="0.25">
      <c r="D22751" s="28"/>
      <c r="F22751" s="28"/>
      <c r="H22751" s="28"/>
    </row>
    <row r="22752" spans="4:8" x14ac:dyDescent="0.25">
      <c r="D22752" s="28"/>
      <c r="F22752" s="28"/>
      <c r="H22752" s="28"/>
    </row>
    <row r="22753" spans="4:8" x14ac:dyDescent="0.25">
      <c r="D22753" s="28"/>
      <c r="F22753" s="28"/>
      <c r="H22753" s="28"/>
    </row>
    <row r="22754" spans="4:8" x14ac:dyDescent="0.25">
      <c r="D22754" s="28"/>
      <c r="F22754" s="28"/>
      <c r="H22754" s="28"/>
    </row>
    <row r="22755" spans="4:8" x14ac:dyDescent="0.25">
      <c r="D22755" s="28"/>
      <c r="F22755" s="28"/>
      <c r="H22755" s="28"/>
    </row>
    <row r="22756" spans="4:8" x14ac:dyDescent="0.25">
      <c r="D22756" s="28"/>
      <c r="F22756" s="28"/>
      <c r="H22756" s="28"/>
    </row>
    <row r="22757" spans="4:8" x14ac:dyDescent="0.25">
      <c r="D22757" s="28"/>
      <c r="F22757" s="28"/>
      <c r="H22757" s="28"/>
    </row>
    <row r="22758" spans="4:8" x14ac:dyDescent="0.25">
      <c r="D22758" s="28"/>
      <c r="F22758" s="28"/>
      <c r="H22758" s="28"/>
    </row>
    <row r="22759" spans="4:8" x14ac:dyDescent="0.25">
      <c r="D22759" s="28"/>
      <c r="F22759" s="28"/>
      <c r="H22759" s="28"/>
    </row>
    <row r="22760" spans="4:8" x14ac:dyDescent="0.25">
      <c r="D22760" s="28"/>
      <c r="F22760" s="28"/>
      <c r="H22760" s="28"/>
    </row>
    <row r="22761" spans="4:8" x14ac:dyDescent="0.25">
      <c r="D22761" s="28"/>
      <c r="F22761" s="28"/>
      <c r="H22761" s="28"/>
    </row>
    <row r="22762" spans="4:8" x14ac:dyDescent="0.25">
      <c r="D22762" s="28"/>
      <c r="F22762" s="28"/>
      <c r="H22762" s="28"/>
    </row>
    <row r="22763" spans="4:8" x14ac:dyDescent="0.25">
      <c r="D22763" s="28"/>
      <c r="F22763" s="28"/>
      <c r="H22763" s="28"/>
    </row>
    <row r="22764" spans="4:8" x14ac:dyDescent="0.25">
      <c r="D22764" s="28"/>
      <c r="F22764" s="28"/>
      <c r="H22764" s="28"/>
    </row>
    <row r="22765" spans="4:8" x14ac:dyDescent="0.25">
      <c r="D22765" s="28"/>
      <c r="F22765" s="28"/>
      <c r="H22765" s="28"/>
    </row>
    <row r="22766" spans="4:8" x14ac:dyDescent="0.25">
      <c r="D22766" s="28"/>
      <c r="F22766" s="28"/>
      <c r="H22766" s="28"/>
    </row>
    <row r="22767" spans="4:8" x14ac:dyDescent="0.25">
      <c r="D22767" s="28"/>
      <c r="F22767" s="28"/>
      <c r="H22767" s="28"/>
    </row>
    <row r="22768" spans="4:8" x14ac:dyDescent="0.25">
      <c r="D22768" s="28"/>
      <c r="F22768" s="28"/>
      <c r="H22768" s="28"/>
    </row>
    <row r="22769" spans="4:8" x14ac:dyDescent="0.25">
      <c r="D22769" s="28"/>
      <c r="F22769" s="28"/>
      <c r="H22769" s="28"/>
    </row>
    <row r="22770" spans="4:8" x14ac:dyDescent="0.25">
      <c r="D22770" s="28"/>
      <c r="F22770" s="28"/>
      <c r="H22770" s="28"/>
    </row>
    <row r="22771" spans="4:8" x14ac:dyDescent="0.25">
      <c r="D22771" s="28"/>
      <c r="F22771" s="28"/>
      <c r="H22771" s="28"/>
    </row>
    <row r="22772" spans="4:8" x14ac:dyDescent="0.25">
      <c r="D22772" s="28"/>
      <c r="F22772" s="28"/>
      <c r="H22772" s="28"/>
    </row>
    <row r="22773" spans="4:8" x14ac:dyDescent="0.25">
      <c r="D22773" s="28"/>
      <c r="F22773" s="28"/>
      <c r="H22773" s="28"/>
    </row>
    <row r="22774" spans="4:8" x14ac:dyDescent="0.25">
      <c r="D22774" s="28"/>
      <c r="F22774" s="28"/>
      <c r="H22774" s="28"/>
    </row>
    <row r="22775" spans="4:8" x14ac:dyDescent="0.25">
      <c r="D22775" s="28"/>
      <c r="F22775" s="28"/>
      <c r="H22775" s="28"/>
    </row>
    <row r="22776" spans="4:8" x14ac:dyDescent="0.25">
      <c r="D22776" s="28"/>
      <c r="F22776" s="28"/>
      <c r="H22776" s="28"/>
    </row>
    <row r="22777" spans="4:8" x14ac:dyDescent="0.25">
      <c r="D22777" s="28"/>
      <c r="F22777" s="28"/>
      <c r="H22777" s="28"/>
    </row>
    <row r="22778" spans="4:8" x14ac:dyDescent="0.25">
      <c r="D22778" s="28"/>
      <c r="F22778" s="28"/>
      <c r="H22778" s="28"/>
    </row>
    <row r="22779" spans="4:8" x14ac:dyDescent="0.25">
      <c r="D22779" s="28"/>
      <c r="F22779" s="28"/>
      <c r="H22779" s="28"/>
    </row>
    <row r="22780" spans="4:8" x14ac:dyDescent="0.25">
      <c r="D22780" s="28"/>
      <c r="F22780" s="28"/>
      <c r="H22780" s="28"/>
    </row>
    <row r="22781" spans="4:8" x14ac:dyDescent="0.25">
      <c r="D22781" s="28"/>
      <c r="F22781" s="28"/>
      <c r="H22781" s="28"/>
    </row>
    <row r="22782" spans="4:8" x14ac:dyDescent="0.25">
      <c r="D22782" s="28"/>
      <c r="F22782" s="28"/>
      <c r="H22782" s="28"/>
    </row>
    <row r="22783" spans="4:8" x14ac:dyDescent="0.25">
      <c r="D22783" s="28"/>
      <c r="F22783" s="28"/>
      <c r="H22783" s="28"/>
    </row>
    <row r="22784" spans="4:8" x14ac:dyDescent="0.25">
      <c r="D22784" s="28"/>
      <c r="F22784" s="28"/>
      <c r="H22784" s="28"/>
    </row>
    <row r="22785" spans="4:8" x14ac:dyDescent="0.25">
      <c r="D22785" s="28"/>
      <c r="F22785" s="28"/>
      <c r="H22785" s="28"/>
    </row>
    <row r="22786" spans="4:8" x14ac:dyDescent="0.25">
      <c r="D22786" s="28"/>
      <c r="F22786" s="28"/>
      <c r="H22786" s="28"/>
    </row>
    <row r="22787" spans="4:8" x14ac:dyDescent="0.25">
      <c r="D22787" s="28"/>
      <c r="F22787" s="28"/>
      <c r="H22787" s="28"/>
    </row>
    <row r="22788" spans="4:8" x14ac:dyDescent="0.25">
      <c r="D22788" s="28"/>
      <c r="F22788" s="28"/>
      <c r="H22788" s="28"/>
    </row>
    <row r="22789" spans="4:8" x14ac:dyDescent="0.25">
      <c r="D22789" s="28"/>
      <c r="F22789" s="28"/>
      <c r="H22789" s="28"/>
    </row>
    <row r="22790" spans="4:8" x14ac:dyDescent="0.25">
      <c r="D22790" s="28"/>
      <c r="F22790" s="28"/>
      <c r="H22790" s="28"/>
    </row>
    <row r="22791" spans="4:8" x14ac:dyDescent="0.25">
      <c r="D22791" s="28"/>
      <c r="F22791" s="28"/>
      <c r="H22791" s="28"/>
    </row>
    <row r="22792" spans="4:8" x14ac:dyDescent="0.25">
      <c r="D22792" s="28"/>
      <c r="F22792" s="28"/>
      <c r="H22792" s="28"/>
    </row>
    <row r="22793" spans="4:8" x14ac:dyDescent="0.25">
      <c r="D22793" s="28"/>
      <c r="F22793" s="28"/>
      <c r="H22793" s="28"/>
    </row>
    <row r="22794" spans="4:8" x14ac:dyDescent="0.25">
      <c r="D22794" s="28"/>
      <c r="F22794" s="28"/>
      <c r="H22794" s="28"/>
    </row>
    <row r="22795" spans="4:8" x14ac:dyDescent="0.25">
      <c r="D22795" s="28"/>
      <c r="F22795" s="28"/>
      <c r="H22795" s="28"/>
    </row>
    <row r="22796" spans="4:8" x14ac:dyDescent="0.25">
      <c r="D22796" s="28"/>
      <c r="F22796" s="28"/>
      <c r="H22796" s="28"/>
    </row>
    <row r="22797" spans="4:8" x14ac:dyDescent="0.25">
      <c r="D22797" s="28"/>
      <c r="F22797" s="28"/>
      <c r="H22797" s="28"/>
    </row>
    <row r="22798" spans="4:8" x14ac:dyDescent="0.25">
      <c r="D22798" s="28"/>
      <c r="F22798" s="28"/>
      <c r="H22798" s="28"/>
    </row>
    <row r="22799" spans="4:8" x14ac:dyDescent="0.25">
      <c r="D22799" s="28"/>
      <c r="F22799" s="28"/>
      <c r="H22799" s="28"/>
    </row>
    <row r="22800" spans="4:8" x14ac:dyDescent="0.25">
      <c r="D22800" s="28"/>
      <c r="F22800" s="28"/>
      <c r="H22800" s="28"/>
    </row>
    <row r="22801" spans="4:8" x14ac:dyDescent="0.25">
      <c r="D22801" s="28"/>
      <c r="F22801" s="28"/>
      <c r="H22801" s="28"/>
    </row>
    <row r="22802" spans="4:8" x14ac:dyDescent="0.25">
      <c r="D22802" s="28"/>
      <c r="F22802" s="28"/>
      <c r="H22802" s="28"/>
    </row>
    <row r="22803" spans="4:8" x14ac:dyDescent="0.25">
      <c r="D22803" s="28"/>
      <c r="F22803" s="28"/>
      <c r="H22803" s="28"/>
    </row>
    <row r="22804" spans="4:8" x14ac:dyDescent="0.25">
      <c r="D22804" s="28"/>
      <c r="F22804" s="28"/>
      <c r="H22804" s="28"/>
    </row>
    <row r="22805" spans="4:8" x14ac:dyDescent="0.25">
      <c r="D22805" s="28"/>
      <c r="F22805" s="28"/>
      <c r="H22805" s="28"/>
    </row>
    <row r="22806" spans="4:8" x14ac:dyDescent="0.25">
      <c r="D22806" s="28"/>
      <c r="F22806" s="28"/>
      <c r="H22806" s="28"/>
    </row>
    <row r="22807" spans="4:8" x14ac:dyDescent="0.25">
      <c r="D22807" s="28"/>
      <c r="F22807" s="28"/>
      <c r="H22807" s="28"/>
    </row>
    <row r="22808" spans="4:8" x14ac:dyDescent="0.25">
      <c r="D22808" s="28"/>
      <c r="F22808" s="28"/>
      <c r="H22808" s="28"/>
    </row>
    <row r="22809" spans="4:8" x14ac:dyDescent="0.25">
      <c r="D22809" s="28"/>
      <c r="F22809" s="28"/>
      <c r="H22809" s="28"/>
    </row>
    <row r="22810" spans="4:8" x14ac:dyDescent="0.25">
      <c r="D22810" s="28"/>
      <c r="F22810" s="28"/>
      <c r="H22810" s="28"/>
    </row>
    <row r="22811" spans="4:8" x14ac:dyDescent="0.25">
      <c r="D22811" s="28"/>
      <c r="F22811" s="28"/>
      <c r="H22811" s="28"/>
    </row>
    <row r="22812" spans="4:8" x14ac:dyDescent="0.25">
      <c r="D22812" s="28"/>
      <c r="F22812" s="28"/>
      <c r="H22812" s="28"/>
    </row>
    <row r="22813" spans="4:8" x14ac:dyDescent="0.25">
      <c r="D22813" s="28"/>
      <c r="F22813" s="28"/>
      <c r="H22813" s="28"/>
    </row>
    <row r="22814" spans="4:8" x14ac:dyDescent="0.25">
      <c r="D22814" s="28"/>
      <c r="F22814" s="28"/>
      <c r="H22814" s="28"/>
    </row>
    <row r="22815" spans="4:8" x14ac:dyDescent="0.25">
      <c r="D22815" s="28"/>
      <c r="F22815" s="28"/>
      <c r="H22815" s="28"/>
    </row>
    <row r="22816" spans="4:8" x14ac:dyDescent="0.25">
      <c r="D22816" s="28"/>
      <c r="F22816" s="28"/>
      <c r="H22816" s="28"/>
    </row>
    <row r="22817" spans="4:8" x14ac:dyDescent="0.25">
      <c r="D22817" s="28"/>
      <c r="F22817" s="28"/>
      <c r="H22817" s="28"/>
    </row>
    <row r="22818" spans="4:8" x14ac:dyDescent="0.25">
      <c r="D22818" s="28"/>
      <c r="F22818" s="28"/>
      <c r="H22818" s="28"/>
    </row>
    <row r="22819" spans="4:8" x14ac:dyDescent="0.25">
      <c r="D22819" s="28"/>
      <c r="F22819" s="28"/>
      <c r="H22819" s="28"/>
    </row>
    <row r="22820" spans="4:8" x14ac:dyDescent="0.25">
      <c r="D22820" s="28"/>
      <c r="F22820" s="28"/>
      <c r="H22820" s="28"/>
    </row>
    <row r="22821" spans="4:8" x14ac:dyDescent="0.25">
      <c r="D22821" s="28"/>
      <c r="F22821" s="28"/>
      <c r="H22821" s="28"/>
    </row>
    <row r="22822" spans="4:8" x14ac:dyDescent="0.25">
      <c r="D22822" s="28"/>
      <c r="F22822" s="28"/>
      <c r="H22822" s="28"/>
    </row>
    <row r="22823" spans="4:8" x14ac:dyDescent="0.25">
      <c r="D22823" s="28"/>
      <c r="F22823" s="28"/>
      <c r="H22823" s="28"/>
    </row>
    <row r="22824" spans="4:8" x14ac:dyDescent="0.25">
      <c r="D22824" s="28"/>
      <c r="F22824" s="28"/>
      <c r="H22824" s="28"/>
    </row>
    <row r="22825" spans="4:8" x14ac:dyDescent="0.25">
      <c r="D22825" s="28"/>
      <c r="F22825" s="28"/>
      <c r="H22825" s="28"/>
    </row>
    <row r="22826" spans="4:8" x14ac:dyDescent="0.25">
      <c r="D22826" s="28"/>
      <c r="F22826" s="28"/>
      <c r="H22826" s="28"/>
    </row>
    <row r="22827" spans="4:8" x14ac:dyDescent="0.25">
      <c r="D22827" s="28"/>
      <c r="F22827" s="28"/>
      <c r="H22827" s="28"/>
    </row>
    <row r="22828" spans="4:8" x14ac:dyDescent="0.25">
      <c r="D22828" s="28"/>
      <c r="F22828" s="28"/>
      <c r="H22828" s="28"/>
    </row>
    <row r="22829" spans="4:8" x14ac:dyDescent="0.25">
      <c r="D22829" s="28"/>
      <c r="F22829" s="28"/>
      <c r="H22829" s="28"/>
    </row>
    <row r="22830" spans="4:8" x14ac:dyDescent="0.25">
      <c r="D22830" s="28"/>
      <c r="F22830" s="28"/>
      <c r="H22830" s="28"/>
    </row>
    <row r="22831" spans="4:8" x14ac:dyDescent="0.25">
      <c r="D22831" s="28"/>
      <c r="F22831" s="28"/>
      <c r="H22831" s="28"/>
    </row>
    <row r="22832" spans="4:8" x14ac:dyDescent="0.25">
      <c r="D22832" s="28"/>
      <c r="F22832" s="28"/>
      <c r="H22832" s="28"/>
    </row>
    <row r="22833" spans="4:8" x14ac:dyDescent="0.25">
      <c r="D22833" s="28"/>
      <c r="F22833" s="28"/>
      <c r="H22833" s="28"/>
    </row>
    <row r="22834" spans="4:8" x14ac:dyDescent="0.25">
      <c r="D22834" s="28"/>
      <c r="F22834" s="28"/>
      <c r="H22834" s="28"/>
    </row>
    <row r="22835" spans="4:8" x14ac:dyDescent="0.25">
      <c r="D22835" s="28"/>
      <c r="F22835" s="28"/>
      <c r="H22835" s="28"/>
    </row>
    <row r="22836" spans="4:8" x14ac:dyDescent="0.25">
      <c r="D22836" s="28"/>
      <c r="F22836" s="28"/>
      <c r="H22836" s="28"/>
    </row>
    <row r="22837" spans="4:8" x14ac:dyDescent="0.25">
      <c r="D22837" s="28"/>
      <c r="F22837" s="28"/>
      <c r="H22837" s="28"/>
    </row>
    <row r="22838" spans="4:8" x14ac:dyDescent="0.25">
      <c r="D22838" s="28"/>
      <c r="F22838" s="28"/>
      <c r="H22838" s="28"/>
    </row>
    <row r="22839" spans="4:8" x14ac:dyDescent="0.25">
      <c r="D22839" s="28"/>
      <c r="F22839" s="28"/>
      <c r="H22839" s="28"/>
    </row>
    <row r="22840" spans="4:8" x14ac:dyDescent="0.25">
      <c r="D22840" s="28"/>
      <c r="F22840" s="28"/>
      <c r="H22840" s="28"/>
    </row>
    <row r="22841" spans="4:8" x14ac:dyDescent="0.25">
      <c r="D22841" s="28"/>
      <c r="F22841" s="28"/>
      <c r="H22841" s="28"/>
    </row>
    <row r="22842" spans="4:8" x14ac:dyDescent="0.25">
      <c r="D22842" s="28"/>
      <c r="F22842" s="28"/>
      <c r="H22842" s="28"/>
    </row>
    <row r="22843" spans="4:8" x14ac:dyDescent="0.25">
      <c r="D22843" s="28"/>
      <c r="F22843" s="28"/>
      <c r="H22843" s="28"/>
    </row>
    <row r="22844" spans="4:8" x14ac:dyDescent="0.25">
      <c r="D22844" s="28"/>
      <c r="F22844" s="28"/>
      <c r="H22844" s="28"/>
    </row>
    <row r="22845" spans="4:8" x14ac:dyDescent="0.25">
      <c r="D22845" s="28"/>
      <c r="F22845" s="28"/>
      <c r="H22845" s="28"/>
    </row>
    <row r="22846" spans="4:8" x14ac:dyDescent="0.25">
      <c r="D22846" s="28"/>
      <c r="F22846" s="28"/>
      <c r="H22846" s="28"/>
    </row>
    <row r="22847" spans="4:8" x14ac:dyDescent="0.25">
      <c r="D22847" s="28"/>
      <c r="F22847" s="28"/>
      <c r="H22847" s="28"/>
    </row>
    <row r="22848" spans="4:8" x14ac:dyDescent="0.25">
      <c r="D22848" s="28"/>
      <c r="F22848" s="28"/>
      <c r="H22848" s="28"/>
    </row>
    <row r="22849" spans="4:8" x14ac:dyDescent="0.25">
      <c r="D22849" s="28"/>
      <c r="F22849" s="28"/>
      <c r="H22849" s="28"/>
    </row>
    <row r="22850" spans="4:8" x14ac:dyDescent="0.25">
      <c r="D22850" s="28"/>
      <c r="F22850" s="28"/>
      <c r="H22850" s="28"/>
    </row>
    <row r="22851" spans="4:8" x14ac:dyDescent="0.25">
      <c r="D22851" s="28"/>
      <c r="F22851" s="28"/>
      <c r="H22851" s="28"/>
    </row>
    <row r="22852" spans="4:8" x14ac:dyDescent="0.25">
      <c r="D22852" s="28"/>
      <c r="F22852" s="28"/>
      <c r="H22852" s="28"/>
    </row>
    <row r="22853" spans="4:8" x14ac:dyDescent="0.25">
      <c r="D22853" s="28"/>
      <c r="F22853" s="28"/>
      <c r="H22853" s="28"/>
    </row>
    <row r="22854" spans="4:8" x14ac:dyDescent="0.25">
      <c r="D22854" s="28"/>
      <c r="F22854" s="28"/>
      <c r="H22854" s="28"/>
    </row>
    <row r="22855" spans="4:8" x14ac:dyDescent="0.25">
      <c r="D22855" s="28"/>
      <c r="F22855" s="28"/>
      <c r="H22855" s="28"/>
    </row>
    <row r="22856" spans="4:8" x14ac:dyDescent="0.25">
      <c r="D22856" s="28"/>
      <c r="F22856" s="28"/>
      <c r="H22856" s="28"/>
    </row>
    <row r="22857" spans="4:8" x14ac:dyDescent="0.25">
      <c r="D22857" s="28"/>
      <c r="F22857" s="28"/>
      <c r="H22857" s="28"/>
    </row>
    <row r="22858" spans="4:8" x14ac:dyDescent="0.25">
      <c r="D22858" s="28"/>
      <c r="F22858" s="28"/>
      <c r="H22858" s="28"/>
    </row>
    <row r="22859" spans="4:8" x14ac:dyDescent="0.25">
      <c r="D22859" s="28"/>
      <c r="F22859" s="28"/>
      <c r="H22859" s="28"/>
    </row>
    <row r="22860" spans="4:8" x14ac:dyDescent="0.25">
      <c r="D22860" s="28"/>
      <c r="F22860" s="28"/>
      <c r="H22860" s="28"/>
    </row>
    <row r="22861" spans="4:8" x14ac:dyDescent="0.25">
      <c r="D22861" s="28"/>
      <c r="F22861" s="28"/>
      <c r="H22861" s="28"/>
    </row>
    <row r="22862" spans="4:8" x14ac:dyDescent="0.25">
      <c r="D22862" s="28"/>
      <c r="F22862" s="28"/>
      <c r="H22862" s="28"/>
    </row>
    <row r="22863" spans="4:8" x14ac:dyDescent="0.25">
      <c r="D22863" s="28"/>
      <c r="F22863" s="28"/>
      <c r="H22863" s="28"/>
    </row>
    <row r="22864" spans="4:8" x14ac:dyDescent="0.25">
      <c r="D22864" s="28"/>
      <c r="F22864" s="28"/>
      <c r="H22864" s="28"/>
    </row>
    <row r="22865" spans="4:8" x14ac:dyDescent="0.25">
      <c r="D22865" s="28"/>
      <c r="F22865" s="28"/>
      <c r="H22865" s="28"/>
    </row>
    <row r="22866" spans="4:8" x14ac:dyDescent="0.25">
      <c r="D22866" s="28"/>
      <c r="F22866" s="28"/>
      <c r="H22866" s="28"/>
    </row>
    <row r="22867" spans="4:8" x14ac:dyDescent="0.25">
      <c r="D22867" s="28"/>
      <c r="F22867" s="28"/>
      <c r="H22867" s="28"/>
    </row>
    <row r="22868" spans="4:8" x14ac:dyDescent="0.25">
      <c r="D22868" s="28"/>
      <c r="F22868" s="28"/>
      <c r="H22868" s="28"/>
    </row>
    <row r="22869" spans="4:8" x14ac:dyDescent="0.25">
      <c r="D22869" s="28"/>
      <c r="F22869" s="28"/>
      <c r="H22869" s="28"/>
    </row>
    <row r="22870" spans="4:8" x14ac:dyDescent="0.25">
      <c r="D22870" s="28"/>
      <c r="F22870" s="28"/>
      <c r="H22870" s="28"/>
    </row>
    <row r="22871" spans="4:8" x14ac:dyDescent="0.25">
      <c r="D22871" s="28"/>
      <c r="F22871" s="28"/>
      <c r="H22871" s="28"/>
    </row>
    <row r="22872" spans="4:8" x14ac:dyDescent="0.25">
      <c r="D22872" s="28"/>
      <c r="F22872" s="28"/>
      <c r="H22872" s="28"/>
    </row>
    <row r="22873" spans="4:8" x14ac:dyDescent="0.25">
      <c r="D22873" s="28"/>
      <c r="F22873" s="28"/>
      <c r="H22873" s="28"/>
    </row>
    <row r="22874" spans="4:8" x14ac:dyDescent="0.25">
      <c r="D22874" s="28"/>
      <c r="F22874" s="28"/>
      <c r="H22874" s="28"/>
    </row>
    <row r="22875" spans="4:8" x14ac:dyDescent="0.25">
      <c r="D22875" s="28"/>
      <c r="F22875" s="28"/>
      <c r="H22875" s="28"/>
    </row>
    <row r="22876" spans="4:8" x14ac:dyDescent="0.25">
      <c r="D22876" s="28"/>
      <c r="F22876" s="28"/>
      <c r="H22876" s="28"/>
    </row>
    <row r="22877" spans="4:8" x14ac:dyDescent="0.25">
      <c r="D22877" s="28"/>
      <c r="F22877" s="28"/>
      <c r="H22877" s="28"/>
    </row>
    <row r="22878" spans="4:8" x14ac:dyDescent="0.25">
      <c r="D22878" s="28"/>
      <c r="F22878" s="28"/>
      <c r="H22878" s="28"/>
    </row>
    <row r="22879" spans="4:8" x14ac:dyDescent="0.25">
      <c r="D22879" s="28"/>
      <c r="F22879" s="28"/>
      <c r="H22879" s="28"/>
    </row>
    <row r="22880" spans="4:8" x14ac:dyDescent="0.25">
      <c r="D22880" s="28"/>
      <c r="F22880" s="28"/>
      <c r="H22880" s="28"/>
    </row>
    <row r="22881" spans="4:8" x14ac:dyDescent="0.25">
      <c r="D22881" s="28"/>
      <c r="F22881" s="28"/>
      <c r="H22881" s="28"/>
    </row>
    <row r="22882" spans="4:8" x14ac:dyDescent="0.25">
      <c r="D22882" s="28"/>
      <c r="F22882" s="28"/>
      <c r="H22882" s="28"/>
    </row>
    <row r="22883" spans="4:8" x14ac:dyDescent="0.25">
      <c r="D22883" s="28"/>
      <c r="F22883" s="28"/>
      <c r="H22883" s="28"/>
    </row>
    <row r="22884" spans="4:8" x14ac:dyDescent="0.25">
      <c r="D22884" s="28"/>
      <c r="F22884" s="28"/>
      <c r="H22884" s="28"/>
    </row>
    <row r="22885" spans="4:8" x14ac:dyDescent="0.25">
      <c r="D22885" s="28"/>
      <c r="F22885" s="28"/>
      <c r="H22885" s="28"/>
    </row>
    <row r="22886" spans="4:8" x14ac:dyDescent="0.25">
      <c r="D22886" s="28"/>
      <c r="F22886" s="28"/>
      <c r="H22886" s="28"/>
    </row>
    <row r="22887" spans="4:8" x14ac:dyDescent="0.25">
      <c r="D22887" s="28"/>
      <c r="F22887" s="28"/>
      <c r="H22887" s="28"/>
    </row>
    <row r="22888" spans="4:8" x14ac:dyDescent="0.25">
      <c r="D22888" s="28"/>
      <c r="F22888" s="28"/>
      <c r="H22888" s="28"/>
    </row>
    <row r="22889" spans="4:8" x14ac:dyDescent="0.25">
      <c r="D22889" s="28"/>
      <c r="F22889" s="28"/>
      <c r="H22889" s="28"/>
    </row>
    <row r="22890" spans="4:8" x14ac:dyDescent="0.25">
      <c r="D22890" s="28"/>
      <c r="F22890" s="28"/>
      <c r="H22890" s="28"/>
    </row>
    <row r="22891" spans="4:8" x14ac:dyDescent="0.25">
      <c r="D22891" s="28"/>
      <c r="F22891" s="28"/>
      <c r="H22891" s="28"/>
    </row>
    <row r="22892" spans="4:8" x14ac:dyDescent="0.25">
      <c r="D22892" s="28"/>
      <c r="F22892" s="28"/>
      <c r="H22892" s="28"/>
    </row>
    <row r="22893" spans="4:8" x14ac:dyDescent="0.25">
      <c r="D22893" s="28"/>
      <c r="F22893" s="28"/>
      <c r="H22893" s="28"/>
    </row>
    <row r="22894" spans="4:8" x14ac:dyDescent="0.25">
      <c r="D22894" s="28"/>
      <c r="F22894" s="28"/>
      <c r="H22894" s="28"/>
    </row>
    <row r="22895" spans="4:8" x14ac:dyDescent="0.25">
      <c r="D22895" s="28"/>
      <c r="F22895" s="28"/>
      <c r="H22895" s="28"/>
    </row>
    <row r="22896" spans="4:8" x14ac:dyDescent="0.25">
      <c r="D22896" s="28"/>
      <c r="F22896" s="28"/>
      <c r="H22896" s="28"/>
    </row>
    <row r="22897" spans="4:8" x14ac:dyDescent="0.25">
      <c r="D22897" s="28"/>
      <c r="F22897" s="28"/>
      <c r="H22897" s="28"/>
    </row>
    <row r="22898" spans="4:8" x14ac:dyDescent="0.25">
      <c r="D22898" s="28"/>
      <c r="F22898" s="28"/>
      <c r="H22898" s="28"/>
    </row>
    <row r="22899" spans="4:8" x14ac:dyDescent="0.25">
      <c r="D22899" s="28"/>
      <c r="F22899" s="28"/>
      <c r="H22899" s="28"/>
    </row>
    <row r="22900" spans="4:8" x14ac:dyDescent="0.25">
      <c r="D22900" s="28"/>
      <c r="F22900" s="28"/>
      <c r="H22900" s="28"/>
    </row>
    <row r="22901" spans="4:8" x14ac:dyDescent="0.25">
      <c r="D22901" s="28"/>
      <c r="F22901" s="28"/>
      <c r="H22901" s="28"/>
    </row>
    <row r="22902" spans="4:8" x14ac:dyDescent="0.25">
      <c r="D22902" s="28"/>
      <c r="F22902" s="28"/>
      <c r="H22902" s="28"/>
    </row>
    <row r="22903" spans="4:8" x14ac:dyDescent="0.25">
      <c r="D22903" s="28"/>
      <c r="F22903" s="28"/>
      <c r="H22903" s="28"/>
    </row>
    <row r="22904" spans="4:8" x14ac:dyDescent="0.25">
      <c r="D22904" s="28"/>
      <c r="F22904" s="28"/>
      <c r="H22904" s="28"/>
    </row>
    <row r="22905" spans="4:8" x14ac:dyDescent="0.25">
      <c r="D22905" s="28"/>
      <c r="F22905" s="28"/>
      <c r="H22905" s="28"/>
    </row>
    <row r="22906" spans="4:8" x14ac:dyDescent="0.25">
      <c r="D22906" s="28"/>
      <c r="F22906" s="28"/>
      <c r="H22906" s="28"/>
    </row>
    <row r="22907" spans="4:8" x14ac:dyDescent="0.25">
      <c r="D22907" s="28"/>
      <c r="F22907" s="28"/>
      <c r="H22907" s="28"/>
    </row>
    <row r="22908" spans="4:8" x14ac:dyDescent="0.25">
      <c r="D22908" s="28"/>
      <c r="F22908" s="28"/>
      <c r="H22908" s="28"/>
    </row>
    <row r="22909" spans="4:8" x14ac:dyDescent="0.25">
      <c r="D22909" s="28"/>
      <c r="F22909" s="28"/>
      <c r="H22909" s="28"/>
    </row>
    <row r="22910" spans="4:8" x14ac:dyDescent="0.25">
      <c r="D22910" s="28"/>
      <c r="F22910" s="28"/>
      <c r="H22910" s="28"/>
    </row>
    <row r="22911" spans="4:8" x14ac:dyDescent="0.25">
      <c r="D22911" s="28"/>
      <c r="F22911" s="28"/>
      <c r="H22911" s="28"/>
    </row>
    <row r="22912" spans="4:8" x14ac:dyDescent="0.25">
      <c r="D22912" s="28"/>
      <c r="F22912" s="28"/>
      <c r="H22912" s="28"/>
    </row>
    <row r="22913" spans="4:8" x14ac:dyDescent="0.25">
      <c r="D22913" s="28"/>
      <c r="F22913" s="28"/>
      <c r="H22913" s="28"/>
    </row>
    <row r="22914" spans="4:8" x14ac:dyDescent="0.25">
      <c r="D22914" s="28"/>
      <c r="F22914" s="28"/>
      <c r="H22914" s="28"/>
    </row>
    <row r="22915" spans="4:8" x14ac:dyDescent="0.25">
      <c r="D22915" s="28"/>
      <c r="F22915" s="28"/>
      <c r="H22915" s="28"/>
    </row>
    <row r="22916" spans="4:8" x14ac:dyDescent="0.25">
      <c r="D22916" s="28"/>
      <c r="F22916" s="28"/>
      <c r="H22916" s="28"/>
    </row>
    <row r="22917" spans="4:8" x14ac:dyDescent="0.25">
      <c r="D22917" s="28"/>
      <c r="F22917" s="28"/>
      <c r="H22917" s="28"/>
    </row>
    <row r="22918" spans="4:8" x14ac:dyDescent="0.25">
      <c r="D22918" s="28"/>
      <c r="F22918" s="28"/>
      <c r="H22918" s="28"/>
    </row>
    <row r="22919" spans="4:8" x14ac:dyDescent="0.25">
      <c r="D22919" s="28"/>
      <c r="F22919" s="28"/>
      <c r="H22919" s="28"/>
    </row>
    <row r="22920" spans="4:8" x14ac:dyDescent="0.25">
      <c r="D22920" s="28"/>
      <c r="F22920" s="28"/>
      <c r="H22920" s="28"/>
    </row>
    <row r="22921" spans="4:8" x14ac:dyDescent="0.25">
      <c r="D22921" s="28"/>
      <c r="F22921" s="28"/>
      <c r="H22921" s="28"/>
    </row>
    <row r="22922" spans="4:8" x14ac:dyDescent="0.25">
      <c r="D22922" s="28"/>
      <c r="F22922" s="28"/>
      <c r="H22922" s="28"/>
    </row>
    <row r="22923" spans="4:8" x14ac:dyDescent="0.25">
      <c r="D22923" s="28"/>
      <c r="F22923" s="28"/>
      <c r="H22923" s="28"/>
    </row>
    <row r="22924" spans="4:8" x14ac:dyDescent="0.25">
      <c r="D22924" s="28"/>
      <c r="F22924" s="28"/>
      <c r="H22924" s="28"/>
    </row>
    <row r="22925" spans="4:8" x14ac:dyDescent="0.25">
      <c r="D22925" s="28"/>
      <c r="F22925" s="28"/>
      <c r="H22925" s="28"/>
    </row>
    <row r="22926" spans="4:8" x14ac:dyDescent="0.25">
      <c r="D22926" s="28"/>
      <c r="F22926" s="28"/>
      <c r="H22926" s="28"/>
    </row>
    <row r="22927" spans="4:8" x14ac:dyDescent="0.25">
      <c r="D22927" s="28"/>
      <c r="F22927" s="28"/>
      <c r="H22927" s="28"/>
    </row>
    <row r="22928" spans="4:8" x14ac:dyDescent="0.25">
      <c r="D22928" s="28"/>
      <c r="F22928" s="28"/>
      <c r="H22928" s="28"/>
    </row>
    <row r="22929" spans="4:8" x14ac:dyDescent="0.25">
      <c r="D22929" s="28"/>
      <c r="F22929" s="28"/>
      <c r="H22929" s="28"/>
    </row>
    <row r="22930" spans="4:8" x14ac:dyDescent="0.25">
      <c r="D22930" s="28"/>
      <c r="F22930" s="28"/>
      <c r="H22930" s="28"/>
    </row>
    <row r="22931" spans="4:8" x14ac:dyDescent="0.25">
      <c r="D22931" s="28"/>
      <c r="F22931" s="28"/>
      <c r="H22931" s="28"/>
    </row>
    <row r="22932" spans="4:8" x14ac:dyDescent="0.25">
      <c r="D22932" s="28"/>
      <c r="F22932" s="28"/>
      <c r="H22932" s="28"/>
    </row>
    <row r="22933" spans="4:8" x14ac:dyDescent="0.25">
      <c r="D22933" s="28"/>
      <c r="F22933" s="28"/>
      <c r="H22933" s="28"/>
    </row>
    <row r="22934" spans="4:8" x14ac:dyDescent="0.25">
      <c r="D22934" s="28"/>
      <c r="F22934" s="28"/>
      <c r="H22934" s="28"/>
    </row>
    <row r="22935" spans="4:8" x14ac:dyDescent="0.25">
      <c r="D22935" s="28"/>
      <c r="F22935" s="28"/>
      <c r="H22935" s="28"/>
    </row>
    <row r="22936" spans="4:8" x14ac:dyDescent="0.25">
      <c r="D22936" s="28"/>
      <c r="F22936" s="28"/>
      <c r="H22936" s="28"/>
    </row>
    <row r="22937" spans="4:8" x14ac:dyDescent="0.25">
      <c r="D22937" s="28"/>
      <c r="F22937" s="28"/>
      <c r="H22937" s="28"/>
    </row>
    <row r="22938" spans="4:8" x14ac:dyDescent="0.25">
      <c r="D22938" s="28"/>
      <c r="F22938" s="28"/>
      <c r="H22938" s="28"/>
    </row>
    <row r="22939" spans="4:8" x14ac:dyDescent="0.25">
      <c r="D22939" s="28"/>
      <c r="F22939" s="28"/>
      <c r="H22939" s="28"/>
    </row>
    <row r="22940" spans="4:8" x14ac:dyDescent="0.25">
      <c r="D22940" s="28"/>
      <c r="F22940" s="28"/>
      <c r="H22940" s="28"/>
    </row>
    <row r="22941" spans="4:8" x14ac:dyDescent="0.25">
      <c r="D22941" s="28"/>
      <c r="F22941" s="28"/>
      <c r="H22941" s="28"/>
    </row>
    <row r="22942" spans="4:8" x14ac:dyDescent="0.25">
      <c r="D22942" s="28"/>
      <c r="F22942" s="28"/>
      <c r="H22942" s="28"/>
    </row>
    <row r="22943" spans="4:8" x14ac:dyDescent="0.25">
      <c r="D22943" s="28"/>
      <c r="F22943" s="28"/>
      <c r="H22943" s="28"/>
    </row>
    <row r="22944" spans="4:8" x14ac:dyDescent="0.25">
      <c r="D22944" s="28"/>
      <c r="F22944" s="28"/>
      <c r="H22944" s="28"/>
    </row>
    <row r="22945" spans="4:8" x14ac:dyDescent="0.25">
      <c r="D22945" s="28"/>
      <c r="F22945" s="28"/>
      <c r="H22945" s="28"/>
    </row>
    <row r="22946" spans="4:8" x14ac:dyDescent="0.25">
      <c r="D22946" s="28"/>
      <c r="F22946" s="28"/>
      <c r="H22946" s="28"/>
    </row>
    <row r="22947" spans="4:8" x14ac:dyDescent="0.25">
      <c r="D22947" s="28"/>
      <c r="F22947" s="28"/>
      <c r="H22947" s="28"/>
    </row>
    <row r="22948" spans="4:8" x14ac:dyDescent="0.25">
      <c r="D22948" s="28"/>
      <c r="F22948" s="28"/>
      <c r="H22948" s="28"/>
    </row>
    <row r="22949" spans="4:8" x14ac:dyDescent="0.25">
      <c r="D22949" s="28"/>
      <c r="F22949" s="28"/>
      <c r="H22949" s="28"/>
    </row>
    <row r="22950" spans="4:8" x14ac:dyDescent="0.25">
      <c r="D22950" s="28"/>
      <c r="F22950" s="28"/>
      <c r="H22950" s="28"/>
    </row>
    <row r="22951" spans="4:8" x14ac:dyDescent="0.25">
      <c r="D22951" s="28"/>
      <c r="F22951" s="28"/>
      <c r="H22951" s="28"/>
    </row>
    <row r="22952" spans="4:8" x14ac:dyDescent="0.25">
      <c r="D22952" s="28"/>
      <c r="F22952" s="28"/>
      <c r="H22952" s="28"/>
    </row>
    <row r="22953" spans="4:8" x14ac:dyDescent="0.25">
      <c r="D22953" s="28"/>
      <c r="F22953" s="28"/>
      <c r="H22953" s="28"/>
    </row>
    <row r="22954" spans="4:8" x14ac:dyDescent="0.25">
      <c r="D22954" s="28"/>
      <c r="F22954" s="28"/>
      <c r="H22954" s="28"/>
    </row>
    <row r="22955" spans="4:8" x14ac:dyDescent="0.25">
      <c r="D22955" s="28"/>
      <c r="F22955" s="28"/>
      <c r="H22955" s="28"/>
    </row>
    <row r="22956" spans="4:8" x14ac:dyDescent="0.25">
      <c r="D22956" s="28"/>
      <c r="F22956" s="28"/>
      <c r="H22956" s="28"/>
    </row>
    <row r="22957" spans="4:8" x14ac:dyDescent="0.25">
      <c r="D22957" s="28"/>
      <c r="F22957" s="28"/>
      <c r="H22957" s="28"/>
    </row>
    <row r="22958" spans="4:8" x14ac:dyDescent="0.25">
      <c r="D22958" s="28"/>
      <c r="F22958" s="28"/>
      <c r="H22958" s="28"/>
    </row>
    <row r="22959" spans="4:8" x14ac:dyDescent="0.25">
      <c r="D22959" s="28"/>
      <c r="F22959" s="28"/>
      <c r="H22959" s="28"/>
    </row>
    <row r="22960" spans="4:8" x14ac:dyDescent="0.25">
      <c r="D22960" s="28"/>
      <c r="F22960" s="28"/>
      <c r="H22960" s="28"/>
    </row>
    <row r="22961" spans="4:8" x14ac:dyDescent="0.25">
      <c r="D22961" s="28"/>
      <c r="F22961" s="28"/>
      <c r="H22961" s="28"/>
    </row>
    <row r="22962" spans="4:8" x14ac:dyDescent="0.25">
      <c r="D22962" s="28"/>
      <c r="F22962" s="28"/>
      <c r="H22962" s="28"/>
    </row>
    <row r="22963" spans="4:8" x14ac:dyDescent="0.25">
      <c r="D22963" s="28"/>
      <c r="F22963" s="28"/>
      <c r="H22963" s="28"/>
    </row>
    <row r="22964" spans="4:8" x14ac:dyDescent="0.25">
      <c r="D22964" s="28"/>
      <c r="F22964" s="28"/>
      <c r="H22964" s="28"/>
    </row>
    <row r="22965" spans="4:8" x14ac:dyDescent="0.25">
      <c r="D22965" s="28"/>
      <c r="F22965" s="28"/>
      <c r="H22965" s="28"/>
    </row>
    <row r="22966" spans="4:8" x14ac:dyDescent="0.25">
      <c r="D22966" s="28"/>
      <c r="F22966" s="28"/>
      <c r="H22966" s="28"/>
    </row>
    <row r="22967" spans="4:8" x14ac:dyDescent="0.25">
      <c r="D22967" s="28"/>
      <c r="F22967" s="28"/>
      <c r="H22967" s="28"/>
    </row>
    <row r="22968" spans="4:8" x14ac:dyDescent="0.25">
      <c r="D22968" s="28"/>
      <c r="F22968" s="28"/>
      <c r="H22968" s="28"/>
    </row>
    <row r="22969" spans="4:8" x14ac:dyDescent="0.25">
      <c r="D22969" s="28"/>
      <c r="F22969" s="28"/>
      <c r="H22969" s="28"/>
    </row>
    <row r="22970" spans="4:8" x14ac:dyDescent="0.25">
      <c r="D22970" s="28"/>
      <c r="F22970" s="28"/>
      <c r="H22970" s="28"/>
    </row>
    <row r="22971" spans="4:8" x14ac:dyDescent="0.25">
      <c r="D22971" s="28"/>
      <c r="F22971" s="28"/>
      <c r="H22971" s="28"/>
    </row>
    <row r="22972" spans="4:8" x14ac:dyDescent="0.25">
      <c r="D22972" s="28"/>
      <c r="F22972" s="28"/>
      <c r="H22972" s="28"/>
    </row>
    <row r="22973" spans="4:8" x14ac:dyDescent="0.25">
      <c r="D22973" s="28"/>
      <c r="F22973" s="28"/>
      <c r="H22973" s="28"/>
    </row>
    <row r="22974" spans="4:8" x14ac:dyDescent="0.25">
      <c r="D22974" s="28"/>
      <c r="F22974" s="28"/>
      <c r="H22974" s="28"/>
    </row>
    <row r="22975" spans="4:8" x14ac:dyDescent="0.25">
      <c r="D22975" s="28"/>
      <c r="F22975" s="28"/>
      <c r="H22975" s="28"/>
    </row>
    <row r="22976" spans="4:8" x14ac:dyDescent="0.25">
      <c r="D22976" s="28"/>
      <c r="F22976" s="28"/>
      <c r="H22976" s="28"/>
    </row>
    <row r="22977" spans="4:8" x14ac:dyDescent="0.25">
      <c r="D22977" s="28"/>
      <c r="F22977" s="28"/>
      <c r="H22977" s="28"/>
    </row>
    <row r="22978" spans="4:8" x14ac:dyDescent="0.25">
      <c r="D22978" s="28"/>
      <c r="F22978" s="28"/>
      <c r="H22978" s="28"/>
    </row>
    <row r="22979" spans="4:8" x14ac:dyDescent="0.25">
      <c r="D22979" s="28"/>
      <c r="F22979" s="28"/>
      <c r="H22979" s="28"/>
    </row>
    <row r="22980" spans="4:8" x14ac:dyDescent="0.25">
      <c r="D22980" s="28"/>
      <c r="F22980" s="28"/>
      <c r="H22980" s="28"/>
    </row>
    <row r="22981" spans="4:8" x14ac:dyDescent="0.25">
      <c r="D22981" s="28"/>
      <c r="F22981" s="28"/>
      <c r="H22981" s="28"/>
    </row>
    <row r="22982" spans="4:8" x14ac:dyDescent="0.25">
      <c r="D22982" s="28"/>
      <c r="F22982" s="28"/>
      <c r="H22982" s="28"/>
    </row>
    <row r="22983" spans="4:8" x14ac:dyDescent="0.25">
      <c r="D22983" s="28"/>
      <c r="F22983" s="28"/>
      <c r="H22983" s="28"/>
    </row>
    <row r="22984" spans="4:8" x14ac:dyDescent="0.25">
      <c r="D22984" s="28"/>
      <c r="F22984" s="28"/>
      <c r="H22984" s="28"/>
    </row>
    <row r="22985" spans="4:8" x14ac:dyDescent="0.25">
      <c r="D22985" s="28"/>
      <c r="F22985" s="28"/>
      <c r="H22985" s="28"/>
    </row>
    <row r="22986" spans="4:8" x14ac:dyDescent="0.25">
      <c r="D22986" s="28"/>
      <c r="F22986" s="28"/>
      <c r="H22986" s="28"/>
    </row>
    <row r="22987" spans="4:8" x14ac:dyDescent="0.25">
      <c r="D22987" s="28"/>
      <c r="F22987" s="28"/>
      <c r="H22987" s="28"/>
    </row>
    <row r="22988" spans="4:8" x14ac:dyDescent="0.25">
      <c r="D22988" s="28"/>
      <c r="F22988" s="28"/>
      <c r="H22988" s="28"/>
    </row>
    <row r="22989" spans="4:8" x14ac:dyDescent="0.25">
      <c r="D22989" s="28"/>
      <c r="F22989" s="28"/>
      <c r="H22989" s="28"/>
    </row>
    <row r="22990" spans="4:8" x14ac:dyDescent="0.25">
      <c r="D22990" s="28"/>
      <c r="F22990" s="28"/>
      <c r="H22990" s="28"/>
    </row>
    <row r="22991" spans="4:8" x14ac:dyDescent="0.25">
      <c r="D22991" s="28"/>
      <c r="F22991" s="28"/>
      <c r="H22991" s="28"/>
    </row>
    <row r="22992" spans="4:8" x14ac:dyDescent="0.25">
      <c r="D22992" s="28"/>
      <c r="F22992" s="28"/>
      <c r="H22992" s="28"/>
    </row>
    <row r="22993" spans="4:8" x14ac:dyDescent="0.25">
      <c r="D22993" s="28"/>
      <c r="F22993" s="28"/>
      <c r="H22993" s="28"/>
    </row>
    <row r="22994" spans="4:8" x14ac:dyDescent="0.25">
      <c r="D22994" s="28"/>
      <c r="F22994" s="28"/>
      <c r="H22994" s="28"/>
    </row>
    <row r="22995" spans="4:8" x14ac:dyDescent="0.25">
      <c r="D22995" s="28"/>
      <c r="F22995" s="28"/>
      <c r="H22995" s="28"/>
    </row>
    <row r="22996" spans="4:8" x14ac:dyDescent="0.25">
      <c r="D22996" s="28"/>
      <c r="F22996" s="28"/>
      <c r="H22996" s="28"/>
    </row>
    <row r="22997" spans="4:8" x14ac:dyDescent="0.25">
      <c r="D22997" s="28"/>
      <c r="F22997" s="28"/>
      <c r="H22997" s="28"/>
    </row>
    <row r="22998" spans="4:8" x14ac:dyDescent="0.25">
      <c r="D22998" s="28"/>
      <c r="F22998" s="28"/>
      <c r="H22998" s="28"/>
    </row>
    <row r="22999" spans="4:8" x14ac:dyDescent="0.25">
      <c r="D22999" s="28"/>
      <c r="F22999" s="28"/>
      <c r="H22999" s="28"/>
    </row>
    <row r="23000" spans="4:8" x14ac:dyDescent="0.25">
      <c r="D23000" s="28"/>
      <c r="F23000" s="28"/>
      <c r="H23000" s="28"/>
    </row>
    <row r="23001" spans="4:8" x14ac:dyDescent="0.25">
      <c r="D23001" s="28"/>
      <c r="F23001" s="28"/>
      <c r="H23001" s="28"/>
    </row>
    <row r="23002" spans="4:8" x14ac:dyDescent="0.25">
      <c r="D23002" s="28"/>
      <c r="F23002" s="28"/>
      <c r="H23002" s="28"/>
    </row>
    <row r="23003" spans="4:8" x14ac:dyDescent="0.25">
      <c r="D23003" s="28"/>
      <c r="F23003" s="28"/>
      <c r="H23003" s="28"/>
    </row>
    <row r="23004" spans="4:8" x14ac:dyDescent="0.25">
      <c r="D23004" s="28"/>
      <c r="F23004" s="28"/>
      <c r="H23004" s="28"/>
    </row>
    <row r="23005" spans="4:8" x14ac:dyDescent="0.25">
      <c r="D23005" s="28"/>
      <c r="F23005" s="28"/>
      <c r="H23005" s="28"/>
    </row>
    <row r="23006" spans="4:8" x14ac:dyDescent="0.25">
      <c r="D23006" s="28"/>
      <c r="F23006" s="28"/>
      <c r="H23006" s="28"/>
    </row>
    <row r="23007" spans="4:8" x14ac:dyDescent="0.25">
      <c r="D23007" s="28"/>
      <c r="F23007" s="28"/>
      <c r="H23007" s="28"/>
    </row>
    <row r="23008" spans="4:8" x14ac:dyDescent="0.25">
      <c r="D23008" s="28"/>
      <c r="F23008" s="28"/>
      <c r="H23008" s="28"/>
    </row>
    <row r="23009" spans="4:8" x14ac:dyDescent="0.25">
      <c r="D23009" s="28"/>
      <c r="F23009" s="28"/>
      <c r="H23009" s="28"/>
    </row>
    <row r="23010" spans="4:8" x14ac:dyDescent="0.25">
      <c r="D23010" s="28"/>
      <c r="F23010" s="28"/>
      <c r="H23010" s="28"/>
    </row>
    <row r="23011" spans="4:8" x14ac:dyDescent="0.25">
      <c r="D23011" s="28"/>
      <c r="F23011" s="28"/>
      <c r="H23011" s="28"/>
    </row>
    <row r="23012" spans="4:8" x14ac:dyDescent="0.25">
      <c r="D23012" s="28"/>
      <c r="F23012" s="28"/>
      <c r="H23012" s="28"/>
    </row>
    <row r="23013" spans="4:8" x14ac:dyDescent="0.25">
      <c r="D23013" s="28"/>
      <c r="F23013" s="28"/>
      <c r="H23013" s="28"/>
    </row>
    <row r="23014" spans="4:8" x14ac:dyDescent="0.25">
      <c r="D23014" s="28"/>
      <c r="F23014" s="28"/>
      <c r="H23014" s="28"/>
    </row>
    <row r="23015" spans="4:8" x14ac:dyDescent="0.25">
      <c r="D23015" s="28"/>
      <c r="F23015" s="28"/>
      <c r="H23015" s="28"/>
    </row>
    <row r="23016" spans="4:8" x14ac:dyDescent="0.25">
      <c r="D23016" s="28"/>
      <c r="F23016" s="28"/>
      <c r="H23016" s="28"/>
    </row>
    <row r="23017" spans="4:8" x14ac:dyDescent="0.25">
      <c r="D23017" s="28"/>
      <c r="F23017" s="28"/>
      <c r="H23017" s="28"/>
    </row>
    <row r="23018" spans="4:8" x14ac:dyDescent="0.25">
      <c r="D23018" s="28"/>
      <c r="F23018" s="28"/>
      <c r="H23018" s="28"/>
    </row>
    <row r="23019" spans="4:8" x14ac:dyDescent="0.25">
      <c r="D23019" s="28"/>
      <c r="F23019" s="28"/>
      <c r="H23019" s="28"/>
    </row>
    <row r="23020" spans="4:8" x14ac:dyDescent="0.25">
      <c r="D23020" s="28"/>
      <c r="F23020" s="28"/>
      <c r="H23020" s="28"/>
    </row>
    <row r="23021" spans="4:8" x14ac:dyDescent="0.25">
      <c r="D23021" s="28"/>
      <c r="F23021" s="28"/>
      <c r="H23021" s="28"/>
    </row>
    <row r="23022" spans="4:8" x14ac:dyDescent="0.25">
      <c r="D23022" s="28"/>
      <c r="F23022" s="28"/>
      <c r="H23022" s="28"/>
    </row>
    <row r="23023" spans="4:8" x14ac:dyDescent="0.25">
      <c r="D23023" s="28"/>
      <c r="F23023" s="28"/>
      <c r="H23023" s="28"/>
    </row>
    <row r="23024" spans="4:8" x14ac:dyDescent="0.25">
      <c r="D23024" s="28"/>
      <c r="F23024" s="28"/>
      <c r="H23024" s="28"/>
    </row>
    <row r="23025" spans="4:8" x14ac:dyDescent="0.25">
      <c r="D23025" s="28"/>
      <c r="F23025" s="28"/>
      <c r="H23025" s="28"/>
    </row>
    <row r="23026" spans="4:8" x14ac:dyDescent="0.25">
      <c r="D23026" s="28"/>
      <c r="F23026" s="28"/>
      <c r="H23026" s="28"/>
    </row>
    <row r="23027" spans="4:8" x14ac:dyDescent="0.25">
      <c r="D23027" s="28"/>
      <c r="F23027" s="28"/>
      <c r="H23027" s="28"/>
    </row>
    <row r="23028" spans="4:8" x14ac:dyDescent="0.25">
      <c r="D23028" s="28"/>
      <c r="F23028" s="28"/>
      <c r="H23028" s="28"/>
    </row>
    <row r="23029" spans="4:8" x14ac:dyDescent="0.25">
      <c r="D23029" s="28"/>
      <c r="F23029" s="28"/>
      <c r="H23029" s="28"/>
    </row>
    <row r="23030" spans="4:8" x14ac:dyDescent="0.25">
      <c r="D23030" s="28"/>
      <c r="F23030" s="28"/>
      <c r="H23030" s="28"/>
    </row>
    <row r="23031" spans="4:8" x14ac:dyDescent="0.25">
      <c r="D23031" s="28"/>
      <c r="F23031" s="28"/>
      <c r="H23031" s="28"/>
    </row>
    <row r="23032" spans="4:8" x14ac:dyDescent="0.25">
      <c r="D23032" s="28"/>
      <c r="F23032" s="28"/>
      <c r="H23032" s="28"/>
    </row>
    <row r="23033" spans="4:8" x14ac:dyDescent="0.25">
      <c r="D23033" s="28"/>
      <c r="F23033" s="28"/>
      <c r="H23033" s="28"/>
    </row>
    <row r="23034" spans="4:8" x14ac:dyDescent="0.25">
      <c r="D23034" s="28"/>
      <c r="F23034" s="28"/>
      <c r="H23034" s="28"/>
    </row>
    <row r="23035" spans="4:8" x14ac:dyDescent="0.25">
      <c r="D23035" s="28"/>
      <c r="F23035" s="28"/>
      <c r="H23035" s="28"/>
    </row>
    <row r="23036" spans="4:8" x14ac:dyDescent="0.25">
      <c r="D23036" s="28"/>
      <c r="F23036" s="28"/>
      <c r="H23036" s="28"/>
    </row>
    <row r="23037" spans="4:8" x14ac:dyDescent="0.25">
      <c r="D23037" s="28"/>
      <c r="F23037" s="28"/>
      <c r="H23037" s="28"/>
    </row>
    <row r="23038" spans="4:8" x14ac:dyDescent="0.25">
      <c r="D23038" s="28"/>
      <c r="F23038" s="28"/>
      <c r="H23038" s="28"/>
    </row>
    <row r="23039" spans="4:8" x14ac:dyDescent="0.25">
      <c r="D23039" s="28"/>
      <c r="F23039" s="28"/>
      <c r="H23039" s="28"/>
    </row>
    <row r="23040" spans="4:8" x14ac:dyDescent="0.25">
      <c r="D23040" s="28"/>
      <c r="F23040" s="28"/>
      <c r="H23040" s="28"/>
    </row>
    <row r="23041" spans="4:8" x14ac:dyDescent="0.25">
      <c r="D23041" s="28"/>
      <c r="F23041" s="28"/>
      <c r="H23041" s="28"/>
    </row>
    <row r="23042" spans="4:8" x14ac:dyDescent="0.25">
      <c r="D23042" s="28"/>
      <c r="F23042" s="28"/>
      <c r="H23042" s="28"/>
    </row>
    <row r="23043" spans="4:8" x14ac:dyDescent="0.25">
      <c r="D23043" s="28"/>
      <c r="F23043" s="28"/>
      <c r="H23043" s="28"/>
    </row>
    <row r="23044" spans="4:8" x14ac:dyDescent="0.25">
      <c r="D23044" s="28"/>
      <c r="F23044" s="28"/>
      <c r="H23044" s="28"/>
    </row>
    <row r="23045" spans="4:8" x14ac:dyDescent="0.25">
      <c r="D23045" s="28"/>
      <c r="F23045" s="28"/>
      <c r="H23045" s="28"/>
    </row>
    <row r="23046" spans="4:8" x14ac:dyDescent="0.25">
      <c r="D23046" s="28"/>
      <c r="F23046" s="28"/>
      <c r="H23046" s="28"/>
    </row>
    <row r="23047" spans="4:8" x14ac:dyDescent="0.25">
      <c r="D23047" s="28"/>
      <c r="F23047" s="28"/>
      <c r="H23047" s="28"/>
    </row>
    <row r="23048" spans="4:8" x14ac:dyDescent="0.25">
      <c r="D23048" s="28"/>
      <c r="F23048" s="28"/>
      <c r="H23048" s="28"/>
    </row>
    <row r="23049" spans="4:8" x14ac:dyDescent="0.25">
      <c r="D23049" s="28"/>
      <c r="F23049" s="28"/>
      <c r="H23049" s="28"/>
    </row>
    <row r="23050" spans="4:8" x14ac:dyDescent="0.25">
      <c r="D23050" s="28"/>
      <c r="F23050" s="28"/>
      <c r="H23050" s="28"/>
    </row>
    <row r="23051" spans="4:8" x14ac:dyDescent="0.25">
      <c r="D23051" s="28"/>
      <c r="F23051" s="28"/>
      <c r="H23051" s="28"/>
    </row>
    <row r="23052" spans="4:8" x14ac:dyDescent="0.25">
      <c r="D23052" s="28"/>
      <c r="F23052" s="28"/>
      <c r="H23052" s="28"/>
    </row>
    <row r="23053" spans="4:8" x14ac:dyDescent="0.25">
      <c r="D23053" s="28"/>
      <c r="F23053" s="28"/>
      <c r="H23053" s="28"/>
    </row>
    <row r="23054" spans="4:8" x14ac:dyDescent="0.25">
      <c r="D23054" s="28"/>
      <c r="F23054" s="28"/>
      <c r="H23054" s="28"/>
    </row>
    <row r="23055" spans="4:8" x14ac:dyDescent="0.25">
      <c r="D23055" s="28"/>
      <c r="F23055" s="28"/>
      <c r="H23055" s="28"/>
    </row>
    <row r="23056" spans="4:8" x14ac:dyDescent="0.25">
      <c r="D23056" s="28"/>
      <c r="F23056" s="28"/>
      <c r="H23056" s="28"/>
    </row>
    <row r="23057" spans="4:8" x14ac:dyDescent="0.25">
      <c r="D23057" s="28"/>
      <c r="F23057" s="28"/>
      <c r="H23057" s="28"/>
    </row>
    <row r="23058" spans="4:8" x14ac:dyDescent="0.25">
      <c r="D23058" s="28"/>
      <c r="F23058" s="28"/>
      <c r="H23058" s="28"/>
    </row>
    <row r="23059" spans="4:8" x14ac:dyDescent="0.25">
      <c r="D23059" s="28"/>
      <c r="F23059" s="28"/>
      <c r="H23059" s="28"/>
    </row>
    <row r="23060" spans="4:8" x14ac:dyDescent="0.25">
      <c r="D23060" s="28"/>
      <c r="F23060" s="28"/>
      <c r="H23060" s="28"/>
    </row>
    <row r="23061" spans="4:8" x14ac:dyDescent="0.25">
      <c r="D23061" s="28"/>
      <c r="F23061" s="28"/>
      <c r="H23061" s="28"/>
    </row>
    <row r="23062" spans="4:8" x14ac:dyDescent="0.25">
      <c r="D23062" s="28"/>
      <c r="F23062" s="28"/>
      <c r="H23062" s="28"/>
    </row>
    <row r="23063" spans="4:8" x14ac:dyDescent="0.25">
      <c r="D23063" s="28"/>
      <c r="F23063" s="28"/>
      <c r="H23063" s="28"/>
    </row>
    <row r="23064" spans="4:8" x14ac:dyDescent="0.25">
      <c r="D23064" s="28"/>
      <c r="F23064" s="28"/>
      <c r="H23064" s="28"/>
    </row>
    <row r="23065" spans="4:8" x14ac:dyDescent="0.25">
      <c r="D23065" s="28"/>
      <c r="F23065" s="28"/>
      <c r="H23065" s="28"/>
    </row>
    <row r="23066" spans="4:8" x14ac:dyDescent="0.25">
      <c r="D23066" s="28"/>
      <c r="F23066" s="28"/>
      <c r="H23066" s="28"/>
    </row>
    <row r="23067" spans="4:8" x14ac:dyDescent="0.25">
      <c r="D23067" s="28"/>
      <c r="F23067" s="28"/>
      <c r="H23067" s="28"/>
    </row>
    <row r="23068" spans="4:8" x14ac:dyDescent="0.25">
      <c r="D23068" s="28"/>
      <c r="F23068" s="28"/>
      <c r="H23068" s="28"/>
    </row>
    <row r="23069" spans="4:8" x14ac:dyDescent="0.25">
      <c r="D23069" s="28"/>
      <c r="F23069" s="28"/>
      <c r="H23069" s="28"/>
    </row>
    <row r="23070" spans="4:8" x14ac:dyDescent="0.25">
      <c r="D23070" s="28"/>
      <c r="F23070" s="28"/>
      <c r="H23070" s="28"/>
    </row>
    <row r="23071" spans="4:8" x14ac:dyDescent="0.25">
      <c r="D23071" s="28"/>
      <c r="F23071" s="28"/>
      <c r="H23071" s="28"/>
    </row>
    <row r="23072" spans="4:8" x14ac:dyDescent="0.25">
      <c r="D23072" s="28"/>
      <c r="F23072" s="28"/>
      <c r="H23072" s="28"/>
    </row>
    <row r="23073" spans="4:8" x14ac:dyDescent="0.25">
      <c r="D23073" s="28"/>
      <c r="F23073" s="28"/>
      <c r="H23073" s="28"/>
    </row>
    <row r="23074" spans="4:8" x14ac:dyDescent="0.25">
      <c r="D23074" s="28"/>
      <c r="F23074" s="28"/>
      <c r="H23074" s="28"/>
    </row>
    <row r="23075" spans="4:8" x14ac:dyDescent="0.25">
      <c r="D23075" s="28"/>
      <c r="F23075" s="28"/>
      <c r="H23075" s="28"/>
    </row>
    <row r="23076" spans="4:8" x14ac:dyDescent="0.25">
      <c r="D23076" s="28"/>
      <c r="F23076" s="28"/>
      <c r="H23076" s="28"/>
    </row>
    <row r="23077" spans="4:8" x14ac:dyDescent="0.25">
      <c r="D23077" s="28"/>
      <c r="F23077" s="28"/>
      <c r="H23077" s="28"/>
    </row>
    <row r="23078" spans="4:8" x14ac:dyDescent="0.25">
      <c r="D23078" s="28"/>
      <c r="F23078" s="28"/>
      <c r="H23078" s="28"/>
    </row>
    <row r="23079" spans="4:8" x14ac:dyDescent="0.25">
      <c r="D23079" s="28"/>
      <c r="F23079" s="28"/>
      <c r="H23079" s="28"/>
    </row>
    <row r="23080" spans="4:8" x14ac:dyDescent="0.25">
      <c r="D23080" s="28"/>
      <c r="F23080" s="28"/>
      <c r="H23080" s="28"/>
    </row>
    <row r="23081" spans="4:8" x14ac:dyDescent="0.25">
      <c r="D23081" s="28"/>
      <c r="F23081" s="28"/>
      <c r="H23081" s="28"/>
    </row>
    <row r="23082" spans="4:8" x14ac:dyDescent="0.25">
      <c r="D23082" s="28"/>
      <c r="F23082" s="28"/>
      <c r="H23082" s="28"/>
    </row>
    <row r="23083" spans="4:8" x14ac:dyDescent="0.25">
      <c r="D23083" s="28"/>
      <c r="F23083" s="28"/>
      <c r="H23083" s="28"/>
    </row>
    <row r="23084" spans="4:8" x14ac:dyDescent="0.25">
      <c r="D23084" s="28"/>
      <c r="F23084" s="28"/>
      <c r="H23084" s="28"/>
    </row>
    <row r="23085" spans="4:8" x14ac:dyDescent="0.25">
      <c r="D23085" s="28"/>
      <c r="F23085" s="28"/>
      <c r="H23085" s="28"/>
    </row>
    <row r="23086" spans="4:8" x14ac:dyDescent="0.25">
      <c r="D23086" s="28"/>
      <c r="F23086" s="28"/>
      <c r="H23086" s="28"/>
    </row>
    <row r="23087" spans="4:8" x14ac:dyDescent="0.25">
      <c r="D23087" s="28"/>
      <c r="F23087" s="28"/>
      <c r="H23087" s="28"/>
    </row>
    <row r="23088" spans="4:8" x14ac:dyDescent="0.25">
      <c r="D23088" s="28"/>
      <c r="F23088" s="28"/>
      <c r="H23088" s="28"/>
    </row>
    <row r="23089" spans="4:8" x14ac:dyDescent="0.25">
      <c r="D23089" s="28"/>
      <c r="F23089" s="28"/>
      <c r="H23089" s="28"/>
    </row>
    <row r="23090" spans="4:8" x14ac:dyDescent="0.25">
      <c r="D23090" s="28"/>
      <c r="F23090" s="28"/>
      <c r="H23090" s="28"/>
    </row>
    <row r="23091" spans="4:8" x14ac:dyDescent="0.25">
      <c r="D23091" s="28"/>
      <c r="F23091" s="28"/>
      <c r="H23091" s="28"/>
    </row>
    <row r="23092" spans="4:8" x14ac:dyDescent="0.25">
      <c r="D23092" s="28"/>
      <c r="F23092" s="28"/>
      <c r="H23092" s="28"/>
    </row>
    <row r="23093" spans="4:8" x14ac:dyDescent="0.25">
      <c r="D23093" s="28"/>
      <c r="F23093" s="28"/>
      <c r="H23093" s="28"/>
    </row>
    <row r="23094" spans="4:8" x14ac:dyDescent="0.25">
      <c r="D23094" s="28"/>
      <c r="F23094" s="28"/>
      <c r="H23094" s="28"/>
    </row>
    <row r="23095" spans="4:8" x14ac:dyDescent="0.25">
      <c r="D23095" s="28"/>
      <c r="F23095" s="28"/>
      <c r="H23095" s="28"/>
    </row>
    <row r="23096" spans="4:8" x14ac:dyDescent="0.25">
      <c r="D23096" s="28"/>
      <c r="F23096" s="28"/>
      <c r="H23096" s="28"/>
    </row>
    <row r="23097" spans="4:8" x14ac:dyDescent="0.25">
      <c r="D23097" s="28"/>
      <c r="F23097" s="28"/>
      <c r="H23097" s="28"/>
    </row>
    <row r="23098" spans="4:8" x14ac:dyDescent="0.25">
      <c r="D23098" s="28"/>
      <c r="F23098" s="28"/>
      <c r="H23098" s="28"/>
    </row>
    <row r="23099" spans="4:8" x14ac:dyDescent="0.25">
      <c r="D23099" s="28"/>
      <c r="F23099" s="28"/>
      <c r="H23099" s="28"/>
    </row>
    <row r="23100" spans="4:8" x14ac:dyDescent="0.25">
      <c r="D23100" s="28"/>
      <c r="F23100" s="28"/>
      <c r="H23100" s="28"/>
    </row>
    <row r="23101" spans="4:8" x14ac:dyDescent="0.25">
      <c r="D23101" s="28"/>
      <c r="F23101" s="28"/>
      <c r="H23101" s="28"/>
    </row>
    <row r="23102" spans="4:8" x14ac:dyDescent="0.25">
      <c r="D23102" s="28"/>
      <c r="F23102" s="28"/>
      <c r="H23102" s="28"/>
    </row>
    <row r="23103" spans="4:8" x14ac:dyDescent="0.25">
      <c r="D23103" s="28"/>
      <c r="F23103" s="28"/>
      <c r="H23103" s="28"/>
    </row>
    <row r="23104" spans="4:8" x14ac:dyDescent="0.25">
      <c r="D23104" s="28"/>
      <c r="F23104" s="28"/>
      <c r="H23104" s="28"/>
    </row>
    <row r="23105" spans="4:8" x14ac:dyDescent="0.25">
      <c r="D23105" s="28"/>
      <c r="F23105" s="28"/>
      <c r="H23105" s="28"/>
    </row>
    <row r="23106" spans="4:8" x14ac:dyDescent="0.25">
      <c r="D23106" s="28"/>
      <c r="F23106" s="28"/>
      <c r="H23106" s="28"/>
    </row>
    <row r="23107" spans="4:8" x14ac:dyDescent="0.25">
      <c r="D23107" s="28"/>
      <c r="F23107" s="28"/>
      <c r="H23107" s="28"/>
    </row>
    <row r="23108" spans="4:8" x14ac:dyDescent="0.25">
      <c r="D23108" s="28"/>
      <c r="F23108" s="28"/>
      <c r="H23108" s="28"/>
    </row>
    <row r="23109" spans="4:8" x14ac:dyDescent="0.25">
      <c r="D23109" s="28"/>
      <c r="F23109" s="28"/>
      <c r="H23109" s="28"/>
    </row>
    <row r="23110" spans="4:8" x14ac:dyDescent="0.25">
      <c r="D23110" s="28"/>
      <c r="F23110" s="28"/>
      <c r="H23110" s="28"/>
    </row>
    <row r="23111" spans="4:8" x14ac:dyDescent="0.25">
      <c r="D23111" s="28"/>
      <c r="F23111" s="28"/>
      <c r="H23111" s="28"/>
    </row>
    <row r="23112" spans="4:8" x14ac:dyDescent="0.25">
      <c r="D23112" s="28"/>
      <c r="F23112" s="28"/>
      <c r="H23112" s="28"/>
    </row>
    <row r="23113" spans="4:8" x14ac:dyDescent="0.25">
      <c r="D23113" s="28"/>
      <c r="F23113" s="28"/>
      <c r="H23113" s="28"/>
    </row>
    <row r="23114" spans="4:8" x14ac:dyDescent="0.25">
      <c r="D23114" s="28"/>
      <c r="F23114" s="28"/>
      <c r="H23114" s="28"/>
    </row>
    <row r="23115" spans="4:8" x14ac:dyDescent="0.25">
      <c r="D23115" s="28"/>
      <c r="F23115" s="28"/>
      <c r="H23115" s="28"/>
    </row>
    <row r="23116" spans="4:8" x14ac:dyDescent="0.25">
      <c r="D23116" s="28"/>
      <c r="F23116" s="28"/>
      <c r="H23116" s="28"/>
    </row>
    <row r="23117" spans="4:8" x14ac:dyDescent="0.25">
      <c r="D23117" s="28"/>
      <c r="F23117" s="28"/>
      <c r="H23117" s="28"/>
    </row>
    <row r="23118" spans="4:8" x14ac:dyDescent="0.25">
      <c r="D23118" s="28"/>
      <c r="F23118" s="28"/>
      <c r="H23118" s="28"/>
    </row>
    <row r="23119" spans="4:8" x14ac:dyDescent="0.25">
      <c r="D23119" s="28"/>
      <c r="F23119" s="28"/>
      <c r="H23119" s="28"/>
    </row>
    <row r="23120" spans="4:8" x14ac:dyDescent="0.25">
      <c r="D23120" s="28"/>
      <c r="F23120" s="28"/>
      <c r="H23120" s="28"/>
    </row>
    <row r="23121" spans="4:8" x14ac:dyDescent="0.25">
      <c r="D23121" s="28"/>
      <c r="F23121" s="28"/>
      <c r="H23121" s="28"/>
    </row>
    <row r="23122" spans="4:8" x14ac:dyDescent="0.25">
      <c r="D23122" s="28"/>
      <c r="F23122" s="28"/>
      <c r="H23122" s="28"/>
    </row>
    <row r="23123" spans="4:8" x14ac:dyDescent="0.25">
      <c r="D23123" s="28"/>
      <c r="F23123" s="28"/>
      <c r="H23123" s="28"/>
    </row>
    <row r="23124" spans="4:8" x14ac:dyDescent="0.25">
      <c r="D23124" s="28"/>
      <c r="F23124" s="28"/>
      <c r="H23124" s="28"/>
    </row>
    <row r="23125" spans="4:8" x14ac:dyDescent="0.25">
      <c r="D23125" s="28"/>
      <c r="F23125" s="28"/>
      <c r="H23125" s="28"/>
    </row>
    <row r="23126" spans="4:8" x14ac:dyDescent="0.25">
      <c r="D23126" s="28"/>
      <c r="F23126" s="28"/>
      <c r="H23126" s="28"/>
    </row>
    <row r="23127" spans="4:8" x14ac:dyDescent="0.25">
      <c r="D23127" s="28"/>
      <c r="F23127" s="28"/>
      <c r="H23127" s="28"/>
    </row>
    <row r="23128" spans="4:8" x14ac:dyDescent="0.25">
      <c r="D23128" s="28"/>
      <c r="F23128" s="28"/>
      <c r="H23128" s="28"/>
    </row>
    <row r="23129" spans="4:8" x14ac:dyDescent="0.25">
      <c r="D23129" s="28"/>
      <c r="F23129" s="28"/>
      <c r="H23129" s="28"/>
    </row>
    <row r="23130" spans="4:8" x14ac:dyDescent="0.25">
      <c r="D23130" s="28"/>
      <c r="F23130" s="28"/>
      <c r="H23130" s="28"/>
    </row>
    <row r="23131" spans="4:8" x14ac:dyDescent="0.25">
      <c r="D23131" s="28"/>
      <c r="F23131" s="28"/>
      <c r="H23131" s="28"/>
    </row>
    <row r="23132" spans="4:8" x14ac:dyDescent="0.25">
      <c r="D23132" s="28"/>
      <c r="F23132" s="28"/>
      <c r="H23132" s="28"/>
    </row>
    <row r="23133" spans="4:8" x14ac:dyDescent="0.25">
      <c r="D23133" s="28"/>
      <c r="F23133" s="28"/>
      <c r="H23133" s="28"/>
    </row>
    <row r="23134" spans="4:8" x14ac:dyDescent="0.25">
      <c r="D23134" s="28"/>
      <c r="F23134" s="28"/>
      <c r="H23134" s="28"/>
    </row>
    <row r="23135" spans="4:8" x14ac:dyDescent="0.25">
      <c r="D23135" s="28"/>
      <c r="F23135" s="28"/>
      <c r="H23135" s="28"/>
    </row>
    <row r="23136" spans="4:8" x14ac:dyDescent="0.25">
      <c r="D23136" s="28"/>
      <c r="F23136" s="28"/>
      <c r="H23136" s="28"/>
    </row>
    <row r="23137" spans="4:8" x14ac:dyDescent="0.25">
      <c r="D23137" s="28"/>
      <c r="F23137" s="28"/>
      <c r="H23137" s="28"/>
    </row>
    <row r="23138" spans="4:8" x14ac:dyDescent="0.25">
      <c r="D23138" s="28"/>
      <c r="F23138" s="28"/>
      <c r="H23138" s="28"/>
    </row>
    <row r="23139" spans="4:8" x14ac:dyDescent="0.25">
      <c r="D23139" s="28"/>
      <c r="F23139" s="28"/>
      <c r="H23139" s="28"/>
    </row>
    <row r="23140" spans="4:8" x14ac:dyDescent="0.25">
      <c r="D23140" s="28"/>
      <c r="F23140" s="28"/>
      <c r="H23140" s="28"/>
    </row>
    <row r="23141" spans="4:8" x14ac:dyDescent="0.25">
      <c r="D23141" s="28"/>
      <c r="F23141" s="28"/>
      <c r="H23141" s="28"/>
    </row>
    <row r="23142" spans="4:8" x14ac:dyDescent="0.25">
      <c r="D23142" s="28"/>
      <c r="F23142" s="28"/>
      <c r="H23142" s="28"/>
    </row>
    <row r="23143" spans="4:8" x14ac:dyDescent="0.25">
      <c r="D23143" s="28"/>
      <c r="F23143" s="28"/>
      <c r="H23143" s="28"/>
    </row>
    <row r="23144" spans="4:8" x14ac:dyDescent="0.25">
      <c r="D23144" s="28"/>
      <c r="F23144" s="28"/>
      <c r="H23144" s="28"/>
    </row>
    <row r="23145" spans="4:8" x14ac:dyDescent="0.25">
      <c r="D23145" s="28"/>
      <c r="F23145" s="28"/>
      <c r="H23145" s="28"/>
    </row>
    <row r="23146" spans="4:8" x14ac:dyDescent="0.25">
      <c r="D23146" s="28"/>
      <c r="F23146" s="28"/>
      <c r="H23146" s="28"/>
    </row>
    <row r="23147" spans="4:8" x14ac:dyDescent="0.25">
      <c r="D23147" s="28"/>
      <c r="F23147" s="28"/>
      <c r="H23147" s="28"/>
    </row>
    <row r="23148" spans="4:8" x14ac:dyDescent="0.25">
      <c r="D23148" s="28"/>
      <c r="F23148" s="28"/>
      <c r="H23148" s="28"/>
    </row>
    <row r="23149" spans="4:8" x14ac:dyDescent="0.25">
      <c r="D23149" s="28"/>
      <c r="F23149" s="28"/>
      <c r="H23149" s="28"/>
    </row>
    <row r="23150" spans="4:8" x14ac:dyDescent="0.25">
      <c r="D23150" s="28"/>
      <c r="F23150" s="28"/>
      <c r="H23150" s="28"/>
    </row>
    <row r="23151" spans="4:8" x14ac:dyDescent="0.25">
      <c r="D23151" s="28"/>
      <c r="F23151" s="28"/>
      <c r="H23151" s="28"/>
    </row>
    <row r="23152" spans="4:8" x14ac:dyDescent="0.25">
      <c r="D23152" s="28"/>
      <c r="F23152" s="28"/>
      <c r="H23152" s="28"/>
    </row>
    <row r="23153" spans="4:8" x14ac:dyDescent="0.25">
      <c r="D23153" s="28"/>
      <c r="F23153" s="28"/>
      <c r="H23153" s="28"/>
    </row>
    <row r="23154" spans="4:8" x14ac:dyDescent="0.25">
      <c r="D23154" s="28"/>
      <c r="F23154" s="28"/>
      <c r="H23154" s="28"/>
    </row>
    <row r="23155" spans="4:8" x14ac:dyDescent="0.25">
      <c r="D23155" s="28"/>
      <c r="F23155" s="28"/>
      <c r="H23155" s="28"/>
    </row>
    <row r="23156" spans="4:8" x14ac:dyDescent="0.25">
      <c r="D23156" s="28"/>
      <c r="F23156" s="28"/>
      <c r="H23156" s="28"/>
    </row>
    <row r="23157" spans="4:8" x14ac:dyDescent="0.25">
      <c r="D23157" s="28"/>
      <c r="F23157" s="28"/>
      <c r="H23157" s="28"/>
    </row>
    <row r="23158" spans="4:8" x14ac:dyDescent="0.25">
      <c r="D23158" s="28"/>
      <c r="F23158" s="28"/>
      <c r="H23158" s="28"/>
    </row>
    <row r="23159" spans="4:8" x14ac:dyDescent="0.25">
      <c r="D23159" s="28"/>
      <c r="F23159" s="28"/>
      <c r="H23159" s="28"/>
    </row>
    <row r="23160" spans="4:8" x14ac:dyDescent="0.25">
      <c r="D23160" s="28"/>
      <c r="F23160" s="28"/>
      <c r="H23160" s="28"/>
    </row>
    <row r="23161" spans="4:8" x14ac:dyDescent="0.25">
      <c r="D23161" s="28"/>
      <c r="F23161" s="28"/>
      <c r="H23161" s="28"/>
    </row>
    <row r="23162" spans="4:8" x14ac:dyDescent="0.25">
      <c r="D23162" s="28"/>
      <c r="F23162" s="28"/>
      <c r="H23162" s="28"/>
    </row>
    <row r="23163" spans="4:8" x14ac:dyDescent="0.25">
      <c r="D23163" s="28"/>
      <c r="F23163" s="28"/>
      <c r="H23163" s="28"/>
    </row>
    <row r="23164" spans="4:8" x14ac:dyDescent="0.25">
      <c r="D23164" s="28"/>
      <c r="F23164" s="28"/>
      <c r="H23164" s="28"/>
    </row>
    <row r="23165" spans="4:8" x14ac:dyDescent="0.25">
      <c r="D23165" s="28"/>
      <c r="F23165" s="28"/>
      <c r="H23165" s="28"/>
    </row>
    <row r="23166" spans="4:8" x14ac:dyDescent="0.25">
      <c r="D23166" s="28"/>
      <c r="F23166" s="28"/>
      <c r="H23166" s="28"/>
    </row>
    <row r="23167" spans="4:8" x14ac:dyDescent="0.25">
      <c r="D23167" s="28"/>
      <c r="F23167" s="28"/>
      <c r="H23167" s="28"/>
    </row>
    <row r="23168" spans="4:8" x14ac:dyDescent="0.25">
      <c r="D23168" s="28"/>
      <c r="F23168" s="28"/>
      <c r="H23168" s="28"/>
    </row>
    <row r="23169" spans="4:8" x14ac:dyDescent="0.25">
      <c r="D23169" s="28"/>
      <c r="F23169" s="28"/>
      <c r="H23169" s="28"/>
    </row>
    <row r="23170" spans="4:8" x14ac:dyDescent="0.25">
      <c r="D23170" s="28"/>
      <c r="F23170" s="28"/>
      <c r="H23170" s="28"/>
    </row>
    <row r="23171" spans="4:8" x14ac:dyDescent="0.25">
      <c r="D23171" s="28"/>
      <c r="F23171" s="28"/>
      <c r="H23171" s="28"/>
    </row>
    <row r="23172" spans="4:8" x14ac:dyDescent="0.25">
      <c r="D23172" s="28"/>
      <c r="F23172" s="28"/>
      <c r="H23172" s="28"/>
    </row>
    <row r="23173" spans="4:8" x14ac:dyDescent="0.25">
      <c r="D23173" s="28"/>
      <c r="F23173" s="28"/>
      <c r="H23173" s="28"/>
    </row>
    <row r="23174" spans="4:8" x14ac:dyDescent="0.25">
      <c r="D23174" s="28"/>
      <c r="F23174" s="28"/>
      <c r="H23174" s="28"/>
    </row>
    <row r="23175" spans="4:8" x14ac:dyDescent="0.25">
      <c r="D23175" s="28"/>
      <c r="F23175" s="28"/>
      <c r="H23175" s="28"/>
    </row>
    <row r="23176" spans="4:8" x14ac:dyDescent="0.25">
      <c r="D23176" s="28"/>
      <c r="F23176" s="28"/>
      <c r="H23176" s="28"/>
    </row>
    <row r="23177" spans="4:8" x14ac:dyDescent="0.25">
      <c r="D23177" s="28"/>
      <c r="F23177" s="28"/>
      <c r="H23177" s="28"/>
    </row>
    <row r="23178" spans="4:8" x14ac:dyDescent="0.25">
      <c r="D23178" s="28"/>
      <c r="F23178" s="28"/>
      <c r="H23178" s="28"/>
    </row>
    <row r="23179" spans="4:8" x14ac:dyDescent="0.25">
      <c r="D23179" s="28"/>
      <c r="F23179" s="28"/>
      <c r="H23179" s="28"/>
    </row>
    <row r="23180" spans="4:8" x14ac:dyDescent="0.25">
      <c r="D23180" s="28"/>
      <c r="F23180" s="28"/>
      <c r="H23180" s="28"/>
    </row>
    <row r="23181" spans="4:8" x14ac:dyDescent="0.25">
      <c r="D23181" s="28"/>
      <c r="F23181" s="28"/>
      <c r="H23181" s="28"/>
    </row>
    <row r="23182" spans="4:8" x14ac:dyDescent="0.25">
      <c r="D23182" s="28"/>
      <c r="F23182" s="28"/>
      <c r="H23182" s="28"/>
    </row>
    <row r="23183" spans="4:8" x14ac:dyDescent="0.25">
      <c r="D23183" s="28"/>
      <c r="F23183" s="28"/>
      <c r="H23183" s="28"/>
    </row>
    <row r="23184" spans="4:8" x14ac:dyDescent="0.25">
      <c r="D23184" s="28"/>
      <c r="F23184" s="28"/>
      <c r="H23184" s="28"/>
    </row>
    <row r="23185" spans="4:8" x14ac:dyDescent="0.25">
      <c r="D23185" s="28"/>
      <c r="F23185" s="28"/>
      <c r="H23185" s="28"/>
    </row>
    <row r="23186" spans="4:8" x14ac:dyDescent="0.25">
      <c r="D23186" s="28"/>
      <c r="F23186" s="28"/>
      <c r="H23186" s="28"/>
    </row>
    <row r="23187" spans="4:8" x14ac:dyDescent="0.25">
      <c r="D23187" s="28"/>
      <c r="F23187" s="28"/>
      <c r="H23187" s="28"/>
    </row>
    <row r="23188" spans="4:8" x14ac:dyDescent="0.25">
      <c r="D23188" s="28"/>
      <c r="F23188" s="28"/>
      <c r="H23188" s="28"/>
    </row>
    <row r="23189" spans="4:8" x14ac:dyDescent="0.25">
      <c r="D23189" s="28"/>
      <c r="F23189" s="28"/>
      <c r="H23189" s="28"/>
    </row>
    <row r="23190" spans="4:8" x14ac:dyDescent="0.25">
      <c r="D23190" s="28"/>
      <c r="F23190" s="28"/>
      <c r="H23190" s="28"/>
    </row>
    <row r="23191" spans="4:8" x14ac:dyDescent="0.25">
      <c r="D23191" s="28"/>
      <c r="F23191" s="28"/>
      <c r="H23191" s="28"/>
    </row>
    <row r="23192" spans="4:8" x14ac:dyDescent="0.25">
      <c r="D23192" s="28"/>
      <c r="F23192" s="28"/>
      <c r="H23192" s="28"/>
    </row>
    <row r="23193" spans="4:8" x14ac:dyDescent="0.25">
      <c r="D23193" s="28"/>
      <c r="F23193" s="28"/>
      <c r="H23193" s="28"/>
    </row>
    <row r="23194" spans="4:8" x14ac:dyDescent="0.25">
      <c r="D23194" s="28"/>
      <c r="F23194" s="28"/>
      <c r="H23194" s="28"/>
    </row>
    <row r="23195" spans="4:8" x14ac:dyDescent="0.25">
      <c r="D23195" s="28"/>
      <c r="F23195" s="28"/>
      <c r="H23195" s="28"/>
    </row>
    <row r="23196" spans="4:8" x14ac:dyDescent="0.25">
      <c r="D23196" s="28"/>
      <c r="F23196" s="28"/>
      <c r="H23196" s="28"/>
    </row>
    <row r="23197" spans="4:8" x14ac:dyDescent="0.25">
      <c r="D23197" s="28"/>
      <c r="F23197" s="28"/>
      <c r="H23197" s="28"/>
    </row>
    <row r="23198" spans="4:8" x14ac:dyDescent="0.25">
      <c r="D23198" s="28"/>
      <c r="F23198" s="28"/>
      <c r="H23198" s="28"/>
    </row>
    <row r="23199" spans="4:8" x14ac:dyDescent="0.25">
      <c r="D23199" s="28"/>
      <c r="F23199" s="28"/>
      <c r="H23199" s="28"/>
    </row>
    <row r="23200" spans="4:8" x14ac:dyDescent="0.25">
      <c r="D23200" s="28"/>
      <c r="F23200" s="28"/>
      <c r="H23200" s="28"/>
    </row>
    <row r="23201" spans="4:8" x14ac:dyDescent="0.25">
      <c r="D23201" s="28"/>
      <c r="F23201" s="28"/>
      <c r="H23201" s="28"/>
    </row>
    <row r="23202" spans="4:8" x14ac:dyDescent="0.25">
      <c r="D23202" s="28"/>
      <c r="F23202" s="28"/>
      <c r="H23202" s="28"/>
    </row>
    <row r="23203" spans="4:8" x14ac:dyDescent="0.25">
      <c r="D23203" s="28"/>
      <c r="F23203" s="28"/>
      <c r="H23203" s="28"/>
    </row>
    <row r="23204" spans="4:8" x14ac:dyDescent="0.25">
      <c r="D23204" s="28"/>
      <c r="F23204" s="28"/>
      <c r="H23204" s="28"/>
    </row>
    <row r="23205" spans="4:8" x14ac:dyDescent="0.25">
      <c r="D23205" s="28"/>
      <c r="F23205" s="28"/>
      <c r="H23205" s="28"/>
    </row>
    <row r="23206" spans="4:8" x14ac:dyDescent="0.25">
      <c r="D23206" s="28"/>
      <c r="F23206" s="28"/>
      <c r="H23206" s="28"/>
    </row>
    <row r="23207" spans="4:8" x14ac:dyDescent="0.25">
      <c r="D23207" s="28"/>
      <c r="F23207" s="28"/>
      <c r="H23207" s="28"/>
    </row>
    <row r="23208" spans="4:8" x14ac:dyDescent="0.25">
      <c r="D23208" s="28"/>
      <c r="F23208" s="28"/>
      <c r="H23208" s="28"/>
    </row>
    <row r="23209" spans="4:8" x14ac:dyDescent="0.25">
      <c r="D23209" s="28"/>
      <c r="F23209" s="28"/>
      <c r="H23209" s="28"/>
    </row>
    <row r="23210" spans="4:8" x14ac:dyDescent="0.25">
      <c r="D23210" s="28"/>
      <c r="F23210" s="28"/>
      <c r="H23210" s="28"/>
    </row>
    <row r="23211" spans="4:8" x14ac:dyDescent="0.25">
      <c r="D23211" s="28"/>
      <c r="F23211" s="28"/>
      <c r="H23211" s="28"/>
    </row>
    <row r="23212" spans="4:8" x14ac:dyDescent="0.25">
      <c r="D23212" s="28"/>
      <c r="F23212" s="28"/>
      <c r="H23212" s="28"/>
    </row>
    <row r="23213" spans="4:8" x14ac:dyDescent="0.25">
      <c r="D23213" s="28"/>
      <c r="F23213" s="28"/>
      <c r="H23213" s="28"/>
    </row>
    <row r="23214" spans="4:8" x14ac:dyDescent="0.25">
      <c r="D23214" s="28"/>
      <c r="F23214" s="28"/>
      <c r="H23214" s="28"/>
    </row>
    <row r="23215" spans="4:8" x14ac:dyDescent="0.25">
      <c r="D23215" s="28"/>
      <c r="F23215" s="28"/>
      <c r="H23215" s="28"/>
    </row>
    <row r="23216" spans="4:8" x14ac:dyDescent="0.25">
      <c r="D23216" s="28"/>
      <c r="F23216" s="28"/>
      <c r="H23216" s="28"/>
    </row>
    <row r="23217" spans="4:8" x14ac:dyDescent="0.25">
      <c r="D23217" s="28"/>
      <c r="F23217" s="28"/>
      <c r="H23217" s="28"/>
    </row>
    <row r="23218" spans="4:8" x14ac:dyDescent="0.25">
      <c r="D23218" s="28"/>
      <c r="F23218" s="28"/>
      <c r="H23218" s="28"/>
    </row>
    <row r="23219" spans="4:8" x14ac:dyDescent="0.25">
      <c r="D23219" s="28"/>
      <c r="F23219" s="28"/>
      <c r="H23219" s="28"/>
    </row>
    <row r="23220" spans="4:8" x14ac:dyDescent="0.25">
      <c r="D23220" s="28"/>
      <c r="F23220" s="28"/>
      <c r="H23220" s="28"/>
    </row>
    <row r="23221" spans="4:8" x14ac:dyDescent="0.25">
      <c r="D23221" s="28"/>
      <c r="F23221" s="28"/>
      <c r="H23221" s="28"/>
    </row>
    <row r="23222" spans="4:8" x14ac:dyDescent="0.25">
      <c r="D23222" s="28"/>
      <c r="F23222" s="28"/>
      <c r="H23222" s="28"/>
    </row>
    <row r="23223" spans="4:8" x14ac:dyDescent="0.25">
      <c r="D23223" s="28"/>
      <c r="F23223" s="28"/>
      <c r="H23223" s="28"/>
    </row>
    <row r="23224" spans="4:8" x14ac:dyDescent="0.25">
      <c r="D23224" s="28"/>
      <c r="F23224" s="28"/>
      <c r="H23224" s="28"/>
    </row>
    <row r="23225" spans="4:8" x14ac:dyDescent="0.25">
      <c r="D23225" s="28"/>
      <c r="F23225" s="28"/>
      <c r="H23225" s="28"/>
    </row>
    <row r="23226" spans="4:8" x14ac:dyDescent="0.25">
      <c r="D23226" s="28"/>
      <c r="F23226" s="28"/>
      <c r="H23226" s="28"/>
    </row>
    <row r="23227" spans="4:8" x14ac:dyDescent="0.25">
      <c r="D23227" s="28"/>
      <c r="F23227" s="28"/>
      <c r="H23227" s="28"/>
    </row>
    <row r="23228" spans="4:8" x14ac:dyDescent="0.25">
      <c r="D23228" s="28"/>
      <c r="F23228" s="28"/>
      <c r="H23228" s="28"/>
    </row>
    <row r="23229" spans="4:8" x14ac:dyDescent="0.25">
      <c r="D23229" s="28"/>
      <c r="F23229" s="28"/>
      <c r="H23229" s="28"/>
    </row>
    <row r="23230" spans="4:8" x14ac:dyDescent="0.25">
      <c r="D23230" s="28"/>
      <c r="F23230" s="28"/>
      <c r="H23230" s="28"/>
    </row>
    <row r="23231" spans="4:8" x14ac:dyDescent="0.25">
      <c r="D23231" s="28"/>
      <c r="F23231" s="28"/>
      <c r="H23231" s="28"/>
    </row>
    <row r="23232" spans="4:8" x14ac:dyDescent="0.25">
      <c r="D23232" s="28"/>
      <c r="F23232" s="28"/>
      <c r="H23232" s="28"/>
    </row>
    <row r="23233" spans="4:8" x14ac:dyDescent="0.25">
      <c r="D23233" s="28"/>
      <c r="F23233" s="28"/>
      <c r="H23233" s="28"/>
    </row>
    <row r="23234" spans="4:8" x14ac:dyDescent="0.25">
      <c r="D23234" s="28"/>
      <c r="F23234" s="28"/>
      <c r="H23234" s="28"/>
    </row>
    <row r="23235" spans="4:8" x14ac:dyDescent="0.25">
      <c r="D23235" s="28"/>
      <c r="F23235" s="28"/>
      <c r="H23235" s="28"/>
    </row>
    <row r="23236" spans="4:8" x14ac:dyDescent="0.25">
      <c r="D23236" s="28"/>
      <c r="F23236" s="28"/>
      <c r="H23236" s="28"/>
    </row>
    <row r="23237" spans="4:8" x14ac:dyDescent="0.25">
      <c r="D23237" s="28"/>
      <c r="F23237" s="28"/>
      <c r="H23237" s="28"/>
    </row>
    <row r="23238" spans="4:8" x14ac:dyDescent="0.25">
      <c r="D23238" s="28"/>
      <c r="F23238" s="28"/>
      <c r="H23238" s="28"/>
    </row>
    <row r="23239" spans="4:8" x14ac:dyDescent="0.25">
      <c r="D23239" s="28"/>
      <c r="F23239" s="28"/>
      <c r="H23239" s="28"/>
    </row>
    <row r="23240" spans="4:8" x14ac:dyDescent="0.25">
      <c r="D23240" s="28"/>
      <c r="F23240" s="28"/>
      <c r="H23240" s="28"/>
    </row>
    <row r="23241" spans="4:8" x14ac:dyDescent="0.25">
      <c r="D23241" s="28"/>
      <c r="F23241" s="28"/>
      <c r="H23241" s="28"/>
    </row>
    <row r="23242" spans="4:8" x14ac:dyDescent="0.25">
      <c r="D23242" s="28"/>
      <c r="F23242" s="28"/>
      <c r="H23242" s="28"/>
    </row>
    <row r="23243" spans="4:8" x14ac:dyDescent="0.25">
      <c r="D23243" s="28"/>
      <c r="F23243" s="28"/>
      <c r="H23243" s="28"/>
    </row>
    <row r="23244" spans="4:8" x14ac:dyDescent="0.25">
      <c r="D23244" s="28"/>
      <c r="F23244" s="28"/>
      <c r="H23244" s="28"/>
    </row>
    <row r="23245" spans="4:8" x14ac:dyDescent="0.25">
      <c r="D23245" s="28"/>
      <c r="F23245" s="28"/>
      <c r="H23245" s="28"/>
    </row>
    <row r="23246" spans="4:8" x14ac:dyDescent="0.25">
      <c r="D23246" s="28"/>
      <c r="F23246" s="28"/>
      <c r="H23246" s="28"/>
    </row>
    <row r="23247" spans="4:8" x14ac:dyDescent="0.25">
      <c r="D23247" s="28"/>
      <c r="F23247" s="28"/>
      <c r="H23247" s="28"/>
    </row>
    <row r="23248" spans="4:8" x14ac:dyDescent="0.25">
      <c r="D23248" s="28"/>
      <c r="F23248" s="28"/>
      <c r="H23248" s="28"/>
    </row>
    <row r="23249" spans="4:8" x14ac:dyDescent="0.25">
      <c r="D23249" s="28"/>
      <c r="F23249" s="28"/>
      <c r="H23249" s="28"/>
    </row>
    <row r="23250" spans="4:8" x14ac:dyDescent="0.25">
      <c r="D23250" s="28"/>
      <c r="F23250" s="28"/>
      <c r="H23250" s="28"/>
    </row>
    <row r="23251" spans="4:8" x14ac:dyDescent="0.25">
      <c r="D23251" s="28"/>
      <c r="F23251" s="28"/>
      <c r="H23251" s="28"/>
    </row>
    <row r="23252" spans="4:8" x14ac:dyDescent="0.25">
      <c r="D23252" s="28"/>
      <c r="F23252" s="28"/>
      <c r="H23252" s="28"/>
    </row>
    <row r="23253" spans="4:8" x14ac:dyDescent="0.25">
      <c r="D23253" s="28"/>
      <c r="F23253" s="28"/>
      <c r="H23253" s="28"/>
    </row>
    <row r="23254" spans="4:8" x14ac:dyDescent="0.25">
      <c r="D23254" s="28"/>
      <c r="F23254" s="28"/>
      <c r="H23254" s="28"/>
    </row>
    <row r="23255" spans="4:8" x14ac:dyDescent="0.25">
      <c r="D23255" s="28"/>
      <c r="F23255" s="28"/>
      <c r="H23255" s="28"/>
    </row>
    <row r="23256" spans="4:8" x14ac:dyDescent="0.25">
      <c r="D23256" s="28"/>
      <c r="F23256" s="28"/>
      <c r="H23256" s="28"/>
    </row>
    <row r="23257" spans="4:8" x14ac:dyDescent="0.25">
      <c r="D23257" s="28"/>
      <c r="F23257" s="28"/>
      <c r="H23257" s="28"/>
    </row>
    <row r="23258" spans="4:8" x14ac:dyDescent="0.25">
      <c r="D23258" s="28"/>
      <c r="F23258" s="28"/>
      <c r="H23258" s="28"/>
    </row>
    <row r="23259" spans="4:8" x14ac:dyDescent="0.25">
      <c r="D23259" s="28"/>
      <c r="F23259" s="28"/>
      <c r="H23259" s="28"/>
    </row>
    <row r="23260" spans="4:8" x14ac:dyDescent="0.25">
      <c r="D23260" s="28"/>
      <c r="F23260" s="28"/>
      <c r="H23260" s="28"/>
    </row>
    <row r="23261" spans="4:8" x14ac:dyDescent="0.25">
      <c r="D23261" s="28"/>
      <c r="F23261" s="28"/>
      <c r="H23261" s="28"/>
    </row>
    <row r="23262" spans="4:8" x14ac:dyDescent="0.25">
      <c r="D23262" s="28"/>
      <c r="F23262" s="28"/>
      <c r="H23262" s="28"/>
    </row>
    <row r="23263" spans="4:8" x14ac:dyDescent="0.25">
      <c r="D23263" s="28"/>
      <c r="F23263" s="28"/>
      <c r="H23263" s="28"/>
    </row>
    <row r="23264" spans="4:8" x14ac:dyDescent="0.25">
      <c r="D23264" s="28"/>
      <c r="F23264" s="28"/>
      <c r="H23264" s="28"/>
    </row>
    <row r="23265" spans="4:8" x14ac:dyDescent="0.25">
      <c r="D23265" s="28"/>
      <c r="F23265" s="28"/>
      <c r="H23265" s="28"/>
    </row>
    <row r="23266" spans="4:8" x14ac:dyDescent="0.25">
      <c r="D23266" s="28"/>
      <c r="F23266" s="28"/>
      <c r="H23266" s="28"/>
    </row>
    <row r="23267" spans="4:8" x14ac:dyDescent="0.25">
      <c r="D23267" s="28"/>
      <c r="F23267" s="28"/>
      <c r="H23267" s="28"/>
    </row>
    <row r="23268" spans="4:8" x14ac:dyDescent="0.25">
      <c r="D23268" s="28"/>
      <c r="F23268" s="28"/>
      <c r="H23268" s="28"/>
    </row>
    <row r="23269" spans="4:8" x14ac:dyDescent="0.25">
      <c r="D23269" s="28"/>
      <c r="F23269" s="28"/>
      <c r="H23269" s="28"/>
    </row>
    <row r="23270" spans="4:8" x14ac:dyDescent="0.25">
      <c r="D23270" s="28"/>
      <c r="F23270" s="28"/>
      <c r="H23270" s="28"/>
    </row>
    <row r="23271" spans="4:8" x14ac:dyDescent="0.25">
      <c r="D23271" s="28"/>
      <c r="F23271" s="28"/>
      <c r="H23271" s="28"/>
    </row>
    <row r="23272" spans="4:8" x14ac:dyDescent="0.25">
      <c r="D23272" s="28"/>
      <c r="F23272" s="28"/>
      <c r="H23272" s="28"/>
    </row>
    <row r="23273" spans="4:8" x14ac:dyDescent="0.25">
      <c r="D23273" s="28"/>
      <c r="F23273" s="28"/>
      <c r="H23273" s="28"/>
    </row>
    <row r="23274" spans="4:8" x14ac:dyDescent="0.25">
      <c r="D23274" s="28"/>
      <c r="F23274" s="28"/>
      <c r="H23274" s="28"/>
    </row>
    <row r="23275" spans="4:8" x14ac:dyDescent="0.25">
      <c r="D23275" s="28"/>
      <c r="F23275" s="28"/>
      <c r="H23275" s="28"/>
    </row>
    <row r="23276" spans="4:8" x14ac:dyDescent="0.25">
      <c r="D23276" s="28"/>
      <c r="F23276" s="28"/>
      <c r="H23276" s="28"/>
    </row>
    <row r="23277" spans="4:8" x14ac:dyDescent="0.25">
      <c r="D23277" s="28"/>
      <c r="F23277" s="28"/>
      <c r="H23277" s="28"/>
    </row>
    <row r="23278" spans="4:8" x14ac:dyDescent="0.25">
      <c r="D23278" s="28"/>
      <c r="F23278" s="28"/>
      <c r="H23278" s="28"/>
    </row>
    <row r="23279" spans="4:8" x14ac:dyDescent="0.25">
      <c r="D23279" s="28"/>
      <c r="F23279" s="28"/>
      <c r="H23279" s="28"/>
    </row>
    <row r="23280" spans="4:8" x14ac:dyDescent="0.25">
      <c r="D23280" s="28"/>
      <c r="F23280" s="28"/>
      <c r="H23280" s="28"/>
    </row>
    <row r="23281" spans="4:8" x14ac:dyDescent="0.25">
      <c r="D23281" s="28"/>
      <c r="F23281" s="28"/>
      <c r="H23281" s="28"/>
    </row>
    <row r="23282" spans="4:8" x14ac:dyDescent="0.25">
      <c r="D23282" s="28"/>
      <c r="F23282" s="28"/>
      <c r="H23282" s="28"/>
    </row>
    <row r="23283" spans="4:8" x14ac:dyDescent="0.25">
      <c r="D23283" s="28"/>
      <c r="F23283" s="28"/>
      <c r="H23283" s="28"/>
    </row>
    <row r="23284" spans="4:8" x14ac:dyDescent="0.25">
      <c r="D23284" s="28"/>
      <c r="F23284" s="28"/>
      <c r="H23284" s="28"/>
    </row>
    <row r="23285" spans="4:8" x14ac:dyDescent="0.25">
      <c r="D23285" s="28"/>
      <c r="F23285" s="28"/>
      <c r="H23285" s="28"/>
    </row>
    <row r="23286" spans="4:8" x14ac:dyDescent="0.25">
      <c r="D23286" s="28"/>
      <c r="F23286" s="28"/>
      <c r="H23286" s="28"/>
    </row>
    <row r="23287" spans="4:8" x14ac:dyDescent="0.25">
      <c r="D23287" s="28"/>
      <c r="F23287" s="28"/>
      <c r="H23287" s="28"/>
    </row>
    <row r="23288" spans="4:8" x14ac:dyDescent="0.25">
      <c r="D23288" s="28"/>
      <c r="F23288" s="28"/>
      <c r="H23288" s="28"/>
    </row>
    <row r="23289" spans="4:8" x14ac:dyDescent="0.25">
      <c r="D23289" s="28"/>
      <c r="F23289" s="28"/>
      <c r="H23289" s="28"/>
    </row>
    <row r="23290" spans="4:8" x14ac:dyDescent="0.25">
      <c r="D23290" s="28"/>
      <c r="F23290" s="28"/>
      <c r="H23290" s="28"/>
    </row>
    <row r="23291" spans="4:8" x14ac:dyDescent="0.25">
      <c r="D23291" s="28"/>
      <c r="F23291" s="28"/>
      <c r="H23291" s="28"/>
    </row>
    <row r="23292" spans="4:8" x14ac:dyDescent="0.25">
      <c r="D23292" s="28"/>
      <c r="F23292" s="28"/>
      <c r="H23292" s="28"/>
    </row>
    <row r="23293" spans="4:8" x14ac:dyDescent="0.25">
      <c r="D23293" s="28"/>
      <c r="F23293" s="28"/>
      <c r="H23293" s="28"/>
    </row>
    <row r="23294" spans="4:8" x14ac:dyDescent="0.25">
      <c r="D23294" s="28"/>
      <c r="F23294" s="28"/>
      <c r="H23294" s="28"/>
    </row>
    <row r="23295" spans="4:8" x14ac:dyDescent="0.25">
      <c r="D23295" s="28"/>
      <c r="F23295" s="28"/>
      <c r="H23295" s="28"/>
    </row>
    <row r="23296" spans="4:8" x14ac:dyDescent="0.25">
      <c r="D23296" s="28"/>
      <c r="F23296" s="28"/>
      <c r="H23296" s="28"/>
    </row>
    <row r="23297" spans="4:8" x14ac:dyDescent="0.25">
      <c r="D23297" s="28"/>
      <c r="F23297" s="28"/>
      <c r="H23297" s="28"/>
    </row>
    <row r="23298" spans="4:8" x14ac:dyDescent="0.25">
      <c r="D23298" s="28"/>
      <c r="F23298" s="28"/>
      <c r="H23298" s="28"/>
    </row>
    <row r="23299" spans="4:8" x14ac:dyDescent="0.25">
      <c r="D23299" s="28"/>
      <c r="F23299" s="28"/>
      <c r="H23299" s="28"/>
    </row>
    <row r="23300" spans="4:8" x14ac:dyDescent="0.25">
      <c r="D23300" s="28"/>
      <c r="F23300" s="28"/>
      <c r="H23300" s="28"/>
    </row>
    <row r="23301" spans="4:8" x14ac:dyDescent="0.25">
      <c r="D23301" s="28"/>
      <c r="F23301" s="28"/>
      <c r="H23301" s="28"/>
    </row>
    <row r="23302" spans="4:8" x14ac:dyDescent="0.25">
      <c r="D23302" s="28"/>
      <c r="F23302" s="28"/>
      <c r="H23302" s="28"/>
    </row>
    <row r="23303" spans="4:8" x14ac:dyDescent="0.25">
      <c r="D23303" s="28"/>
      <c r="F23303" s="28"/>
      <c r="H23303" s="28"/>
    </row>
    <row r="23304" spans="4:8" x14ac:dyDescent="0.25">
      <c r="D23304" s="28"/>
      <c r="F23304" s="28"/>
      <c r="H23304" s="28"/>
    </row>
    <row r="23305" spans="4:8" x14ac:dyDescent="0.25">
      <c r="D23305" s="28"/>
      <c r="F23305" s="28"/>
      <c r="H23305" s="28"/>
    </row>
    <row r="23306" spans="4:8" x14ac:dyDescent="0.25">
      <c r="D23306" s="28"/>
      <c r="F23306" s="28"/>
      <c r="H23306" s="28"/>
    </row>
    <row r="23307" spans="4:8" x14ac:dyDescent="0.25">
      <c r="D23307" s="28"/>
      <c r="F23307" s="28"/>
      <c r="H23307" s="28"/>
    </row>
    <row r="23308" spans="4:8" x14ac:dyDescent="0.25">
      <c r="D23308" s="28"/>
      <c r="F23308" s="28"/>
      <c r="H23308" s="28"/>
    </row>
    <row r="23309" spans="4:8" x14ac:dyDescent="0.25">
      <c r="D23309" s="28"/>
      <c r="F23309" s="28"/>
      <c r="H23309" s="28"/>
    </row>
    <row r="23310" spans="4:8" x14ac:dyDescent="0.25">
      <c r="D23310" s="28"/>
      <c r="F23310" s="28"/>
      <c r="H23310" s="28"/>
    </row>
    <row r="23311" spans="4:8" x14ac:dyDescent="0.25">
      <c r="D23311" s="28"/>
      <c r="F23311" s="28"/>
      <c r="H23311" s="28"/>
    </row>
    <row r="23312" spans="4:8" x14ac:dyDescent="0.25">
      <c r="D23312" s="28"/>
      <c r="F23312" s="28"/>
      <c r="H23312" s="28"/>
    </row>
    <row r="23313" spans="4:8" x14ac:dyDescent="0.25">
      <c r="D23313" s="28"/>
      <c r="F23313" s="28"/>
      <c r="H23313" s="28"/>
    </row>
    <row r="23314" spans="4:8" x14ac:dyDescent="0.25">
      <c r="D23314" s="28"/>
      <c r="F23314" s="28"/>
      <c r="H23314" s="28"/>
    </row>
    <row r="23315" spans="4:8" x14ac:dyDescent="0.25">
      <c r="D23315" s="28"/>
      <c r="F23315" s="28"/>
      <c r="H23315" s="28"/>
    </row>
    <row r="23316" spans="4:8" x14ac:dyDescent="0.25">
      <c r="D23316" s="28"/>
      <c r="F23316" s="28"/>
      <c r="H23316" s="28"/>
    </row>
    <row r="23317" spans="4:8" x14ac:dyDescent="0.25">
      <c r="D23317" s="28"/>
      <c r="F23317" s="28"/>
      <c r="H23317" s="28"/>
    </row>
    <row r="23318" spans="4:8" x14ac:dyDescent="0.25">
      <c r="D23318" s="28"/>
      <c r="F23318" s="28"/>
      <c r="H23318" s="28"/>
    </row>
    <row r="23319" spans="4:8" x14ac:dyDescent="0.25">
      <c r="D23319" s="28"/>
      <c r="F23319" s="28"/>
      <c r="H23319" s="28"/>
    </row>
    <row r="23320" spans="4:8" x14ac:dyDescent="0.25">
      <c r="D23320" s="28"/>
      <c r="F23320" s="28"/>
      <c r="H23320" s="28"/>
    </row>
    <row r="23321" spans="4:8" x14ac:dyDescent="0.25">
      <c r="D23321" s="28"/>
      <c r="F23321" s="28"/>
      <c r="H23321" s="28"/>
    </row>
    <row r="23322" spans="4:8" x14ac:dyDescent="0.25">
      <c r="D23322" s="28"/>
      <c r="F23322" s="28"/>
      <c r="H23322" s="28"/>
    </row>
    <row r="23323" spans="4:8" x14ac:dyDescent="0.25">
      <c r="D23323" s="28"/>
      <c r="F23323" s="28"/>
      <c r="H23323" s="28"/>
    </row>
    <row r="23324" spans="4:8" x14ac:dyDescent="0.25">
      <c r="D23324" s="28"/>
      <c r="F23324" s="28"/>
      <c r="H23324" s="28"/>
    </row>
    <row r="23325" spans="4:8" x14ac:dyDescent="0.25">
      <c r="D23325" s="28"/>
      <c r="F23325" s="28"/>
      <c r="H23325" s="28"/>
    </row>
    <row r="23326" spans="4:8" x14ac:dyDescent="0.25">
      <c r="D23326" s="28"/>
      <c r="F23326" s="28"/>
      <c r="H23326" s="28"/>
    </row>
    <row r="23327" spans="4:8" x14ac:dyDescent="0.25">
      <c r="D23327" s="28"/>
      <c r="F23327" s="28"/>
      <c r="H23327" s="28"/>
    </row>
    <row r="23328" spans="4:8" x14ac:dyDescent="0.25">
      <c r="D23328" s="28"/>
      <c r="F23328" s="28"/>
      <c r="H23328" s="28"/>
    </row>
    <row r="23329" spans="4:8" x14ac:dyDescent="0.25">
      <c r="D23329" s="28"/>
      <c r="F23329" s="28"/>
      <c r="H23329" s="28"/>
    </row>
    <row r="23330" spans="4:8" x14ac:dyDescent="0.25">
      <c r="D23330" s="28"/>
      <c r="F23330" s="28"/>
      <c r="H23330" s="28"/>
    </row>
    <row r="23331" spans="4:8" x14ac:dyDescent="0.25">
      <c r="D23331" s="28"/>
      <c r="F23331" s="28"/>
      <c r="H23331" s="28"/>
    </row>
    <row r="23332" spans="4:8" x14ac:dyDescent="0.25">
      <c r="D23332" s="28"/>
      <c r="F23332" s="28"/>
      <c r="H23332" s="28"/>
    </row>
    <row r="23333" spans="4:8" x14ac:dyDescent="0.25">
      <c r="D23333" s="28"/>
      <c r="F23333" s="28"/>
      <c r="H23333" s="28"/>
    </row>
    <row r="23334" spans="4:8" x14ac:dyDescent="0.25">
      <c r="D23334" s="28"/>
      <c r="F23334" s="28"/>
      <c r="H23334" s="28"/>
    </row>
    <row r="23335" spans="4:8" x14ac:dyDescent="0.25">
      <c r="D23335" s="28"/>
      <c r="F23335" s="28"/>
      <c r="H23335" s="28"/>
    </row>
    <row r="23336" spans="4:8" x14ac:dyDescent="0.25">
      <c r="D23336" s="28"/>
      <c r="F23336" s="28"/>
      <c r="H23336" s="28"/>
    </row>
    <row r="23337" spans="4:8" x14ac:dyDescent="0.25">
      <c r="D23337" s="28"/>
      <c r="F23337" s="28"/>
      <c r="H23337" s="28"/>
    </row>
    <row r="23338" spans="4:8" x14ac:dyDescent="0.25">
      <c r="D23338" s="28"/>
      <c r="F23338" s="28"/>
      <c r="H23338" s="28"/>
    </row>
    <row r="23339" spans="4:8" x14ac:dyDescent="0.25">
      <c r="D23339" s="28"/>
      <c r="F23339" s="28"/>
      <c r="H23339" s="28"/>
    </row>
    <row r="23340" spans="4:8" x14ac:dyDescent="0.25">
      <c r="D23340" s="28"/>
      <c r="F23340" s="28"/>
      <c r="H23340" s="28"/>
    </row>
    <row r="23341" spans="4:8" x14ac:dyDescent="0.25">
      <c r="D23341" s="28"/>
      <c r="F23341" s="28"/>
      <c r="H23341" s="28"/>
    </row>
    <row r="23342" spans="4:8" x14ac:dyDescent="0.25">
      <c r="D23342" s="28"/>
      <c r="F23342" s="28"/>
      <c r="H23342" s="28"/>
    </row>
    <row r="23343" spans="4:8" x14ac:dyDescent="0.25">
      <c r="D23343" s="28"/>
      <c r="F23343" s="28"/>
      <c r="H23343" s="28"/>
    </row>
    <row r="23344" spans="4:8" x14ac:dyDescent="0.25">
      <c r="D23344" s="28"/>
      <c r="F23344" s="28"/>
      <c r="H23344" s="28"/>
    </row>
    <row r="23345" spans="4:8" x14ac:dyDescent="0.25">
      <c r="D23345" s="28"/>
      <c r="F23345" s="28"/>
      <c r="H23345" s="28"/>
    </row>
    <row r="23346" spans="4:8" x14ac:dyDescent="0.25">
      <c r="D23346" s="28"/>
      <c r="F23346" s="28"/>
      <c r="H23346" s="28"/>
    </row>
    <row r="23347" spans="4:8" x14ac:dyDescent="0.25">
      <c r="D23347" s="28"/>
      <c r="F23347" s="28"/>
      <c r="H23347" s="28"/>
    </row>
    <row r="23348" spans="4:8" x14ac:dyDescent="0.25">
      <c r="D23348" s="28"/>
      <c r="F23348" s="28"/>
      <c r="H23348" s="28"/>
    </row>
    <row r="23349" spans="4:8" x14ac:dyDescent="0.25">
      <c r="D23349" s="28"/>
      <c r="F23349" s="28"/>
      <c r="H23349" s="28"/>
    </row>
    <row r="23350" spans="4:8" x14ac:dyDescent="0.25">
      <c r="D23350" s="28"/>
      <c r="F23350" s="28"/>
      <c r="H23350" s="28"/>
    </row>
    <row r="23351" spans="4:8" x14ac:dyDescent="0.25">
      <c r="D23351" s="28"/>
      <c r="F23351" s="28"/>
      <c r="H23351" s="28"/>
    </row>
    <row r="23352" spans="4:8" x14ac:dyDescent="0.25">
      <c r="D23352" s="28"/>
      <c r="F23352" s="28"/>
      <c r="H23352" s="28"/>
    </row>
    <row r="23353" spans="4:8" x14ac:dyDescent="0.25">
      <c r="D23353" s="28"/>
      <c r="F23353" s="28"/>
      <c r="H23353" s="28"/>
    </row>
    <row r="23354" spans="4:8" x14ac:dyDescent="0.25">
      <c r="D23354" s="28"/>
      <c r="F23354" s="28"/>
      <c r="H23354" s="28"/>
    </row>
    <row r="23355" spans="4:8" x14ac:dyDescent="0.25">
      <c r="D23355" s="28"/>
      <c r="F23355" s="28"/>
      <c r="H23355" s="28"/>
    </row>
    <row r="23356" spans="4:8" x14ac:dyDescent="0.25">
      <c r="D23356" s="28"/>
      <c r="F23356" s="28"/>
      <c r="H23356" s="28"/>
    </row>
    <row r="23357" spans="4:8" x14ac:dyDescent="0.25">
      <c r="D23357" s="28"/>
      <c r="F23357" s="28"/>
      <c r="H23357" s="28"/>
    </row>
    <row r="23358" spans="4:8" x14ac:dyDescent="0.25">
      <c r="D23358" s="28"/>
      <c r="F23358" s="28"/>
      <c r="H23358" s="28"/>
    </row>
    <row r="23359" spans="4:8" x14ac:dyDescent="0.25">
      <c r="D23359" s="28"/>
      <c r="F23359" s="28"/>
      <c r="H23359" s="28"/>
    </row>
    <row r="23360" spans="4:8" x14ac:dyDescent="0.25">
      <c r="D23360" s="28"/>
      <c r="F23360" s="28"/>
      <c r="H23360" s="28"/>
    </row>
    <row r="23361" spans="4:8" x14ac:dyDescent="0.25">
      <c r="D23361" s="28"/>
      <c r="F23361" s="28"/>
      <c r="H23361" s="28"/>
    </row>
    <row r="23362" spans="4:8" x14ac:dyDescent="0.25">
      <c r="D23362" s="28"/>
      <c r="F23362" s="28"/>
      <c r="H23362" s="28"/>
    </row>
    <row r="23363" spans="4:8" x14ac:dyDescent="0.25">
      <c r="D23363" s="28"/>
      <c r="F23363" s="28"/>
      <c r="H23363" s="28"/>
    </row>
    <row r="23364" spans="4:8" x14ac:dyDescent="0.25">
      <c r="D23364" s="28"/>
      <c r="F23364" s="28"/>
      <c r="H23364" s="28"/>
    </row>
    <row r="23365" spans="4:8" x14ac:dyDescent="0.25">
      <c r="D23365" s="28"/>
      <c r="F23365" s="28"/>
      <c r="H23365" s="28"/>
    </row>
    <row r="23366" spans="4:8" x14ac:dyDescent="0.25">
      <c r="D23366" s="28"/>
      <c r="F23366" s="28"/>
      <c r="H23366" s="28"/>
    </row>
    <row r="23367" spans="4:8" x14ac:dyDescent="0.25">
      <c r="D23367" s="28"/>
      <c r="F23367" s="28"/>
      <c r="H23367" s="28"/>
    </row>
    <row r="23368" spans="4:8" x14ac:dyDescent="0.25">
      <c r="D23368" s="28"/>
      <c r="F23368" s="28"/>
      <c r="H23368" s="28"/>
    </row>
    <row r="23369" spans="4:8" x14ac:dyDescent="0.25">
      <c r="D23369" s="28"/>
      <c r="F23369" s="28"/>
      <c r="H23369" s="28"/>
    </row>
    <row r="23370" spans="4:8" x14ac:dyDescent="0.25">
      <c r="D23370" s="28"/>
      <c r="F23370" s="28"/>
      <c r="H23370" s="28"/>
    </row>
    <row r="23371" spans="4:8" x14ac:dyDescent="0.25">
      <c r="D23371" s="28"/>
      <c r="F23371" s="28"/>
      <c r="H23371" s="28"/>
    </row>
    <row r="23372" spans="4:8" x14ac:dyDescent="0.25">
      <c r="D23372" s="28"/>
      <c r="F23372" s="28"/>
      <c r="H23372" s="28"/>
    </row>
    <row r="23373" spans="4:8" x14ac:dyDescent="0.25">
      <c r="D23373" s="28"/>
      <c r="F23373" s="28"/>
      <c r="H23373" s="28"/>
    </row>
    <row r="23374" spans="4:8" x14ac:dyDescent="0.25">
      <c r="D23374" s="28"/>
      <c r="F23374" s="28"/>
      <c r="H23374" s="28"/>
    </row>
    <row r="23375" spans="4:8" x14ac:dyDescent="0.25">
      <c r="D23375" s="28"/>
      <c r="F23375" s="28"/>
      <c r="H23375" s="28"/>
    </row>
    <row r="23376" spans="4:8" x14ac:dyDescent="0.25">
      <c r="D23376" s="28"/>
      <c r="F23376" s="28"/>
      <c r="H23376" s="28"/>
    </row>
    <row r="23377" spans="4:8" x14ac:dyDescent="0.25">
      <c r="D23377" s="28"/>
      <c r="F23377" s="28"/>
      <c r="H23377" s="28"/>
    </row>
    <row r="23378" spans="4:8" x14ac:dyDescent="0.25">
      <c r="D23378" s="28"/>
      <c r="F23378" s="28"/>
      <c r="H23378" s="28"/>
    </row>
    <row r="23379" spans="4:8" x14ac:dyDescent="0.25">
      <c r="D23379" s="28"/>
      <c r="F23379" s="28"/>
      <c r="H23379" s="28"/>
    </row>
    <row r="23380" spans="4:8" x14ac:dyDescent="0.25">
      <c r="D23380" s="28"/>
      <c r="F23380" s="28"/>
      <c r="H23380" s="28"/>
    </row>
    <row r="23381" spans="4:8" x14ac:dyDescent="0.25">
      <c r="D23381" s="28"/>
      <c r="F23381" s="28"/>
      <c r="H23381" s="28"/>
    </row>
    <row r="23382" spans="4:8" x14ac:dyDescent="0.25">
      <c r="D23382" s="28"/>
      <c r="F23382" s="28"/>
      <c r="H23382" s="28"/>
    </row>
    <row r="23383" spans="4:8" x14ac:dyDescent="0.25">
      <c r="D23383" s="28"/>
      <c r="F23383" s="28"/>
      <c r="H23383" s="28"/>
    </row>
    <row r="23384" spans="4:8" x14ac:dyDescent="0.25">
      <c r="D23384" s="28"/>
      <c r="F23384" s="28"/>
      <c r="H23384" s="28"/>
    </row>
    <row r="23385" spans="4:8" x14ac:dyDescent="0.25">
      <c r="D23385" s="28"/>
      <c r="F23385" s="28"/>
      <c r="H23385" s="28"/>
    </row>
    <row r="23386" spans="4:8" x14ac:dyDescent="0.25">
      <c r="D23386" s="28"/>
      <c r="F23386" s="28"/>
      <c r="H23386" s="28"/>
    </row>
    <row r="23387" spans="4:8" x14ac:dyDescent="0.25">
      <c r="D23387" s="28"/>
      <c r="F23387" s="28"/>
      <c r="H23387" s="28"/>
    </row>
    <row r="23388" spans="4:8" x14ac:dyDescent="0.25">
      <c r="D23388" s="28"/>
      <c r="F23388" s="28"/>
      <c r="H23388" s="28"/>
    </row>
    <row r="23389" spans="4:8" x14ac:dyDescent="0.25">
      <c r="D23389" s="28"/>
      <c r="F23389" s="28"/>
      <c r="H23389" s="28"/>
    </row>
    <row r="23390" spans="4:8" x14ac:dyDescent="0.25">
      <c r="D23390" s="28"/>
      <c r="F23390" s="28"/>
      <c r="H23390" s="28"/>
    </row>
    <row r="23391" spans="4:8" x14ac:dyDescent="0.25">
      <c r="D23391" s="28"/>
      <c r="F23391" s="28"/>
      <c r="H23391" s="28"/>
    </row>
    <row r="23392" spans="4:8" x14ac:dyDescent="0.25">
      <c r="D23392" s="28"/>
      <c r="F23392" s="28"/>
      <c r="H23392" s="28"/>
    </row>
    <row r="23393" spans="4:8" x14ac:dyDescent="0.25">
      <c r="D23393" s="28"/>
      <c r="F23393" s="28"/>
      <c r="H23393" s="28"/>
    </row>
    <row r="23394" spans="4:8" x14ac:dyDescent="0.25">
      <c r="D23394" s="28"/>
      <c r="F23394" s="28"/>
      <c r="H23394" s="28"/>
    </row>
    <row r="23395" spans="4:8" x14ac:dyDescent="0.25">
      <c r="D23395" s="28"/>
      <c r="F23395" s="28"/>
      <c r="H23395" s="28"/>
    </row>
    <row r="23396" spans="4:8" x14ac:dyDescent="0.25">
      <c r="D23396" s="28"/>
      <c r="F23396" s="28"/>
      <c r="H23396" s="28"/>
    </row>
    <row r="23397" spans="4:8" x14ac:dyDescent="0.25">
      <c r="D23397" s="28"/>
      <c r="F23397" s="28"/>
      <c r="H23397" s="28"/>
    </row>
    <row r="23398" spans="4:8" x14ac:dyDescent="0.25">
      <c r="D23398" s="28"/>
      <c r="F23398" s="28"/>
      <c r="H23398" s="28"/>
    </row>
    <row r="23399" spans="4:8" x14ac:dyDescent="0.25">
      <c r="D23399" s="28"/>
      <c r="F23399" s="28"/>
      <c r="H23399" s="28"/>
    </row>
    <row r="23400" spans="4:8" x14ac:dyDescent="0.25">
      <c r="D23400" s="28"/>
      <c r="F23400" s="28"/>
      <c r="H23400" s="28"/>
    </row>
    <row r="23401" spans="4:8" x14ac:dyDescent="0.25">
      <c r="D23401" s="28"/>
      <c r="F23401" s="28"/>
      <c r="H23401" s="28"/>
    </row>
    <row r="23402" spans="4:8" x14ac:dyDescent="0.25">
      <c r="D23402" s="28"/>
      <c r="F23402" s="28"/>
      <c r="H23402" s="28"/>
    </row>
    <row r="23403" spans="4:8" x14ac:dyDescent="0.25">
      <c r="D23403" s="28"/>
      <c r="F23403" s="28"/>
      <c r="H23403" s="28"/>
    </row>
    <row r="23404" spans="4:8" x14ac:dyDescent="0.25">
      <c r="D23404" s="28"/>
      <c r="F23404" s="28"/>
      <c r="H23404" s="28"/>
    </row>
    <row r="23405" spans="4:8" x14ac:dyDescent="0.25">
      <c r="D23405" s="28"/>
      <c r="F23405" s="28"/>
      <c r="H23405" s="28"/>
    </row>
    <row r="23406" spans="4:8" x14ac:dyDescent="0.25">
      <c r="D23406" s="28"/>
      <c r="F23406" s="28"/>
      <c r="H23406" s="28"/>
    </row>
    <row r="23407" spans="4:8" x14ac:dyDescent="0.25">
      <c r="D23407" s="28"/>
      <c r="F23407" s="28"/>
      <c r="H23407" s="28"/>
    </row>
    <row r="23408" spans="4:8" x14ac:dyDescent="0.25">
      <c r="D23408" s="28"/>
      <c r="F23408" s="28"/>
      <c r="H23408" s="28"/>
    </row>
    <row r="23409" spans="4:8" x14ac:dyDescent="0.25">
      <c r="D23409" s="28"/>
      <c r="F23409" s="28"/>
      <c r="H23409" s="28"/>
    </row>
    <row r="23410" spans="4:8" x14ac:dyDescent="0.25">
      <c r="D23410" s="28"/>
      <c r="F23410" s="28"/>
      <c r="H23410" s="28"/>
    </row>
    <row r="23411" spans="4:8" x14ac:dyDescent="0.25">
      <c r="D23411" s="28"/>
      <c r="F23411" s="28"/>
      <c r="H23411" s="28"/>
    </row>
    <row r="23412" spans="4:8" x14ac:dyDescent="0.25">
      <c r="D23412" s="28"/>
      <c r="F23412" s="28"/>
      <c r="H23412" s="28"/>
    </row>
    <row r="23413" spans="4:8" x14ac:dyDescent="0.25">
      <c r="D23413" s="28"/>
      <c r="F23413" s="28"/>
      <c r="H23413" s="28"/>
    </row>
    <row r="23414" spans="4:8" x14ac:dyDescent="0.25">
      <c r="D23414" s="28"/>
      <c r="F23414" s="28"/>
      <c r="H23414" s="28"/>
    </row>
    <row r="23415" spans="4:8" x14ac:dyDescent="0.25">
      <c r="D23415" s="28"/>
      <c r="F23415" s="28"/>
      <c r="H23415" s="28"/>
    </row>
    <row r="23416" spans="4:8" x14ac:dyDescent="0.25">
      <c r="D23416" s="28"/>
      <c r="F23416" s="28"/>
      <c r="H23416" s="28"/>
    </row>
    <row r="23417" spans="4:8" x14ac:dyDescent="0.25">
      <c r="D23417" s="28"/>
      <c r="F23417" s="28"/>
      <c r="H23417" s="28"/>
    </row>
    <row r="23418" spans="4:8" x14ac:dyDescent="0.25">
      <c r="D23418" s="28"/>
      <c r="F23418" s="28"/>
      <c r="H23418" s="28"/>
    </row>
    <row r="23419" spans="4:8" x14ac:dyDescent="0.25">
      <c r="D23419" s="28"/>
      <c r="F23419" s="28"/>
      <c r="H23419" s="28"/>
    </row>
    <row r="23420" spans="4:8" x14ac:dyDescent="0.25">
      <c r="D23420" s="28"/>
      <c r="F23420" s="28"/>
      <c r="H23420" s="28"/>
    </row>
    <row r="23421" spans="4:8" x14ac:dyDescent="0.25">
      <c r="D23421" s="28"/>
      <c r="F23421" s="28"/>
      <c r="H23421" s="28"/>
    </row>
    <row r="23422" spans="4:8" x14ac:dyDescent="0.25">
      <c r="D23422" s="28"/>
      <c r="F23422" s="28"/>
      <c r="H23422" s="28"/>
    </row>
    <row r="23423" spans="4:8" x14ac:dyDescent="0.25">
      <c r="D23423" s="28"/>
      <c r="F23423" s="28"/>
      <c r="H23423" s="28"/>
    </row>
    <row r="23424" spans="4:8" x14ac:dyDescent="0.25">
      <c r="D23424" s="28"/>
      <c r="F23424" s="28"/>
      <c r="H23424" s="28"/>
    </row>
    <row r="23425" spans="4:8" x14ac:dyDescent="0.25">
      <c r="D23425" s="28"/>
      <c r="F23425" s="28"/>
      <c r="H23425" s="28"/>
    </row>
    <row r="23426" spans="4:8" x14ac:dyDescent="0.25">
      <c r="D23426" s="28"/>
      <c r="F23426" s="28"/>
      <c r="H23426" s="28"/>
    </row>
    <row r="23427" spans="4:8" x14ac:dyDescent="0.25">
      <c r="D23427" s="28"/>
      <c r="F23427" s="28"/>
      <c r="H23427" s="28"/>
    </row>
    <row r="23428" spans="4:8" x14ac:dyDescent="0.25">
      <c r="D23428" s="28"/>
      <c r="F23428" s="28"/>
      <c r="H23428" s="28"/>
    </row>
    <row r="23429" spans="4:8" x14ac:dyDescent="0.25">
      <c r="D23429" s="28"/>
      <c r="F23429" s="28"/>
      <c r="H23429" s="28"/>
    </row>
    <row r="23430" spans="4:8" x14ac:dyDescent="0.25">
      <c r="D23430" s="28"/>
      <c r="F23430" s="28"/>
      <c r="H23430" s="28"/>
    </row>
    <row r="23431" spans="4:8" x14ac:dyDescent="0.25">
      <c r="D23431" s="28"/>
      <c r="F23431" s="28"/>
      <c r="H23431" s="28"/>
    </row>
    <row r="23432" spans="4:8" x14ac:dyDescent="0.25">
      <c r="D23432" s="28"/>
      <c r="F23432" s="28"/>
      <c r="H23432" s="28"/>
    </row>
    <row r="23433" spans="4:8" x14ac:dyDescent="0.25">
      <c r="D23433" s="28"/>
      <c r="F23433" s="28"/>
      <c r="H23433" s="28"/>
    </row>
    <row r="23434" spans="4:8" x14ac:dyDescent="0.25">
      <c r="D23434" s="28"/>
      <c r="F23434" s="28"/>
      <c r="H23434" s="28"/>
    </row>
    <row r="23435" spans="4:8" x14ac:dyDescent="0.25">
      <c r="D23435" s="28"/>
      <c r="F23435" s="28"/>
      <c r="H23435" s="28"/>
    </row>
    <row r="23436" spans="4:8" x14ac:dyDescent="0.25">
      <c r="D23436" s="28"/>
      <c r="F23436" s="28"/>
      <c r="H23436" s="28"/>
    </row>
    <row r="23437" spans="4:8" x14ac:dyDescent="0.25">
      <c r="D23437" s="28"/>
      <c r="F23437" s="28"/>
      <c r="H23437" s="28"/>
    </row>
    <row r="23438" spans="4:8" x14ac:dyDescent="0.25">
      <c r="D23438" s="28"/>
      <c r="F23438" s="28"/>
      <c r="H23438" s="28"/>
    </row>
    <row r="23439" spans="4:8" x14ac:dyDescent="0.25">
      <c r="D23439" s="28"/>
      <c r="F23439" s="28"/>
      <c r="H23439" s="28"/>
    </row>
    <row r="23440" spans="4:8" x14ac:dyDescent="0.25">
      <c r="D23440" s="28"/>
      <c r="F23440" s="28"/>
      <c r="H23440" s="28"/>
    </row>
    <row r="23441" spans="4:8" x14ac:dyDescent="0.25">
      <c r="D23441" s="28"/>
      <c r="F23441" s="28"/>
      <c r="H23441" s="28"/>
    </row>
    <row r="23442" spans="4:8" x14ac:dyDescent="0.25">
      <c r="D23442" s="28"/>
      <c r="F23442" s="28"/>
      <c r="H23442" s="28"/>
    </row>
    <row r="23443" spans="4:8" x14ac:dyDescent="0.25">
      <c r="D23443" s="28"/>
      <c r="F23443" s="28"/>
      <c r="H23443" s="28"/>
    </row>
    <row r="23444" spans="4:8" x14ac:dyDescent="0.25">
      <c r="D23444" s="28"/>
      <c r="F23444" s="28"/>
      <c r="H23444" s="28"/>
    </row>
    <row r="23445" spans="4:8" x14ac:dyDescent="0.25">
      <c r="D23445" s="28"/>
      <c r="F23445" s="28"/>
      <c r="H23445" s="28"/>
    </row>
    <row r="23446" spans="4:8" x14ac:dyDescent="0.25">
      <c r="D23446" s="28"/>
      <c r="F23446" s="28"/>
      <c r="H23446" s="28"/>
    </row>
    <row r="23447" spans="4:8" x14ac:dyDescent="0.25">
      <c r="D23447" s="28"/>
      <c r="F23447" s="28"/>
      <c r="H23447" s="28"/>
    </row>
    <row r="23448" spans="4:8" x14ac:dyDescent="0.25">
      <c r="D23448" s="28"/>
      <c r="F23448" s="28"/>
      <c r="H23448" s="28"/>
    </row>
    <row r="23449" spans="4:8" x14ac:dyDescent="0.25">
      <c r="D23449" s="28"/>
      <c r="F23449" s="28"/>
      <c r="H23449" s="28"/>
    </row>
    <row r="23450" spans="4:8" x14ac:dyDescent="0.25">
      <c r="D23450" s="28"/>
      <c r="F23450" s="28"/>
      <c r="H23450" s="28"/>
    </row>
    <row r="23451" spans="4:8" x14ac:dyDescent="0.25">
      <c r="D23451" s="28"/>
      <c r="F23451" s="28"/>
      <c r="H23451" s="28"/>
    </row>
    <row r="23452" spans="4:8" x14ac:dyDescent="0.25">
      <c r="D23452" s="28"/>
      <c r="F23452" s="28"/>
      <c r="H23452" s="28"/>
    </row>
    <row r="23453" spans="4:8" x14ac:dyDescent="0.25">
      <c r="D23453" s="28"/>
      <c r="F23453" s="28"/>
      <c r="H23453" s="28"/>
    </row>
    <row r="23454" spans="4:8" x14ac:dyDescent="0.25">
      <c r="D23454" s="28"/>
      <c r="F23454" s="28"/>
      <c r="H23454" s="28"/>
    </row>
    <row r="23455" spans="4:8" x14ac:dyDescent="0.25">
      <c r="D23455" s="28"/>
      <c r="F23455" s="28"/>
      <c r="H23455" s="28"/>
    </row>
    <row r="23456" spans="4:8" x14ac:dyDescent="0.25">
      <c r="D23456" s="28"/>
      <c r="F23456" s="28"/>
      <c r="H23456" s="28"/>
    </row>
    <row r="23457" spans="4:8" x14ac:dyDescent="0.25">
      <c r="D23457" s="28"/>
      <c r="F23457" s="28"/>
      <c r="H23457" s="28"/>
    </row>
    <row r="23458" spans="4:8" x14ac:dyDescent="0.25">
      <c r="D23458" s="28"/>
      <c r="F23458" s="28"/>
      <c r="H23458" s="28"/>
    </row>
    <row r="23459" spans="4:8" x14ac:dyDescent="0.25">
      <c r="D23459" s="28"/>
      <c r="F23459" s="28"/>
      <c r="H23459" s="28"/>
    </row>
    <row r="23460" spans="4:8" x14ac:dyDescent="0.25">
      <c r="D23460" s="28"/>
      <c r="F23460" s="28"/>
      <c r="H23460" s="28"/>
    </row>
    <row r="23461" spans="4:8" x14ac:dyDescent="0.25">
      <c r="D23461" s="28"/>
      <c r="F23461" s="28"/>
      <c r="H23461" s="28"/>
    </row>
    <row r="23462" spans="4:8" x14ac:dyDescent="0.25">
      <c r="D23462" s="28"/>
      <c r="F23462" s="28"/>
      <c r="H23462" s="28"/>
    </row>
    <row r="23463" spans="4:8" x14ac:dyDescent="0.25">
      <c r="D23463" s="28"/>
      <c r="F23463" s="28"/>
      <c r="H23463" s="28"/>
    </row>
    <row r="23464" spans="4:8" x14ac:dyDescent="0.25">
      <c r="D23464" s="28"/>
      <c r="F23464" s="28"/>
      <c r="H23464" s="28"/>
    </row>
    <row r="23465" spans="4:8" x14ac:dyDescent="0.25">
      <c r="D23465" s="28"/>
      <c r="F23465" s="28"/>
      <c r="H23465" s="28"/>
    </row>
    <row r="23466" spans="4:8" x14ac:dyDescent="0.25">
      <c r="D23466" s="28"/>
      <c r="F23466" s="28"/>
      <c r="H23466" s="28"/>
    </row>
    <row r="23467" spans="4:8" x14ac:dyDescent="0.25">
      <c r="D23467" s="28"/>
      <c r="F23467" s="28"/>
      <c r="H23467" s="28"/>
    </row>
    <row r="23468" spans="4:8" x14ac:dyDescent="0.25">
      <c r="D23468" s="28"/>
      <c r="F23468" s="28"/>
      <c r="H23468" s="28"/>
    </row>
    <row r="23469" spans="4:8" x14ac:dyDescent="0.25">
      <c r="D23469" s="28"/>
      <c r="F23469" s="28"/>
      <c r="H23469" s="28"/>
    </row>
    <row r="23470" spans="4:8" x14ac:dyDescent="0.25">
      <c r="D23470" s="28"/>
      <c r="F23470" s="28"/>
      <c r="H23470" s="28"/>
    </row>
    <row r="23471" spans="4:8" x14ac:dyDescent="0.25">
      <c r="D23471" s="28"/>
      <c r="F23471" s="28"/>
      <c r="H23471" s="28"/>
    </row>
    <row r="23472" spans="4:8" x14ac:dyDescent="0.25">
      <c r="D23472" s="28"/>
      <c r="F23472" s="28"/>
      <c r="H23472" s="28"/>
    </row>
    <row r="23473" spans="4:8" x14ac:dyDescent="0.25">
      <c r="D23473" s="28"/>
      <c r="F23473" s="28"/>
      <c r="H23473" s="28"/>
    </row>
    <row r="23474" spans="4:8" x14ac:dyDescent="0.25">
      <c r="D23474" s="28"/>
      <c r="F23474" s="28"/>
      <c r="H23474" s="28"/>
    </row>
    <row r="23475" spans="4:8" x14ac:dyDescent="0.25">
      <c r="D23475" s="28"/>
      <c r="F23475" s="28"/>
      <c r="H23475" s="28"/>
    </row>
    <row r="23476" spans="4:8" x14ac:dyDescent="0.25">
      <c r="D23476" s="28"/>
      <c r="F23476" s="28"/>
      <c r="H23476" s="28"/>
    </row>
    <row r="23477" spans="4:8" x14ac:dyDescent="0.25">
      <c r="D23477" s="28"/>
      <c r="F23477" s="28"/>
      <c r="H23477" s="28"/>
    </row>
    <row r="23478" spans="4:8" x14ac:dyDescent="0.25">
      <c r="D23478" s="28"/>
      <c r="F23478" s="28"/>
      <c r="H23478" s="28"/>
    </row>
    <row r="23479" spans="4:8" x14ac:dyDescent="0.25">
      <c r="D23479" s="28"/>
      <c r="F23479" s="28"/>
      <c r="H23479" s="28"/>
    </row>
    <row r="23480" spans="4:8" x14ac:dyDescent="0.25">
      <c r="D23480" s="28"/>
      <c r="F23480" s="28"/>
      <c r="H23480" s="28"/>
    </row>
    <row r="23481" spans="4:8" x14ac:dyDescent="0.25">
      <c r="D23481" s="28"/>
      <c r="F23481" s="28"/>
      <c r="H23481" s="28"/>
    </row>
    <row r="23482" spans="4:8" x14ac:dyDescent="0.25">
      <c r="D23482" s="28"/>
      <c r="F23482" s="28"/>
      <c r="H23482" s="28"/>
    </row>
    <row r="23483" spans="4:8" x14ac:dyDescent="0.25">
      <c r="D23483" s="28"/>
      <c r="F23483" s="28"/>
      <c r="H23483" s="28"/>
    </row>
    <row r="23484" spans="4:8" x14ac:dyDescent="0.25">
      <c r="D23484" s="28"/>
      <c r="F23484" s="28"/>
      <c r="H23484" s="28"/>
    </row>
    <row r="23485" spans="4:8" x14ac:dyDescent="0.25">
      <c r="D23485" s="28"/>
      <c r="F23485" s="28"/>
      <c r="H23485" s="28"/>
    </row>
    <row r="23486" spans="4:8" x14ac:dyDescent="0.25">
      <c r="D23486" s="28"/>
      <c r="F23486" s="28"/>
      <c r="H23486" s="28"/>
    </row>
    <row r="23487" spans="4:8" x14ac:dyDescent="0.25">
      <c r="D23487" s="28"/>
      <c r="F23487" s="28"/>
      <c r="H23487" s="28"/>
    </row>
    <row r="23488" spans="4:8" x14ac:dyDescent="0.25">
      <c r="D23488" s="28"/>
      <c r="F23488" s="28"/>
      <c r="H23488" s="28"/>
    </row>
    <row r="23489" spans="4:8" x14ac:dyDescent="0.25">
      <c r="D23489" s="28"/>
      <c r="F23489" s="28"/>
      <c r="H23489" s="28"/>
    </row>
    <row r="23490" spans="4:8" x14ac:dyDescent="0.25">
      <c r="D23490" s="28"/>
      <c r="F23490" s="28"/>
      <c r="H23490" s="28"/>
    </row>
    <row r="23491" spans="4:8" x14ac:dyDescent="0.25">
      <c r="D23491" s="28"/>
      <c r="F23491" s="28"/>
      <c r="H23491" s="28"/>
    </row>
    <row r="23492" spans="4:8" x14ac:dyDescent="0.25">
      <c r="D23492" s="28"/>
      <c r="F23492" s="28"/>
      <c r="H23492" s="28"/>
    </row>
    <row r="23493" spans="4:8" x14ac:dyDescent="0.25">
      <c r="D23493" s="28"/>
      <c r="F23493" s="28"/>
      <c r="H23493" s="28"/>
    </row>
    <row r="23494" spans="4:8" x14ac:dyDescent="0.25">
      <c r="D23494" s="28"/>
      <c r="F23494" s="28"/>
      <c r="H23494" s="28"/>
    </row>
    <row r="23495" spans="4:8" x14ac:dyDescent="0.25">
      <c r="D23495" s="28"/>
      <c r="F23495" s="28"/>
      <c r="H23495" s="28"/>
    </row>
    <row r="23496" spans="4:8" x14ac:dyDescent="0.25">
      <c r="D23496" s="28"/>
      <c r="F23496" s="28"/>
      <c r="H23496" s="28"/>
    </row>
    <row r="23497" spans="4:8" x14ac:dyDescent="0.25">
      <c r="D23497" s="28"/>
      <c r="F23497" s="28"/>
      <c r="H23497" s="28"/>
    </row>
    <row r="23498" spans="4:8" x14ac:dyDescent="0.25">
      <c r="D23498" s="28"/>
      <c r="F23498" s="28"/>
      <c r="H23498" s="28"/>
    </row>
    <row r="23499" spans="4:8" x14ac:dyDescent="0.25">
      <c r="D23499" s="28"/>
      <c r="F23499" s="28"/>
      <c r="H23499" s="28"/>
    </row>
    <row r="23500" spans="4:8" x14ac:dyDescent="0.25">
      <c r="D23500" s="28"/>
      <c r="F23500" s="28"/>
      <c r="H23500" s="28"/>
    </row>
    <row r="23501" spans="4:8" x14ac:dyDescent="0.25">
      <c r="D23501" s="28"/>
      <c r="F23501" s="28"/>
      <c r="H23501" s="28"/>
    </row>
    <row r="23502" spans="4:8" x14ac:dyDescent="0.25">
      <c r="D23502" s="28"/>
      <c r="F23502" s="28"/>
      <c r="H23502" s="28"/>
    </row>
    <row r="23503" spans="4:8" x14ac:dyDescent="0.25">
      <c r="D23503" s="28"/>
      <c r="F23503" s="28"/>
      <c r="H23503" s="28"/>
    </row>
    <row r="23504" spans="4:8" x14ac:dyDescent="0.25">
      <c r="D23504" s="28"/>
      <c r="F23504" s="28"/>
      <c r="H23504" s="28"/>
    </row>
    <row r="23505" spans="4:8" x14ac:dyDescent="0.25">
      <c r="D23505" s="28"/>
      <c r="F23505" s="28"/>
      <c r="H23505" s="28"/>
    </row>
    <row r="23506" spans="4:8" x14ac:dyDescent="0.25">
      <c r="D23506" s="28"/>
      <c r="F23506" s="28"/>
      <c r="H23506" s="28"/>
    </row>
    <row r="23507" spans="4:8" x14ac:dyDescent="0.25">
      <c r="D23507" s="28"/>
      <c r="F23507" s="28"/>
      <c r="H23507" s="28"/>
    </row>
    <row r="23508" spans="4:8" x14ac:dyDescent="0.25">
      <c r="D23508" s="28"/>
      <c r="F23508" s="28"/>
      <c r="H23508" s="28"/>
    </row>
    <row r="23509" spans="4:8" x14ac:dyDescent="0.25">
      <c r="D23509" s="28"/>
      <c r="F23509" s="28"/>
      <c r="H23509" s="28"/>
    </row>
    <row r="23510" spans="4:8" x14ac:dyDescent="0.25">
      <c r="D23510" s="28"/>
      <c r="F23510" s="28"/>
      <c r="H23510" s="28"/>
    </row>
    <row r="23511" spans="4:8" x14ac:dyDescent="0.25">
      <c r="D23511" s="28"/>
      <c r="F23511" s="28"/>
      <c r="H23511" s="28"/>
    </row>
    <row r="23512" spans="4:8" x14ac:dyDescent="0.25">
      <c r="D23512" s="28"/>
      <c r="F23512" s="28"/>
      <c r="H23512" s="28"/>
    </row>
    <row r="23513" spans="4:8" x14ac:dyDescent="0.25">
      <c r="D23513" s="28"/>
      <c r="F23513" s="28"/>
      <c r="H23513" s="28"/>
    </row>
    <row r="23514" spans="4:8" x14ac:dyDescent="0.25">
      <c r="D23514" s="28"/>
      <c r="F23514" s="28"/>
      <c r="H23514" s="28"/>
    </row>
    <row r="23515" spans="4:8" x14ac:dyDescent="0.25">
      <c r="D23515" s="28"/>
      <c r="F23515" s="28"/>
      <c r="H23515" s="28"/>
    </row>
    <row r="23516" spans="4:8" x14ac:dyDescent="0.25">
      <c r="D23516" s="28"/>
      <c r="F23516" s="28"/>
      <c r="H23516" s="28"/>
    </row>
    <row r="23517" spans="4:8" x14ac:dyDescent="0.25">
      <c r="D23517" s="28"/>
      <c r="F23517" s="28"/>
      <c r="H23517" s="28"/>
    </row>
    <row r="23518" spans="4:8" x14ac:dyDescent="0.25">
      <c r="D23518" s="28"/>
      <c r="F23518" s="28"/>
      <c r="H23518" s="28"/>
    </row>
    <row r="23519" spans="4:8" x14ac:dyDescent="0.25">
      <c r="D23519" s="28"/>
      <c r="F23519" s="28"/>
      <c r="H23519" s="28"/>
    </row>
    <row r="23520" spans="4:8" x14ac:dyDescent="0.25">
      <c r="D23520" s="28"/>
      <c r="F23520" s="28"/>
      <c r="H23520" s="28"/>
    </row>
    <row r="23521" spans="4:8" x14ac:dyDescent="0.25">
      <c r="D23521" s="28"/>
      <c r="F23521" s="28"/>
      <c r="H23521" s="28"/>
    </row>
    <row r="23522" spans="4:8" x14ac:dyDescent="0.25">
      <c r="D23522" s="28"/>
      <c r="F23522" s="28"/>
      <c r="H23522" s="28"/>
    </row>
    <row r="23523" spans="4:8" x14ac:dyDescent="0.25">
      <c r="D23523" s="28"/>
      <c r="F23523" s="28"/>
      <c r="H23523" s="28"/>
    </row>
    <row r="23524" spans="4:8" x14ac:dyDescent="0.25">
      <c r="D23524" s="28"/>
      <c r="F23524" s="28"/>
      <c r="H23524" s="28"/>
    </row>
    <row r="23525" spans="4:8" x14ac:dyDescent="0.25">
      <c r="D23525" s="28"/>
      <c r="F23525" s="28"/>
      <c r="H23525" s="28"/>
    </row>
    <row r="23526" spans="4:8" x14ac:dyDescent="0.25">
      <c r="D23526" s="28"/>
      <c r="F23526" s="28"/>
      <c r="H23526" s="28"/>
    </row>
    <row r="23527" spans="4:8" x14ac:dyDescent="0.25">
      <c r="D23527" s="28"/>
      <c r="F23527" s="28"/>
      <c r="H23527" s="28"/>
    </row>
    <row r="23528" spans="4:8" x14ac:dyDescent="0.25">
      <c r="D23528" s="28"/>
      <c r="F23528" s="28"/>
      <c r="H23528" s="28"/>
    </row>
    <row r="23529" spans="4:8" x14ac:dyDescent="0.25">
      <c r="D23529" s="28"/>
      <c r="F23529" s="28"/>
      <c r="H23529" s="28"/>
    </row>
    <row r="23530" spans="4:8" x14ac:dyDescent="0.25">
      <c r="D23530" s="28"/>
      <c r="F23530" s="28"/>
      <c r="H23530" s="28"/>
    </row>
    <row r="23531" spans="4:8" x14ac:dyDescent="0.25">
      <c r="D23531" s="28"/>
      <c r="F23531" s="28"/>
      <c r="H23531" s="28"/>
    </row>
    <row r="23532" spans="4:8" x14ac:dyDescent="0.25">
      <c r="D23532" s="28"/>
      <c r="F23532" s="28"/>
      <c r="H23532" s="28"/>
    </row>
    <row r="23533" spans="4:8" x14ac:dyDescent="0.25">
      <c r="D23533" s="28"/>
      <c r="F23533" s="28"/>
      <c r="H23533" s="28"/>
    </row>
    <row r="23534" spans="4:8" x14ac:dyDescent="0.25">
      <c r="D23534" s="28"/>
      <c r="F23534" s="28"/>
      <c r="H23534" s="28"/>
    </row>
    <row r="23535" spans="4:8" x14ac:dyDescent="0.25">
      <c r="D23535" s="28"/>
      <c r="F23535" s="28"/>
      <c r="H23535" s="28"/>
    </row>
    <row r="23536" spans="4:8" x14ac:dyDescent="0.25">
      <c r="D23536" s="28"/>
      <c r="F23536" s="28"/>
      <c r="H23536" s="28"/>
    </row>
    <row r="23537" spans="4:8" x14ac:dyDescent="0.25">
      <c r="D23537" s="28"/>
      <c r="F23537" s="28"/>
      <c r="H23537" s="28"/>
    </row>
    <row r="23538" spans="4:8" x14ac:dyDescent="0.25">
      <c r="D23538" s="28"/>
      <c r="F23538" s="28"/>
      <c r="H23538" s="28"/>
    </row>
    <row r="23539" spans="4:8" x14ac:dyDescent="0.25">
      <c r="D23539" s="28"/>
      <c r="F23539" s="28"/>
      <c r="H23539" s="28"/>
    </row>
    <row r="23540" spans="4:8" x14ac:dyDescent="0.25">
      <c r="D23540" s="28"/>
      <c r="F23540" s="28"/>
      <c r="H23540" s="28"/>
    </row>
    <row r="23541" spans="4:8" x14ac:dyDescent="0.25">
      <c r="D23541" s="28"/>
      <c r="F23541" s="28"/>
      <c r="H23541" s="28"/>
    </row>
    <row r="23542" spans="4:8" x14ac:dyDescent="0.25">
      <c r="D23542" s="28"/>
      <c r="F23542" s="28"/>
      <c r="H23542" s="28"/>
    </row>
    <row r="23543" spans="4:8" x14ac:dyDescent="0.25">
      <c r="D23543" s="28"/>
      <c r="F23543" s="28"/>
      <c r="H23543" s="28"/>
    </row>
    <row r="23544" spans="4:8" x14ac:dyDescent="0.25">
      <c r="D23544" s="28"/>
      <c r="F23544" s="28"/>
      <c r="H23544" s="28"/>
    </row>
    <row r="23545" spans="4:8" x14ac:dyDescent="0.25">
      <c r="D23545" s="28"/>
      <c r="F23545" s="28"/>
      <c r="H23545" s="28"/>
    </row>
    <row r="23546" spans="4:8" x14ac:dyDescent="0.25">
      <c r="D23546" s="28"/>
      <c r="F23546" s="28"/>
      <c r="H23546" s="28"/>
    </row>
    <row r="23547" spans="4:8" x14ac:dyDescent="0.25">
      <c r="D23547" s="28"/>
      <c r="F23547" s="28"/>
      <c r="H23547" s="28"/>
    </row>
    <row r="23548" spans="4:8" x14ac:dyDescent="0.25">
      <c r="D23548" s="28"/>
      <c r="F23548" s="28"/>
      <c r="H23548" s="28"/>
    </row>
    <row r="23549" spans="4:8" x14ac:dyDescent="0.25">
      <c r="D23549" s="28"/>
      <c r="F23549" s="28"/>
      <c r="H23549" s="28"/>
    </row>
    <row r="23550" spans="4:8" x14ac:dyDescent="0.25">
      <c r="D23550" s="28"/>
      <c r="F23550" s="28"/>
      <c r="H23550" s="28"/>
    </row>
    <row r="23551" spans="4:8" x14ac:dyDescent="0.25">
      <c r="D23551" s="28"/>
      <c r="F23551" s="28"/>
      <c r="H23551" s="28"/>
    </row>
    <row r="23552" spans="4:8" x14ac:dyDescent="0.25">
      <c r="D23552" s="28"/>
      <c r="F23552" s="28"/>
      <c r="H23552" s="28"/>
    </row>
    <row r="23553" spans="4:8" x14ac:dyDescent="0.25">
      <c r="D23553" s="28"/>
      <c r="F23553" s="28"/>
      <c r="H23553" s="28"/>
    </row>
    <row r="23554" spans="4:8" x14ac:dyDescent="0.25">
      <c r="D23554" s="28"/>
      <c r="F23554" s="28"/>
      <c r="H23554" s="28"/>
    </row>
    <row r="23555" spans="4:8" x14ac:dyDescent="0.25">
      <c r="D23555" s="28"/>
      <c r="F23555" s="28"/>
      <c r="H23555" s="28"/>
    </row>
    <row r="23556" spans="4:8" x14ac:dyDescent="0.25">
      <c r="D23556" s="28"/>
      <c r="F23556" s="28"/>
      <c r="H23556" s="28"/>
    </row>
    <row r="23557" spans="4:8" x14ac:dyDescent="0.25">
      <c r="D23557" s="28"/>
      <c r="F23557" s="28"/>
      <c r="H23557" s="28"/>
    </row>
    <row r="23558" spans="4:8" x14ac:dyDescent="0.25">
      <c r="D23558" s="28"/>
      <c r="F23558" s="28"/>
      <c r="H23558" s="28"/>
    </row>
    <row r="23559" spans="4:8" x14ac:dyDescent="0.25">
      <c r="D23559" s="28"/>
      <c r="F23559" s="28"/>
      <c r="H23559" s="28"/>
    </row>
    <row r="23560" spans="4:8" x14ac:dyDescent="0.25">
      <c r="D23560" s="28"/>
      <c r="F23560" s="28"/>
      <c r="H23560" s="28"/>
    </row>
    <row r="23561" spans="4:8" x14ac:dyDescent="0.25">
      <c r="D23561" s="28"/>
      <c r="F23561" s="28"/>
      <c r="H23561" s="28"/>
    </row>
    <row r="23562" spans="4:8" x14ac:dyDescent="0.25">
      <c r="D23562" s="28"/>
      <c r="F23562" s="28"/>
      <c r="H23562" s="28"/>
    </row>
    <row r="23563" spans="4:8" x14ac:dyDescent="0.25">
      <c r="D23563" s="28"/>
      <c r="F23563" s="28"/>
      <c r="H23563" s="28"/>
    </row>
    <row r="23564" spans="4:8" x14ac:dyDescent="0.25">
      <c r="D23564" s="28"/>
      <c r="F23564" s="28"/>
      <c r="H23564" s="28"/>
    </row>
    <row r="23565" spans="4:8" x14ac:dyDescent="0.25">
      <c r="D23565" s="28"/>
      <c r="F23565" s="28"/>
      <c r="H23565" s="28"/>
    </row>
    <row r="23566" spans="4:8" x14ac:dyDescent="0.25">
      <c r="D23566" s="28"/>
      <c r="F23566" s="28"/>
      <c r="H23566" s="28"/>
    </row>
    <row r="23567" spans="4:8" x14ac:dyDescent="0.25">
      <c r="D23567" s="28"/>
      <c r="F23567" s="28"/>
      <c r="H23567" s="28"/>
    </row>
    <row r="23568" spans="4:8" x14ac:dyDescent="0.25">
      <c r="D23568" s="28"/>
      <c r="F23568" s="28"/>
      <c r="H23568" s="28"/>
    </row>
    <row r="23569" spans="4:8" x14ac:dyDescent="0.25">
      <c r="D23569" s="28"/>
      <c r="F23569" s="28"/>
      <c r="H23569" s="28"/>
    </row>
    <row r="23570" spans="4:8" x14ac:dyDescent="0.25">
      <c r="D23570" s="28"/>
      <c r="F23570" s="28"/>
      <c r="H23570" s="28"/>
    </row>
    <row r="23571" spans="4:8" x14ac:dyDescent="0.25">
      <c r="D23571" s="28"/>
      <c r="F23571" s="28"/>
      <c r="H23571" s="28"/>
    </row>
    <row r="23572" spans="4:8" x14ac:dyDescent="0.25">
      <c r="D23572" s="28"/>
      <c r="F23572" s="28"/>
      <c r="H23572" s="28"/>
    </row>
    <row r="23573" spans="4:8" x14ac:dyDescent="0.25">
      <c r="D23573" s="28"/>
      <c r="F23573" s="28"/>
      <c r="H23573" s="28"/>
    </row>
    <row r="23574" spans="4:8" x14ac:dyDescent="0.25">
      <c r="D23574" s="28"/>
      <c r="F23574" s="28"/>
      <c r="H23574" s="28"/>
    </row>
    <row r="23575" spans="4:8" x14ac:dyDescent="0.25">
      <c r="D23575" s="28"/>
      <c r="F23575" s="28"/>
      <c r="H23575" s="28"/>
    </row>
    <row r="23576" spans="4:8" x14ac:dyDescent="0.25">
      <c r="D23576" s="28"/>
      <c r="F23576" s="28"/>
      <c r="H23576" s="28"/>
    </row>
    <row r="23577" spans="4:8" x14ac:dyDescent="0.25">
      <c r="D23577" s="28"/>
      <c r="F23577" s="28"/>
      <c r="H23577" s="28"/>
    </row>
    <row r="23578" spans="4:8" x14ac:dyDescent="0.25">
      <c r="D23578" s="28"/>
      <c r="F23578" s="28"/>
      <c r="H23578" s="28"/>
    </row>
    <row r="23579" spans="4:8" x14ac:dyDescent="0.25">
      <c r="D23579" s="28"/>
      <c r="F23579" s="28"/>
      <c r="H23579" s="28"/>
    </row>
    <row r="23580" spans="4:8" x14ac:dyDescent="0.25">
      <c r="D23580" s="28"/>
      <c r="F23580" s="28"/>
      <c r="H23580" s="28"/>
    </row>
    <row r="23581" spans="4:8" x14ac:dyDescent="0.25">
      <c r="D23581" s="28"/>
      <c r="F23581" s="28"/>
      <c r="H23581" s="28"/>
    </row>
    <row r="23582" spans="4:8" x14ac:dyDescent="0.25">
      <c r="D23582" s="28"/>
      <c r="F23582" s="28"/>
      <c r="H23582" s="28"/>
    </row>
    <row r="23583" spans="4:8" x14ac:dyDescent="0.25">
      <c r="D23583" s="28"/>
      <c r="F23583" s="28"/>
      <c r="H23583" s="28"/>
    </row>
    <row r="23584" spans="4:8" x14ac:dyDescent="0.25">
      <c r="D23584" s="28"/>
      <c r="F23584" s="28"/>
      <c r="H23584" s="28"/>
    </row>
    <row r="23585" spans="4:8" x14ac:dyDescent="0.25">
      <c r="D23585" s="28"/>
      <c r="F23585" s="28"/>
      <c r="H23585" s="28"/>
    </row>
    <row r="23586" spans="4:8" x14ac:dyDescent="0.25">
      <c r="D23586" s="28"/>
      <c r="F23586" s="28"/>
      <c r="H23586" s="28"/>
    </row>
    <row r="23587" spans="4:8" x14ac:dyDescent="0.25">
      <c r="D23587" s="28"/>
      <c r="F23587" s="28"/>
      <c r="H23587" s="28"/>
    </row>
    <row r="23588" spans="4:8" x14ac:dyDescent="0.25">
      <c r="D23588" s="28"/>
      <c r="F23588" s="28"/>
      <c r="H23588" s="28"/>
    </row>
    <row r="23589" spans="4:8" x14ac:dyDescent="0.25">
      <c r="D23589" s="28"/>
      <c r="F23589" s="28"/>
      <c r="H23589" s="28"/>
    </row>
    <row r="23590" spans="4:8" x14ac:dyDescent="0.25">
      <c r="D23590" s="28"/>
      <c r="F23590" s="28"/>
      <c r="H23590" s="28"/>
    </row>
    <row r="23591" spans="4:8" x14ac:dyDescent="0.25">
      <c r="D23591" s="28"/>
      <c r="F23591" s="28"/>
      <c r="H23591" s="28"/>
    </row>
    <row r="23592" spans="4:8" x14ac:dyDescent="0.25">
      <c r="D23592" s="28"/>
      <c r="F23592" s="28"/>
      <c r="H23592" s="28"/>
    </row>
    <row r="23593" spans="4:8" x14ac:dyDescent="0.25">
      <c r="D23593" s="28"/>
      <c r="F23593" s="28"/>
      <c r="H23593" s="28"/>
    </row>
    <row r="23594" spans="4:8" x14ac:dyDescent="0.25">
      <c r="D23594" s="28"/>
      <c r="F23594" s="28"/>
      <c r="H23594" s="28"/>
    </row>
    <row r="23595" spans="4:8" x14ac:dyDescent="0.25">
      <c r="D23595" s="28"/>
      <c r="F23595" s="28"/>
      <c r="H23595" s="28"/>
    </row>
    <row r="23596" spans="4:8" x14ac:dyDescent="0.25">
      <c r="D23596" s="28"/>
      <c r="F23596" s="28"/>
      <c r="H23596" s="28"/>
    </row>
    <row r="23597" spans="4:8" x14ac:dyDescent="0.25">
      <c r="D23597" s="28"/>
      <c r="F23597" s="28"/>
      <c r="H23597" s="28"/>
    </row>
    <row r="23598" spans="4:8" x14ac:dyDescent="0.25">
      <c r="D23598" s="28"/>
      <c r="F23598" s="28"/>
      <c r="H23598" s="28"/>
    </row>
    <row r="23599" spans="4:8" x14ac:dyDescent="0.25">
      <c r="D23599" s="28"/>
      <c r="F23599" s="28"/>
      <c r="H23599" s="28"/>
    </row>
    <row r="23600" spans="4:8" x14ac:dyDescent="0.25">
      <c r="D23600" s="28"/>
      <c r="F23600" s="28"/>
      <c r="H23600" s="28"/>
    </row>
    <row r="23601" spans="4:8" x14ac:dyDescent="0.25">
      <c r="D23601" s="28"/>
      <c r="F23601" s="28"/>
      <c r="H23601" s="28"/>
    </row>
    <row r="23602" spans="4:8" x14ac:dyDescent="0.25">
      <c r="D23602" s="28"/>
      <c r="F23602" s="28"/>
      <c r="H23602" s="28"/>
    </row>
    <row r="23603" spans="4:8" x14ac:dyDescent="0.25">
      <c r="D23603" s="28"/>
      <c r="F23603" s="28"/>
      <c r="H23603" s="28"/>
    </row>
    <row r="23604" spans="4:8" x14ac:dyDescent="0.25">
      <c r="D23604" s="28"/>
      <c r="F23604" s="28"/>
      <c r="H23604" s="28"/>
    </row>
    <row r="23605" spans="4:8" x14ac:dyDescent="0.25">
      <c r="D23605" s="28"/>
      <c r="F23605" s="28"/>
      <c r="H23605" s="28"/>
    </row>
    <row r="23606" spans="4:8" x14ac:dyDescent="0.25">
      <c r="D23606" s="28"/>
      <c r="F23606" s="28"/>
      <c r="H23606" s="28"/>
    </row>
    <row r="23607" spans="4:8" x14ac:dyDescent="0.25">
      <c r="D23607" s="28"/>
      <c r="F23607" s="28"/>
      <c r="H23607" s="28"/>
    </row>
    <row r="23608" spans="4:8" x14ac:dyDescent="0.25">
      <c r="D23608" s="28"/>
      <c r="F23608" s="28"/>
      <c r="H23608" s="28"/>
    </row>
    <row r="23609" spans="4:8" x14ac:dyDescent="0.25">
      <c r="D23609" s="28"/>
      <c r="F23609" s="28"/>
      <c r="H23609" s="28"/>
    </row>
    <row r="23610" spans="4:8" x14ac:dyDescent="0.25">
      <c r="D23610" s="28"/>
      <c r="F23610" s="28"/>
      <c r="H23610" s="28"/>
    </row>
    <row r="23611" spans="4:8" x14ac:dyDescent="0.25">
      <c r="D23611" s="28"/>
      <c r="F23611" s="28"/>
      <c r="H23611" s="28"/>
    </row>
    <row r="23612" spans="4:8" x14ac:dyDescent="0.25">
      <c r="D23612" s="28"/>
      <c r="F23612" s="28"/>
      <c r="H23612" s="28"/>
    </row>
    <row r="23613" spans="4:8" x14ac:dyDescent="0.25">
      <c r="D23613" s="28"/>
      <c r="F23613" s="28"/>
      <c r="H23613" s="28"/>
    </row>
    <row r="23614" spans="4:8" x14ac:dyDescent="0.25">
      <c r="D23614" s="28"/>
      <c r="F23614" s="28"/>
      <c r="H23614" s="28"/>
    </row>
    <row r="23615" spans="4:8" x14ac:dyDescent="0.25">
      <c r="D23615" s="28"/>
      <c r="F23615" s="28"/>
      <c r="H23615" s="28"/>
    </row>
    <row r="23616" spans="4:8" x14ac:dyDescent="0.25">
      <c r="D23616" s="28"/>
      <c r="F23616" s="28"/>
      <c r="H23616" s="28"/>
    </row>
    <row r="23617" spans="4:8" x14ac:dyDescent="0.25">
      <c r="D23617" s="28"/>
      <c r="F23617" s="28"/>
      <c r="H23617" s="28"/>
    </row>
    <row r="23618" spans="4:8" x14ac:dyDescent="0.25">
      <c r="D23618" s="28"/>
      <c r="F23618" s="28"/>
      <c r="H23618" s="28"/>
    </row>
    <row r="23619" spans="4:8" x14ac:dyDescent="0.25">
      <c r="D23619" s="28"/>
      <c r="F23619" s="28"/>
      <c r="H23619" s="28"/>
    </row>
    <row r="23620" spans="4:8" x14ac:dyDescent="0.25">
      <c r="D23620" s="28"/>
      <c r="F23620" s="28"/>
      <c r="H23620" s="28"/>
    </row>
    <row r="23621" spans="4:8" x14ac:dyDescent="0.25">
      <c r="D23621" s="28"/>
      <c r="F23621" s="28"/>
      <c r="H23621" s="28"/>
    </row>
    <row r="23622" spans="4:8" x14ac:dyDescent="0.25">
      <c r="D23622" s="28"/>
      <c r="F23622" s="28"/>
      <c r="H23622" s="28"/>
    </row>
    <row r="23623" spans="4:8" x14ac:dyDescent="0.25">
      <c r="D23623" s="28"/>
      <c r="F23623" s="28"/>
      <c r="H23623" s="28"/>
    </row>
    <row r="23624" spans="4:8" x14ac:dyDescent="0.25">
      <c r="D23624" s="28"/>
      <c r="F23624" s="28"/>
      <c r="H23624" s="28"/>
    </row>
    <row r="23625" spans="4:8" x14ac:dyDescent="0.25">
      <c r="D23625" s="28"/>
      <c r="F23625" s="28"/>
      <c r="H23625" s="28"/>
    </row>
    <row r="23626" spans="4:8" x14ac:dyDescent="0.25">
      <c r="D23626" s="28"/>
      <c r="F23626" s="28"/>
      <c r="H23626" s="28"/>
    </row>
    <row r="23627" spans="4:8" x14ac:dyDescent="0.25">
      <c r="D23627" s="28"/>
      <c r="F23627" s="28"/>
      <c r="H23627" s="28"/>
    </row>
    <row r="23628" spans="4:8" x14ac:dyDescent="0.25">
      <c r="D23628" s="28"/>
      <c r="F23628" s="28"/>
      <c r="H23628" s="28"/>
    </row>
    <row r="23629" spans="4:8" x14ac:dyDescent="0.25">
      <c r="D23629" s="28"/>
      <c r="F23629" s="28"/>
      <c r="H23629" s="28"/>
    </row>
    <row r="23630" spans="4:8" x14ac:dyDescent="0.25">
      <c r="D23630" s="28"/>
      <c r="F23630" s="28"/>
      <c r="H23630" s="28"/>
    </row>
    <row r="23631" spans="4:8" x14ac:dyDescent="0.25">
      <c r="D23631" s="28"/>
      <c r="F23631" s="28"/>
      <c r="H23631" s="28"/>
    </row>
    <row r="23632" spans="4:8" x14ac:dyDescent="0.25">
      <c r="D23632" s="28"/>
      <c r="F23632" s="28"/>
      <c r="H23632" s="28"/>
    </row>
    <row r="23633" spans="4:8" x14ac:dyDescent="0.25">
      <c r="D23633" s="28"/>
      <c r="F23633" s="28"/>
      <c r="H23633" s="28"/>
    </row>
    <row r="23634" spans="4:8" x14ac:dyDescent="0.25">
      <c r="D23634" s="28"/>
      <c r="F23634" s="28"/>
      <c r="H23634" s="28"/>
    </row>
    <row r="23635" spans="4:8" x14ac:dyDescent="0.25">
      <c r="D23635" s="28"/>
      <c r="F23635" s="28"/>
      <c r="H23635" s="28"/>
    </row>
    <row r="23636" spans="4:8" x14ac:dyDescent="0.25">
      <c r="D23636" s="28"/>
      <c r="F23636" s="28"/>
      <c r="H23636" s="28"/>
    </row>
    <row r="23637" spans="4:8" x14ac:dyDescent="0.25">
      <c r="D23637" s="28"/>
      <c r="F23637" s="28"/>
      <c r="H23637" s="28"/>
    </row>
    <row r="23638" spans="4:8" x14ac:dyDescent="0.25">
      <c r="D23638" s="28"/>
      <c r="F23638" s="28"/>
      <c r="H23638" s="28"/>
    </row>
    <row r="23639" spans="4:8" x14ac:dyDescent="0.25">
      <c r="D23639" s="28"/>
      <c r="F23639" s="28"/>
      <c r="H23639" s="28"/>
    </row>
    <row r="23640" spans="4:8" x14ac:dyDescent="0.25">
      <c r="D23640" s="28"/>
      <c r="F23640" s="28"/>
      <c r="H23640" s="28"/>
    </row>
    <row r="23641" spans="4:8" x14ac:dyDescent="0.25">
      <c r="D23641" s="28"/>
      <c r="F23641" s="28"/>
      <c r="H23641" s="28"/>
    </row>
    <row r="23642" spans="4:8" x14ac:dyDescent="0.25">
      <c r="D23642" s="28"/>
      <c r="F23642" s="28"/>
      <c r="H23642" s="28"/>
    </row>
    <row r="23643" spans="4:8" x14ac:dyDescent="0.25">
      <c r="D23643" s="28"/>
      <c r="F23643" s="28"/>
      <c r="H23643" s="28"/>
    </row>
    <row r="23644" spans="4:8" x14ac:dyDescent="0.25">
      <c r="D23644" s="28"/>
      <c r="F23644" s="28"/>
      <c r="H23644" s="28"/>
    </row>
    <row r="23645" spans="4:8" x14ac:dyDescent="0.25">
      <c r="D23645" s="28"/>
      <c r="F23645" s="28"/>
      <c r="H23645" s="28"/>
    </row>
    <row r="23646" spans="4:8" x14ac:dyDescent="0.25">
      <c r="D23646" s="28"/>
      <c r="F23646" s="28"/>
      <c r="H23646" s="28"/>
    </row>
    <row r="23647" spans="4:8" x14ac:dyDescent="0.25">
      <c r="D23647" s="28"/>
      <c r="F23647" s="28"/>
      <c r="H23647" s="28"/>
    </row>
    <row r="23648" spans="4:8" x14ac:dyDescent="0.25">
      <c r="D23648" s="28"/>
      <c r="F23648" s="28"/>
      <c r="H23648" s="28"/>
    </row>
    <row r="23649" spans="4:8" x14ac:dyDescent="0.25">
      <c r="D23649" s="28"/>
      <c r="F23649" s="28"/>
      <c r="H23649" s="28"/>
    </row>
    <row r="23650" spans="4:8" x14ac:dyDescent="0.25">
      <c r="D23650" s="28"/>
      <c r="F23650" s="28"/>
      <c r="H23650" s="28"/>
    </row>
    <row r="23651" spans="4:8" x14ac:dyDescent="0.25">
      <c r="D23651" s="28"/>
      <c r="F23651" s="28"/>
      <c r="H23651" s="28"/>
    </row>
    <row r="23652" spans="4:8" x14ac:dyDescent="0.25">
      <c r="D23652" s="28"/>
      <c r="F23652" s="28"/>
      <c r="H23652" s="28"/>
    </row>
    <row r="23653" spans="4:8" x14ac:dyDescent="0.25">
      <c r="D23653" s="28"/>
      <c r="F23653" s="28"/>
      <c r="H23653" s="28"/>
    </row>
    <row r="23654" spans="4:8" x14ac:dyDescent="0.25">
      <c r="D23654" s="28"/>
      <c r="F23654" s="28"/>
      <c r="H23654" s="28"/>
    </row>
    <row r="23655" spans="4:8" x14ac:dyDescent="0.25">
      <c r="D23655" s="28"/>
      <c r="F23655" s="28"/>
      <c r="H23655" s="28"/>
    </row>
    <row r="23656" spans="4:8" x14ac:dyDescent="0.25">
      <c r="D23656" s="28"/>
      <c r="F23656" s="28"/>
      <c r="H23656" s="28"/>
    </row>
    <row r="23657" spans="4:8" x14ac:dyDescent="0.25">
      <c r="D23657" s="28"/>
      <c r="F23657" s="28"/>
      <c r="H23657" s="28"/>
    </row>
    <row r="23658" spans="4:8" x14ac:dyDescent="0.25">
      <c r="D23658" s="28"/>
      <c r="F23658" s="28"/>
      <c r="H23658" s="28"/>
    </row>
    <row r="23659" spans="4:8" x14ac:dyDescent="0.25">
      <c r="D23659" s="28"/>
      <c r="F23659" s="28"/>
      <c r="H23659" s="28"/>
    </row>
    <row r="23660" spans="4:8" x14ac:dyDescent="0.25">
      <c r="D23660" s="28"/>
      <c r="F23660" s="28"/>
      <c r="H23660" s="28"/>
    </row>
    <row r="23661" spans="4:8" x14ac:dyDescent="0.25">
      <c r="D23661" s="28"/>
      <c r="F23661" s="28"/>
      <c r="H23661" s="28"/>
    </row>
    <row r="23662" spans="4:8" x14ac:dyDescent="0.25">
      <c r="D23662" s="28"/>
      <c r="F23662" s="28"/>
      <c r="H23662" s="28"/>
    </row>
    <row r="23663" spans="4:8" x14ac:dyDescent="0.25">
      <c r="D23663" s="28"/>
      <c r="F23663" s="28"/>
      <c r="H23663" s="28"/>
    </row>
    <row r="23664" spans="4:8" x14ac:dyDescent="0.25">
      <c r="D23664" s="28"/>
      <c r="F23664" s="28"/>
      <c r="H23664" s="28"/>
    </row>
    <row r="23665" spans="4:8" x14ac:dyDescent="0.25">
      <c r="D23665" s="28"/>
      <c r="F23665" s="28"/>
      <c r="H23665" s="28"/>
    </row>
    <row r="23666" spans="4:8" x14ac:dyDescent="0.25">
      <c r="D23666" s="28"/>
      <c r="F23666" s="28"/>
      <c r="H23666" s="28"/>
    </row>
    <row r="23667" spans="4:8" x14ac:dyDescent="0.25">
      <c r="D23667" s="28"/>
      <c r="F23667" s="28"/>
      <c r="H23667" s="28"/>
    </row>
    <row r="23668" spans="4:8" x14ac:dyDescent="0.25">
      <c r="D23668" s="28"/>
      <c r="F23668" s="28"/>
      <c r="H23668" s="28"/>
    </row>
    <row r="23669" spans="4:8" x14ac:dyDescent="0.25">
      <c r="D23669" s="28"/>
      <c r="F23669" s="28"/>
      <c r="H23669" s="28"/>
    </row>
    <row r="23670" spans="4:8" x14ac:dyDescent="0.25">
      <c r="D23670" s="28"/>
      <c r="F23670" s="28"/>
      <c r="H23670" s="28"/>
    </row>
    <row r="23671" spans="4:8" x14ac:dyDescent="0.25">
      <c r="D23671" s="28"/>
      <c r="F23671" s="28"/>
      <c r="H23671" s="28"/>
    </row>
    <row r="23672" spans="4:8" x14ac:dyDescent="0.25">
      <c r="D23672" s="28"/>
      <c r="F23672" s="28"/>
      <c r="H23672" s="28"/>
    </row>
    <row r="23673" spans="4:8" x14ac:dyDescent="0.25">
      <c r="D23673" s="28"/>
      <c r="F23673" s="28"/>
      <c r="H23673" s="28"/>
    </row>
    <row r="23674" spans="4:8" x14ac:dyDescent="0.25">
      <c r="D23674" s="28"/>
      <c r="F23674" s="28"/>
      <c r="H23674" s="28"/>
    </row>
    <row r="23675" spans="4:8" x14ac:dyDescent="0.25">
      <c r="D23675" s="28"/>
      <c r="F23675" s="28"/>
      <c r="H23675" s="28"/>
    </row>
    <row r="23676" spans="4:8" x14ac:dyDescent="0.25">
      <c r="D23676" s="28"/>
      <c r="F23676" s="28"/>
      <c r="H23676" s="28"/>
    </row>
    <row r="23677" spans="4:8" x14ac:dyDescent="0.25">
      <c r="D23677" s="28"/>
      <c r="F23677" s="28"/>
      <c r="H23677" s="28"/>
    </row>
    <row r="23678" spans="4:8" x14ac:dyDescent="0.25">
      <c r="D23678" s="28"/>
      <c r="F23678" s="28"/>
      <c r="H23678" s="28"/>
    </row>
    <row r="23679" spans="4:8" x14ac:dyDescent="0.25">
      <c r="D23679" s="28"/>
      <c r="F23679" s="28"/>
      <c r="H23679" s="28"/>
    </row>
    <row r="23680" spans="4:8" x14ac:dyDescent="0.25">
      <c r="D23680" s="28"/>
      <c r="F23680" s="28"/>
      <c r="H23680" s="28"/>
    </row>
    <row r="23681" spans="4:8" x14ac:dyDescent="0.25">
      <c r="D23681" s="28"/>
      <c r="F23681" s="28"/>
      <c r="H23681" s="28"/>
    </row>
    <row r="23682" spans="4:8" x14ac:dyDescent="0.25">
      <c r="D23682" s="28"/>
      <c r="F23682" s="28"/>
      <c r="H23682" s="28"/>
    </row>
    <row r="23683" spans="4:8" x14ac:dyDescent="0.25">
      <c r="D23683" s="28"/>
      <c r="F23683" s="28"/>
      <c r="H23683" s="28"/>
    </row>
    <row r="23684" spans="4:8" x14ac:dyDescent="0.25">
      <c r="D23684" s="28"/>
      <c r="F23684" s="28"/>
      <c r="H23684" s="28"/>
    </row>
    <row r="23685" spans="4:8" x14ac:dyDescent="0.25">
      <c r="D23685" s="28"/>
      <c r="F23685" s="28"/>
      <c r="H23685" s="28"/>
    </row>
    <row r="23686" spans="4:8" x14ac:dyDescent="0.25">
      <c r="D23686" s="28"/>
      <c r="F23686" s="28"/>
      <c r="H23686" s="28"/>
    </row>
    <row r="23687" spans="4:8" x14ac:dyDescent="0.25">
      <c r="D23687" s="28"/>
      <c r="F23687" s="28"/>
      <c r="H23687" s="28"/>
    </row>
    <row r="23688" spans="4:8" x14ac:dyDescent="0.25">
      <c r="D23688" s="28"/>
      <c r="F23688" s="28"/>
      <c r="H23688" s="28"/>
    </row>
    <row r="23689" spans="4:8" x14ac:dyDescent="0.25">
      <c r="D23689" s="28"/>
      <c r="F23689" s="28"/>
      <c r="H23689" s="28"/>
    </row>
    <row r="23690" spans="4:8" x14ac:dyDescent="0.25">
      <c r="D23690" s="28"/>
      <c r="F23690" s="28"/>
      <c r="H23690" s="28"/>
    </row>
    <row r="23691" spans="4:8" x14ac:dyDescent="0.25">
      <c r="D23691" s="28"/>
      <c r="F23691" s="28"/>
      <c r="H23691" s="28"/>
    </row>
    <row r="23692" spans="4:8" x14ac:dyDescent="0.25">
      <c r="D23692" s="28"/>
      <c r="F23692" s="28"/>
      <c r="H23692" s="28"/>
    </row>
    <row r="23693" spans="4:8" x14ac:dyDescent="0.25">
      <c r="D23693" s="28"/>
      <c r="F23693" s="28"/>
      <c r="H23693" s="28"/>
    </row>
    <row r="23694" spans="4:8" x14ac:dyDescent="0.25">
      <c r="D23694" s="28"/>
      <c r="F23694" s="28"/>
      <c r="H23694" s="28"/>
    </row>
    <row r="23695" spans="4:8" x14ac:dyDescent="0.25">
      <c r="D23695" s="28"/>
      <c r="F23695" s="28"/>
      <c r="H23695" s="28"/>
    </row>
    <row r="23696" spans="4:8" x14ac:dyDescent="0.25">
      <c r="D23696" s="28"/>
      <c r="F23696" s="28"/>
      <c r="H23696" s="28"/>
    </row>
    <row r="23697" spans="4:8" x14ac:dyDescent="0.25">
      <c r="D23697" s="28"/>
      <c r="F23697" s="28"/>
      <c r="H23697" s="28"/>
    </row>
    <row r="23698" spans="4:8" x14ac:dyDescent="0.25">
      <c r="D23698" s="28"/>
      <c r="F23698" s="28"/>
      <c r="H23698" s="28"/>
    </row>
    <row r="23699" spans="4:8" x14ac:dyDescent="0.25">
      <c r="D23699" s="28"/>
      <c r="F23699" s="28"/>
      <c r="H23699" s="28"/>
    </row>
    <row r="23700" spans="4:8" x14ac:dyDescent="0.25">
      <c r="D23700" s="28"/>
      <c r="F23700" s="28"/>
      <c r="H23700" s="28"/>
    </row>
    <row r="23701" spans="4:8" x14ac:dyDescent="0.25">
      <c r="D23701" s="28"/>
      <c r="F23701" s="28"/>
      <c r="H23701" s="28"/>
    </row>
    <row r="23702" spans="4:8" x14ac:dyDescent="0.25">
      <c r="D23702" s="28"/>
      <c r="F23702" s="28"/>
      <c r="H23702" s="28"/>
    </row>
    <row r="23703" spans="4:8" x14ac:dyDescent="0.25">
      <c r="D23703" s="28"/>
      <c r="F23703" s="28"/>
      <c r="H23703" s="28"/>
    </row>
    <row r="23704" spans="4:8" x14ac:dyDescent="0.25">
      <c r="D23704" s="28"/>
      <c r="F23704" s="28"/>
      <c r="H23704" s="28"/>
    </row>
    <row r="23705" spans="4:8" x14ac:dyDescent="0.25">
      <c r="D23705" s="28"/>
      <c r="F23705" s="28"/>
      <c r="H23705" s="28"/>
    </row>
    <row r="23706" spans="4:8" x14ac:dyDescent="0.25">
      <c r="D23706" s="28"/>
      <c r="F23706" s="28"/>
      <c r="H23706" s="28"/>
    </row>
    <row r="23707" spans="4:8" x14ac:dyDescent="0.25">
      <c r="D23707" s="28"/>
      <c r="F23707" s="28"/>
      <c r="H23707" s="28"/>
    </row>
    <row r="23708" spans="4:8" x14ac:dyDescent="0.25">
      <c r="D23708" s="28"/>
      <c r="F23708" s="28"/>
      <c r="H23708" s="28"/>
    </row>
    <row r="23709" spans="4:8" x14ac:dyDescent="0.25">
      <c r="D23709" s="28"/>
      <c r="F23709" s="28"/>
      <c r="H23709" s="28"/>
    </row>
    <row r="23710" spans="4:8" x14ac:dyDescent="0.25">
      <c r="D23710" s="28"/>
      <c r="F23710" s="28"/>
      <c r="H23710" s="28"/>
    </row>
    <row r="23711" spans="4:8" x14ac:dyDescent="0.25">
      <c r="D23711" s="28"/>
      <c r="F23711" s="28"/>
      <c r="H23711" s="28"/>
    </row>
    <row r="23712" spans="4:8" x14ac:dyDescent="0.25">
      <c r="D23712" s="28"/>
      <c r="F23712" s="28"/>
      <c r="H23712" s="28"/>
    </row>
    <row r="23713" spans="4:8" x14ac:dyDescent="0.25">
      <c r="D23713" s="28"/>
      <c r="F23713" s="28"/>
      <c r="H23713" s="28"/>
    </row>
    <row r="23714" spans="4:8" x14ac:dyDescent="0.25">
      <c r="D23714" s="28"/>
      <c r="F23714" s="28"/>
      <c r="H23714" s="28"/>
    </row>
    <row r="23715" spans="4:8" x14ac:dyDescent="0.25">
      <c r="D23715" s="28"/>
      <c r="F23715" s="28"/>
      <c r="H23715" s="28"/>
    </row>
    <row r="23716" spans="4:8" x14ac:dyDescent="0.25">
      <c r="D23716" s="28"/>
      <c r="F23716" s="28"/>
      <c r="H23716" s="28"/>
    </row>
    <row r="23717" spans="4:8" x14ac:dyDescent="0.25">
      <c r="D23717" s="28"/>
      <c r="F23717" s="28"/>
      <c r="H23717" s="28"/>
    </row>
    <row r="23718" spans="4:8" x14ac:dyDescent="0.25">
      <c r="D23718" s="28"/>
      <c r="F23718" s="28"/>
      <c r="H23718" s="28"/>
    </row>
    <row r="23719" spans="4:8" x14ac:dyDescent="0.25">
      <c r="D23719" s="28"/>
      <c r="F23719" s="28"/>
      <c r="H23719" s="28"/>
    </row>
    <row r="23720" spans="4:8" x14ac:dyDescent="0.25">
      <c r="D23720" s="28"/>
      <c r="F23720" s="28"/>
      <c r="H23720" s="28"/>
    </row>
    <row r="23721" spans="4:8" x14ac:dyDescent="0.25">
      <c r="D23721" s="28"/>
      <c r="F23721" s="28"/>
      <c r="H23721" s="28"/>
    </row>
    <row r="23722" spans="4:8" x14ac:dyDescent="0.25">
      <c r="D23722" s="28"/>
      <c r="F23722" s="28"/>
      <c r="H23722" s="28"/>
    </row>
    <row r="23723" spans="4:8" x14ac:dyDescent="0.25">
      <c r="D23723" s="28"/>
      <c r="F23723" s="28"/>
      <c r="H23723" s="28"/>
    </row>
    <row r="23724" spans="4:8" x14ac:dyDescent="0.25">
      <c r="D23724" s="28"/>
      <c r="F23724" s="28"/>
      <c r="H23724" s="28"/>
    </row>
    <row r="23725" spans="4:8" x14ac:dyDescent="0.25">
      <c r="D23725" s="28"/>
      <c r="F23725" s="28"/>
      <c r="H23725" s="28"/>
    </row>
    <row r="23726" spans="4:8" x14ac:dyDescent="0.25">
      <c r="D23726" s="28"/>
      <c r="F23726" s="28"/>
      <c r="H23726" s="28"/>
    </row>
    <row r="23727" spans="4:8" x14ac:dyDescent="0.25">
      <c r="D23727" s="28"/>
      <c r="F23727" s="28"/>
      <c r="H23727" s="28"/>
    </row>
    <row r="23728" spans="4:8" x14ac:dyDescent="0.25">
      <c r="D23728" s="28"/>
      <c r="F23728" s="28"/>
      <c r="H23728" s="28"/>
    </row>
    <row r="23729" spans="4:8" x14ac:dyDescent="0.25">
      <c r="D23729" s="28"/>
      <c r="F23729" s="28"/>
      <c r="H23729" s="28"/>
    </row>
    <row r="23730" spans="4:8" x14ac:dyDescent="0.25">
      <c r="D23730" s="28"/>
      <c r="F23730" s="28"/>
      <c r="H23730" s="28"/>
    </row>
    <row r="23731" spans="4:8" x14ac:dyDescent="0.25">
      <c r="D23731" s="28"/>
      <c r="F23731" s="28"/>
      <c r="H23731" s="28"/>
    </row>
    <row r="23732" spans="4:8" x14ac:dyDescent="0.25">
      <c r="D23732" s="28"/>
      <c r="F23732" s="28"/>
      <c r="H23732" s="28"/>
    </row>
    <row r="23733" spans="4:8" x14ac:dyDescent="0.25">
      <c r="D23733" s="28"/>
      <c r="F23733" s="28"/>
      <c r="H23733" s="28"/>
    </row>
    <row r="23734" spans="4:8" x14ac:dyDescent="0.25">
      <c r="D23734" s="28"/>
      <c r="F23734" s="28"/>
      <c r="H23734" s="28"/>
    </row>
    <row r="23735" spans="4:8" x14ac:dyDescent="0.25">
      <c r="D23735" s="28"/>
      <c r="F23735" s="28"/>
      <c r="H23735" s="28"/>
    </row>
    <row r="23736" spans="4:8" x14ac:dyDescent="0.25">
      <c r="D23736" s="28"/>
      <c r="F23736" s="28"/>
      <c r="H23736" s="28"/>
    </row>
    <row r="23737" spans="4:8" x14ac:dyDescent="0.25">
      <c r="D23737" s="28"/>
      <c r="F23737" s="28"/>
      <c r="H23737" s="28"/>
    </row>
    <row r="23738" spans="4:8" x14ac:dyDescent="0.25">
      <c r="D23738" s="28"/>
      <c r="F23738" s="28"/>
      <c r="H23738" s="28"/>
    </row>
    <row r="23739" spans="4:8" x14ac:dyDescent="0.25">
      <c r="D23739" s="28"/>
      <c r="F23739" s="28"/>
      <c r="H23739" s="28"/>
    </row>
    <row r="23740" spans="4:8" x14ac:dyDescent="0.25">
      <c r="D23740" s="28"/>
      <c r="F23740" s="28"/>
      <c r="H23740" s="28"/>
    </row>
    <row r="23741" spans="4:8" x14ac:dyDescent="0.25">
      <c r="D23741" s="28"/>
      <c r="F23741" s="28"/>
      <c r="H23741" s="28"/>
    </row>
    <row r="23742" spans="4:8" x14ac:dyDescent="0.25">
      <c r="D23742" s="28"/>
      <c r="F23742" s="28"/>
      <c r="H23742" s="28"/>
    </row>
    <row r="23743" spans="4:8" x14ac:dyDescent="0.25">
      <c r="D23743" s="28"/>
      <c r="F23743" s="28"/>
      <c r="H23743" s="28"/>
    </row>
    <row r="23744" spans="4:8" x14ac:dyDescent="0.25">
      <c r="D23744" s="28"/>
      <c r="F23744" s="28"/>
      <c r="H23744" s="28"/>
    </row>
    <row r="23745" spans="4:8" x14ac:dyDescent="0.25">
      <c r="D23745" s="28"/>
      <c r="F23745" s="28"/>
      <c r="H23745" s="28"/>
    </row>
    <row r="23746" spans="4:8" x14ac:dyDescent="0.25">
      <c r="D23746" s="28"/>
      <c r="F23746" s="28"/>
      <c r="H23746" s="28"/>
    </row>
    <row r="23747" spans="4:8" x14ac:dyDescent="0.25">
      <c r="D23747" s="28"/>
      <c r="F23747" s="28"/>
      <c r="H23747" s="28"/>
    </row>
    <row r="23748" spans="4:8" x14ac:dyDescent="0.25">
      <c r="D23748" s="28"/>
      <c r="F23748" s="28"/>
      <c r="H23748" s="28"/>
    </row>
    <row r="23749" spans="4:8" x14ac:dyDescent="0.25">
      <c r="D23749" s="28"/>
      <c r="F23749" s="28"/>
      <c r="H23749" s="28"/>
    </row>
    <row r="23750" spans="4:8" x14ac:dyDescent="0.25">
      <c r="D23750" s="28"/>
      <c r="F23750" s="28"/>
      <c r="H23750" s="28"/>
    </row>
    <row r="23751" spans="4:8" x14ac:dyDescent="0.25">
      <c r="D23751" s="28"/>
      <c r="F23751" s="28"/>
      <c r="H23751" s="28"/>
    </row>
    <row r="23752" spans="4:8" x14ac:dyDescent="0.25">
      <c r="D23752" s="28"/>
      <c r="F23752" s="28"/>
      <c r="H23752" s="28"/>
    </row>
    <row r="23753" spans="4:8" x14ac:dyDescent="0.25">
      <c r="D23753" s="28"/>
      <c r="F23753" s="28"/>
      <c r="H23753" s="28"/>
    </row>
    <row r="23754" spans="4:8" x14ac:dyDescent="0.25">
      <c r="D23754" s="28"/>
      <c r="F23754" s="28"/>
      <c r="H23754" s="28"/>
    </row>
    <row r="23755" spans="4:8" x14ac:dyDescent="0.25">
      <c r="D23755" s="28"/>
      <c r="F23755" s="28"/>
      <c r="H23755" s="28"/>
    </row>
    <row r="23756" spans="4:8" x14ac:dyDescent="0.25">
      <c r="D23756" s="28"/>
      <c r="F23756" s="28"/>
      <c r="H23756" s="28"/>
    </row>
    <row r="23757" spans="4:8" x14ac:dyDescent="0.25">
      <c r="D23757" s="28"/>
      <c r="F23757" s="28"/>
      <c r="H23757" s="28"/>
    </row>
    <row r="23758" spans="4:8" x14ac:dyDescent="0.25">
      <c r="D23758" s="28"/>
      <c r="F23758" s="28"/>
      <c r="H23758" s="28"/>
    </row>
    <row r="23759" spans="4:8" x14ac:dyDescent="0.25">
      <c r="D23759" s="28"/>
      <c r="F23759" s="28"/>
      <c r="H23759" s="28"/>
    </row>
    <row r="23760" spans="4:8" x14ac:dyDescent="0.25">
      <c r="D23760" s="28"/>
      <c r="F23760" s="28"/>
      <c r="H23760" s="28"/>
    </row>
    <row r="23761" spans="4:8" x14ac:dyDescent="0.25">
      <c r="D23761" s="28"/>
      <c r="F23761" s="28"/>
      <c r="H23761" s="28"/>
    </row>
    <row r="23762" spans="4:8" x14ac:dyDescent="0.25">
      <c r="D23762" s="28"/>
      <c r="F23762" s="28"/>
      <c r="H23762" s="28"/>
    </row>
    <row r="23763" spans="4:8" x14ac:dyDescent="0.25">
      <c r="D23763" s="28"/>
      <c r="F23763" s="28"/>
      <c r="H23763" s="28"/>
    </row>
    <row r="23764" spans="4:8" x14ac:dyDescent="0.25">
      <c r="D23764" s="28"/>
      <c r="F23764" s="28"/>
      <c r="H23764" s="28"/>
    </row>
    <row r="23765" spans="4:8" x14ac:dyDescent="0.25">
      <c r="D23765" s="28"/>
      <c r="F23765" s="28"/>
      <c r="H23765" s="28"/>
    </row>
    <row r="23766" spans="4:8" x14ac:dyDescent="0.25">
      <c r="D23766" s="28"/>
      <c r="F23766" s="28"/>
      <c r="H23766" s="28"/>
    </row>
    <row r="23767" spans="4:8" x14ac:dyDescent="0.25">
      <c r="D23767" s="28"/>
      <c r="F23767" s="28"/>
      <c r="H23767" s="28"/>
    </row>
    <row r="23768" spans="4:8" x14ac:dyDescent="0.25">
      <c r="D23768" s="28"/>
      <c r="F23768" s="28"/>
      <c r="H23768" s="28"/>
    </row>
    <row r="23769" spans="4:8" x14ac:dyDescent="0.25">
      <c r="D23769" s="28"/>
      <c r="F23769" s="28"/>
      <c r="H23769" s="28"/>
    </row>
    <row r="23770" spans="4:8" x14ac:dyDescent="0.25">
      <c r="D23770" s="28"/>
      <c r="F23770" s="28"/>
      <c r="H23770" s="28"/>
    </row>
    <row r="23771" spans="4:8" x14ac:dyDescent="0.25">
      <c r="D23771" s="28"/>
      <c r="F23771" s="28"/>
      <c r="H23771" s="28"/>
    </row>
    <row r="23772" spans="4:8" x14ac:dyDescent="0.25">
      <c r="D23772" s="28"/>
      <c r="F23772" s="28"/>
      <c r="H23772" s="28"/>
    </row>
    <row r="23773" spans="4:8" x14ac:dyDescent="0.25">
      <c r="D23773" s="28"/>
      <c r="F23773" s="28"/>
      <c r="H23773" s="28"/>
    </row>
    <row r="23774" spans="4:8" x14ac:dyDescent="0.25">
      <c r="D23774" s="28"/>
      <c r="F23774" s="28"/>
      <c r="H23774" s="28"/>
    </row>
    <row r="23775" spans="4:8" x14ac:dyDescent="0.25">
      <c r="D23775" s="28"/>
      <c r="F23775" s="28"/>
      <c r="H23775" s="28"/>
    </row>
    <row r="23776" spans="4:8" x14ac:dyDescent="0.25">
      <c r="D23776" s="28"/>
      <c r="F23776" s="28"/>
      <c r="H23776" s="28"/>
    </row>
    <row r="23777" spans="4:8" x14ac:dyDescent="0.25">
      <c r="D23777" s="28"/>
      <c r="F23777" s="28"/>
      <c r="H23777" s="28"/>
    </row>
    <row r="23778" spans="4:8" x14ac:dyDescent="0.25">
      <c r="D23778" s="28"/>
      <c r="F23778" s="28"/>
      <c r="H23778" s="28"/>
    </row>
    <row r="23779" spans="4:8" x14ac:dyDescent="0.25">
      <c r="D23779" s="28"/>
      <c r="F23779" s="28"/>
      <c r="H23779" s="28"/>
    </row>
    <row r="23780" spans="4:8" x14ac:dyDescent="0.25">
      <c r="D23780" s="28"/>
      <c r="F23780" s="28"/>
      <c r="H23780" s="28"/>
    </row>
    <row r="23781" spans="4:8" x14ac:dyDescent="0.25">
      <c r="D23781" s="28"/>
      <c r="F23781" s="28"/>
      <c r="H23781" s="28"/>
    </row>
    <row r="23782" spans="4:8" x14ac:dyDescent="0.25">
      <c r="D23782" s="28"/>
      <c r="F23782" s="28"/>
      <c r="H23782" s="28"/>
    </row>
    <row r="23783" spans="4:8" x14ac:dyDescent="0.25">
      <c r="D23783" s="28"/>
      <c r="F23783" s="28"/>
      <c r="H23783" s="28"/>
    </row>
    <row r="23784" spans="4:8" x14ac:dyDescent="0.25">
      <c r="D23784" s="28"/>
      <c r="F23784" s="28"/>
      <c r="H23784" s="28"/>
    </row>
    <row r="23785" spans="4:8" x14ac:dyDescent="0.25">
      <c r="D23785" s="28"/>
      <c r="F23785" s="28"/>
      <c r="H23785" s="28"/>
    </row>
    <row r="23786" spans="4:8" x14ac:dyDescent="0.25">
      <c r="D23786" s="28"/>
      <c r="F23786" s="28"/>
      <c r="H23786" s="28"/>
    </row>
    <row r="23787" spans="4:8" x14ac:dyDescent="0.25">
      <c r="D23787" s="28"/>
      <c r="F23787" s="28"/>
      <c r="H23787" s="28"/>
    </row>
    <row r="23788" spans="4:8" x14ac:dyDescent="0.25">
      <c r="D23788" s="28"/>
      <c r="F23788" s="28"/>
      <c r="H23788" s="28"/>
    </row>
    <row r="23789" spans="4:8" x14ac:dyDescent="0.25">
      <c r="D23789" s="28"/>
      <c r="F23789" s="28"/>
      <c r="H23789" s="28"/>
    </row>
    <row r="23790" spans="4:8" x14ac:dyDescent="0.25">
      <c r="D23790" s="28"/>
      <c r="F23790" s="28"/>
      <c r="H23790" s="28"/>
    </row>
    <row r="23791" spans="4:8" x14ac:dyDescent="0.25">
      <c r="D23791" s="28"/>
      <c r="F23791" s="28"/>
      <c r="H23791" s="28"/>
    </row>
    <row r="23792" spans="4:8" x14ac:dyDescent="0.25">
      <c r="D23792" s="28"/>
      <c r="F23792" s="28"/>
      <c r="H23792" s="28"/>
    </row>
    <row r="23793" spans="4:8" x14ac:dyDescent="0.25">
      <c r="D23793" s="28"/>
      <c r="F23793" s="28"/>
      <c r="H23793" s="28"/>
    </row>
    <row r="23794" spans="4:8" x14ac:dyDescent="0.25">
      <c r="D23794" s="28"/>
      <c r="F23794" s="28"/>
      <c r="H23794" s="28"/>
    </row>
    <row r="23795" spans="4:8" x14ac:dyDescent="0.25">
      <c r="D23795" s="28"/>
      <c r="F23795" s="28"/>
      <c r="H23795" s="28"/>
    </row>
    <row r="23796" spans="4:8" x14ac:dyDescent="0.25">
      <c r="D23796" s="28"/>
      <c r="F23796" s="28"/>
      <c r="H23796" s="28"/>
    </row>
    <row r="23797" spans="4:8" x14ac:dyDescent="0.25">
      <c r="D23797" s="28"/>
      <c r="F23797" s="28"/>
      <c r="H23797" s="28"/>
    </row>
    <row r="23798" spans="4:8" x14ac:dyDescent="0.25">
      <c r="D23798" s="28"/>
      <c r="F23798" s="28"/>
      <c r="H23798" s="28"/>
    </row>
    <row r="23799" spans="4:8" x14ac:dyDescent="0.25">
      <c r="D23799" s="28"/>
      <c r="F23799" s="28"/>
      <c r="H23799" s="28"/>
    </row>
    <row r="23800" spans="4:8" x14ac:dyDescent="0.25">
      <c r="D23800" s="28"/>
      <c r="F23800" s="28"/>
      <c r="H23800" s="28"/>
    </row>
    <row r="23801" spans="4:8" x14ac:dyDescent="0.25">
      <c r="D23801" s="28"/>
      <c r="F23801" s="28"/>
      <c r="H23801" s="28"/>
    </row>
    <row r="23802" spans="4:8" x14ac:dyDescent="0.25">
      <c r="D23802" s="28"/>
      <c r="F23802" s="28"/>
      <c r="H23802" s="28"/>
    </row>
    <row r="23803" spans="4:8" x14ac:dyDescent="0.25">
      <c r="D23803" s="28"/>
      <c r="F23803" s="28"/>
      <c r="H23803" s="28"/>
    </row>
    <row r="23804" spans="4:8" x14ac:dyDescent="0.25">
      <c r="D23804" s="28"/>
      <c r="F23804" s="28"/>
      <c r="H23804" s="28"/>
    </row>
    <row r="23805" spans="4:8" x14ac:dyDescent="0.25">
      <c r="D23805" s="28"/>
      <c r="F23805" s="28"/>
      <c r="H23805" s="28"/>
    </row>
    <row r="23806" spans="4:8" x14ac:dyDescent="0.25">
      <c r="D23806" s="28"/>
      <c r="F23806" s="28"/>
      <c r="H23806" s="28"/>
    </row>
    <row r="23807" spans="4:8" x14ac:dyDescent="0.25">
      <c r="D23807" s="28"/>
      <c r="F23807" s="28"/>
      <c r="H23807" s="28"/>
    </row>
    <row r="23808" spans="4:8" x14ac:dyDescent="0.25">
      <c r="D23808" s="28"/>
      <c r="F23808" s="28"/>
      <c r="H23808" s="28"/>
    </row>
    <row r="23809" spans="4:8" x14ac:dyDescent="0.25">
      <c r="D23809" s="28"/>
      <c r="F23809" s="28"/>
      <c r="H23809" s="28"/>
    </row>
    <row r="23810" spans="4:8" x14ac:dyDescent="0.25">
      <c r="D23810" s="28"/>
      <c r="F23810" s="28"/>
      <c r="H23810" s="28"/>
    </row>
    <row r="23811" spans="4:8" x14ac:dyDescent="0.25">
      <c r="D23811" s="28"/>
      <c r="F23811" s="28"/>
      <c r="H23811" s="28"/>
    </row>
    <row r="23812" spans="4:8" x14ac:dyDescent="0.25">
      <c r="D23812" s="28"/>
      <c r="F23812" s="28"/>
      <c r="H23812" s="28"/>
    </row>
    <row r="23813" spans="4:8" x14ac:dyDescent="0.25">
      <c r="D23813" s="28"/>
      <c r="F23813" s="28"/>
      <c r="H23813" s="28"/>
    </row>
    <row r="23814" spans="4:8" x14ac:dyDescent="0.25">
      <c r="D23814" s="28"/>
      <c r="F23814" s="28"/>
      <c r="H23814" s="28"/>
    </row>
    <row r="23815" spans="4:8" x14ac:dyDescent="0.25">
      <c r="D23815" s="28"/>
      <c r="F23815" s="28"/>
      <c r="H23815" s="28"/>
    </row>
    <row r="23816" spans="4:8" x14ac:dyDescent="0.25">
      <c r="D23816" s="28"/>
      <c r="F23816" s="28"/>
      <c r="H23816" s="28"/>
    </row>
    <row r="23817" spans="4:8" x14ac:dyDescent="0.25">
      <c r="D23817" s="28"/>
      <c r="F23817" s="28"/>
      <c r="H23817" s="28"/>
    </row>
    <row r="23818" spans="4:8" x14ac:dyDescent="0.25">
      <c r="D23818" s="28"/>
      <c r="F23818" s="28"/>
      <c r="H23818" s="28"/>
    </row>
    <row r="23819" spans="4:8" x14ac:dyDescent="0.25">
      <c r="D23819" s="28"/>
      <c r="F23819" s="28"/>
      <c r="H23819" s="28"/>
    </row>
    <row r="23820" spans="4:8" x14ac:dyDescent="0.25">
      <c r="D23820" s="28"/>
      <c r="F23820" s="28"/>
      <c r="H23820" s="28"/>
    </row>
    <row r="23821" spans="4:8" x14ac:dyDescent="0.25">
      <c r="D23821" s="28"/>
      <c r="F23821" s="28"/>
      <c r="H23821" s="28"/>
    </row>
    <row r="23822" spans="4:8" x14ac:dyDescent="0.25">
      <c r="D23822" s="28"/>
      <c r="F23822" s="28"/>
      <c r="H23822" s="28"/>
    </row>
    <row r="23823" spans="4:8" x14ac:dyDescent="0.25">
      <c r="D23823" s="28"/>
      <c r="F23823" s="28"/>
      <c r="H23823" s="28"/>
    </row>
    <row r="23824" spans="4:8" x14ac:dyDescent="0.25">
      <c r="D23824" s="28"/>
      <c r="F23824" s="28"/>
      <c r="H23824" s="28"/>
    </row>
    <row r="23825" spans="4:8" x14ac:dyDescent="0.25">
      <c r="D23825" s="28"/>
      <c r="F23825" s="28"/>
      <c r="H23825" s="28"/>
    </row>
    <row r="23826" spans="4:8" x14ac:dyDescent="0.25">
      <c r="D23826" s="28"/>
      <c r="F23826" s="28"/>
      <c r="H23826" s="28"/>
    </row>
    <row r="23827" spans="4:8" x14ac:dyDescent="0.25">
      <c r="D23827" s="28"/>
      <c r="F23827" s="28"/>
      <c r="H23827" s="28"/>
    </row>
    <row r="23828" spans="4:8" x14ac:dyDescent="0.25">
      <c r="D23828" s="28"/>
      <c r="F23828" s="28"/>
      <c r="H23828" s="28"/>
    </row>
    <row r="23829" spans="4:8" x14ac:dyDescent="0.25">
      <c r="D23829" s="28"/>
      <c r="F23829" s="28"/>
      <c r="H23829" s="28"/>
    </row>
    <row r="23830" spans="4:8" x14ac:dyDescent="0.25">
      <c r="D23830" s="28"/>
      <c r="F23830" s="28"/>
      <c r="H23830" s="28"/>
    </row>
    <row r="23831" spans="4:8" x14ac:dyDescent="0.25">
      <c r="D23831" s="28"/>
      <c r="F23831" s="28"/>
      <c r="H23831" s="28"/>
    </row>
    <row r="23832" spans="4:8" x14ac:dyDescent="0.25">
      <c r="D23832" s="28"/>
      <c r="F23832" s="28"/>
      <c r="H23832" s="28"/>
    </row>
    <row r="23833" spans="4:8" x14ac:dyDescent="0.25">
      <c r="D23833" s="28"/>
      <c r="F23833" s="28"/>
      <c r="H23833" s="28"/>
    </row>
    <row r="23834" spans="4:8" x14ac:dyDescent="0.25">
      <c r="D23834" s="28"/>
      <c r="F23834" s="28"/>
      <c r="H23834" s="28"/>
    </row>
    <row r="23835" spans="4:8" x14ac:dyDescent="0.25">
      <c r="D23835" s="28"/>
      <c r="F23835" s="28"/>
      <c r="H23835" s="28"/>
    </row>
    <row r="23836" spans="4:8" x14ac:dyDescent="0.25">
      <c r="D23836" s="28"/>
      <c r="F23836" s="28"/>
      <c r="H23836" s="28"/>
    </row>
    <row r="23837" spans="4:8" x14ac:dyDescent="0.25">
      <c r="D23837" s="28"/>
      <c r="F23837" s="28"/>
      <c r="H23837" s="28"/>
    </row>
    <row r="23838" spans="4:8" x14ac:dyDescent="0.25">
      <c r="D23838" s="28"/>
      <c r="F23838" s="28"/>
      <c r="H23838" s="28"/>
    </row>
    <row r="23839" spans="4:8" x14ac:dyDescent="0.25">
      <c r="D23839" s="28"/>
      <c r="F23839" s="28"/>
      <c r="H23839" s="28"/>
    </row>
    <row r="23840" spans="4:8" x14ac:dyDescent="0.25">
      <c r="D23840" s="28"/>
      <c r="F23840" s="28"/>
      <c r="H23840" s="28"/>
    </row>
    <row r="23841" spans="4:8" x14ac:dyDescent="0.25">
      <c r="D23841" s="28"/>
      <c r="F23841" s="28"/>
      <c r="H23841" s="28"/>
    </row>
    <row r="23842" spans="4:8" x14ac:dyDescent="0.25">
      <c r="D23842" s="28"/>
      <c r="F23842" s="28"/>
      <c r="H23842" s="28"/>
    </row>
    <row r="23843" spans="4:8" x14ac:dyDescent="0.25">
      <c r="D23843" s="28"/>
      <c r="F23843" s="28"/>
      <c r="H23843" s="28"/>
    </row>
    <row r="23844" spans="4:8" x14ac:dyDescent="0.25">
      <c r="D23844" s="28"/>
      <c r="F23844" s="28"/>
      <c r="H23844" s="28"/>
    </row>
    <row r="23845" spans="4:8" x14ac:dyDescent="0.25">
      <c r="D23845" s="28"/>
      <c r="F23845" s="28"/>
      <c r="H23845" s="28"/>
    </row>
    <row r="23846" spans="4:8" x14ac:dyDescent="0.25">
      <c r="D23846" s="28"/>
      <c r="F23846" s="28"/>
      <c r="H23846" s="28"/>
    </row>
    <row r="23847" spans="4:8" x14ac:dyDescent="0.25">
      <c r="D23847" s="28"/>
      <c r="F23847" s="28"/>
      <c r="H23847" s="28"/>
    </row>
    <row r="23848" spans="4:8" x14ac:dyDescent="0.25">
      <c r="D23848" s="28"/>
      <c r="F23848" s="28"/>
      <c r="H23848" s="28"/>
    </row>
    <row r="23849" spans="4:8" x14ac:dyDescent="0.25">
      <c r="D23849" s="28"/>
      <c r="F23849" s="28"/>
      <c r="H23849" s="28"/>
    </row>
    <row r="23850" spans="4:8" x14ac:dyDescent="0.25">
      <c r="D23850" s="28"/>
      <c r="F23850" s="28"/>
      <c r="H23850" s="28"/>
    </row>
    <row r="23851" spans="4:8" x14ac:dyDescent="0.25">
      <c r="D23851" s="28"/>
      <c r="F23851" s="28"/>
      <c r="H23851" s="28"/>
    </row>
    <row r="23852" spans="4:8" x14ac:dyDescent="0.25">
      <c r="D23852" s="28"/>
      <c r="F23852" s="28"/>
      <c r="H23852" s="28"/>
    </row>
    <row r="23853" spans="4:8" x14ac:dyDescent="0.25">
      <c r="D23853" s="28"/>
      <c r="F23853" s="28"/>
      <c r="H23853" s="28"/>
    </row>
    <row r="23854" spans="4:8" x14ac:dyDescent="0.25">
      <c r="D23854" s="28"/>
      <c r="F23854" s="28"/>
      <c r="H23854" s="28"/>
    </row>
    <row r="23855" spans="4:8" x14ac:dyDescent="0.25">
      <c r="D23855" s="28"/>
      <c r="F23855" s="28"/>
      <c r="H23855" s="28"/>
    </row>
    <row r="23856" spans="4:8" x14ac:dyDescent="0.25">
      <c r="D23856" s="28"/>
      <c r="F23856" s="28"/>
      <c r="H23856" s="28"/>
    </row>
    <row r="23857" spans="4:8" x14ac:dyDescent="0.25">
      <c r="D23857" s="28"/>
      <c r="F23857" s="28"/>
      <c r="H23857" s="28"/>
    </row>
    <row r="23858" spans="4:8" x14ac:dyDescent="0.25">
      <c r="D23858" s="28"/>
      <c r="F23858" s="28"/>
      <c r="H23858" s="28"/>
    </row>
    <row r="23859" spans="4:8" x14ac:dyDescent="0.25">
      <c r="D23859" s="28"/>
      <c r="F23859" s="28"/>
      <c r="H23859" s="28"/>
    </row>
    <row r="23860" spans="4:8" x14ac:dyDescent="0.25">
      <c r="D23860" s="28"/>
      <c r="F23860" s="28"/>
      <c r="H23860" s="28"/>
    </row>
    <row r="23861" spans="4:8" x14ac:dyDescent="0.25">
      <c r="D23861" s="28"/>
      <c r="F23861" s="28"/>
      <c r="H23861" s="28"/>
    </row>
    <row r="23862" spans="4:8" x14ac:dyDescent="0.25">
      <c r="D23862" s="28"/>
      <c r="F23862" s="28"/>
      <c r="H23862" s="28"/>
    </row>
    <row r="23863" spans="4:8" x14ac:dyDescent="0.25">
      <c r="D23863" s="28"/>
      <c r="F23863" s="28"/>
      <c r="H23863" s="28"/>
    </row>
    <row r="23864" spans="4:8" x14ac:dyDescent="0.25">
      <c r="D23864" s="28"/>
      <c r="F23864" s="28"/>
      <c r="H23864" s="28"/>
    </row>
    <row r="23865" spans="4:8" x14ac:dyDescent="0.25">
      <c r="D23865" s="28"/>
      <c r="F23865" s="28"/>
      <c r="H23865" s="28"/>
    </row>
    <row r="23866" spans="4:8" x14ac:dyDescent="0.25">
      <c r="D23866" s="28"/>
      <c r="F23866" s="28"/>
      <c r="H23866" s="28"/>
    </row>
    <row r="23867" spans="4:8" x14ac:dyDescent="0.25">
      <c r="D23867" s="28"/>
      <c r="F23867" s="28"/>
      <c r="H23867" s="28"/>
    </row>
    <row r="23868" spans="4:8" x14ac:dyDescent="0.25">
      <c r="D23868" s="28"/>
      <c r="F23868" s="28"/>
      <c r="H23868" s="28"/>
    </row>
    <row r="23869" spans="4:8" x14ac:dyDescent="0.25">
      <c r="D23869" s="28"/>
      <c r="F23869" s="28"/>
      <c r="H23869" s="28"/>
    </row>
    <row r="23870" spans="4:8" x14ac:dyDescent="0.25">
      <c r="D23870" s="28"/>
      <c r="F23870" s="28"/>
      <c r="H23870" s="28"/>
    </row>
    <row r="23871" spans="4:8" x14ac:dyDescent="0.25">
      <c r="D23871" s="28"/>
      <c r="F23871" s="28"/>
      <c r="H23871" s="28"/>
    </row>
    <row r="23872" spans="4:8" x14ac:dyDescent="0.25">
      <c r="D23872" s="28"/>
      <c r="F23872" s="28"/>
      <c r="H23872" s="28"/>
    </row>
    <row r="23873" spans="4:8" x14ac:dyDescent="0.25">
      <c r="D23873" s="28"/>
      <c r="F23873" s="28"/>
      <c r="H23873" s="28"/>
    </row>
    <row r="23874" spans="4:8" x14ac:dyDescent="0.25">
      <c r="D23874" s="28"/>
      <c r="F23874" s="28"/>
      <c r="H23874" s="28"/>
    </row>
    <row r="23875" spans="4:8" x14ac:dyDescent="0.25">
      <c r="D23875" s="28"/>
      <c r="F23875" s="28"/>
      <c r="H23875" s="28"/>
    </row>
    <row r="23876" spans="4:8" x14ac:dyDescent="0.25">
      <c r="D23876" s="28"/>
      <c r="F23876" s="28"/>
      <c r="H23876" s="28"/>
    </row>
    <row r="23877" spans="4:8" x14ac:dyDescent="0.25">
      <c r="D23877" s="28"/>
      <c r="F23877" s="28"/>
      <c r="H23877" s="28"/>
    </row>
    <row r="23878" spans="4:8" x14ac:dyDescent="0.25">
      <c r="D23878" s="28"/>
      <c r="F23878" s="28"/>
      <c r="H23878" s="28"/>
    </row>
    <row r="23879" spans="4:8" x14ac:dyDescent="0.25">
      <c r="D23879" s="28"/>
      <c r="F23879" s="28"/>
      <c r="H23879" s="28"/>
    </row>
    <row r="23880" spans="4:8" x14ac:dyDescent="0.25">
      <c r="D23880" s="28"/>
      <c r="F23880" s="28"/>
      <c r="H23880" s="28"/>
    </row>
    <row r="23881" spans="4:8" x14ac:dyDescent="0.25">
      <c r="D23881" s="28"/>
      <c r="F23881" s="28"/>
      <c r="H23881" s="28"/>
    </row>
    <row r="23882" spans="4:8" x14ac:dyDescent="0.25">
      <c r="D23882" s="28"/>
      <c r="F23882" s="28"/>
      <c r="H23882" s="28"/>
    </row>
    <row r="23883" spans="4:8" x14ac:dyDescent="0.25">
      <c r="D23883" s="28"/>
      <c r="F23883" s="28"/>
      <c r="H23883" s="28"/>
    </row>
    <row r="23884" spans="4:8" x14ac:dyDescent="0.25">
      <c r="D23884" s="28"/>
      <c r="F23884" s="28"/>
      <c r="H23884" s="28"/>
    </row>
    <row r="23885" spans="4:8" x14ac:dyDescent="0.25">
      <c r="D23885" s="28"/>
      <c r="F23885" s="28"/>
      <c r="H23885" s="28"/>
    </row>
    <row r="23886" spans="4:8" x14ac:dyDescent="0.25">
      <c r="D23886" s="28"/>
      <c r="F23886" s="28"/>
      <c r="H23886" s="28"/>
    </row>
    <row r="23887" spans="4:8" x14ac:dyDescent="0.25">
      <c r="D23887" s="28"/>
      <c r="F23887" s="28"/>
      <c r="H23887" s="28"/>
    </row>
    <row r="23888" spans="4:8" x14ac:dyDescent="0.25">
      <c r="D23888" s="28"/>
      <c r="F23888" s="28"/>
      <c r="H23888" s="28"/>
    </row>
    <row r="23889" spans="4:8" x14ac:dyDescent="0.25">
      <c r="D23889" s="28"/>
      <c r="F23889" s="28"/>
      <c r="H23889" s="28"/>
    </row>
    <row r="23890" spans="4:8" x14ac:dyDescent="0.25">
      <c r="D23890" s="28"/>
      <c r="F23890" s="28"/>
      <c r="H23890" s="28"/>
    </row>
    <row r="23891" spans="4:8" x14ac:dyDescent="0.25">
      <c r="D23891" s="28"/>
      <c r="F23891" s="28"/>
      <c r="H23891" s="28"/>
    </row>
    <row r="23892" spans="4:8" x14ac:dyDescent="0.25">
      <c r="D23892" s="28"/>
      <c r="F23892" s="28"/>
      <c r="H23892" s="28"/>
    </row>
    <row r="23893" spans="4:8" x14ac:dyDescent="0.25">
      <c r="D23893" s="28"/>
      <c r="F23893" s="28"/>
      <c r="H23893" s="28"/>
    </row>
    <row r="23894" spans="4:8" x14ac:dyDescent="0.25">
      <c r="D23894" s="28"/>
      <c r="F23894" s="28"/>
      <c r="H23894" s="28"/>
    </row>
    <row r="23895" spans="4:8" x14ac:dyDescent="0.25">
      <c r="D23895" s="28"/>
      <c r="F23895" s="28"/>
      <c r="H23895" s="28"/>
    </row>
    <row r="23896" spans="4:8" x14ac:dyDescent="0.25">
      <c r="D23896" s="28"/>
      <c r="F23896" s="28"/>
      <c r="H23896" s="28"/>
    </row>
    <row r="23897" spans="4:8" x14ac:dyDescent="0.25">
      <c r="D23897" s="28"/>
      <c r="F23897" s="28"/>
      <c r="H23897" s="28"/>
    </row>
    <row r="23898" spans="4:8" x14ac:dyDescent="0.25">
      <c r="D23898" s="28"/>
      <c r="F23898" s="28"/>
      <c r="H23898" s="28"/>
    </row>
    <row r="23899" spans="4:8" x14ac:dyDescent="0.25">
      <c r="D23899" s="28"/>
      <c r="F23899" s="28"/>
      <c r="H23899" s="28"/>
    </row>
    <row r="23900" spans="4:8" x14ac:dyDescent="0.25">
      <c r="D23900" s="28"/>
      <c r="F23900" s="28"/>
      <c r="H23900" s="28"/>
    </row>
    <row r="23901" spans="4:8" x14ac:dyDescent="0.25">
      <c r="D23901" s="28"/>
      <c r="F23901" s="28"/>
      <c r="H23901" s="28"/>
    </row>
    <row r="23902" spans="4:8" x14ac:dyDescent="0.25">
      <c r="D23902" s="28"/>
      <c r="F23902" s="28"/>
      <c r="H23902" s="28"/>
    </row>
    <row r="23903" spans="4:8" x14ac:dyDescent="0.25">
      <c r="D23903" s="28"/>
      <c r="F23903" s="28"/>
      <c r="H23903" s="28"/>
    </row>
    <row r="23904" spans="4:8" x14ac:dyDescent="0.25">
      <c r="D23904" s="28"/>
      <c r="F23904" s="28"/>
      <c r="H23904" s="28"/>
    </row>
    <row r="23905" spans="4:8" x14ac:dyDescent="0.25">
      <c r="D23905" s="28"/>
      <c r="F23905" s="28"/>
      <c r="H23905" s="28"/>
    </row>
    <row r="23906" spans="4:8" x14ac:dyDescent="0.25">
      <c r="D23906" s="28"/>
      <c r="F23906" s="28"/>
      <c r="H23906" s="28"/>
    </row>
    <row r="23907" spans="4:8" x14ac:dyDescent="0.25">
      <c r="D23907" s="28"/>
      <c r="F23907" s="28"/>
      <c r="H23907" s="28"/>
    </row>
    <row r="23908" spans="4:8" x14ac:dyDescent="0.25">
      <c r="D23908" s="28"/>
      <c r="F23908" s="28"/>
      <c r="H23908" s="28"/>
    </row>
    <row r="23909" spans="4:8" x14ac:dyDescent="0.25">
      <c r="D23909" s="28"/>
      <c r="F23909" s="28"/>
      <c r="H23909" s="28"/>
    </row>
    <row r="23910" spans="4:8" x14ac:dyDescent="0.25">
      <c r="D23910" s="28"/>
      <c r="F23910" s="28"/>
      <c r="H23910" s="28"/>
    </row>
    <row r="23911" spans="4:8" x14ac:dyDescent="0.25">
      <c r="D23911" s="28"/>
      <c r="F23911" s="28"/>
      <c r="H23911" s="28"/>
    </row>
    <row r="23912" spans="4:8" x14ac:dyDescent="0.25">
      <c r="D23912" s="28"/>
      <c r="F23912" s="28"/>
      <c r="H23912" s="28"/>
    </row>
    <row r="23913" spans="4:8" x14ac:dyDescent="0.25">
      <c r="D23913" s="28"/>
      <c r="F23913" s="28"/>
      <c r="H23913" s="28"/>
    </row>
    <row r="23914" spans="4:8" x14ac:dyDescent="0.25">
      <c r="D23914" s="28"/>
      <c r="F23914" s="28"/>
      <c r="H23914" s="28"/>
    </row>
    <row r="23915" spans="4:8" x14ac:dyDescent="0.25">
      <c r="D23915" s="28"/>
      <c r="F23915" s="28"/>
      <c r="H23915" s="28"/>
    </row>
    <row r="23916" spans="4:8" x14ac:dyDescent="0.25">
      <c r="D23916" s="28"/>
      <c r="F23916" s="28"/>
      <c r="H23916" s="28"/>
    </row>
    <row r="23917" spans="4:8" x14ac:dyDescent="0.25">
      <c r="D23917" s="28"/>
      <c r="F23917" s="28"/>
      <c r="H23917" s="28"/>
    </row>
    <row r="23918" spans="4:8" x14ac:dyDescent="0.25">
      <c r="D23918" s="28"/>
      <c r="F23918" s="28"/>
      <c r="H23918" s="28"/>
    </row>
    <row r="23919" spans="4:8" x14ac:dyDescent="0.25">
      <c r="D23919" s="28"/>
      <c r="F23919" s="28"/>
      <c r="H23919" s="28"/>
    </row>
    <row r="23920" spans="4:8" x14ac:dyDescent="0.25">
      <c r="D23920" s="28"/>
      <c r="F23920" s="28"/>
      <c r="H23920" s="28"/>
    </row>
    <row r="23921" spans="4:8" x14ac:dyDescent="0.25">
      <c r="D23921" s="28"/>
      <c r="F23921" s="28"/>
      <c r="H23921" s="28"/>
    </row>
    <row r="23922" spans="4:8" x14ac:dyDescent="0.25">
      <c r="D23922" s="28"/>
      <c r="F23922" s="28"/>
      <c r="H23922" s="28"/>
    </row>
    <row r="23923" spans="4:8" x14ac:dyDescent="0.25">
      <c r="D23923" s="28"/>
      <c r="F23923" s="28"/>
      <c r="H23923" s="28"/>
    </row>
    <row r="23924" spans="4:8" x14ac:dyDescent="0.25">
      <c r="D23924" s="28"/>
      <c r="F23924" s="28"/>
      <c r="H23924" s="28"/>
    </row>
    <row r="23925" spans="4:8" x14ac:dyDescent="0.25">
      <c r="D23925" s="28"/>
      <c r="F23925" s="28"/>
      <c r="H23925" s="28"/>
    </row>
    <row r="23926" spans="4:8" x14ac:dyDescent="0.25">
      <c r="D23926" s="28"/>
      <c r="F23926" s="28"/>
      <c r="H23926" s="28"/>
    </row>
    <row r="23927" spans="4:8" x14ac:dyDescent="0.25">
      <c r="D23927" s="28"/>
      <c r="F23927" s="28"/>
      <c r="H23927" s="28"/>
    </row>
    <row r="23928" spans="4:8" x14ac:dyDescent="0.25">
      <c r="D23928" s="28"/>
      <c r="F23928" s="28"/>
      <c r="H23928" s="28"/>
    </row>
    <row r="23929" spans="4:8" x14ac:dyDescent="0.25">
      <c r="D23929" s="28"/>
      <c r="F23929" s="28"/>
      <c r="H23929" s="28"/>
    </row>
    <row r="23930" spans="4:8" x14ac:dyDescent="0.25">
      <c r="D23930" s="28"/>
      <c r="F23930" s="28"/>
      <c r="H23930" s="28"/>
    </row>
    <row r="23931" spans="4:8" x14ac:dyDescent="0.25">
      <c r="D23931" s="28"/>
      <c r="F23931" s="28"/>
      <c r="H23931" s="28"/>
    </row>
    <row r="23932" spans="4:8" x14ac:dyDescent="0.25">
      <c r="D23932" s="28"/>
      <c r="F23932" s="28"/>
      <c r="H23932" s="28"/>
    </row>
    <row r="23933" spans="4:8" x14ac:dyDescent="0.25">
      <c r="D23933" s="28"/>
      <c r="F23933" s="28"/>
      <c r="H23933" s="28"/>
    </row>
    <row r="23934" spans="4:8" x14ac:dyDescent="0.25">
      <c r="D23934" s="28"/>
      <c r="F23934" s="28"/>
      <c r="H23934" s="28"/>
    </row>
    <row r="23935" spans="4:8" x14ac:dyDescent="0.25">
      <c r="D23935" s="28"/>
      <c r="F23935" s="28"/>
      <c r="H23935" s="28"/>
    </row>
    <row r="23936" spans="4:8" x14ac:dyDescent="0.25">
      <c r="D23936" s="28"/>
      <c r="F23936" s="28"/>
      <c r="H23936" s="28"/>
    </row>
    <row r="23937" spans="4:8" x14ac:dyDescent="0.25">
      <c r="D23937" s="28"/>
      <c r="F23937" s="28"/>
      <c r="H23937" s="28"/>
    </row>
    <row r="23938" spans="4:8" x14ac:dyDescent="0.25">
      <c r="D23938" s="28"/>
      <c r="F23938" s="28"/>
      <c r="H23938" s="28"/>
    </row>
    <row r="23939" spans="4:8" x14ac:dyDescent="0.25">
      <c r="D23939" s="28"/>
      <c r="F23939" s="28"/>
      <c r="H23939" s="28"/>
    </row>
    <row r="23940" spans="4:8" x14ac:dyDescent="0.25">
      <c r="D23940" s="28"/>
      <c r="F23940" s="28"/>
      <c r="H23940" s="28"/>
    </row>
    <row r="23941" spans="4:8" x14ac:dyDescent="0.25">
      <c r="D23941" s="28"/>
      <c r="F23941" s="28"/>
      <c r="H23941" s="28"/>
    </row>
    <row r="23942" spans="4:8" x14ac:dyDescent="0.25">
      <c r="D23942" s="28"/>
      <c r="F23942" s="28"/>
      <c r="H23942" s="28"/>
    </row>
    <row r="23943" spans="4:8" x14ac:dyDescent="0.25">
      <c r="D23943" s="28"/>
      <c r="F23943" s="28"/>
      <c r="H23943" s="28"/>
    </row>
    <row r="23944" spans="4:8" x14ac:dyDescent="0.25">
      <c r="D23944" s="28"/>
      <c r="F23944" s="28"/>
      <c r="H23944" s="28"/>
    </row>
    <row r="23945" spans="4:8" x14ac:dyDescent="0.25">
      <c r="D23945" s="28"/>
      <c r="F23945" s="28"/>
      <c r="H23945" s="28"/>
    </row>
    <row r="23946" spans="4:8" x14ac:dyDescent="0.25">
      <c r="D23946" s="28"/>
      <c r="F23946" s="28"/>
      <c r="H23946" s="28"/>
    </row>
    <row r="23947" spans="4:8" x14ac:dyDescent="0.25">
      <c r="D23947" s="28"/>
      <c r="F23947" s="28"/>
      <c r="H23947" s="28"/>
    </row>
    <row r="23948" spans="4:8" x14ac:dyDescent="0.25">
      <c r="D23948" s="28"/>
      <c r="F23948" s="28"/>
      <c r="H23948" s="28"/>
    </row>
    <row r="23949" spans="4:8" x14ac:dyDescent="0.25">
      <c r="D23949" s="28"/>
      <c r="F23949" s="28"/>
      <c r="H23949" s="28"/>
    </row>
    <row r="23950" spans="4:8" x14ac:dyDescent="0.25">
      <c r="D23950" s="28"/>
      <c r="F23950" s="28"/>
      <c r="H23950" s="28"/>
    </row>
    <row r="23951" spans="4:8" x14ac:dyDescent="0.25">
      <c r="D23951" s="28"/>
      <c r="F23951" s="28"/>
      <c r="H23951" s="28"/>
    </row>
    <row r="23952" spans="4:8" x14ac:dyDescent="0.25">
      <c r="D23952" s="28"/>
      <c r="F23952" s="28"/>
      <c r="H23952" s="28"/>
    </row>
    <row r="23953" spans="4:8" x14ac:dyDescent="0.25">
      <c r="D23953" s="28"/>
      <c r="F23953" s="28"/>
      <c r="H23953" s="28"/>
    </row>
    <row r="23954" spans="4:8" x14ac:dyDescent="0.25">
      <c r="D23954" s="28"/>
      <c r="F23954" s="28"/>
      <c r="H23954" s="28"/>
    </row>
    <row r="23955" spans="4:8" x14ac:dyDescent="0.25">
      <c r="D23955" s="28"/>
      <c r="F23955" s="28"/>
      <c r="H23955" s="28"/>
    </row>
    <row r="23956" spans="4:8" x14ac:dyDescent="0.25">
      <c r="D23956" s="28"/>
      <c r="F23956" s="28"/>
      <c r="H23956" s="28"/>
    </row>
    <row r="23957" spans="4:8" x14ac:dyDescent="0.25">
      <c r="D23957" s="28"/>
      <c r="F23957" s="28"/>
      <c r="H23957" s="28"/>
    </row>
    <row r="23958" spans="4:8" x14ac:dyDescent="0.25">
      <c r="D23958" s="28"/>
      <c r="F23958" s="28"/>
      <c r="H23958" s="28"/>
    </row>
    <row r="23959" spans="4:8" x14ac:dyDescent="0.25">
      <c r="D23959" s="28"/>
      <c r="F23959" s="28"/>
      <c r="H23959" s="28"/>
    </row>
    <row r="23960" spans="4:8" x14ac:dyDescent="0.25">
      <c r="D23960" s="28"/>
      <c r="F23960" s="28"/>
      <c r="H23960" s="28"/>
    </row>
    <row r="23961" spans="4:8" x14ac:dyDescent="0.25">
      <c r="D23961" s="28"/>
      <c r="F23961" s="28"/>
      <c r="H23961" s="28"/>
    </row>
    <row r="23962" spans="4:8" x14ac:dyDescent="0.25">
      <c r="D23962" s="28"/>
      <c r="F23962" s="28"/>
      <c r="H23962" s="28"/>
    </row>
    <row r="23963" spans="4:8" x14ac:dyDescent="0.25">
      <c r="D23963" s="28"/>
      <c r="F23963" s="28"/>
      <c r="H23963" s="28"/>
    </row>
    <row r="23964" spans="4:8" x14ac:dyDescent="0.25">
      <c r="D23964" s="28"/>
      <c r="F23964" s="28"/>
      <c r="H23964" s="28"/>
    </row>
    <row r="23965" spans="4:8" x14ac:dyDescent="0.25">
      <c r="D23965" s="28"/>
      <c r="F23965" s="28"/>
      <c r="H23965" s="28"/>
    </row>
    <row r="23966" spans="4:8" x14ac:dyDescent="0.25">
      <c r="D23966" s="28"/>
      <c r="F23966" s="28"/>
      <c r="H23966" s="28"/>
    </row>
    <row r="23967" spans="4:8" x14ac:dyDescent="0.25">
      <c r="D23967" s="28"/>
      <c r="F23967" s="28"/>
      <c r="H23967" s="28"/>
    </row>
    <row r="23968" spans="4:8" x14ac:dyDescent="0.25">
      <c r="D23968" s="28"/>
      <c r="F23968" s="28"/>
      <c r="H23968" s="28"/>
    </row>
    <row r="23969" spans="4:8" x14ac:dyDescent="0.25">
      <c r="D23969" s="28"/>
      <c r="F23969" s="28"/>
      <c r="H23969" s="28"/>
    </row>
    <row r="23970" spans="4:8" x14ac:dyDescent="0.25">
      <c r="D23970" s="28"/>
      <c r="F23970" s="28"/>
      <c r="H23970" s="28"/>
    </row>
    <row r="23971" spans="4:8" x14ac:dyDescent="0.25">
      <c r="D23971" s="28"/>
      <c r="F23971" s="28"/>
      <c r="H23971" s="28"/>
    </row>
    <row r="23972" spans="4:8" x14ac:dyDescent="0.25">
      <c r="D23972" s="28"/>
      <c r="F23972" s="28"/>
      <c r="H23972" s="28"/>
    </row>
    <row r="23973" spans="4:8" x14ac:dyDescent="0.25">
      <c r="D23973" s="28"/>
      <c r="F23973" s="28"/>
      <c r="H23973" s="28"/>
    </row>
    <row r="23974" spans="4:8" x14ac:dyDescent="0.25">
      <c r="D23974" s="28"/>
      <c r="F23974" s="28"/>
      <c r="H23974" s="28"/>
    </row>
    <row r="23975" spans="4:8" x14ac:dyDescent="0.25">
      <c r="D23975" s="28"/>
      <c r="F23975" s="28"/>
      <c r="H23975" s="28"/>
    </row>
    <row r="23976" spans="4:8" x14ac:dyDescent="0.25">
      <c r="D23976" s="28"/>
      <c r="F23976" s="28"/>
      <c r="H23976" s="28"/>
    </row>
    <row r="23977" spans="4:8" x14ac:dyDescent="0.25">
      <c r="D23977" s="28"/>
      <c r="F23977" s="28"/>
      <c r="H23977" s="28"/>
    </row>
    <row r="23978" spans="4:8" x14ac:dyDescent="0.25">
      <c r="D23978" s="28"/>
      <c r="F23978" s="28"/>
      <c r="H23978" s="28"/>
    </row>
    <row r="23979" spans="4:8" x14ac:dyDescent="0.25">
      <c r="D23979" s="28"/>
      <c r="F23979" s="28"/>
      <c r="H23979" s="28"/>
    </row>
    <row r="23980" spans="4:8" x14ac:dyDescent="0.25">
      <c r="D23980" s="28"/>
      <c r="F23980" s="28"/>
      <c r="H23980" s="28"/>
    </row>
    <row r="23981" spans="4:8" x14ac:dyDescent="0.25">
      <c r="D23981" s="28"/>
      <c r="F23981" s="28"/>
      <c r="H23981" s="28"/>
    </row>
    <row r="23982" spans="4:8" x14ac:dyDescent="0.25">
      <c r="D23982" s="28"/>
      <c r="F23982" s="28"/>
      <c r="H23982" s="28"/>
    </row>
    <row r="23983" spans="4:8" x14ac:dyDescent="0.25">
      <c r="D23983" s="28"/>
      <c r="F23983" s="28"/>
      <c r="H23983" s="28"/>
    </row>
    <row r="23984" spans="4:8" x14ac:dyDescent="0.25">
      <c r="D23984" s="28"/>
      <c r="F23984" s="28"/>
      <c r="H23984" s="28"/>
    </row>
    <row r="23985" spans="4:8" x14ac:dyDescent="0.25">
      <c r="D23985" s="28"/>
      <c r="F23985" s="28"/>
      <c r="H23985" s="28"/>
    </row>
    <row r="23986" spans="4:8" x14ac:dyDescent="0.25">
      <c r="D23986" s="28"/>
      <c r="F23986" s="28"/>
      <c r="H23986" s="28"/>
    </row>
    <row r="23987" spans="4:8" x14ac:dyDescent="0.25">
      <c r="D23987" s="28"/>
      <c r="F23987" s="28"/>
      <c r="H23987" s="28"/>
    </row>
    <row r="23988" spans="4:8" x14ac:dyDescent="0.25">
      <c r="D23988" s="28"/>
      <c r="F23988" s="28"/>
      <c r="H23988" s="28"/>
    </row>
    <row r="23989" spans="4:8" x14ac:dyDescent="0.25">
      <c r="D23989" s="28"/>
      <c r="F23989" s="28"/>
      <c r="H23989" s="28"/>
    </row>
    <row r="23990" spans="4:8" x14ac:dyDescent="0.25">
      <c r="D23990" s="28"/>
      <c r="F23990" s="28"/>
      <c r="H23990" s="28"/>
    </row>
    <row r="23991" spans="4:8" x14ac:dyDescent="0.25">
      <c r="D23991" s="28"/>
      <c r="F23991" s="28"/>
      <c r="H23991" s="28"/>
    </row>
    <row r="23992" spans="4:8" x14ac:dyDescent="0.25">
      <c r="D23992" s="28"/>
      <c r="F23992" s="28"/>
      <c r="H23992" s="28"/>
    </row>
    <row r="23993" spans="4:8" x14ac:dyDescent="0.25">
      <c r="D23993" s="28"/>
      <c r="F23993" s="28"/>
      <c r="H23993" s="28"/>
    </row>
    <row r="23994" spans="4:8" x14ac:dyDescent="0.25">
      <c r="D23994" s="28"/>
      <c r="F23994" s="28"/>
      <c r="H23994" s="28"/>
    </row>
    <row r="23995" spans="4:8" x14ac:dyDescent="0.25">
      <c r="D23995" s="28"/>
      <c r="F23995" s="28"/>
      <c r="H23995" s="28"/>
    </row>
    <row r="23996" spans="4:8" x14ac:dyDescent="0.25">
      <c r="D23996" s="28"/>
      <c r="F23996" s="28"/>
      <c r="H23996" s="28"/>
    </row>
    <row r="23997" spans="4:8" x14ac:dyDescent="0.25">
      <c r="D23997" s="28"/>
      <c r="F23997" s="28"/>
      <c r="H23997" s="28"/>
    </row>
    <row r="23998" spans="4:8" x14ac:dyDescent="0.25">
      <c r="D23998" s="28"/>
      <c r="F23998" s="28"/>
      <c r="H23998" s="28"/>
    </row>
    <row r="23999" spans="4:8" x14ac:dyDescent="0.25">
      <c r="D23999" s="28"/>
      <c r="F23999" s="28"/>
      <c r="H23999" s="28"/>
    </row>
    <row r="24000" spans="4:8" x14ac:dyDescent="0.25">
      <c r="D24000" s="28"/>
      <c r="F24000" s="28"/>
      <c r="H24000" s="28"/>
    </row>
    <row r="24001" spans="4:8" x14ac:dyDescent="0.25">
      <c r="D24001" s="28"/>
      <c r="F24001" s="28"/>
      <c r="H24001" s="28"/>
    </row>
    <row r="24002" spans="4:8" x14ac:dyDescent="0.25">
      <c r="D24002" s="28"/>
      <c r="F24002" s="28"/>
      <c r="H24002" s="28"/>
    </row>
    <row r="24003" spans="4:8" x14ac:dyDescent="0.25">
      <c r="D24003" s="28"/>
      <c r="F24003" s="28"/>
      <c r="H24003" s="28"/>
    </row>
    <row r="24004" spans="4:8" x14ac:dyDescent="0.25">
      <c r="D24004" s="28"/>
      <c r="F24004" s="28"/>
      <c r="H24004" s="28"/>
    </row>
    <row r="24005" spans="4:8" x14ac:dyDescent="0.25">
      <c r="D24005" s="28"/>
      <c r="F24005" s="28"/>
      <c r="H24005" s="28"/>
    </row>
    <row r="24006" spans="4:8" x14ac:dyDescent="0.25">
      <c r="D24006" s="28"/>
      <c r="F24006" s="28"/>
      <c r="H24006" s="28"/>
    </row>
    <row r="24007" spans="4:8" x14ac:dyDescent="0.25">
      <c r="D24007" s="28"/>
      <c r="F24007" s="28"/>
      <c r="H24007" s="28"/>
    </row>
    <row r="24008" spans="4:8" x14ac:dyDescent="0.25">
      <c r="D24008" s="28"/>
      <c r="F24008" s="28"/>
      <c r="H24008" s="28"/>
    </row>
    <row r="24009" spans="4:8" x14ac:dyDescent="0.25">
      <c r="D24009" s="28"/>
      <c r="F24009" s="28"/>
      <c r="H24009" s="28"/>
    </row>
    <row r="24010" spans="4:8" x14ac:dyDescent="0.25">
      <c r="D24010" s="28"/>
      <c r="F24010" s="28"/>
      <c r="H24010" s="28"/>
    </row>
    <row r="24011" spans="4:8" x14ac:dyDescent="0.25">
      <c r="D24011" s="28"/>
      <c r="F24011" s="28"/>
      <c r="H24011" s="28"/>
    </row>
    <row r="24012" spans="4:8" x14ac:dyDescent="0.25">
      <c r="D24012" s="28"/>
      <c r="F24012" s="28"/>
      <c r="H24012" s="28"/>
    </row>
    <row r="24013" spans="4:8" x14ac:dyDescent="0.25">
      <c r="D24013" s="28"/>
      <c r="F24013" s="28"/>
      <c r="H24013" s="28"/>
    </row>
    <row r="24014" spans="4:8" x14ac:dyDescent="0.25">
      <c r="D24014" s="28"/>
      <c r="F24014" s="28"/>
      <c r="H24014" s="28"/>
    </row>
    <row r="24015" spans="4:8" x14ac:dyDescent="0.25">
      <c r="D24015" s="28"/>
      <c r="F24015" s="28"/>
      <c r="H24015" s="28"/>
    </row>
    <row r="24016" spans="4:8" x14ac:dyDescent="0.25">
      <c r="D24016" s="28"/>
      <c r="F24016" s="28"/>
      <c r="H24016" s="28"/>
    </row>
    <row r="24017" spans="4:8" x14ac:dyDescent="0.25">
      <c r="D24017" s="28"/>
      <c r="F24017" s="28"/>
      <c r="H24017" s="28"/>
    </row>
    <row r="24018" spans="4:8" x14ac:dyDescent="0.25">
      <c r="D24018" s="28"/>
      <c r="F24018" s="28"/>
      <c r="H24018" s="28"/>
    </row>
    <row r="24019" spans="4:8" x14ac:dyDescent="0.25">
      <c r="D24019" s="28"/>
      <c r="F24019" s="28"/>
      <c r="H24019" s="28"/>
    </row>
    <row r="24020" spans="4:8" x14ac:dyDescent="0.25">
      <c r="D24020" s="28"/>
      <c r="F24020" s="28"/>
      <c r="H24020" s="28"/>
    </row>
    <row r="24021" spans="4:8" x14ac:dyDescent="0.25">
      <c r="D24021" s="28"/>
      <c r="F24021" s="28"/>
      <c r="H24021" s="28"/>
    </row>
    <row r="24022" spans="4:8" x14ac:dyDescent="0.25">
      <c r="D24022" s="28"/>
      <c r="F24022" s="28"/>
      <c r="H24022" s="28"/>
    </row>
    <row r="24023" spans="4:8" x14ac:dyDescent="0.25">
      <c r="D24023" s="28"/>
      <c r="F24023" s="28"/>
      <c r="H24023" s="28"/>
    </row>
    <row r="24024" spans="4:8" x14ac:dyDescent="0.25">
      <c r="D24024" s="28"/>
      <c r="F24024" s="28"/>
      <c r="H24024" s="28"/>
    </row>
    <row r="24025" spans="4:8" x14ac:dyDescent="0.25">
      <c r="D24025" s="28"/>
      <c r="F24025" s="28"/>
      <c r="H24025" s="28"/>
    </row>
    <row r="24026" spans="4:8" x14ac:dyDescent="0.25">
      <c r="D24026" s="28"/>
      <c r="F24026" s="28"/>
      <c r="H24026" s="28"/>
    </row>
    <row r="24027" spans="4:8" x14ac:dyDescent="0.25">
      <c r="D24027" s="28"/>
      <c r="F24027" s="28"/>
      <c r="H24027" s="28"/>
    </row>
    <row r="24028" spans="4:8" x14ac:dyDescent="0.25">
      <c r="D24028" s="28"/>
      <c r="F24028" s="28"/>
      <c r="H24028" s="28"/>
    </row>
    <row r="24029" spans="4:8" x14ac:dyDescent="0.25">
      <c r="D24029" s="28"/>
      <c r="F24029" s="28"/>
      <c r="H24029" s="28"/>
    </row>
    <row r="24030" spans="4:8" x14ac:dyDescent="0.25">
      <c r="D24030" s="28"/>
      <c r="F24030" s="28"/>
      <c r="H24030" s="28"/>
    </row>
    <row r="24031" spans="4:8" x14ac:dyDescent="0.25">
      <c r="D24031" s="28"/>
      <c r="F24031" s="28"/>
      <c r="H24031" s="28"/>
    </row>
    <row r="24032" spans="4:8" x14ac:dyDescent="0.25">
      <c r="D24032" s="28"/>
      <c r="F24032" s="28"/>
      <c r="H24032" s="28"/>
    </row>
    <row r="24033" spans="4:8" x14ac:dyDescent="0.25">
      <c r="D24033" s="28"/>
      <c r="F24033" s="28"/>
      <c r="H24033" s="28"/>
    </row>
    <row r="24034" spans="4:8" x14ac:dyDescent="0.25">
      <c r="D24034" s="28"/>
      <c r="F24034" s="28"/>
      <c r="H24034" s="28"/>
    </row>
    <row r="24035" spans="4:8" x14ac:dyDescent="0.25">
      <c r="D24035" s="28"/>
      <c r="F24035" s="28"/>
      <c r="H24035" s="28"/>
    </row>
    <row r="24036" spans="4:8" x14ac:dyDescent="0.25">
      <c r="D24036" s="28"/>
      <c r="F24036" s="28"/>
      <c r="H24036" s="28"/>
    </row>
    <row r="24037" spans="4:8" x14ac:dyDescent="0.25">
      <c r="D24037" s="28"/>
      <c r="F24037" s="28"/>
      <c r="H24037" s="28"/>
    </row>
    <row r="24038" spans="4:8" x14ac:dyDescent="0.25">
      <c r="D24038" s="28"/>
      <c r="F24038" s="28"/>
      <c r="H24038" s="28"/>
    </row>
    <row r="24039" spans="4:8" x14ac:dyDescent="0.25">
      <c r="D24039" s="28"/>
      <c r="F24039" s="28"/>
      <c r="H24039" s="28"/>
    </row>
    <row r="24040" spans="4:8" x14ac:dyDescent="0.25">
      <c r="D24040" s="28"/>
      <c r="F24040" s="28"/>
      <c r="H24040" s="28"/>
    </row>
    <row r="24041" spans="4:8" x14ac:dyDescent="0.25">
      <c r="D24041" s="28"/>
      <c r="F24041" s="28"/>
      <c r="H24041" s="28"/>
    </row>
    <row r="24042" spans="4:8" x14ac:dyDescent="0.25">
      <c r="D24042" s="28"/>
      <c r="F24042" s="28"/>
      <c r="H24042" s="28"/>
    </row>
    <row r="24043" spans="4:8" x14ac:dyDescent="0.25">
      <c r="D24043" s="28"/>
      <c r="F24043" s="28"/>
      <c r="H24043" s="28"/>
    </row>
    <row r="24044" spans="4:8" x14ac:dyDescent="0.25">
      <c r="D24044" s="28"/>
      <c r="F24044" s="28"/>
      <c r="H24044" s="28"/>
    </row>
    <row r="24045" spans="4:8" x14ac:dyDescent="0.25">
      <c r="D24045" s="28"/>
      <c r="F24045" s="28"/>
      <c r="H24045" s="28"/>
    </row>
    <row r="24046" spans="4:8" x14ac:dyDescent="0.25">
      <c r="D24046" s="28"/>
      <c r="F24046" s="28"/>
      <c r="H24046" s="28"/>
    </row>
    <row r="24047" spans="4:8" x14ac:dyDescent="0.25">
      <c r="D24047" s="28"/>
      <c r="F24047" s="28"/>
      <c r="H24047" s="28"/>
    </row>
    <row r="24048" spans="4:8" x14ac:dyDescent="0.25">
      <c r="D24048" s="28"/>
      <c r="F24048" s="28"/>
      <c r="H24048" s="28"/>
    </row>
    <row r="24049" spans="4:8" x14ac:dyDescent="0.25">
      <c r="D24049" s="28"/>
      <c r="F24049" s="28"/>
      <c r="H24049" s="28"/>
    </row>
    <row r="24050" spans="4:8" x14ac:dyDescent="0.25">
      <c r="D24050" s="28"/>
      <c r="F24050" s="28"/>
      <c r="H24050" s="28"/>
    </row>
    <row r="24051" spans="4:8" x14ac:dyDescent="0.25">
      <c r="D24051" s="28"/>
      <c r="F24051" s="28"/>
      <c r="H24051" s="28"/>
    </row>
    <row r="24052" spans="4:8" x14ac:dyDescent="0.25">
      <c r="D24052" s="28"/>
      <c r="F24052" s="28"/>
      <c r="H24052" s="28"/>
    </row>
    <row r="24053" spans="4:8" x14ac:dyDescent="0.25">
      <c r="D24053" s="28"/>
      <c r="F24053" s="28"/>
      <c r="H24053" s="28"/>
    </row>
    <row r="24054" spans="4:8" x14ac:dyDescent="0.25">
      <c r="D24054" s="28"/>
      <c r="F24054" s="28"/>
      <c r="H24054" s="28"/>
    </row>
    <row r="24055" spans="4:8" x14ac:dyDescent="0.25">
      <c r="D24055" s="28"/>
      <c r="F24055" s="28"/>
      <c r="H24055" s="28"/>
    </row>
    <row r="24056" spans="4:8" x14ac:dyDescent="0.25">
      <c r="D24056" s="28"/>
      <c r="F24056" s="28"/>
      <c r="H24056" s="28"/>
    </row>
    <row r="24057" spans="4:8" x14ac:dyDescent="0.25">
      <c r="D24057" s="28"/>
      <c r="F24057" s="28"/>
      <c r="H24057" s="28"/>
    </row>
    <row r="24058" spans="4:8" x14ac:dyDescent="0.25">
      <c r="D24058" s="28"/>
      <c r="F24058" s="28"/>
      <c r="H24058" s="28"/>
    </row>
    <row r="24059" spans="4:8" x14ac:dyDescent="0.25">
      <c r="D24059" s="28"/>
      <c r="F24059" s="28"/>
      <c r="H24059" s="28"/>
    </row>
    <row r="24060" spans="4:8" x14ac:dyDescent="0.25">
      <c r="D24060" s="28"/>
      <c r="F24060" s="28"/>
      <c r="H24060" s="28"/>
    </row>
    <row r="24061" spans="4:8" x14ac:dyDescent="0.25">
      <c r="D24061" s="28"/>
      <c r="F24061" s="28"/>
      <c r="H24061" s="28"/>
    </row>
    <row r="24062" spans="4:8" x14ac:dyDescent="0.25">
      <c r="D24062" s="28"/>
      <c r="F24062" s="28"/>
      <c r="H24062" s="28"/>
    </row>
    <row r="24063" spans="4:8" x14ac:dyDescent="0.25">
      <c r="D24063" s="28"/>
      <c r="F24063" s="28"/>
      <c r="H24063" s="28"/>
    </row>
    <row r="24064" spans="4:8" x14ac:dyDescent="0.25">
      <c r="D24064" s="28"/>
      <c r="F24064" s="28"/>
      <c r="H24064" s="28"/>
    </row>
    <row r="24065" spans="4:8" x14ac:dyDescent="0.25">
      <c r="D24065" s="28"/>
      <c r="F24065" s="28"/>
      <c r="H24065" s="28"/>
    </row>
    <row r="24066" spans="4:8" x14ac:dyDescent="0.25">
      <c r="D24066" s="28"/>
      <c r="F24066" s="28"/>
      <c r="H24066" s="28"/>
    </row>
    <row r="24067" spans="4:8" x14ac:dyDescent="0.25">
      <c r="D24067" s="28"/>
      <c r="F24067" s="28"/>
      <c r="H24067" s="28"/>
    </row>
    <row r="24068" spans="4:8" x14ac:dyDescent="0.25">
      <c r="D24068" s="28"/>
      <c r="F24068" s="28"/>
      <c r="H24068" s="28"/>
    </row>
    <row r="24069" spans="4:8" x14ac:dyDescent="0.25">
      <c r="D24069" s="28"/>
      <c r="F24069" s="28"/>
      <c r="H24069" s="28"/>
    </row>
    <row r="24070" spans="4:8" x14ac:dyDescent="0.25">
      <c r="D24070" s="28"/>
      <c r="F24070" s="28"/>
      <c r="H24070" s="28"/>
    </row>
    <row r="24071" spans="4:8" x14ac:dyDescent="0.25">
      <c r="D24071" s="28"/>
      <c r="F24071" s="28"/>
      <c r="H24071" s="28"/>
    </row>
    <row r="24072" spans="4:8" x14ac:dyDescent="0.25">
      <c r="D24072" s="28"/>
      <c r="F24072" s="28"/>
      <c r="H24072" s="28"/>
    </row>
    <row r="24073" spans="4:8" x14ac:dyDescent="0.25">
      <c r="D24073" s="28"/>
      <c r="F24073" s="28"/>
      <c r="H24073" s="28"/>
    </row>
    <row r="24074" spans="4:8" x14ac:dyDescent="0.25">
      <c r="D24074" s="28"/>
      <c r="F24074" s="28"/>
      <c r="H24074" s="28"/>
    </row>
    <row r="24075" spans="4:8" x14ac:dyDescent="0.25">
      <c r="D24075" s="28"/>
      <c r="F24075" s="28"/>
      <c r="H24075" s="28"/>
    </row>
    <row r="24076" spans="4:8" x14ac:dyDescent="0.25">
      <c r="D24076" s="28"/>
      <c r="F24076" s="28"/>
      <c r="H24076" s="28"/>
    </row>
    <row r="24077" spans="4:8" x14ac:dyDescent="0.25">
      <c r="D24077" s="28"/>
      <c r="F24077" s="28"/>
      <c r="H24077" s="28"/>
    </row>
    <row r="24078" spans="4:8" x14ac:dyDescent="0.25">
      <c r="D24078" s="28"/>
      <c r="F24078" s="28"/>
      <c r="H24078" s="28"/>
    </row>
    <row r="24079" spans="4:8" x14ac:dyDescent="0.25">
      <c r="D24079" s="28"/>
      <c r="F24079" s="28"/>
      <c r="H24079" s="28"/>
    </row>
    <row r="24080" spans="4:8" x14ac:dyDescent="0.25">
      <c r="D24080" s="28"/>
      <c r="F24080" s="28"/>
      <c r="H24080" s="28"/>
    </row>
    <row r="24081" spans="4:8" x14ac:dyDescent="0.25">
      <c r="D24081" s="28"/>
      <c r="F24081" s="28"/>
      <c r="H24081" s="28"/>
    </row>
    <row r="24082" spans="4:8" x14ac:dyDescent="0.25">
      <c r="D24082" s="28"/>
      <c r="F24082" s="28"/>
      <c r="H24082" s="28"/>
    </row>
    <row r="24083" spans="4:8" x14ac:dyDescent="0.25">
      <c r="D24083" s="28"/>
      <c r="F24083" s="28"/>
      <c r="H24083" s="28"/>
    </row>
    <row r="24084" spans="4:8" x14ac:dyDescent="0.25">
      <c r="D24084" s="28"/>
      <c r="F24084" s="28"/>
      <c r="H24084" s="28"/>
    </row>
    <row r="24085" spans="4:8" x14ac:dyDescent="0.25">
      <c r="D24085" s="28"/>
      <c r="F24085" s="28"/>
      <c r="H24085" s="28"/>
    </row>
    <row r="24086" spans="4:8" x14ac:dyDescent="0.25">
      <c r="D24086" s="28"/>
      <c r="F24086" s="28"/>
      <c r="H24086" s="28"/>
    </row>
    <row r="24087" spans="4:8" x14ac:dyDescent="0.25">
      <c r="D24087" s="28"/>
      <c r="F24087" s="28"/>
      <c r="H24087" s="28"/>
    </row>
    <row r="24088" spans="4:8" x14ac:dyDescent="0.25">
      <c r="D24088" s="28"/>
      <c r="F24088" s="28"/>
      <c r="H24088" s="28"/>
    </row>
    <row r="24089" spans="4:8" x14ac:dyDescent="0.25">
      <c r="D24089" s="28"/>
      <c r="F24089" s="28"/>
      <c r="H24089" s="28"/>
    </row>
    <row r="24090" spans="4:8" x14ac:dyDescent="0.25">
      <c r="D24090" s="28"/>
      <c r="F24090" s="28"/>
      <c r="H24090" s="28"/>
    </row>
    <row r="24091" spans="4:8" x14ac:dyDescent="0.25">
      <c r="D24091" s="28"/>
      <c r="F24091" s="28"/>
      <c r="H24091" s="28"/>
    </row>
    <row r="24092" spans="4:8" x14ac:dyDescent="0.25">
      <c r="D24092" s="28"/>
      <c r="F24092" s="28"/>
      <c r="H24092" s="28"/>
    </row>
    <row r="24093" spans="4:8" x14ac:dyDescent="0.25">
      <c r="D24093" s="28"/>
      <c r="F24093" s="28"/>
      <c r="H24093" s="28"/>
    </row>
    <row r="24094" spans="4:8" x14ac:dyDescent="0.25">
      <c r="D24094" s="28"/>
      <c r="F24094" s="28"/>
      <c r="H24094" s="28"/>
    </row>
    <row r="24095" spans="4:8" x14ac:dyDescent="0.25">
      <c r="D24095" s="28"/>
      <c r="F24095" s="28"/>
      <c r="H24095" s="28"/>
    </row>
    <row r="24096" spans="4:8" x14ac:dyDescent="0.25">
      <c r="D24096" s="28"/>
      <c r="F24096" s="28"/>
      <c r="H24096" s="28"/>
    </row>
    <row r="24097" spans="4:8" x14ac:dyDescent="0.25">
      <c r="D24097" s="28"/>
      <c r="F24097" s="28"/>
      <c r="H24097" s="28"/>
    </row>
    <row r="24098" spans="4:8" x14ac:dyDescent="0.25">
      <c r="D24098" s="28"/>
      <c r="F24098" s="28"/>
      <c r="H24098" s="28"/>
    </row>
    <row r="24099" spans="4:8" x14ac:dyDescent="0.25">
      <c r="D24099" s="28"/>
      <c r="F24099" s="28"/>
      <c r="H24099" s="28"/>
    </row>
    <row r="24100" spans="4:8" x14ac:dyDescent="0.25">
      <c r="D24100" s="28"/>
      <c r="F24100" s="28"/>
      <c r="H24100" s="28"/>
    </row>
    <row r="24101" spans="4:8" x14ac:dyDescent="0.25">
      <c r="D24101" s="28"/>
      <c r="F24101" s="28"/>
      <c r="H24101" s="28"/>
    </row>
    <row r="24102" spans="4:8" x14ac:dyDescent="0.25">
      <c r="D24102" s="28"/>
      <c r="F24102" s="28"/>
      <c r="H24102" s="28"/>
    </row>
    <row r="24103" spans="4:8" x14ac:dyDescent="0.25">
      <c r="D24103" s="28"/>
      <c r="F24103" s="28"/>
      <c r="H24103" s="28"/>
    </row>
    <row r="24104" spans="4:8" x14ac:dyDescent="0.25">
      <c r="D24104" s="28"/>
      <c r="F24104" s="28"/>
      <c r="H24104" s="28"/>
    </row>
    <row r="24105" spans="4:8" x14ac:dyDescent="0.25">
      <c r="D24105" s="28"/>
      <c r="F24105" s="28"/>
      <c r="H24105" s="28"/>
    </row>
    <row r="24106" spans="4:8" x14ac:dyDescent="0.25">
      <c r="D24106" s="28"/>
      <c r="F24106" s="28"/>
      <c r="H24106" s="28"/>
    </row>
    <row r="24107" spans="4:8" x14ac:dyDescent="0.25">
      <c r="D24107" s="28"/>
      <c r="F24107" s="28"/>
      <c r="H24107" s="28"/>
    </row>
    <row r="24108" spans="4:8" x14ac:dyDescent="0.25">
      <c r="D24108" s="28"/>
      <c r="F24108" s="28"/>
      <c r="H24108" s="28"/>
    </row>
    <row r="24109" spans="4:8" x14ac:dyDescent="0.25">
      <c r="D24109" s="28"/>
      <c r="F24109" s="28"/>
      <c r="H24109" s="28"/>
    </row>
    <row r="24110" spans="4:8" x14ac:dyDescent="0.25">
      <c r="D24110" s="28"/>
      <c r="F24110" s="28"/>
      <c r="H24110" s="28"/>
    </row>
    <row r="24111" spans="4:8" x14ac:dyDescent="0.25">
      <c r="D24111" s="28"/>
      <c r="F24111" s="28"/>
      <c r="H24111" s="28"/>
    </row>
    <row r="24112" spans="4:8" x14ac:dyDescent="0.25">
      <c r="D24112" s="28"/>
      <c r="F24112" s="28"/>
      <c r="H24112" s="28"/>
    </row>
    <row r="24113" spans="4:8" x14ac:dyDescent="0.25">
      <c r="D24113" s="28"/>
      <c r="F24113" s="28"/>
      <c r="H24113" s="28"/>
    </row>
    <row r="24114" spans="4:8" x14ac:dyDescent="0.25">
      <c r="D24114" s="28"/>
      <c r="F24114" s="28"/>
      <c r="H24114" s="28"/>
    </row>
    <row r="24115" spans="4:8" x14ac:dyDescent="0.25">
      <c r="D24115" s="28"/>
      <c r="F24115" s="28"/>
      <c r="H24115" s="28"/>
    </row>
    <row r="24116" spans="4:8" x14ac:dyDescent="0.25">
      <c r="D24116" s="28"/>
      <c r="F24116" s="28"/>
      <c r="H24116" s="28"/>
    </row>
    <row r="24117" spans="4:8" x14ac:dyDescent="0.25">
      <c r="D24117" s="28"/>
      <c r="F24117" s="28"/>
      <c r="H24117" s="28"/>
    </row>
    <row r="24118" spans="4:8" x14ac:dyDescent="0.25">
      <c r="D24118" s="28"/>
      <c r="F24118" s="28"/>
      <c r="H24118" s="28"/>
    </row>
    <row r="24119" spans="4:8" x14ac:dyDescent="0.25">
      <c r="D24119" s="28"/>
      <c r="F24119" s="28"/>
      <c r="H24119" s="28"/>
    </row>
    <row r="24120" spans="4:8" x14ac:dyDescent="0.25">
      <c r="D24120" s="28"/>
      <c r="F24120" s="28"/>
      <c r="H24120" s="28"/>
    </row>
    <row r="24121" spans="4:8" x14ac:dyDescent="0.25">
      <c r="D24121" s="28"/>
      <c r="F24121" s="28"/>
      <c r="H24121" s="28"/>
    </row>
    <row r="24122" spans="4:8" x14ac:dyDescent="0.25">
      <c r="D24122" s="28"/>
      <c r="F24122" s="28"/>
      <c r="H24122" s="28"/>
    </row>
    <row r="24123" spans="4:8" x14ac:dyDescent="0.25">
      <c r="D24123" s="28"/>
      <c r="F24123" s="28"/>
      <c r="H24123" s="28"/>
    </row>
    <row r="24124" spans="4:8" x14ac:dyDescent="0.25">
      <c r="D24124" s="28"/>
      <c r="F24124" s="28"/>
      <c r="H24124" s="28"/>
    </row>
    <row r="24125" spans="4:8" x14ac:dyDescent="0.25">
      <c r="D24125" s="28"/>
      <c r="F24125" s="28"/>
      <c r="H24125" s="28"/>
    </row>
    <row r="24126" spans="4:8" x14ac:dyDescent="0.25">
      <c r="D24126" s="28"/>
      <c r="F24126" s="28"/>
      <c r="H24126" s="28"/>
    </row>
    <row r="24127" spans="4:8" x14ac:dyDescent="0.25">
      <c r="D24127" s="28"/>
      <c r="F24127" s="28"/>
      <c r="H24127" s="28"/>
    </row>
    <row r="24128" spans="4:8" x14ac:dyDescent="0.25">
      <c r="D24128" s="28"/>
      <c r="F24128" s="28"/>
      <c r="H24128" s="28"/>
    </row>
    <row r="24129" spans="4:8" x14ac:dyDescent="0.25">
      <c r="D24129" s="28"/>
      <c r="F24129" s="28"/>
      <c r="H24129" s="28"/>
    </row>
    <row r="24130" spans="4:8" x14ac:dyDescent="0.25">
      <c r="D24130" s="28"/>
      <c r="F24130" s="28"/>
      <c r="H24130" s="28"/>
    </row>
    <row r="24131" spans="4:8" x14ac:dyDescent="0.25">
      <c r="D24131" s="28"/>
      <c r="F24131" s="28"/>
      <c r="H24131" s="28"/>
    </row>
    <row r="24132" spans="4:8" x14ac:dyDescent="0.25">
      <c r="D24132" s="28"/>
      <c r="F24132" s="28"/>
      <c r="H24132" s="28"/>
    </row>
    <row r="24133" spans="4:8" x14ac:dyDescent="0.25">
      <c r="D24133" s="28"/>
      <c r="F24133" s="28"/>
      <c r="H24133" s="28"/>
    </row>
    <row r="24134" spans="4:8" x14ac:dyDescent="0.25">
      <c r="D24134" s="28"/>
      <c r="F24134" s="28"/>
      <c r="H24134" s="28"/>
    </row>
    <row r="24135" spans="4:8" x14ac:dyDescent="0.25">
      <c r="D24135" s="28"/>
      <c r="F24135" s="28"/>
      <c r="H24135" s="28"/>
    </row>
    <row r="24136" spans="4:8" x14ac:dyDescent="0.25">
      <c r="D24136" s="28"/>
      <c r="F24136" s="28"/>
      <c r="H24136" s="28"/>
    </row>
    <row r="24137" spans="4:8" x14ac:dyDescent="0.25">
      <c r="D24137" s="28"/>
      <c r="F24137" s="28"/>
      <c r="H24137" s="28"/>
    </row>
    <row r="24138" spans="4:8" x14ac:dyDescent="0.25">
      <c r="D24138" s="28"/>
      <c r="F24138" s="28"/>
      <c r="H24138" s="28"/>
    </row>
    <row r="24139" spans="4:8" x14ac:dyDescent="0.25">
      <c r="D24139" s="28"/>
      <c r="F24139" s="28"/>
      <c r="H24139" s="28"/>
    </row>
    <row r="24140" spans="4:8" x14ac:dyDescent="0.25">
      <c r="D24140" s="28"/>
      <c r="F24140" s="28"/>
      <c r="H24140" s="28"/>
    </row>
    <row r="24141" spans="4:8" x14ac:dyDescent="0.25">
      <c r="D24141" s="28"/>
      <c r="F24141" s="28"/>
      <c r="H24141" s="28"/>
    </row>
    <row r="24142" spans="4:8" x14ac:dyDescent="0.25">
      <c r="D24142" s="28"/>
      <c r="F24142" s="28"/>
      <c r="H24142" s="28"/>
    </row>
    <row r="24143" spans="4:8" x14ac:dyDescent="0.25">
      <c r="D24143" s="28"/>
      <c r="F24143" s="28"/>
      <c r="H24143" s="28"/>
    </row>
    <row r="24144" spans="4:8" x14ac:dyDescent="0.25">
      <c r="D24144" s="28"/>
      <c r="F24144" s="28"/>
      <c r="H24144" s="28"/>
    </row>
    <row r="24145" spans="4:8" x14ac:dyDescent="0.25">
      <c r="D24145" s="28"/>
      <c r="F24145" s="28"/>
      <c r="H24145" s="28"/>
    </row>
    <row r="24146" spans="4:8" x14ac:dyDescent="0.25">
      <c r="D24146" s="28"/>
      <c r="F24146" s="28"/>
      <c r="H24146" s="28"/>
    </row>
    <row r="24147" spans="4:8" x14ac:dyDescent="0.25">
      <c r="D24147" s="28"/>
      <c r="F24147" s="28"/>
      <c r="H24147" s="28"/>
    </row>
    <row r="24148" spans="4:8" x14ac:dyDescent="0.25">
      <c r="D24148" s="28"/>
      <c r="F24148" s="28"/>
      <c r="H24148" s="28"/>
    </row>
    <row r="24149" spans="4:8" x14ac:dyDescent="0.25">
      <c r="D24149" s="28"/>
      <c r="F24149" s="28"/>
      <c r="H24149" s="28"/>
    </row>
    <row r="24150" spans="4:8" x14ac:dyDescent="0.25">
      <c r="D24150" s="28"/>
      <c r="F24150" s="28"/>
      <c r="H24150" s="28"/>
    </row>
    <row r="24151" spans="4:8" x14ac:dyDescent="0.25">
      <c r="D24151" s="28"/>
      <c r="F24151" s="28"/>
      <c r="H24151" s="28"/>
    </row>
    <row r="24152" spans="4:8" x14ac:dyDescent="0.25">
      <c r="D24152" s="28"/>
      <c r="F24152" s="28"/>
      <c r="H24152" s="28"/>
    </row>
    <row r="24153" spans="4:8" x14ac:dyDescent="0.25">
      <c r="D24153" s="28"/>
      <c r="F24153" s="28"/>
      <c r="H24153" s="28"/>
    </row>
    <row r="24154" spans="4:8" x14ac:dyDescent="0.25">
      <c r="D24154" s="28"/>
      <c r="F24154" s="28"/>
      <c r="H24154" s="28"/>
    </row>
    <row r="24155" spans="4:8" x14ac:dyDescent="0.25">
      <c r="D24155" s="28"/>
      <c r="F24155" s="28"/>
      <c r="H24155" s="28"/>
    </row>
    <row r="24156" spans="4:8" x14ac:dyDescent="0.25">
      <c r="D24156" s="28"/>
      <c r="F24156" s="28"/>
      <c r="H24156" s="28"/>
    </row>
    <row r="24157" spans="4:8" x14ac:dyDescent="0.25">
      <c r="D24157" s="28"/>
      <c r="F24157" s="28"/>
      <c r="H24157" s="28"/>
    </row>
    <row r="24158" spans="4:8" x14ac:dyDescent="0.25">
      <c r="D24158" s="28"/>
      <c r="F24158" s="28"/>
      <c r="H24158" s="28"/>
    </row>
    <row r="24159" spans="4:8" x14ac:dyDescent="0.25">
      <c r="D24159" s="28"/>
      <c r="F24159" s="28"/>
      <c r="H24159" s="28"/>
    </row>
    <row r="24160" spans="4:8" x14ac:dyDescent="0.25">
      <c r="D24160" s="28"/>
      <c r="F24160" s="28"/>
      <c r="H24160" s="28"/>
    </row>
    <row r="24161" spans="4:8" x14ac:dyDescent="0.25">
      <c r="D24161" s="28"/>
      <c r="F24161" s="28"/>
      <c r="H24161" s="28"/>
    </row>
    <row r="24162" spans="4:8" x14ac:dyDescent="0.25">
      <c r="D24162" s="28"/>
      <c r="F24162" s="28"/>
      <c r="H24162" s="28"/>
    </row>
    <row r="24163" spans="4:8" x14ac:dyDescent="0.25">
      <c r="D24163" s="28"/>
      <c r="F24163" s="28"/>
      <c r="H24163" s="28"/>
    </row>
    <row r="24164" spans="4:8" x14ac:dyDescent="0.25">
      <c r="D24164" s="28"/>
      <c r="F24164" s="28"/>
      <c r="H24164" s="28"/>
    </row>
    <row r="24165" spans="4:8" x14ac:dyDescent="0.25">
      <c r="D24165" s="28"/>
      <c r="F24165" s="28"/>
      <c r="H24165" s="28"/>
    </row>
    <row r="24166" spans="4:8" x14ac:dyDescent="0.25">
      <c r="D24166" s="28"/>
      <c r="F24166" s="28"/>
      <c r="H24166" s="28"/>
    </row>
    <row r="24167" spans="4:8" x14ac:dyDescent="0.25">
      <c r="D24167" s="28"/>
      <c r="F24167" s="28"/>
      <c r="H24167" s="28"/>
    </row>
    <row r="24168" spans="4:8" x14ac:dyDescent="0.25">
      <c r="D24168" s="28"/>
      <c r="F24168" s="28"/>
      <c r="H24168" s="28"/>
    </row>
    <row r="24169" spans="4:8" x14ac:dyDescent="0.25">
      <c r="D24169" s="28"/>
      <c r="F24169" s="28"/>
      <c r="H24169" s="28"/>
    </row>
    <row r="24170" spans="4:8" x14ac:dyDescent="0.25">
      <c r="D24170" s="28"/>
      <c r="F24170" s="28"/>
      <c r="H24170" s="28"/>
    </row>
    <row r="24171" spans="4:8" x14ac:dyDescent="0.25">
      <c r="D24171" s="28"/>
      <c r="F24171" s="28"/>
      <c r="H24171" s="28"/>
    </row>
    <row r="24172" spans="4:8" x14ac:dyDescent="0.25">
      <c r="D24172" s="28"/>
      <c r="F24172" s="28"/>
      <c r="H24172" s="28"/>
    </row>
    <row r="24173" spans="4:8" x14ac:dyDescent="0.25">
      <c r="D24173" s="28"/>
      <c r="F24173" s="28"/>
      <c r="H24173" s="28"/>
    </row>
    <row r="24174" spans="4:8" x14ac:dyDescent="0.25">
      <c r="D24174" s="28"/>
      <c r="F24174" s="28"/>
      <c r="H24174" s="28"/>
    </row>
    <row r="24175" spans="4:8" x14ac:dyDescent="0.25">
      <c r="D24175" s="28"/>
      <c r="F24175" s="28"/>
      <c r="H24175" s="28"/>
    </row>
    <row r="24176" spans="4:8" x14ac:dyDescent="0.25">
      <c r="D24176" s="28"/>
      <c r="F24176" s="28"/>
      <c r="H24176" s="28"/>
    </row>
    <row r="24177" spans="4:8" x14ac:dyDescent="0.25">
      <c r="D24177" s="28"/>
      <c r="F24177" s="28"/>
      <c r="H24177" s="28"/>
    </row>
    <row r="24178" spans="4:8" x14ac:dyDescent="0.25">
      <c r="D24178" s="28"/>
      <c r="F24178" s="28"/>
      <c r="H24178" s="28"/>
    </row>
    <row r="24179" spans="4:8" x14ac:dyDescent="0.25">
      <c r="D24179" s="28"/>
      <c r="F24179" s="28"/>
      <c r="H24179" s="28"/>
    </row>
    <row r="24180" spans="4:8" x14ac:dyDescent="0.25">
      <c r="D24180" s="28"/>
      <c r="F24180" s="28"/>
      <c r="H24180" s="28"/>
    </row>
    <row r="24181" spans="4:8" x14ac:dyDescent="0.25">
      <c r="D24181" s="28"/>
      <c r="F24181" s="28"/>
      <c r="H24181" s="28"/>
    </row>
    <row r="24182" spans="4:8" x14ac:dyDescent="0.25">
      <c r="D24182" s="28"/>
      <c r="F24182" s="28"/>
      <c r="H24182" s="28"/>
    </row>
    <row r="24183" spans="4:8" x14ac:dyDescent="0.25">
      <c r="D24183" s="28"/>
      <c r="F24183" s="28"/>
      <c r="H24183" s="28"/>
    </row>
    <row r="24184" spans="4:8" x14ac:dyDescent="0.25">
      <c r="D24184" s="28"/>
      <c r="F24184" s="28"/>
      <c r="H24184" s="28"/>
    </row>
    <row r="24185" spans="4:8" x14ac:dyDescent="0.25">
      <c r="D24185" s="28"/>
      <c r="F24185" s="28"/>
      <c r="H24185" s="28"/>
    </row>
    <row r="24186" spans="4:8" x14ac:dyDescent="0.25">
      <c r="D24186" s="28"/>
      <c r="F24186" s="28"/>
      <c r="H24186" s="28"/>
    </row>
    <row r="24187" spans="4:8" x14ac:dyDescent="0.25">
      <c r="D24187" s="28"/>
      <c r="F24187" s="28"/>
      <c r="H24187" s="28"/>
    </row>
    <row r="24188" spans="4:8" x14ac:dyDescent="0.25">
      <c r="D24188" s="28"/>
      <c r="F24188" s="28"/>
      <c r="H24188" s="28"/>
    </row>
    <row r="24189" spans="4:8" x14ac:dyDescent="0.25">
      <c r="D24189" s="28"/>
      <c r="F24189" s="28"/>
      <c r="H24189" s="28"/>
    </row>
    <row r="24190" spans="4:8" x14ac:dyDescent="0.25">
      <c r="D24190" s="28"/>
      <c r="F24190" s="28"/>
      <c r="H24190" s="28"/>
    </row>
    <row r="24191" spans="4:8" x14ac:dyDescent="0.25">
      <c r="D24191" s="28"/>
      <c r="F24191" s="28"/>
      <c r="H24191" s="28"/>
    </row>
    <row r="24192" spans="4:8" x14ac:dyDescent="0.25">
      <c r="D24192" s="28"/>
      <c r="F24192" s="28"/>
      <c r="H24192" s="28"/>
    </row>
    <row r="24193" spans="4:8" x14ac:dyDescent="0.25">
      <c r="D24193" s="28"/>
      <c r="F24193" s="28"/>
      <c r="H24193" s="28"/>
    </row>
    <row r="24194" spans="4:8" x14ac:dyDescent="0.25">
      <c r="D24194" s="28"/>
      <c r="F24194" s="28"/>
      <c r="H24194" s="28"/>
    </row>
    <row r="24195" spans="4:8" x14ac:dyDescent="0.25">
      <c r="D24195" s="28"/>
      <c r="F24195" s="28"/>
      <c r="H24195" s="28"/>
    </row>
    <row r="24196" spans="4:8" x14ac:dyDescent="0.25">
      <c r="D24196" s="28"/>
      <c r="F24196" s="28"/>
      <c r="H24196" s="28"/>
    </row>
    <row r="24197" spans="4:8" x14ac:dyDescent="0.25">
      <c r="D24197" s="28"/>
      <c r="F24197" s="28"/>
      <c r="H24197" s="28"/>
    </row>
    <row r="24198" spans="4:8" x14ac:dyDescent="0.25">
      <c r="D24198" s="28"/>
      <c r="F24198" s="28"/>
      <c r="H24198" s="28"/>
    </row>
    <row r="24199" spans="4:8" x14ac:dyDescent="0.25">
      <c r="D24199" s="28"/>
      <c r="F24199" s="28"/>
      <c r="H24199" s="28"/>
    </row>
    <row r="24200" spans="4:8" x14ac:dyDescent="0.25">
      <c r="D24200" s="28"/>
      <c r="F24200" s="28"/>
      <c r="H24200" s="28"/>
    </row>
    <row r="24201" spans="4:8" x14ac:dyDescent="0.25">
      <c r="D24201" s="28"/>
      <c r="F24201" s="28"/>
      <c r="H24201" s="28"/>
    </row>
    <row r="24202" spans="4:8" x14ac:dyDescent="0.25">
      <c r="D24202" s="28"/>
      <c r="F24202" s="28"/>
      <c r="H24202" s="28"/>
    </row>
    <row r="24203" spans="4:8" x14ac:dyDescent="0.25">
      <c r="D24203" s="28"/>
      <c r="F24203" s="28"/>
      <c r="H24203" s="28"/>
    </row>
    <row r="24204" spans="4:8" x14ac:dyDescent="0.25">
      <c r="D24204" s="28"/>
      <c r="F24204" s="28"/>
      <c r="H24204" s="28"/>
    </row>
    <row r="24205" spans="4:8" x14ac:dyDescent="0.25">
      <c r="D24205" s="28"/>
      <c r="F24205" s="28"/>
      <c r="H24205" s="28"/>
    </row>
    <row r="24206" spans="4:8" x14ac:dyDescent="0.25">
      <c r="D24206" s="28"/>
      <c r="F24206" s="28"/>
      <c r="H24206" s="28"/>
    </row>
    <row r="24207" spans="4:8" x14ac:dyDescent="0.25">
      <c r="D24207" s="28"/>
      <c r="F24207" s="28"/>
      <c r="H24207" s="28"/>
    </row>
    <row r="24208" spans="4:8" x14ac:dyDescent="0.25">
      <c r="D24208" s="28"/>
      <c r="F24208" s="28"/>
      <c r="H24208" s="28"/>
    </row>
    <row r="24209" spans="4:8" x14ac:dyDescent="0.25">
      <c r="D24209" s="28"/>
      <c r="F24209" s="28"/>
      <c r="H24209" s="28"/>
    </row>
    <row r="24210" spans="4:8" x14ac:dyDescent="0.25">
      <c r="D24210" s="28"/>
      <c r="F24210" s="28"/>
      <c r="H24210" s="28"/>
    </row>
    <row r="24211" spans="4:8" x14ac:dyDescent="0.25">
      <c r="D24211" s="28"/>
      <c r="F24211" s="28"/>
      <c r="H24211" s="28"/>
    </row>
    <row r="24212" spans="4:8" x14ac:dyDescent="0.25">
      <c r="D24212" s="28"/>
      <c r="F24212" s="28"/>
      <c r="H24212" s="28"/>
    </row>
    <row r="24213" spans="4:8" x14ac:dyDescent="0.25">
      <c r="D24213" s="28"/>
      <c r="F24213" s="28"/>
      <c r="H24213" s="28"/>
    </row>
    <row r="24214" spans="4:8" x14ac:dyDescent="0.25">
      <c r="D24214" s="28"/>
      <c r="F24214" s="28"/>
      <c r="H24214" s="28"/>
    </row>
    <row r="24215" spans="4:8" x14ac:dyDescent="0.25">
      <c r="D24215" s="28"/>
      <c r="F24215" s="28"/>
      <c r="H24215" s="28"/>
    </row>
    <row r="24216" spans="4:8" x14ac:dyDescent="0.25">
      <c r="D24216" s="28"/>
      <c r="F24216" s="28"/>
      <c r="H24216" s="28"/>
    </row>
    <row r="24217" spans="4:8" x14ac:dyDescent="0.25">
      <c r="D24217" s="28"/>
      <c r="F24217" s="28"/>
      <c r="H24217" s="28"/>
    </row>
    <row r="24218" spans="4:8" x14ac:dyDescent="0.25">
      <c r="D24218" s="28"/>
      <c r="F24218" s="28"/>
      <c r="H24218" s="28"/>
    </row>
    <row r="24219" spans="4:8" x14ac:dyDescent="0.25">
      <c r="D24219" s="28"/>
      <c r="F24219" s="28"/>
      <c r="H24219" s="28"/>
    </row>
    <row r="24220" spans="4:8" x14ac:dyDescent="0.25">
      <c r="D24220" s="28"/>
      <c r="F24220" s="28"/>
      <c r="H24220" s="28"/>
    </row>
    <row r="24221" spans="4:8" x14ac:dyDescent="0.25">
      <c r="D24221" s="28"/>
      <c r="F24221" s="28"/>
      <c r="H24221" s="28"/>
    </row>
    <row r="24222" spans="4:8" x14ac:dyDescent="0.25">
      <c r="D24222" s="28"/>
      <c r="F24222" s="28"/>
      <c r="H24222" s="28"/>
    </row>
    <row r="24223" spans="4:8" x14ac:dyDescent="0.25">
      <c r="D24223" s="28"/>
      <c r="F24223" s="28"/>
      <c r="H24223" s="28"/>
    </row>
    <row r="24224" spans="4:8" x14ac:dyDescent="0.25">
      <c r="D24224" s="28"/>
      <c r="F24224" s="28"/>
      <c r="H24224" s="28"/>
    </row>
    <row r="24225" spans="4:8" x14ac:dyDescent="0.25">
      <c r="D24225" s="28"/>
      <c r="F24225" s="28"/>
      <c r="H24225" s="28"/>
    </row>
    <row r="24226" spans="4:8" x14ac:dyDescent="0.25">
      <c r="D24226" s="28"/>
      <c r="F24226" s="28"/>
      <c r="H24226" s="28"/>
    </row>
    <row r="24227" spans="4:8" x14ac:dyDescent="0.25">
      <c r="D24227" s="28"/>
      <c r="F24227" s="28"/>
      <c r="H24227" s="28"/>
    </row>
    <row r="24228" spans="4:8" x14ac:dyDescent="0.25">
      <c r="D24228" s="28"/>
      <c r="F24228" s="28"/>
      <c r="H24228" s="28"/>
    </row>
    <row r="24229" spans="4:8" x14ac:dyDescent="0.25">
      <c r="D24229" s="28"/>
      <c r="F24229" s="28"/>
      <c r="H24229" s="28"/>
    </row>
    <row r="24230" spans="4:8" x14ac:dyDescent="0.25">
      <c r="D24230" s="28"/>
      <c r="F24230" s="28"/>
      <c r="H24230" s="28"/>
    </row>
    <row r="24231" spans="4:8" x14ac:dyDescent="0.25">
      <c r="D24231" s="28"/>
      <c r="F24231" s="28"/>
      <c r="H24231" s="28"/>
    </row>
    <row r="24232" spans="4:8" x14ac:dyDescent="0.25">
      <c r="D24232" s="28"/>
      <c r="F24232" s="28"/>
      <c r="H24232" s="28"/>
    </row>
    <row r="24233" spans="4:8" x14ac:dyDescent="0.25">
      <c r="D24233" s="28"/>
      <c r="F24233" s="28"/>
      <c r="H24233" s="28"/>
    </row>
    <row r="24234" spans="4:8" x14ac:dyDescent="0.25">
      <c r="D24234" s="28"/>
      <c r="F24234" s="28"/>
      <c r="H24234" s="28"/>
    </row>
    <row r="24235" spans="4:8" x14ac:dyDescent="0.25">
      <c r="D24235" s="28"/>
      <c r="F24235" s="28"/>
      <c r="H24235" s="28"/>
    </row>
    <row r="24236" spans="4:8" x14ac:dyDescent="0.25">
      <c r="D24236" s="28"/>
      <c r="F24236" s="28"/>
      <c r="H24236" s="28"/>
    </row>
    <row r="24237" spans="4:8" x14ac:dyDescent="0.25">
      <c r="D24237" s="28"/>
      <c r="F24237" s="28"/>
      <c r="H24237" s="28"/>
    </row>
    <row r="24238" spans="4:8" x14ac:dyDescent="0.25">
      <c r="D24238" s="28"/>
      <c r="F24238" s="28"/>
      <c r="H24238" s="28"/>
    </row>
    <row r="24239" spans="4:8" x14ac:dyDescent="0.25">
      <c r="D24239" s="28"/>
      <c r="F24239" s="28"/>
      <c r="H24239" s="28"/>
    </row>
    <row r="24240" spans="4:8" x14ac:dyDescent="0.25">
      <c r="D24240" s="28"/>
      <c r="F24240" s="28"/>
      <c r="H24240" s="28"/>
    </row>
    <row r="24241" spans="4:8" x14ac:dyDescent="0.25">
      <c r="D24241" s="28"/>
      <c r="F24241" s="28"/>
      <c r="H24241" s="28"/>
    </row>
    <row r="24242" spans="4:8" x14ac:dyDescent="0.25">
      <c r="D24242" s="28"/>
      <c r="F24242" s="28"/>
      <c r="H24242" s="28"/>
    </row>
    <row r="24243" spans="4:8" x14ac:dyDescent="0.25">
      <c r="D24243" s="28"/>
      <c r="F24243" s="28"/>
      <c r="H24243" s="28"/>
    </row>
    <row r="24244" spans="4:8" x14ac:dyDescent="0.25">
      <c r="D24244" s="28"/>
      <c r="F24244" s="28"/>
      <c r="H24244" s="28"/>
    </row>
    <row r="24245" spans="4:8" x14ac:dyDescent="0.25">
      <c r="D24245" s="28"/>
      <c r="F24245" s="28"/>
      <c r="H24245" s="28"/>
    </row>
    <row r="24246" spans="4:8" x14ac:dyDescent="0.25">
      <c r="D24246" s="28"/>
      <c r="F24246" s="28"/>
      <c r="H24246" s="28"/>
    </row>
    <row r="24247" spans="4:8" x14ac:dyDescent="0.25">
      <c r="D24247" s="28"/>
      <c r="F24247" s="28"/>
      <c r="H24247" s="28"/>
    </row>
    <row r="24248" spans="4:8" x14ac:dyDescent="0.25">
      <c r="D24248" s="28"/>
      <c r="F24248" s="28"/>
      <c r="H24248" s="28"/>
    </row>
    <row r="24249" spans="4:8" x14ac:dyDescent="0.25">
      <c r="D24249" s="28"/>
      <c r="F24249" s="28"/>
      <c r="H24249" s="28"/>
    </row>
    <row r="24250" spans="4:8" x14ac:dyDescent="0.25">
      <c r="D24250" s="28"/>
      <c r="F24250" s="28"/>
      <c r="H24250" s="28"/>
    </row>
    <row r="24251" spans="4:8" x14ac:dyDescent="0.25">
      <c r="D24251" s="28"/>
      <c r="F24251" s="28"/>
      <c r="H24251" s="28"/>
    </row>
    <row r="24252" spans="4:8" x14ac:dyDescent="0.25">
      <c r="D24252" s="28"/>
      <c r="F24252" s="28"/>
      <c r="H24252" s="28"/>
    </row>
    <row r="24253" spans="4:8" x14ac:dyDescent="0.25">
      <c r="D24253" s="28"/>
      <c r="F24253" s="28"/>
      <c r="H24253" s="28"/>
    </row>
    <row r="24254" spans="4:8" x14ac:dyDescent="0.25">
      <c r="D24254" s="28"/>
      <c r="F24254" s="28"/>
      <c r="H24254" s="28"/>
    </row>
    <row r="24255" spans="4:8" x14ac:dyDescent="0.25">
      <c r="D24255" s="28"/>
      <c r="F24255" s="28"/>
      <c r="H24255" s="28"/>
    </row>
    <row r="24256" spans="4:8" x14ac:dyDescent="0.25">
      <c r="D24256" s="28"/>
      <c r="F24256" s="28"/>
      <c r="H24256" s="28"/>
    </row>
    <row r="24257" spans="4:8" x14ac:dyDescent="0.25">
      <c r="D24257" s="28"/>
      <c r="F24257" s="28"/>
      <c r="H24257" s="28"/>
    </row>
    <row r="24258" spans="4:8" x14ac:dyDescent="0.25">
      <c r="D24258" s="28"/>
      <c r="F24258" s="28"/>
      <c r="H24258" s="28"/>
    </row>
    <row r="24259" spans="4:8" x14ac:dyDescent="0.25">
      <c r="D24259" s="28"/>
      <c r="F24259" s="28"/>
      <c r="H24259" s="28"/>
    </row>
    <row r="24260" spans="4:8" x14ac:dyDescent="0.25">
      <c r="D24260" s="28"/>
      <c r="F24260" s="28"/>
      <c r="H24260" s="28"/>
    </row>
    <row r="24261" spans="4:8" x14ac:dyDescent="0.25">
      <c r="D24261" s="28"/>
      <c r="F24261" s="28"/>
      <c r="H24261" s="28"/>
    </row>
    <row r="24262" spans="4:8" x14ac:dyDescent="0.25">
      <c r="D24262" s="28"/>
      <c r="F24262" s="28"/>
      <c r="H24262" s="28"/>
    </row>
    <row r="24263" spans="4:8" x14ac:dyDescent="0.25">
      <c r="D24263" s="28"/>
      <c r="F24263" s="28"/>
      <c r="H24263" s="28"/>
    </row>
    <row r="24264" spans="4:8" x14ac:dyDescent="0.25">
      <c r="D24264" s="28"/>
      <c r="F24264" s="28"/>
      <c r="H24264" s="28"/>
    </row>
    <row r="24265" spans="4:8" x14ac:dyDescent="0.25">
      <c r="D24265" s="28"/>
      <c r="F24265" s="28"/>
      <c r="H24265" s="28"/>
    </row>
    <row r="24266" spans="4:8" x14ac:dyDescent="0.25">
      <c r="D24266" s="28"/>
      <c r="F24266" s="28"/>
      <c r="H24266" s="28"/>
    </row>
    <row r="24267" spans="4:8" x14ac:dyDescent="0.25">
      <c r="D24267" s="28"/>
      <c r="F24267" s="28"/>
      <c r="H24267" s="28"/>
    </row>
    <row r="24268" spans="4:8" x14ac:dyDescent="0.25">
      <c r="D24268" s="28"/>
      <c r="F24268" s="28"/>
      <c r="H24268" s="28"/>
    </row>
    <row r="24269" spans="4:8" x14ac:dyDescent="0.25">
      <c r="D24269" s="28"/>
      <c r="F24269" s="28"/>
      <c r="H24269" s="28"/>
    </row>
    <row r="24270" spans="4:8" x14ac:dyDescent="0.25">
      <c r="D24270" s="28"/>
      <c r="F24270" s="28"/>
      <c r="H24270" s="28"/>
    </row>
    <row r="24271" spans="4:8" x14ac:dyDescent="0.25">
      <c r="D24271" s="28"/>
      <c r="F24271" s="28"/>
      <c r="H24271" s="28"/>
    </row>
    <row r="24272" spans="4:8" x14ac:dyDescent="0.25">
      <c r="D24272" s="28"/>
      <c r="F24272" s="28"/>
      <c r="H24272" s="28"/>
    </row>
    <row r="24273" spans="4:8" x14ac:dyDescent="0.25">
      <c r="D24273" s="28"/>
      <c r="F24273" s="28"/>
      <c r="H24273" s="28"/>
    </row>
    <row r="24274" spans="4:8" x14ac:dyDescent="0.25">
      <c r="D24274" s="28"/>
      <c r="F24274" s="28"/>
      <c r="H24274" s="28"/>
    </row>
    <row r="24275" spans="4:8" x14ac:dyDescent="0.25">
      <c r="D24275" s="28"/>
      <c r="F24275" s="28"/>
      <c r="H24275" s="28"/>
    </row>
    <row r="24276" spans="4:8" x14ac:dyDescent="0.25">
      <c r="D24276" s="28"/>
      <c r="F24276" s="28"/>
      <c r="H24276" s="28"/>
    </row>
    <row r="24277" spans="4:8" x14ac:dyDescent="0.25">
      <c r="D24277" s="28"/>
      <c r="F24277" s="28"/>
      <c r="H24277" s="28"/>
    </row>
    <row r="24278" spans="4:8" x14ac:dyDescent="0.25">
      <c r="D24278" s="28"/>
      <c r="F24278" s="28"/>
      <c r="H24278" s="28"/>
    </row>
    <row r="24279" spans="4:8" x14ac:dyDescent="0.25">
      <c r="D24279" s="28"/>
      <c r="F24279" s="28"/>
      <c r="H24279" s="28"/>
    </row>
    <row r="24280" spans="4:8" x14ac:dyDescent="0.25">
      <c r="D24280" s="28"/>
      <c r="F24280" s="28"/>
      <c r="H24280" s="28"/>
    </row>
    <row r="24281" spans="4:8" x14ac:dyDescent="0.25">
      <c r="D24281" s="28"/>
      <c r="F24281" s="28"/>
      <c r="H24281" s="28"/>
    </row>
    <row r="24282" spans="4:8" x14ac:dyDescent="0.25">
      <c r="D24282" s="28"/>
      <c r="F24282" s="28"/>
      <c r="H24282" s="28"/>
    </row>
    <row r="24283" spans="4:8" x14ac:dyDescent="0.25">
      <c r="D24283" s="28"/>
      <c r="F24283" s="28"/>
      <c r="H24283" s="28"/>
    </row>
    <row r="24284" spans="4:8" x14ac:dyDescent="0.25">
      <c r="D24284" s="28"/>
      <c r="F24284" s="28"/>
      <c r="H24284" s="28"/>
    </row>
    <row r="24285" spans="4:8" x14ac:dyDescent="0.25">
      <c r="D24285" s="28"/>
      <c r="F24285" s="28"/>
      <c r="H24285" s="28"/>
    </row>
    <row r="24286" spans="4:8" x14ac:dyDescent="0.25">
      <c r="D24286" s="28"/>
      <c r="F24286" s="28"/>
      <c r="H24286" s="28"/>
    </row>
    <row r="24287" spans="4:8" x14ac:dyDescent="0.25">
      <c r="D24287" s="28"/>
      <c r="F24287" s="28"/>
      <c r="H24287" s="28"/>
    </row>
    <row r="24288" spans="4:8" x14ac:dyDescent="0.25">
      <c r="D24288" s="28"/>
      <c r="F24288" s="28"/>
      <c r="H24288" s="28"/>
    </row>
    <row r="24289" spans="4:8" x14ac:dyDescent="0.25">
      <c r="D24289" s="28"/>
      <c r="F24289" s="28"/>
      <c r="H24289" s="28"/>
    </row>
    <row r="24290" spans="4:8" x14ac:dyDescent="0.25">
      <c r="D24290" s="28"/>
      <c r="F24290" s="28"/>
      <c r="H24290" s="28"/>
    </row>
    <row r="24291" spans="4:8" x14ac:dyDescent="0.25">
      <c r="D24291" s="28"/>
      <c r="F24291" s="28"/>
      <c r="H24291" s="28"/>
    </row>
    <row r="24292" spans="4:8" x14ac:dyDescent="0.25">
      <c r="D24292" s="28"/>
      <c r="F24292" s="28"/>
      <c r="H24292" s="28"/>
    </row>
    <row r="24293" spans="4:8" x14ac:dyDescent="0.25">
      <c r="D24293" s="28"/>
      <c r="F24293" s="28"/>
      <c r="H24293" s="28"/>
    </row>
    <row r="24294" spans="4:8" x14ac:dyDescent="0.25">
      <c r="D24294" s="28"/>
      <c r="F24294" s="28"/>
      <c r="H24294" s="28"/>
    </row>
    <row r="24295" spans="4:8" x14ac:dyDescent="0.25">
      <c r="D24295" s="28"/>
      <c r="F24295" s="28"/>
      <c r="H24295" s="28"/>
    </row>
    <row r="24296" spans="4:8" x14ac:dyDescent="0.25">
      <c r="D24296" s="28"/>
      <c r="F24296" s="28"/>
      <c r="H24296" s="28"/>
    </row>
    <row r="24297" spans="4:8" x14ac:dyDescent="0.25">
      <c r="D24297" s="28"/>
      <c r="F24297" s="28"/>
      <c r="H24297" s="28"/>
    </row>
    <row r="24298" spans="4:8" x14ac:dyDescent="0.25">
      <c r="D24298" s="28"/>
      <c r="F24298" s="28"/>
      <c r="H24298" s="28"/>
    </row>
    <row r="24299" spans="4:8" x14ac:dyDescent="0.25">
      <c r="D24299" s="28"/>
      <c r="F24299" s="28"/>
      <c r="H24299" s="28"/>
    </row>
    <row r="24300" spans="4:8" x14ac:dyDescent="0.25">
      <c r="D24300" s="28"/>
      <c r="F24300" s="28"/>
      <c r="H24300" s="28"/>
    </row>
    <row r="24301" spans="4:8" x14ac:dyDescent="0.25">
      <c r="D24301" s="28"/>
      <c r="F24301" s="28"/>
      <c r="H24301" s="28"/>
    </row>
    <row r="24302" spans="4:8" x14ac:dyDescent="0.25">
      <c r="D24302" s="28"/>
      <c r="F24302" s="28"/>
      <c r="H24302" s="28"/>
    </row>
    <row r="24303" spans="4:8" x14ac:dyDescent="0.25">
      <c r="D24303" s="28"/>
      <c r="F24303" s="28"/>
      <c r="H24303" s="28"/>
    </row>
    <row r="24304" spans="4:8" x14ac:dyDescent="0.25">
      <c r="D24304" s="28"/>
      <c r="F24304" s="28"/>
      <c r="H24304" s="28"/>
    </row>
    <row r="24305" spans="4:8" x14ac:dyDescent="0.25">
      <c r="D24305" s="28"/>
      <c r="F24305" s="28"/>
      <c r="H24305" s="28"/>
    </row>
    <row r="24306" spans="4:8" x14ac:dyDescent="0.25">
      <c r="D24306" s="28"/>
      <c r="F24306" s="28"/>
      <c r="H24306" s="28"/>
    </row>
    <row r="24307" spans="4:8" x14ac:dyDescent="0.25">
      <c r="D24307" s="28"/>
      <c r="F24307" s="28"/>
      <c r="H24307" s="28"/>
    </row>
    <row r="24308" spans="4:8" x14ac:dyDescent="0.25">
      <c r="D24308" s="28"/>
      <c r="F24308" s="28"/>
      <c r="H24308" s="28"/>
    </row>
    <row r="24309" spans="4:8" x14ac:dyDescent="0.25">
      <c r="D24309" s="28"/>
      <c r="F24309" s="28"/>
      <c r="H24309" s="28"/>
    </row>
    <row r="24310" spans="4:8" x14ac:dyDescent="0.25">
      <c r="D24310" s="28"/>
      <c r="F24310" s="28"/>
      <c r="H24310" s="28"/>
    </row>
    <row r="24311" spans="4:8" x14ac:dyDescent="0.25">
      <c r="D24311" s="28"/>
      <c r="F24311" s="28"/>
      <c r="H24311" s="28"/>
    </row>
    <row r="24312" spans="4:8" x14ac:dyDescent="0.25">
      <c r="D24312" s="28"/>
      <c r="F24312" s="28"/>
      <c r="H24312" s="28"/>
    </row>
    <row r="24313" spans="4:8" x14ac:dyDescent="0.25">
      <c r="D24313" s="28"/>
      <c r="F24313" s="28"/>
      <c r="H24313" s="28"/>
    </row>
    <row r="24314" spans="4:8" x14ac:dyDescent="0.25">
      <c r="D24314" s="28"/>
      <c r="F24314" s="28"/>
      <c r="H24314" s="28"/>
    </row>
    <row r="24315" spans="4:8" x14ac:dyDescent="0.25">
      <c r="D24315" s="28"/>
      <c r="F24315" s="28"/>
      <c r="H24315" s="28"/>
    </row>
    <row r="24316" spans="4:8" x14ac:dyDescent="0.25">
      <c r="D24316" s="28"/>
      <c r="F24316" s="28"/>
      <c r="H24316" s="28"/>
    </row>
    <row r="24317" spans="4:8" x14ac:dyDescent="0.25">
      <c r="D24317" s="28"/>
      <c r="F24317" s="28"/>
      <c r="H24317" s="28"/>
    </row>
    <row r="24318" spans="4:8" x14ac:dyDescent="0.25">
      <c r="D24318" s="28"/>
      <c r="F24318" s="28"/>
      <c r="H24318" s="28"/>
    </row>
    <row r="24319" spans="4:8" x14ac:dyDescent="0.25">
      <c r="D24319" s="28"/>
      <c r="F24319" s="28"/>
      <c r="H24319" s="28"/>
    </row>
    <row r="24320" spans="4:8" x14ac:dyDescent="0.25">
      <c r="D24320" s="28"/>
      <c r="F24320" s="28"/>
      <c r="H24320" s="28"/>
    </row>
    <row r="24321" spans="4:8" x14ac:dyDescent="0.25">
      <c r="D24321" s="28"/>
      <c r="F24321" s="28"/>
      <c r="H24321" s="28"/>
    </row>
    <row r="24322" spans="4:8" x14ac:dyDescent="0.25">
      <c r="D24322" s="28"/>
      <c r="F24322" s="28"/>
      <c r="H24322" s="28"/>
    </row>
    <row r="24323" spans="4:8" x14ac:dyDescent="0.25">
      <c r="D24323" s="28"/>
      <c r="F24323" s="28"/>
      <c r="H24323" s="28"/>
    </row>
    <row r="24324" spans="4:8" x14ac:dyDescent="0.25">
      <c r="D24324" s="28"/>
      <c r="F24324" s="28"/>
      <c r="H24324" s="28"/>
    </row>
    <row r="24325" spans="4:8" x14ac:dyDescent="0.25">
      <c r="D24325" s="28"/>
      <c r="F24325" s="28"/>
      <c r="H24325" s="28"/>
    </row>
    <row r="24326" spans="4:8" x14ac:dyDescent="0.25">
      <c r="D24326" s="28"/>
      <c r="F24326" s="28"/>
      <c r="H24326" s="28"/>
    </row>
    <row r="24327" spans="4:8" x14ac:dyDescent="0.25">
      <c r="D24327" s="28"/>
      <c r="F24327" s="28"/>
      <c r="H24327" s="28"/>
    </row>
    <row r="24328" spans="4:8" x14ac:dyDescent="0.25">
      <c r="D24328" s="28"/>
      <c r="F24328" s="28"/>
      <c r="H24328" s="28"/>
    </row>
    <row r="24329" spans="4:8" x14ac:dyDescent="0.25">
      <c r="D24329" s="28"/>
      <c r="F24329" s="28"/>
      <c r="H24329" s="28"/>
    </row>
    <row r="24330" spans="4:8" x14ac:dyDescent="0.25">
      <c r="D24330" s="28"/>
      <c r="F24330" s="28"/>
      <c r="H24330" s="28"/>
    </row>
    <row r="24331" spans="4:8" x14ac:dyDescent="0.25">
      <c r="D24331" s="28"/>
      <c r="F24331" s="28"/>
      <c r="H24331" s="28"/>
    </row>
    <row r="24332" spans="4:8" x14ac:dyDescent="0.25">
      <c r="D24332" s="28"/>
      <c r="F24332" s="28"/>
      <c r="H24332" s="28"/>
    </row>
    <row r="24333" spans="4:8" x14ac:dyDescent="0.25">
      <c r="D24333" s="28"/>
      <c r="F24333" s="28"/>
      <c r="H24333" s="28"/>
    </row>
    <row r="24334" spans="4:8" x14ac:dyDescent="0.25">
      <c r="D24334" s="28"/>
      <c r="F24334" s="28"/>
      <c r="H24334" s="28"/>
    </row>
    <row r="24335" spans="4:8" x14ac:dyDescent="0.25">
      <c r="D24335" s="28"/>
      <c r="F24335" s="28"/>
      <c r="H24335" s="28"/>
    </row>
    <row r="24336" spans="4:8" x14ac:dyDescent="0.25">
      <c r="D24336" s="28"/>
      <c r="F24336" s="28"/>
      <c r="H24336" s="28"/>
    </row>
    <row r="24337" spans="4:8" x14ac:dyDescent="0.25">
      <c r="D24337" s="28"/>
      <c r="F24337" s="28"/>
      <c r="H24337" s="28"/>
    </row>
    <row r="24338" spans="4:8" x14ac:dyDescent="0.25">
      <c r="D24338" s="28"/>
      <c r="F24338" s="28"/>
      <c r="H24338" s="28"/>
    </row>
    <row r="24339" spans="4:8" x14ac:dyDescent="0.25">
      <c r="D24339" s="28"/>
      <c r="F24339" s="28"/>
      <c r="H24339" s="28"/>
    </row>
    <row r="24340" spans="4:8" x14ac:dyDescent="0.25">
      <c r="D24340" s="28"/>
      <c r="F24340" s="28"/>
      <c r="H24340" s="28"/>
    </row>
    <row r="24341" spans="4:8" x14ac:dyDescent="0.25">
      <c r="D24341" s="28"/>
      <c r="F24341" s="28"/>
      <c r="H24341" s="28"/>
    </row>
    <row r="24342" spans="4:8" x14ac:dyDescent="0.25">
      <c r="D24342" s="28"/>
      <c r="F24342" s="28"/>
      <c r="H24342" s="28"/>
    </row>
    <row r="24343" spans="4:8" x14ac:dyDescent="0.25">
      <c r="D24343" s="28"/>
      <c r="F24343" s="28"/>
      <c r="H24343" s="28"/>
    </row>
    <row r="24344" spans="4:8" x14ac:dyDescent="0.25">
      <c r="D24344" s="28"/>
      <c r="F24344" s="28"/>
      <c r="H24344" s="28"/>
    </row>
    <row r="24345" spans="4:8" x14ac:dyDescent="0.25">
      <c r="D24345" s="28"/>
      <c r="F24345" s="28"/>
      <c r="H24345" s="28"/>
    </row>
    <row r="24346" spans="4:8" x14ac:dyDescent="0.25">
      <c r="D24346" s="28"/>
      <c r="F24346" s="28"/>
      <c r="H24346" s="28"/>
    </row>
    <row r="24347" spans="4:8" x14ac:dyDescent="0.25">
      <c r="D24347" s="28"/>
      <c r="F24347" s="28"/>
      <c r="H24347" s="28"/>
    </row>
    <row r="24348" spans="4:8" x14ac:dyDescent="0.25">
      <c r="D24348" s="28"/>
      <c r="F24348" s="28"/>
      <c r="H24348" s="28"/>
    </row>
    <row r="24349" spans="4:8" x14ac:dyDescent="0.25">
      <c r="D24349" s="28"/>
      <c r="F24349" s="28"/>
      <c r="H24349" s="28"/>
    </row>
    <row r="24350" spans="4:8" x14ac:dyDescent="0.25">
      <c r="D24350" s="28"/>
      <c r="F24350" s="28"/>
      <c r="H24350" s="28"/>
    </row>
    <row r="24351" spans="4:8" x14ac:dyDescent="0.25">
      <c r="D24351" s="28"/>
      <c r="F24351" s="28"/>
      <c r="H24351" s="28"/>
    </row>
    <row r="24352" spans="4:8" x14ac:dyDescent="0.25">
      <c r="D24352" s="28"/>
      <c r="F24352" s="28"/>
      <c r="H24352" s="28"/>
    </row>
    <row r="24353" spans="4:8" x14ac:dyDescent="0.25">
      <c r="D24353" s="28"/>
      <c r="F24353" s="28"/>
      <c r="H24353" s="28"/>
    </row>
    <row r="24354" spans="4:8" x14ac:dyDescent="0.25">
      <c r="D24354" s="28"/>
      <c r="F24354" s="28"/>
      <c r="H24354" s="28"/>
    </row>
    <row r="24355" spans="4:8" x14ac:dyDescent="0.25">
      <c r="D24355" s="28"/>
      <c r="F24355" s="28"/>
      <c r="H24355" s="28"/>
    </row>
    <row r="24356" spans="4:8" x14ac:dyDescent="0.25">
      <c r="D24356" s="28"/>
      <c r="F24356" s="28"/>
      <c r="H24356" s="28"/>
    </row>
    <row r="24357" spans="4:8" x14ac:dyDescent="0.25">
      <c r="D24357" s="28"/>
      <c r="F24357" s="28"/>
      <c r="H24357" s="28"/>
    </row>
    <row r="24358" spans="4:8" x14ac:dyDescent="0.25">
      <c r="D24358" s="28"/>
      <c r="F24358" s="28"/>
      <c r="H24358" s="28"/>
    </row>
    <row r="24359" spans="4:8" x14ac:dyDescent="0.25">
      <c r="D24359" s="28"/>
      <c r="F24359" s="28"/>
      <c r="H24359" s="28"/>
    </row>
    <row r="24360" spans="4:8" x14ac:dyDescent="0.25">
      <c r="D24360" s="28"/>
      <c r="F24360" s="28"/>
      <c r="H24360" s="28"/>
    </row>
    <row r="24361" spans="4:8" x14ac:dyDescent="0.25">
      <c r="D24361" s="28"/>
      <c r="F24361" s="28"/>
      <c r="H24361" s="28"/>
    </row>
    <row r="24362" spans="4:8" x14ac:dyDescent="0.25">
      <c r="D24362" s="28"/>
      <c r="F24362" s="28"/>
      <c r="H24362" s="28"/>
    </row>
    <row r="24363" spans="4:8" x14ac:dyDescent="0.25">
      <c r="D24363" s="28"/>
      <c r="F24363" s="28"/>
      <c r="H24363" s="28"/>
    </row>
    <row r="24364" spans="4:8" x14ac:dyDescent="0.25">
      <c r="D24364" s="28"/>
      <c r="F24364" s="28"/>
      <c r="H24364" s="28"/>
    </row>
    <row r="24365" spans="4:8" x14ac:dyDescent="0.25">
      <c r="D24365" s="28"/>
      <c r="F24365" s="28"/>
      <c r="H24365" s="28"/>
    </row>
    <row r="24366" spans="4:8" x14ac:dyDescent="0.25">
      <c r="D24366" s="28"/>
      <c r="F24366" s="28"/>
      <c r="H24366" s="28"/>
    </row>
    <row r="24367" spans="4:8" x14ac:dyDescent="0.25">
      <c r="D24367" s="28"/>
      <c r="F24367" s="28"/>
      <c r="H24367" s="28"/>
    </row>
    <row r="24368" spans="4:8" x14ac:dyDescent="0.25">
      <c r="D24368" s="28"/>
      <c r="F24368" s="28"/>
      <c r="H24368" s="28"/>
    </row>
    <row r="24369" spans="4:8" x14ac:dyDescent="0.25">
      <c r="D24369" s="28"/>
      <c r="F24369" s="28"/>
      <c r="H24369" s="28"/>
    </row>
    <row r="24370" spans="4:8" x14ac:dyDescent="0.25">
      <c r="D24370" s="28"/>
      <c r="F24370" s="28"/>
      <c r="H24370" s="28"/>
    </row>
    <row r="24371" spans="4:8" x14ac:dyDescent="0.25">
      <c r="D24371" s="28"/>
      <c r="F24371" s="28"/>
      <c r="H24371" s="28"/>
    </row>
    <row r="24372" spans="4:8" x14ac:dyDescent="0.25">
      <c r="D24372" s="28"/>
      <c r="F24372" s="28"/>
      <c r="H24372" s="28"/>
    </row>
    <row r="24373" spans="4:8" x14ac:dyDescent="0.25">
      <c r="D24373" s="28"/>
      <c r="F24373" s="28"/>
      <c r="H24373" s="28"/>
    </row>
    <row r="24374" spans="4:8" x14ac:dyDescent="0.25">
      <c r="D24374" s="28"/>
      <c r="F24374" s="28"/>
      <c r="H24374" s="28"/>
    </row>
    <row r="24375" spans="4:8" x14ac:dyDescent="0.25">
      <c r="D24375" s="28"/>
      <c r="F24375" s="28"/>
      <c r="H24375" s="28"/>
    </row>
    <row r="24376" spans="4:8" x14ac:dyDescent="0.25">
      <c r="D24376" s="28"/>
      <c r="F24376" s="28"/>
      <c r="H24376" s="28"/>
    </row>
    <row r="24377" spans="4:8" x14ac:dyDescent="0.25">
      <c r="D24377" s="28"/>
      <c r="F24377" s="28"/>
      <c r="H24377" s="28"/>
    </row>
    <row r="24378" spans="4:8" x14ac:dyDescent="0.25">
      <c r="D24378" s="28"/>
      <c r="F24378" s="28"/>
      <c r="H24378" s="28"/>
    </row>
    <row r="24379" spans="4:8" x14ac:dyDescent="0.25">
      <c r="D24379" s="28"/>
      <c r="F24379" s="28"/>
      <c r="H24379" s="28"/>
    </row>
    <row r="24380" spans="4:8" x14ac:dyDescent="0.25">
      <c r="D24380" s="28"/>
      <c r="F24380" s="28"/>
      <c r="H24380" s="28"/>
    </row>
    <row r="24381" spans="4:8" x14ac:dyDescent="0.25">
      <c r="D24381" s="28"/>
      <c r="F24381" s="28"/>
      <c r="H24381" s="28"/>
    </row>
    <row r="24382" spans="4:8" x14ac:dyDescent="0.25">
      <c r="D24382" s="28"/>
      <c r="F24382" s="28"/>
      <c r="H24382" s="28"/>
    </row>
    <row r="24383" spans="4:8" x14ac:dyDescent="0.25">
      <c r="D24383" s="28"/>
      <c r="F24383" s="28"/>
      <c r="H24383" s="28"/>
    </row>
    <row r="24384" spans="4:8" x14ac:dyDescent="0.25">
      <c r="D24384" s="28"/>
      <c r="F24384" s="28"/>
      <c r="H24384" s="28"/>
    </row>
    <row r="24385" spans="4:8" x14ac:dyDescent="0.25">
      <c r="D24385" s="28"/>
      <c r="F24385" s="28"/>
      <c r="H24385" s="28"/>
    </row>
    <row r="24386" spans="4:8" x14ac:dyDescent="0.25">
      <c r="D24386" s="28"/>
      <c r="F24386" s="28"/>
      <c r="H24386" s="28"/>
    </row>
    <row r="24387" spans="4:8" x14ac:dyDescent="0.25">
      <c r="D24387" s="28"/>
      <c r="F24387" s="28"/>
      <c r="H24387" s="28"/>
    </row>
    <row r="24388" spans="4:8" x14ac:dyDescent="0.25">
      <c r="D24388" s="28"/>
      <c r="F24388" s="28"/>
      <c r="H24388" s="28"/>
    </row>
    <row r="24389" spans="4:8" x14ac:dyDescent="0.25">
      <c r="D24389" s="28"/>
      <c r="F24389" s="28"/>
      <c r="H24389" s="28"/>
    </row>
    <row r="24390" spans="4:8" x14ac:dyDescent="0.25">
      <c r="D24390" s="28"/>
      <c r="F24390" s="28"/>
      <c r="H24390" s="28"/>
    </row>
    <row r="24391" spans="4:8" x14ac:dyDescent="0.25">
      <c r="D24391" s="28"/>
      <c r="F24391" s="28"/>
      <c r="H24391" s="28"/>
    </row>
    <row r="24392" spans="4:8" x14ac:dyDescent="0.25">
      <c r="D24392" s="28"/>
      <c r="F24392" s="28"/>
      <c r="H24392" s="28"/>
    </row>
    <row r="24393" spans="4:8" x14ac:dyDescent="0.25">
      <c r="D24393" s="28"/>
      <c r="F24393" s="28"/>
      <c r="H24393" s="28"/>
    </row>
    <row r="24394" spans="4:8" x14ac:dyDescent="0.25">
      <c r="D24394" s="28"/>
      <c r="F24394" s="28"/>
      <c r="H24394" s="28"/>
    </row>
    <row r="24395" spans="4:8" x14ac:dyDescent="0.25">
      <c r="D24395" s="28"/>
      <c r="F24395" s="28"/>
      <c r="H24395" s="28"/>
    </row>
    <row r="24396" spans="4:8" x14ac:dyDescent="0.25">
      <c r="D24396" s="28"/>
      <c r="F24396" s="28"/>
      <c r="H24396" s="28"/>
    </row>
    <row r="24397" spans="4:8" x14ac:dyDescent="0.25">
      <c r="D24397" s="28"/>
      <c r="F24397" s="28"/>
      <c r="H24397" s="28"/>
    </row>
    <row r="24398" spans="4:8" x14ac:dyDescent="0.25">
      <c r="D24398" s="28"/>
      <c r="F24398" s="28"/>
      <c r="H24398" s="28"/>
    </row>
    <row r="24399" spans="4:8" x14ac:dyDescent="0.25">
      <c r="D24399" s="28"/>
      <c r="F24399" s="28"/>
      <c r="H24399" s="28"/>
    </row>
    <row r="24400" spans="4:8" x14ac:dyDescent="0.25">
      <c r="D24400" s="28"/>
      <c r="F24400" s="28"/>
      <c r="H24400" s="28"/>
    </row>
    <row r="24401" spans="4:8" x14ac:dyDescent="0.25">
      <c r="D24401" s="28"/>
      <c r="F24401" s="28"/>
      <c r="H24401" s="28"/>
    </row>
    <row r="24402" spans="4:8" x14ac:dyDescent="0.25">
      <c r="D24402" s="28"/>
      <c r="F24402" s="28"/>
      <c r="H24402" s="28"/>
    </row>
    <row r="24403" spans="4:8" x14ac:dyDescent="0.25">
      <c r="D24403" s="28"/>
      <c r="F24403" s="28"/>
      <c r="H24403" s="28"/>
    </row>
    <row r="24404" spans="4:8" x14ac:dyDescent="0.25">
      <c r="D24404" s="28"/>
      <c r="F24404" s="28"/>
      <c r="H24404" s="28"/>
    </row>
    <row r="24405" spans="4:8" x14ac:dyDescent="0.25">
      <c r="D24405" s="28"/>
      <c r="F24405" s="28"/>
      <c r="H24405" s="28"/>
    </row>
    <row r="24406" spans="4:8" x14ac:dyDescent="0.25">
      <c r="D24406" s="28"/>
      <c r="F24406" s="28"/>
      <c r="H24406" s="28"/>
    </row>
    <row r="24407" spans="4:8" x14ac:dyDescent="0.25">
      <c r="D24407" s="28"/>
      <c r="F24407" s="28"/>
      <c r="H24407" s="28"/>
    </row>
    <row r="24408" spans="4:8" x14ac:dyDescent="0.25">
      <c r="D24408" s="28"/>
      <c r="F24408" s="28"/>
      <c r="H24408" s="28"/>
    </row>
    <row r="24409" spans="4:8" x14ac:dyDescent="0.25">
      <c r="D24409" s="28"/>
      <c r="F24409" s="28"/>
      <c r="H24409" s="28"/>
    </row>
    <row r="24410" spans="4:8" x14ac:dyDescent="0.25">
      <c r="D24410" s="28"/>
      <c r="F24410" s="28"/>
      <c r="H24410" s="28"/>
    </row>
    <row r="24411" spans="4:8" x14ac:dyDescent="0.25">
      <c r="D24411" s="28"/>
      <c r="F24411" s="28"/>
      <c r="H24411" s="28"/>
    </row>
    <row r="24412" spans="4:8" x14ac:dyDescent="0.25">
      <c r="D24412" s="28"/>
      <c r="F24412" s="28"/>
      <c r="H24412" s="28"/>
    </row>
    <row r="24413" spans="4:8" x14ac:dyDescent="0.25">
      <c r="D24413" s="28"/>
      <c r="F24413" s="28"/>
      <c r="H24413" s="28"/>
    </row>
    <row r="24414" spans="4:8" x14ac:dyDescent="0.25">
      <c r="D24414" s="28"/>
      <c r="F24414" s="28"/>
      <c r="H24414" s="28"/>
    </row>
    <row r="24415" spans="4:8" x14ac:dyDescent="0.25">
      <c r="D24415" s="28"/>
      <c r="F24415" s="28"/>
      <c r="H24415" s="28"/>
    </row>
    <row r="24416" spans="4:8" x14ac:dyDescent="0.25">
      <c r="D24416" s="28"/>
      <c r="F24416" s="28"/>
      <c r="H24416" s="28"/>
    </row>
    <row r="24417" spans="4:8" x14ac:dyDescent="0.25">
      <c r="D24417" s="28"/>
      <c r="F24417" s="28"/>
      <c r="H24417" s="28"/>
    </row>
    <row r="24418" spans="4:8" x14ac:dyDescent="0.25">
      <c r="D24418" s="28"/>
      <c r="F24418" s="28"/>
      <c r="H24418" s="28"/>
    </row>
    <row r="24419" spans="4:8" x14ac:dyDescent="0.25">
      <c r="D24419" s="28"/>
      <c r="F24419" s="28"/>
      <c r="H24419" s="28"/>
    </row>
    <row r="24420" spans="4:8" x14ac:dyDescent="0.25">
      <c r="D24420" s="28"/>
      <c r="F24420" s="28"/>
      <c r="H24420" s="28"/>
    </row>
    <row r="24421" spans="4:8" x14ac:dyDescent="0.25">
      <c r="D24421" s="28"/>
      <c r="F24421" s="28"/>
      <c r="H24421" s="28"/>
    </row>
    <row r="24422" spans="4:8" x14ac:dyDescent="0.25">
      <c r="D24422" s="28"/>
      <c r="F24422" s="28"/>
      <c r="H24422" s="28"/>
    </row>
    <row r="24423" spans="4:8" x14ac:dyDescent="0.25">
      <c r="D24423" s="28"/>
      <c r="F24423" s="28"/>
      <c r="H24423" s="28"/>
    </row>
    <row r="24424" spans="4:8" x14ac:dyDescent="0.25">
      <c r="D24424" s="28"/>
      <c r="F24424" s="28"/>
      <c r="H24424" s="28"/>
    </row>
    <row r="24425" spans="4:8" x14ac:dyDescent="0.25">
      <c r="D24425" s="28"/>
      <c r="F24425" s="28"/>
      <c r="H24425" s="28"/>
    </row>
    <row r="24426" spans="4:8" x14ac:dyDescent="0.25">
      <c r="D24426" s="28"/>
      <c r="F24426" s="28"/>
      <c r="H24426" s="28"/>
    </row>
    <row r="24427" spans="4:8" x14ac:dyDescent="0.25">
      <c r="D24427" s="28"/>
      <c r="F24427" s="28"/>
      <c r="H24427" s="28"/>
    </row>
    <row r="24428" spans="4:8" x14ac:dyDescent="0.25">
      <c r="D24428" s="28"/>
      <c r="F24428" s="28"/>
      <c r="H24428" s="28"/>
    </row>
    <row r="24429" spans="4:8" x14ac:dyDescent="0.25">
      <c r="D24429" s="28"/>
      <c r="F24429" s="28"/>
      <c r="H24429" s="28"/>
    </row>
    <row r="24430" spans="4:8" x14ac:dyDescent="0.25">
      <c r="D24430" s="28"/>
      <c r="F24430" s="28"/>
      <c r="H24430" s="28"/>
    </row>
    <row r="24431" spans="4:8" x14ac:dyDescent="0.25">
      <c r="D24431" s="28"/>
      <c r="F24431" s="28"/>
      <c r="H24431" s="28"/>
    </row>
    <row r="24432" spans="4:8" x14ac:dyDescent="0.25">
      <c r="D24432" s="28"/>
      <c r="F24432" s="28"/>
      <c r="H24432" s="28"/>
    </row>
    <row r="24433" spans="4:8" x14ac:dyDescent="0.25">
      <c r="D24433" s="28"/>
      <c r="F24433" s="28"/>
      <c r="H24433" s="28"/>
    </row>
    <row r="24434" spans="4:8" x14ac:dyDescent="0.25">
      <c r="D24434" s="28"/>
      <c r="F24434" s="28"/>
      <c r="H24434" s="28"/>
    </row>
    <row r="24435" spans="4:8" x14ac:dyDescent="0.25">
      <c r="D24435" s="28"/>
      <c r="F24435" s="28"/>
      <c r="H24435" s="28"/>
    </row>
    <row r="24436" spans="4:8" x14ac:dyDescent="0.25">
      <c r="D24436" s="28"/>
      <c r="F24436" s="28"/>
      <c r="H24436" s="28"/>
    </row>
    <row r="24437" spans="4:8" x14ac:dyDescent="0.25">
      <c r="D24437" s="28"/>
      <c r="F24437" s="28"/>
      <c r="H24437" s="28"/>
    </row>
    <row r="24438" spans="4:8" x14ac:dyDescent="0.25">
      <c r="D24438" s="28"/>
      <c r="F24438" s="28"/>
      <c r="H24438" s="28"/>
    </row>
    <row r="24439" spans="4:8" x14ac:dyDescent="0.25">
      <c r="D24439" s="28"/>
      <c r="F24439" s="28"/>
      <c r="H24439" s="28"/>
    </row>
    <row r="24440" spans="4:8" x14ac:dyDescent="0.25">
      <c r="D24440" s="28"/>
      <c r="F24440" s="28"/>
      <c r="H24440" s="28"/>
    </row>
    <row r="24441" spans="4:8" x14ac:dyDescent="0.25">
      <c r="D24441" s="28"/>
      <c r="F24441" s="28"/>
      <c r="H24441" s="28"/>
    </row>
    <row r="24442" spans="4:8" x14ac:dyDescent="0.25">
      <c r="D24442" s="28"/>
      <c r="F24442" s="28"/>
      <c r="H24442" s="28"/>
    </row>
    <row r="24443" spans="4:8" x14ac:dyDescent="0.25">
      <c r="D24443" s="28"/>
      <c r="F24443" s="28"/>
      <c r="H24443" s="28"/>
    </row>
    <row r="24444" spans="4:8" x14ac:dyDescent="0.25">
      <c r="D24444" s="28"/>
      <c r="F24444" s="28"/>
      <c r="H24444" s="28"/>
    </row>
    <row r="24445" spans="4:8" x14ac:dyDescent="0.25">
      <c r="D24445" s="28"/>
      <c r="F24445" s="28"/>
      <c r="H24445" s="28"/>
    </row>
    <row r="24446" spans="4:8" x14ac:dyDescent="0.25">
      <c r="D24446" s="28"/>
      <c r="F24446" s="28"/>
      <c r="H24446" s="28"/>
    </row>
    <row r="24447" spans="4:8" x14ac:dyDescent="0.25">
      <c r="D24447" s="28"/>
      <c r="F24447" s="28"/>
      <c r="H24447" s="28"/>
    </row>
    <row r="24448" spans="4:8" x14ac:dyDescent="0.25">
      <c r="D24448" s="28"/>
      <c r="F24448" s="28"/>
      <c r="H24448" s="28"/>
    </row>
    <row r="24449" spans="4:8" x14ac:dyDescent="0.25">
      <c r="D24449" s="28"/>
      <c r="F24449" s="28"/>
      <c r="H24449" s="28"/>
    </row>
    <row r="24450" spans="4:8" x14ac:dyDescent="0.25">
      <c r="D24450" s="28"/>
      <c r="F24450" s="28"/>
      <c r="H24450" s="28"/>
    </row>
    <row r="24451" spans="4:8" x14ac:dyDescent="0.25">
      <c r="D24451" s="28"/>
      <c r="F24451" s="28"/>
      <c r="H24451" s="28"/>
    </row>
    <row r="24452" spans="4:8" x14ac:dyDescent="0.25">
      <c r="D24452" s="28"/>
      <c r="F24452" s="28"/>
      <c r="H24452" s="28"/>
    </row>
    <row r="24453" spans="4:8" x14ac:dyDescent="0.25">
      <c r="D24453" s="28"/>
      <c r="F24453" s="28"/>
      <c r="H24453" s="28"/>
    </row>
    <row r="24454" spans="4:8" x14ac:dyDescent="0.25">
      <c r="D24454" s="28"/>
      <c r="F24454" s="28"/>
      <c r="H24454" s="28"/>
    </row>
    <row r="24455" spans="4:8" x14ac:dyDescent="0.25">
      <c r="D24455" s="28"/>
      <c r="F24455" s="28"/>
      <c r="H24455" s="28"/>
    </row>
    <row r="24456" spans="4:8" x14ac:dyDescent="0.25">
      <c r="D24456" s="28"/>
      <c r="F24456" s="28"/>
      <c r="H24456" s="28"/>
    </row>
    <row r="24457" spans="4:8" x14ac:dyDescent="0.25">
      <c r="D24457" s="28"/>
      <c r="F24457" s="28"/>
      <c r="H24457" s="28"/>
    </row>
    <row r="24458" spans="4:8" x14ac:dyDescent="0.25">
      <c r="D24458" s="28"/>
      <c r="F24458" s="28"/>
      <c r="H24458" s="28"/>
    </row>
    <row r="24459" spans="4:8" x14ac:dyDescent="0.25">
      <c r="D24459" s="28"/>
      <c r="F24459" s="28"/>
      <c r="H24459" s="28"/>
    </row>
    <row r="24460" spans="4:8" x14ac:dyDescent="0.25">
      <c r="D24460" s="28"/>
      <c r="F24460" s="28"/>
      <c r="H24460" s="28"/>
    </row>
    <row r="24461" spans="4:8" x14ac:dyDescent="0.25">
      <c r="D24461" s="28"/>
      <c r="F24461" s="28"/>
      <c r="H24461" s="28"/>
    </row>
    <row r="24462" spans="4:8" x14ac:dyDescent="0.25">
      <c r="D24462" s="28"/>
      <c r="F24462" s="28"/>
      <c r="H24462" s="28"/>
    </row>
    <row r="24463" spans="4:8" x14ac:dyDescent="0.25">
      <c r="D24463" s="28"/>
      <c r="F24463" s="28"/>
      <c r="H24463" s="28"/>
    </row>
    <row r="24464" spans="4:8" x14ac:dyDescent="0.25">
      <c r="D24464" s="28"/>
      <c r="F24464" s="28"/>
      <c r="H24464" s="28"/>
    </row>
    <row r="24465" spans="4:8" x14ac:dyDescent="0.25">
      <c r="D24465" s="28"/>
      <c r="F24465" s="28"/>
      <c r="H24465" s="28"/>
    </row>
    <row r="24466" spans="4:8" x14ac:dyDescent="0.25">
      <c r="D24466" s="28"/>
      <c r="F24466" s="28"/>
      <c r="H24466" s="28"/>
    </row>
    <row r="24467" spans="4:8" x14ac:dyDescent="0.25">
      <c r="D24467" s="28"/>
      <c r="F24467" s="28"/>
      <c r="H24467" s="28"/>
    </row>
    <row r="24468" spans="4:8" x14ac:dyDescent="0.25">
      <c r="D24468" s="28"/>
      <c r="F24468" s="28"/>
      <c r="H24468" s="28"/>
    </row>
    <row r="24469" spans="4:8" x14ac:dyDescent="0.25">
      <c r="D24469" s="28"/>
      <c r="F24469" s="28"/>
      <c r="H24469" s="28"/>
    </row>
    <row r="24470" spans="4:8" x14ac:dyDescent="0.25">
      <c r="D24470" s="28"/>
      <c r="F24470" s="28"/>
      <c r="H24470" s="28"/>
    </row>
    <row r="24471" spans="4:8" x14ac:dyDescent="0.25">
      <c r="D24471" s="28"/>
      <c r="F24471" s="28"/>
      <c r="H24471" s="28"/>
    </row>
    <row r="24472" spans="4:8" x14ac:dyDescent="0.25">
      <c r="D24472" s="28"/>
      <c r="F24472" s="28"/>
      <c r="H24472" s="28"/>
    </row>
    <row r="24473" spans="4:8" x14ac:dyDescent="0.25">
      <c r="D24473" s="28"/>
      <c r="F24473" s="28"/>
      <c r="H24473" s="28"/>
    </row>
    <row r="24474" spans="4:8" x14ac:dyDescent="0.25">
      <c r="D24474" s="28"/>
      <c r="F24474" s="28"/>
      <c r="H24474" s="28"/>
    </row>
    <row r="24475" spans="4:8" x14ac:dyDescent="0.25">
      <c r="D24475" s="28"/>
      <c r="F24475" s="28"/>
      <c r="H24475" s="28"/>
    </row>
    <row r="24476" spans="4:8" x14ac:dyDescent="0.25">
      <c r="D24476" s="28"/>
      <c r="F24476" s="28"/>
      <c r="H24476" s="28"/>
    </row>
    <row r="24477" spans="4:8" x14ac:dyDescent="0.25">
      <c r="D24477" s="28"/>
      <c r="F24477" s="28"/>
      <c r="H24477" s="28"/>
    </row>
    <row r="24478" spans="4:8" x14ac:dyDescent="0.25">
      <c r="D24478" s="28"/>
      <c r="F24478" s="28"/>
      <c r="H24478" s="28"/>
    </row>
    <row r="24479" spans="4:8" x14ac:dyDescent="0.25">
      <c r="D24479" s="28"/>
      <c r="F24479" s="28"/>
      <c r="H24479" s="28"/>
    </row>
    <row r="24480" spans="4:8" x14ac:dyDescent="0.25">
      <c r="D24480" s="28"/>
      <c r="F24480" s="28"/>
      <c r="H24480" s="28"/>
    </row>
    <row r="24481" spans="4:8" x14ac:dyDescent="0.25">
      <c r="D24481" s="28"/>
      <c r="F24481" s="28"/>
      <c r="H24481" s="28"/>
    </row>
    <row r="24482" spans="4:8" x14ac:dyDescent="0.25">
      <c r="D24482" s="28"/>
      <c r="F24482" s="28"/>
      <c r="H24482" s="28"/>
    </row>
    <row r="24483" spans="4:8" x14ac:dyDescent="0.25">
      <c r="D24483" s="28"/>
      <c r="F24483" s="28"/>
      <c r="H24483" s="28"/>
    </row>
    <row r="24484" spans="4:8" x14ac:dyDescent="0.25">
      <c r="D24484" s="28"/>
      <c r="F24484" s="28"/>
      <c r="H24484" s="28"/>
    </row>
    <row r="24485" spans="4:8" x14ac:dyDescent="0.25">
      <c r="D24485" s="28"/>
      <c r="F24485" s="28"/>
      <c r="H24485" s="28"/>
    </row>
    <row r="24486" spans="4:8" x14ac:dyDescent="0.25">
      <c r="D24486" s="28"/>
      <c r="F24486" s="28"/>
      <c r="H24486" s="28"/>
    </row>
    <row r="24487" spans="4:8" x14ac:dyDescent="0.25">
      <c r="D24487" s="28"/>
      <c r="F24487" s="28"/>
      <c r="H24487" s="28"/>
    </row>
    <row r="24488" spans="4:8" x14ac:dyDescent="0.25">
      <c r="D24488" s="28"/>
      <c r="F24488" s="28"/>
      <c r="H24488" s="28"/>
    </row>
    <row r="24489" spans="4:8" x14ac:dyDescent="0.25">
      <c r="D24489" s="28"/>
      <c r="F24489" s="28"/>
      <c r="H24489" s="28"/>
    </row>
    <row r="24490" spans="4:8" x14ac:dyDescent="0.25">
      <c r="D24490" s="28"/>
      <c r="F24490" s="28"/>
      <c r="H24490" s="28"/>
    </row>
    <row r="24491" spans="4:8" x14ac:dyDescent="0.25">
      <c r="D24491" s="28"/>
      <c r="F24491" s="28"/>
      <c r="H24491" s="28"/>
    </row>
    <row r="24492" spans="4:8" x14ac:dyDescent="0.25">
      <c r="D24492" s="28"/>
      <c r="F24492" s="28"/>
      <c r="H24492" s="28"/>
    </row>
    <row r="24493" spans="4:8" x14ac:dyDescent="0.25">
      <c r="D24493" s="28"/>
      <c r="F24493" s="28"/>
      <c r="H24493" s="28"/>
    </row>
    <row r="24494" spans="4:8" x14ac:dyDescent="0.25">
      <c r="D24494" s="28"/>
      <c r="F24494" s="28"/>
      <c r="H24494" s="28"/>
    </row>
    <row r="24495" spans="4:8" x14ac:dyDescent="0.25">
      <c r="D24495" s="28"/>
      <c r="F24495" s="28"/>
      <c r="H24495" s="28"/>
    </row>
    <row r="24496" spans="4:8" x14ac:dyDescent="0.25">
      <c r="D24496" s="28"/>
      <c r="F24496" s="28"/>
      <c r="H24496" s="28"/>
    </row>
    <row r="24497" spans="4:8" x14ac:dyDescent="0.25">
      <c r="D24497" s="28"/>
      <c r="F24497" s="28"/>
      <c r="H24497" s="28"/>
    </row>
    <row r="24498" spans="4:8" x14ac:dyDescent="0.25">
      <c r="D24498" s="28"/>
      <c r="F24498" s="28"/>
      <c r="H24498" s="28"/>
    </row>
    <row r="24499" spans="4:8" x14ac:dyDescent="0.25">
      <c r="D24499" s="28"/>
      <c r="F24499" s="28"/>
      <c r="H24499" s="28"/>
    </row>
    <row r="24500" spans="4:8" x14ac:dyDescent="0.25">
      <c r="D24500" s="28"/>
      <c r="F24500" s="28"/>
      <c r="H24500" s="28"/>
    </row>
    <row r="24501" spans="4:8" x14ac:dyDescent="0.25">
      <c r="D24501" s="28"/>
      <c r="F24501" s="28"/>
      <c r="H24501" s="28"/>
    </row>
    <row r="24502" spans="4:8" x14ac:dyDescent="0.25">
      <c r="D24502" s="28"/>
      <c r="F24502" s="28"/>
      <c r="H24502" s="28"/>
    </row>
    <row r="24503" spans="4:8" x14ac:dyDescent="0.25">
      <c r="D24503" s="28"/>
      <c r="F24503" s="28"/>
      <c r="H24503" s="28"/>
    </row>
    <row r="24504" spans="4:8" x14ac:dyDescent="0.25">
      <c r="D24504" s="28"/>
      <c r="F24504" s="28"/>
      <c r="H24504" s="28"/>
    </row>
    <row r="24505" spans="4:8" x14ac:dyDescent="0.25">
      <c r="D24505" s="28"/>
      <c r="F24505" s="28"/>
      <c r="H24505" s="28"/>
    </row>
    <row r="24506" spans="4:8" x14ac:dyDescent="0.25">
      <c r="D24506" s="28"/>
      <c r="F24506" s="28"/>
      <c r="H24506" s="28"/>
    </row>
    <row r="24507" spans="4:8" x14ac:dyDescent="0.25">
      <c r="D24507" s="28"/>
      <c r="F24507" s="28"/>
      <c r="H24507" s="28"/>
    </row>
    <row r="24508" spans="4:8" x14ac:dyDescent="0.25">
      <c r="D24508" s="28"/>
      <c r="F24508" s="28"/>
      <c r="H24508" s="28"/>
    </row>
    <row r="24509" spans="4:8" x14ac:dyDescent="0.25">
      <c r="D24509" s="28"/>
      <c r="F24509" s="28"/>
      <c r="H24509" s="28"/>
    </row>
    <row r="24510" spans="4:8" x14ac:dyDescent="0.25">
      <c r="D24510" s="28"/>
      <c r="F24510" s="28"/>
      <c r="H24510" s="28"/>
    </row>
    <row r="24511" spans="4:8" x14ac:dyDescent="0.25">
      <c r="D24511" s="28"/>
      <c r="F24511" s="28"/>
      <c r="H24511" s="28"/>
    </row>
    <row r="24512" spans="4:8" x14ac:dyDescent="0.25">
      <c r="D24512" s="28"/>
      <c r="F24512" s="28"/>
      <c r="H24512" s="28"/>
    </row>
    <row r="24513" spans="4:8" x14ac:dyDescent="0.25">
      <c r="D24513" s="28"/>
      <c r="F24513" s="28"/>
      <c r="H24513" s="28"/>
    </row>
    <row r="24514" spans="4:8" x14ac:dyDescent="0.25">
      <c r="D24514" s="28"/>
      <c r="F24514" s="28"/>
      <c r="H24514" s="28"/>
    </row>
    <row r="24515" spans="4:8" x14ac:dyDescent="0.25">
      <c r="D24515" s="28"/>
      <c r="F24515" s="28"/>
      <c r="H24515" s="28"/>
    </row>
    <row r="24516" spans="4:8" x14ac:dyDescent="0.25">
      <c r="D24516" s="28"/>
      <c r="F24516" s="28"/>
      <c r="H24516" s="28"/>
    </row>
    <row r="24517" spans="4:8" x14ac:dyDescent="0.25">
      <c r="D24517" s="28"/>
      <c r="F24517" s="28"/>
      <c r="H24517" s="28"/>
    </row>
    <row r="24518" spans="4:8" x14ac:dyDescent="0.25">
      <c r="D24518" s="28"/>
      <c r="F24518" s="28"/>
      <c r="H24518" s="28"/>
    </row>
    <row r="24519" spans="4:8" x14ac:dyDescent="0.25">
      <c r="D24519" s="28"/>
      <c r="F24519" s="28"/>
      <c r="H24519" s="28"/>
    </row>
    <row r="24520" spans="4:8" x14ac:dyDescent="0.25">
      <c r="D24520" s="28"/>
      <c r="F24520" s="28"/>
      <c r="H24520" s="28"/>
    </row>
    <row r="24521" spans="4:8" x14ac:dyDescent="0.25">
      <c r="D24521" s="28"/>
      <c r="F24521" s="28"/>
      <c r="H24521" s="28"/>
    </row>
    <row r="24522" spans="4:8" x14ac:dyDescent="0.25">
      <c r="D24522" s="28"/>
      <c r="F24522" s="28"/>
      <c r="H24522" s="28"/>
    </row>
    <row r="24523" spans="4:8" x14ac:dyDescent="0.25">
      <c r="D24523" s="28"/>
      <c r="F24523" s="28"/>
      <c r="H24523" s="28"/>
    </row>
    <row r="24524" spans="4:8" x14ac:dyDescent="0.25">
      <c r="D24524" s="28"/>
      <c r="F24524" s="28"/>
      <c r="H24524" s="28"/>
    </row>
    <row r="24525" spans="4:8" x14ac:dyDescent="0.25">
      <c r="D24525" s="28"/>
      <c r="F24525" s="28"/>
      <c r="H24525" s="28"/>
    </row>
    <row r="24526" spans="4:8" x14ac:dyDescent="0.25">
      <c r="D24526" s="28"/>
      <c r="F24526" s="28"/>
      <c r="H24526" s="28"/>
    </row>
    <row r="24527" spans="4:8" x14ac:dyDescent="0.25">
      <c r="D24527" s="28"/>
      <c r="F24527" s="28"/>
      <c r="H24527" s="28"/>
    </row>
    <row r="24528" spans="4:8" x14ac:dyDescent="0.25">
      <c r="D24528" s="28"/>
      <c r="F24528" s="28"/>
      <c r="H24528" s="28"/>
    </row>
    <row r="24529" spans="4:8" x14ac:dyDescent="0.25">
      <c r="D24529" s="28"/>
      <c r="F24529" s="28"/>
      <c r="H24529" s="28"/>
    </row>
    <row r="24530" spans="4:8" x14ac:dyDescent="0.25">
      <c r="D24530" s="28"/>
      <c r="F24530" s="28"/>
      <c r="H24530" s="28"/>
    </row>
    <row r="24531" spans="4:8" x14ac:dyDescent="0.25">
      <c r="D24531" s="28"/>
      <c r="F24531" s="28"/>
      <c r="H24531" s="28"/>
    </row>
    <row r="24532" spans="4:8" x14ac:dyDescent="0.25">
      <c r="D24532" s="28"/>
      <c r="F24532" s="28"/>
      <c r="H24532" s="28"/>
    </row>
    <row r="24533" spans="4:8" x14ac:dyDescent="0.25">
      <c r="D24533" s="28"/>
      <c r="F24533" s="28"/>
      <c r="H24533" s="28"/>
    </row>
    <row r="24534" spans="4:8" x14ac:dyDescent="0.25">
      <c r="D24534" s="28"/>
      <c r="F24534" s="28"/>
      <c r="H24534" s="28"/>
    </row>
    <row r="24535" spans="4:8" x14ac:dyDescent="0.25">
      <c r="D24535" s="28"/>
      <c r="F24535" s="28"/>
      <c r="H24535" s="28"/>
    </row>
    <row r="24536" spans="4:8" x14ac:dyDescent="0.25">
      <c r="D24536" s="28"/>
      <c r="F24536" s="28"/>
      <c r="H24536" s="28"/>
    </row>
    <row r="24537" spans="4:8" x14ac:dyDescent="0.25">
      <c r="D24537" s="28"/>
      <c r="F24537" s="28"/>
      <c r="H24537" s="28"/>
    </row>
    <row r="24538" spans="4:8" x14ac:dyDescent="0.25">
      <c r="D24538" s="28"/>
      <c r="F24538" s="28"/>
      <c r="H24538" s="28"/>
    </row>
    <row r="24539" spans="4:8" x14ac:dyDescent="0.25">
      <c r="D24539" s="28"/>
      <c r="F24539" s="28"/>
      <c r="H24539" s="28"/>
    </row>
    <row r="24540" spans="4:8" x14ac:dyDescent="0.25">
      <c r="D24540" s="28"/>
      <c r="F24540" s="28"/>
      <c r="H24540" s="28"/>
    </row>
    <row r="24541" spans="4:8" x14ac:dyDescent="0.25">
      <c r="D24541" s="28"/>
      <c r="F24541" s="28"/>
      <c r="H24541" s="28"/>
    </row>
    <row r="24542" spans="4:8" x14ac:dyDescent="0.25">
      <c r="D24542" s="28"/>
      <c r="F24542" s="28"/>
      <c r="H24542" s="28"/>
    </row>
    <row r="24543" spans="4:8" x14ac:dyDescent="0.25">
      <c r="D24543" s="28"/>
      <c r="F24543" s="28"/>
      <c r="H24543" s="28"/>
    </row>
    <row r="24544" spans="4:8" x14ac:dyDescent="0.25">
      <c r="D24544" s="28"/>
      <c r="F24544" s="28"/>
      <c r="H24544" s="28"/>
    </row>
    <row r="24545" spans="4:8" x14ac:dyDescent="0.25">
      <c r="D24545" s="28"/>
      <c r="F24545" s="28"/>
      <c r="H24545" s="28"/>
    </row>
    <row r="24546" spans="4:8" x14ac:dyDescent="0.25">
      <c r="D24546" s="28"/>
      <c r="F24546" s="28"/>
      <c r="H24546" s="28"/>
    </row>
    <row r="24547" spans="4:8" x14ac:dyDescent="0.25">
      <c r="D24547" s="28"/>
      <c r="F24547" s="28"/>
      <c r="H24547" s="28"/>
    </row>
    <row r="24548" spans="4:8" x14ac:dyDescent="0.25">
      <c r="D24548" s="28"/>
      <c r="F24548" s="28"/>
      <c r="H24548" s="28"/>
    </row>
    <row r="24549" spans="4:8" x14ac:dyDescent="0.25">
      <c r="D24549" s="28"/>
      <c r="F24549" s="28"/>
      <c r="H24549" s="28"/>
    </row>
    <row r="24550" spans="4:8" x14ac:dyDescent="0.25">
      <c r="D24550" s="28"/>
      <c r="F24550" s="28"/>
      <c r="H24550" s="28"/>
    </row>
    <row r="24551" spans="4:8" x14ac:dyDescent="0.25">
      <c r="D24551" s="28"/>
      <c r="F24551" s="28"/>
      <c r="H24551" s="28"/>
    </row>
    <row r="24552" spans="4:8" x14ac:dyDescent="0.25">
      <c r="D24552" s="28"/>
      <c r="F24552" s="28"/>
      <c r="H24552" s="28"/>
    </row>
    <row r="24553" spans="4:8" x14ac:dyDescent="0.25">
      <c r="D24553" s="28"/>
      <c r="F24553" s="28"/>
      <c r="H24553" s="28"/>
    </row>
    <row r="24554" spans="4:8" x14ac:dyDescent="0.25">
      <c r="D24554" s="28"/>
      <c r="F24554" s="28"/>
      <c r="H24554" s="28"/>
    </row>
    <row r="24555" spans="4:8" x14ac:dyDescent="0.25">
      <c r="D24555" s="28"/>
      <c r="F24555" s="28"/>
      <c r="H24555" s="28"/>
    </row>
    <row r="24556" spans="4:8" x14ac:dyDescent="0.25">
      <c r="D24556" s="28"/>
      <c r="F24556" s="28"/>
      <c r="H24556" s="28"/>
    </row>
    <row r="24557" spans="4:8" x14ac:dyDescent="0.25">
      <c r="D24557" s="28"/>
      <c r="F24557" s="28"/>
      <c r="H24557" s="28"/>
    </row>
    <row r="24558" spans="4:8" x14ac:dyDescent="0.25">
      <c r="D24558" s="28"/>
      <c r="F24558" s="28"/>
      <c r="H24558" s="28"/>
    </row>
    <row r="24559" spans="4:8" x14ac:dyDescent="0.25">
      <c r="D24559" s="28"/>
      <c r="F24559" s="28"/>
      <c r="H24559" s="28"/>
    </row>
    <row r="24560" spans="4:8" x14ac:dyDescent="0.25">
      <c r="D24560" s="28"/>
      <c r="F24560" s="28"/>
      <c r="H24560" s="28"/>
    </row>
    <row r="24561" spans="4:8" x14ac:dyDescent="0.25">
      <c r="D24561" s="28"/>
      <c r="F24561" s="28"/>
      <c r="H24561" s="28"/>
    </row>
    <row r="24562" spans="4:8" x14ac:dyDescent="0.25">
      <c r="D24562" s="28"/>
      <c r="F24562" s="28"/>
      <c r="H24562" s="28"/>
    </row>
    <row r="24563" spans="4:8" x14ac:dyDescent="0.25">
      <c r="D24563" s="28"/>
      <c r="F24563" s="28"/>
      <c r="H24563" s="28"/>
    </row>
    <row r="24564" spans="4:8" x14ac:dyDescent="0.25">
      <c r="D24564" s="28"/>
      <c r="F24564" s="28"/>
      <c r="H24564" s="28"/>
    </row>
    <row r="24565" spans="4:8" x14ac:dyDescent="0.25">
      <c r="D24565" s="28"/>
      <c r="F24565" s="28"/>
      <c r="H24565" s="28"/>
    </row>
    <row r="24566" spans="4:8" x14ac:dyDescent="0.25">
      <c r="D24566" s="28"/>
      <c r="F24566" s="28"/>
      <c r="H24566" s="28"/>
    </row>
    <row r="24567" spans="4:8" x14ac:dyDescent="0.25">
      <c r="D24567" s="28"/>
      <c r="F24567" s="28"/>
      <c r="H24567" s="28"/>
    </row>
    <row r="24568" spans="4:8" x14ac:dyDescent="0.25">
      <c r="D24568" s="28"/>
      <c r="F24568" s="28"/>
      <c r="H24568" s="28"/>
    </row>
    <row r="24569" spans="4:8" x14ac:dyDescent="0.25">
      <c r="D24569" s="28"/>
      <c r="F24569" s="28"/>
      <c r="H24569" s="28"/>
    </row>
    <row r="24570" spans="4:8" x14ac:dyDescent="0.25">
      <c r="D24570" s="28"/>
      <c r="F24570" s="28"/>
      <c r="H24570" s="28"/>
    </row>
    <row r="24571" spans="4:8" x14ac:dyDescent="0.25">
      <c r="D24571" s="28"/>
      <c r="F24571" s="28"/>
      <c r="H24571" s="28"/>
    </row>
    <row r="24572" spans="4:8" x14ac:dyDescent="0.25">
      <c r="D24572" s="28"/>
      <c r="F24572" s="28"/>
      <c r="H24572" s="28"/>
    </row>
    <row r="24573" spans="4:8" x14ac:dyDescent="0.25">
      <c r="D24573" s="28"/>
      <c r="F24573" s="28"/>
      <c r="H24573" s="28"/>
    </row>
    <row r="24574" spans="4:8" x14ac:dyDescent="0.25">
      <c r="D24574" s="28"/>
      <c r="F24574" s="28"/>
      <c r="H24574" s="28"/>
    </row>
    <row r="24575" spans="4:8" x14ac:dyDescent="0.25">
      <c r="D24575" s="28"/>
      <c r="F24575" s="28"/>
      <c r="H24575" s="28"/>
    </row>
    <row r="24576" spans="4:8" x14ac:dyDescent="0.25">
      <c r="D24576" s="28"/>
      <c r="F24576" s="28"/>
      <c r="H24576" s="28"/>
    </row>
    <row r="24577" spans="4:8" x14ac:dyDescent="0.25">
      <c r="D24577" s="28"/>
      <c r="F24577" s="28"/>
      <c r="H24577" s="28"/>
    </row>
    <row r="24578" spans="4:8" x14ac:dyDescent="0.25">
      <c r="D24578" s="28"/>
      <c r="F24578" s="28"/>
      <c r="H24578" s="28"/>
    </row>
    <row r="24579" spans="4:8" x14ac:dyDescent="0.25">
      <c r="D24579" s="28"/>
      <c r="F24579" s="28"/>
      <c r="H24579" s="28"/>
    </row>
    <row r="24580" spans="4:8" x14ac:dyDescent="0.25">
      <c r="D24580" s="28"/>
      <c r="F24580" s="28"/>
      <c r="H24580" s="28"/>
    </row>
    <row r="24581" spans="4:8" x14ac:dyDescent="0.25">
      <c r="D24581" s="28"/>
      <c r="F24581" s="28"/>
      <c r="H24581" s="28"/>
    </row>
    <row r="24582" spans="4:8" x14ac:dyDescent="0.25">
      <c r="D24582" s="28"/>
      <c r="F24582" s="28"/>
      <c r="H24582" s="28"/>
    </row>
    <row r="24583" spans="4:8" x14ac:dyDescent="0.25">
      <c r="D24583" s="28"/>
      <c r="F24583" s="28"/>
      <c r="H24583" s="28"/>
    </row>
    <row r="24584" spans="4:8" x14ac:dyDescent="0.25">
      <c r="D24584" s="28"/>
      <c r="F24584" s="28"/>
      <c r="H24584" s="28"/>
    </row>
    <row r="24585" spans="4:8" x14ac:dyDescent="0.25">
      <c r="D24585" s="28"/>
      <c r="F24585" s="28"/>
      <c r="H24585" s="28"/>
    </row>
    <row r="24586" spans="4:8" x14ac:dyDescent="0.25">
      <c r="D24586" s="28"/>
      <c r="F24586" s="28"/>
      <c r="H24586" s="28"/>
    </row>
    <row r="24587" spans="4:8" x14ac:dyDescent="0.25">
      <c r="D24587" s="28"/>
      <c r="F24587" s="28"/>
      <c r="H24587" s="28"/>
    </row>
    <row r="24588" spans="4:8" x14ac:dyDescent="0.25">
      <c r="D24588" s="28"/>
      <c r="F24588" s="28"/>
      <c r="H24588" s="28"/>
    </row>
    <row r="24589" spans="4:8" x14ac:dyDescent="0.25">
      <c r="D24589" s="28"/>
      <c r="F24589" s="28"/>
      <c r="H24589" s="28"/>
    </row>
    <row r="24590" spans="4:8" x14ac:dyDescent="0.25">
      <c r="D24590" s="28"/>
      <c r="F24590" s="28"/>
      <c r="H24590" s="28"/>
    </row>
    <row r="24591" spans="4:8" x14ac:dyDescent="0.25">
      <c r="D24591" s="28"/>
      <c r="F24591" s="28"/>
      <c r="H24591" s="28"/>
    </row>
    <row r="24592" spans="4:8" x14ac:dyDescent="0.25">
      <c r="D24592" s="28"/>
      <c r="F24592" s="28"/>
      <c r="H24592" s="28"/>
    </row>
    <row r="24593" spans="4:8" x14ac:dyDescent="0.25">
      <c r="D24593" s="28"/>
      <c r="F24593" s="28"/>
      <c r="H24593" s="28"/>
    </row>
    <row r="24594" spans="4:8" x14ac:dyDescent="0.25">
      <c r="D24594" s="28"/>
      <c r="F24594" s="28"/>
      <c r="H24594" s="28"/>
    </row>
    <row r="24595" spans="4:8" x14ac:dyDescent="0.25">
      <c r="D24595" s="28"/>
      <c r="F24595" s="28"/>
      <c r="H24595" s="28"/>
    </row>
    <row r="24596" spans="4:8" x14ac:dyDescent="0.25">
      <c r="D24596" s="28"/>
      <c r="F24596" s="28"/>
      <c r="H24596" s="28"/>
    </row>
    <row r="24597" spans="4:8" x14ac:dyDescent="0.25">
      <c r="D24597" s="28"/>
      <c r="F24597" s="28"/>
      <c r="H24597" s="28"/>
    </row>
    <row r="24598" spans="4:8" x14ac:dyDescent="0.25">
      <c r="D24598" s="28"/>
      <c r="F24598" s="28"/>
      <c r="H24598" s="28"/>
    </row>
    <row r="24599" spans="4:8" x14ac:dyDescent="0.25">
      <c r="D24599" s="28"/>
      <c r="F24599" s="28"/>
      <c r="H24599" s="28"/>
    </row>
    <row r="24600" spans="4:8" x14ac:dyDescent="0.25">
      <c r="D24600" s="28"/>
      <c r="F24600" s="28"/>
      <c r="H24600" s="28"/>
    </row>
    <row r="24601" spans="4:8" x14ac:dyDescent="0.25">
      <c r="D24601" s="28"/>
      <c r="F24601" s="28"/>
      <c r="H24601" s="28"/>
    </row>
    <row r="24602" spans="4:8" x14ac:dyDescent="0.25">
      <c r="D24602" s="28"/>
      <c r="F24602" s="28"/>
      <c r="H24602" s="28"/>
    </row>
    <row r="24603" spans="4:8" x14ac:dyDescent="0.25">
      <c r="D24603" s="28"/>
      <c r="F24603" s="28"/>
      <c r="H24603" s="28"/>
    </row>
    <row r="24604" spans="4:8" x14ac:dyDescent="0.25">
      <c r="D24604" s="28"/>
      <c r="F24604" s="28"/>
      <c r="H24604" s="28"/>
    </row>
    <row r="24605" spans="4:8" x14ac:dyDescent="0.25">
      <c r="D24605" s="28"/>
      <c r="F24605" s="28"/>
      <c r="H24605" s="28"/>
    </row>
    <row r="24606" spans="4:8" x14ac:dyDescent="0.25">
      <c r="D24606" s="28"/>
      <c r="F24606" s="28"/>
      <c r="H24606" s="28"/>
    </row>
    <row r="24607" spans="4:8" x14ac:dyDescent="0.25">
      <c r="D24607" s="28"/>
      <c r="F24607" s="28"/>
      <c r="H24607" s="28"/>
    </row>
    <row r="24608" spans="4:8" x14ac:dyDescent="0.25">
      <c r="D24608" s="28"/>
      <c r="F24608" s="28"/>
      <c r="H24608" s="28"/>
    </row>
    <row r="24609" spans="4:8" x14ac:dyDescent="0.25">
      <c r="D24609" s="28"/>
      <c r="F24609" s="28"/>
      <c r="H24609" s="28"/>
    </row>
    <row r="24610" spans="4:8" x14ac:dyDescent="0.25">
      <c r="D24610" s="28"/>
      <c r="F24610" s="28"/>
      <c r="H24610" s="28"/>
    </row>
    <row r="24611" spans="4:8" x14ac:dyDescent="0.25">
      <c r="D24611" s="28"/>
      <c r="F24611" s="28"/>
      <c r="H24611" s="28"/>
    </row>
    <row r="24612" spans="4:8" x14ac:dyDescent="0.25">
      <c r="D24612" s="28"/>
      <c r="F24612" s="28"/>
      <c r="H24612" s="28"/>
    </row>
    <row r="24613" spans="4:8" x14ac:dyDescent="0.25">
      <c r="D24613" s="28"/>
      <c r="F24613" s="28"/>
      <c r="H24613" s="28"/>
    </row>
    <row r="24614" spans="4:8" x14ac:dyDescent="0.25">
      <c r="D24614" s="28"/>
      <c r="F24614" s="28"/>
      <c r="H24614" s="28"/>
    </row>
    <row r="24615" spans="4:8" x14ac:dyDescent="0.25">
      <c r="D24615" s="28"/>
      <c r="F24615" s="28"/>
      <c r="H24615" s="28"/>
    </row>
    <row r="24616" spans="4:8" x14ac:dyDescent="0.25">
      <c r="D24616" s="28"/>
      <c r="F24616" s="28"/>
      <c r="H24616" s="28"/>
    </row>
    <row r="24617" spans="4:8" x14ac:dyDescent="0.25">
      <c r="D24617" s="28"/>
      <c r="F24617" s="28"/>
      <c r="H24617" s="28"/>
    </row>
    <row r="24618" spans="4:8" x14ac:dyDescent="0.25">
      <c r="D24618" s="28"/>
      <c r="F24618" s="28"/>
      <c r="H24618" s="28"/>
    </row>
    <row r="24619" spans="4:8" x14ac:dyDescent="0.25">
      <c r="D24619" s="28"/>
      <c r="F24619" s="28"/>
      <c r="H24619" s="28"/>
    </row>
    <row r="24620" spans="4:8" x14ac:dyDescent="0.25">
      <c r="D24620" s="28"/>
      <c r="F24620" s="28"/>
      <c r="H24620" s="28"/>
    </row>
    <row r="24621" spans="4:8" x14ac:dyDescent="0.25">
      <c r="D24621" s="28"/>
      <c r="F24621" s="28"/>
      <c r="H24621" s="28"/>
    </row>
    <row r="24622" spans="4:8" x14ac:dyDescent="0.25">
      <c r="D24622" s="28"/>
      <c r="F24622" s="28"/>
      <c r="H24622" s="28"/>
    </row>
    <row r="24623" spans="4:8" x14ac:dyDescent="0.25">
      <c r="D24623" s="28"/>
      <c r="F24623" s="28"/>
      <c r="H24623" s="28"/>
    </row>
    <row r="24624" spans="4:8" x14ac:dyDescent="0.25">
      <c r="D24624" s="28"/>
      <c r="F24624" s="28"/>
      <c r="H24624" s="28"/>
    </row>
    <row r="24625" spans="4:8" x14ac:dyDescent="0.25">
      <c r="D24625" s="28"/>
      <c r="F24625" s="28"/>
      <c r="H24625" s="28"/>
    </row>
    <row r="24626" spans="4:8" x14ac:dyDescent="0.25">
      <c r="D24626" s="28"/>
      <c r="F24626" s="28"/>
      <c r="H24626" s="28"/>
    </row>
    <row r="24627" spans="4:8" x14ac:dyDescent="0.25">
      <c r="D24627" s="28"/>
      <c r="F24627" s="28"/>
      <c r="H24627" s="28"/>
    </row>
    <row r="24628" spans="4:8" x14ac:dyDescent="0.25">
      <c r="D24628" s="28"/>
      <c r="F24628" s="28"/>
      <c r="H24628" s="28"/>
    </row>
    <row r="24629" spans="4:8" x14ac:dyDescent="0.25">
      <c r="D24629" s="28"/>
      <c r="F24629" s="28"/>
      <c r="H24629" s="28"/>
    </row>
    <row r="24630" spans="4:8" x14ac:dyDescent="0.25">
      <c r="D24630" s="28"/>
      <c r="F24630" s="28"/>
      <c r="H24630" s="28"/>
    </row>
    <row r="24631" spans="4:8" x14ac:dyDescent="0.25">
      <c r="D24631" s="28"/>
      <c r="F24631" s="28"/>
      <c r="H24631" s="28"/>
    </row>
    <row r="24632" spans="4:8" x14ac:dyDescent="0.25">
      <c r="D24632" s="28"/>
      <c r="F24632" s="28"/>
      <c r="H24632" s="28"/>
    </row>
    <row r="24633" spans="4:8" x14ac:dyDescent="0.25">
      <c r="D24633" s="28"/>
      <c r="F24633" s="28"/>
      <c r="H24633" s="28"/>
    </row>
    <row r="24634" spans="4:8" x14ac:dyDescent="0.25">
      <c r="D24634" s="28"/>
      <c r="F24634" s="28"/>
      <c r="H24634" s="28"/>
    </row>
    <row r="24635" spans="4:8" x14ac:dyDescent="0.25">
      <c r="D24635" s="28"/>
      <c r="F24635" s="28"/>
      <c r="H24635" s="28"/>
    </row>
    <row r="24636" spans="4:8" x14ac:dyDescent="0.25">
      <c r="D24636" s="28"/>
      <c r="F24636" s="28"/>
      <c r="H24636" s="28"/>
    </row>
    <row r="24637" spans="4:8" x14ac:dyDescent="0.25">
      <c r="D24637" s="28"/>
      <c r="F24637" s="28"/>
      <c r="H24637" s="28"/>
    </row>
    <row r="24638" spans="4:8" x14ac:dyDescent="0.25">
      <c r="D24638" s="28"/>
      <c r="F24638" s="28"/>
      <c r="H24638" s="28"/>
    </row>
    <row r="24639" spans="4:8" x14ac:dyDescent="0.25">
      <c r="D24639" s="28"/>
      <c r="F24639" s="28"/>
      <c r="H24639" s="28"/>
    </row>
    <row r="24640" spans="4:8" x14ac:dyDescent="0.25">
      <c r="D24640" s="28"/>
      <c r="F24640" s="28"/>
      <c r="H24640" s="28"/>
    </row>
    <row r="24641" spans="4:8" x14ac:dyDescent="0.25">
      <c r="D24641" s="28"/>
      <c r="F24641" s="28"/>
      <c r="H24641" s="28"/>
    </row>
    <row r="24642" spans="4:8" x14ac:dyDescent="0.25">
      <c r="D24642" s="28"/>
      <c r="F24642" s="28"/>
      <c r="H24642" s="28"/>
    </row>
    <row r="24643" spans="4:8" x14ac:dyDescent="0.25">
      <c r="D24643" s="28"/>
      <c r="F24643" s="28"/>
      <c r="H24643" s="28"/>
    </row>
    <row r="24644" spans="4:8" x14ac:dyDescent="0.25">
      <c r="D24644" s="28"/>
      <c r="F24644" s="28"/>
      <c r="H24644" s="28"/>
    </row>
    <row r="24645" spans="4:8" x14ac:dyDescent="0.25">
      <c r="D24645" s="28"/>
      <c r="F24645" s="28"/>
      <c r="H24645" s="28"/>
    </row>
    <row r="24646" spans="4:8" x14ac:dyDescent="0.25">
      <c r="D24646" s="28"/>
      <c r="F24646" s="28"/>
      <c r="H24646" s="28"/>
    </row>
    <row r="24647" spans="4:8" x14ac:dyDescent="0.25">
      <c r="D24647" s="28"/>
      <c r="F24647" s="28"/>
      <c r="H24647" s="28"/>
    </row>
    <row r="24648" spans="4:8" x14ac:dyDescent="0.25">
      <c r="D24648" s="28"/>
      <c r="F24648" s="28"/>
      <c r="H24648" s="28"/>
    </row>
    <row r="24649" spans="4:8" x14ac:dyDescent="0.25">
      <c r="D24649" s="28"/>
      <c r="F24649" s="28"/>
      <c r="H24649" s="28"/>
    </row>
    <row r="24650" spans="4:8" x14ac:dyDescent="0.25">
      <c r="D24650" s="28"/>
      <c r="F24650" s="28"/>
      <c r="H24650" s="28"/>
    </row>
    <row r="24651" spans="4:8" x14ac:dyDescent="0.25">
      <c r="D24651" s="28"/>
      <c r="F24651" s="28"/>
      <c r="H24651" s="28"/>
    </row>
    <row r="24652" spans="4:8" x14ac:dyDescent="0.25">
      <c r="D24652" s="28"/>
      <c r="F24652" s="28"/>
      <c r="H24652" s="28"/>
    </row>
    <row r="24653" spans="4:8" x14ac:dyDescent="0.25">
      <c r="D24653" s="28"/>
      <c r="F24653" s="28"/>
      <c r="H24653" s="28"/>
    </row>
    <row r="24654" spans="4:8" x14ac:dyDescent="0.25">
      <c r="D24654" s="28"/>
      <c r="F24654" s="28"/>
      <c r="H24654" s="28"/>
    </row>
    <row r="24655" spans="4:8" x14ac:dyDescent="0.25">
      <c r="D24655" s="28"/>
      <c r="F24655" s="28"/>
      <c r="H24655" s="28"/>
    </row>
    <row r="24656" spans="4:8" x14ac:dyDescent="0.25">
      <c r="D24656" s="28"/>
      <c r="F24656" s="28"/>
      <c r="H24656" s="28"/>
    </row>
    <row r="24657" spans="4:8" x14ac:dyDescent="0.25">
      <c r="D24657" s="28"/>
      <c r="F24657" s="28"/>
      <c r="H24657" s="28"/>
    </row>
    <row r="24658" spans="4:8" x14ac:dyDescent="0.25">
      <c r="D24658" s="28"/>
      <c r="F24658" s="28"/>
      <c r="H24658" s="28"/>
    </row>
    <row r="24659" spans="4:8" x14ac:dyDescent="0.25">
      <c r="D24659" s="28"/>
      <c r="F24659" s="28"/>
      <c r="H24659" s="28"/>
    </row>
    <row r="24660" spans="4:8" x14ac:dyDescent="0.25">
      <c r="D24660" s="28"/>
      <c r="F24660" s="28"/>
      <c r="H24660" s="28"/>
    </row>
    <row r="24661" spans="4:8" x14ac:dyDescent="0.25">
      <c r="D24661" s="28"/>
      <c r="F24661" s="28"/>
      <c r="H24661" s="28"/>
    </row>
    <row r="24662" spans="4:8" x14ac:dyDescent="0.25">
      <c r="D24662" s="28"/>
      <c r="F24662" s="28"/>
      <c r="H24662" s="28"/>
    </row>
    <row r="24663" spans="4:8" x14ac:dyDescent="0.25">
      <c r="D24663" s="28"/>
      <c r="F24663" s="28"/>
      <c r="H24663" s="28"/>
    </row>
    <row r="24664" spans="4:8" x14ac:dyDescent="0.25">
      <c r="D24664" s="28"/>
      <c r="F24664" s="28"/>
      <c r="H24664" s="28"/>
    </row>
    <row r="24665" spans="4:8" x14ac:dyDescent="0.25">
      <c r="D24665" s="28"/>
      <c r="F24665" s="28"/>
      <c r="H24665" s="28"/>
    </row>
    <row r="24666" spans="4:8" x14ac:dyDescent="0.25">
      <c r="D24666" s="28"/>
      <c r="F24666" s="28"/>
      <c r="H24666" s="28"/>
    </row>
    <row r="24667" spans="4:8" x14ac:dyDescent="0.25">
      <c r="D24667" s="28"/>
      <c r="F24667" s="28"/>
      <c r="H24667" s="28"/>
    </row>
    <row r="24668" spans="4:8" x14ac:dyDescent="0.25">
      <c r="D24668" s="28"/>
      <c r="F24668" s="28"/>
      <c r="H24668" s="28"/>
    </row>
    <row r="24669" spans="4:8" x14ac:dyDescent="0.25">
      <c r="D24669" s="28"/>
      <c r="F24669" s="28"/>
      <c r="H24669" s="28"/>
    </row>
    <row r="24670" spans="4:8" x14ac:dyDescent="0.25">
      <c r="D24670" s="28"/>
      <c r="F24670" s="28"/>
      <c r="H24670" s="28"/>
    </row>
    <row r="24671" spans="4:8" x14ac:dyDescent="0.25">
      <c r="D24671" s="28"/>
      <c r="F24671" s="28"/>
      <c r="H24671" s="28"/>
    </row>
    <row r="24672" spans="4:8" x14ac:dyDescent="0.25">
      <c r="D24672" s="28"/>
      <c r="F24672" s="28"/>
      <c r="H24672" s="28"/>
    </row>
    <row r="24673" spans="4:8" x14ac:dyDescent="0.25">
      <c r="D24673" s="28"/>
      <c r="F24673" s="28"/>
      <c r="H24673" s="28"/>
    </row>
    <row r="24674" spans="4:8" x14ac:dyDescent="0.25">
      <c r="D24674" s="28"/>
      <c r="F24674" s="28"/>
      <c r="H24674" s="28"/>
    </row>
    <row r="24675" spans="4:8" x14ac:dyDescent="0.25">
      <c r="D24675" s="28"/>
      <c r="F24675" s="28"/>
      <c r="H24675" s="28"/>
    </row>
    <row r="24676" spans="4:8" x14ac:dyDescent="0.25">
      <c r="D24676" s="28"/>
      <c r="F24676" s="28"/>
      <c r="H24676" s="28"/>
    </row>
    <row r="24677" spans="4:8" x14ac:dyDescent="0.25">
      <c r="D24677" s="28"/>
      <c r="F24677" s="28"/>
      <c r="H24677" s="28"/>
    </row>
    <row r="24678" spans="4:8" x14ac:dyDescent="0.25">
      <c r="D24678" s="28"/>
      <c r="F24678" s="28"/>
      <c r="H24678" s="28"/>
    </row>
    <row r="24679" spans="4:8" x14ac:dyDescent="0.25">
      <c r="D24679" s="28"/>
      <c r="F24679" s="28"/>
      <c r="H24679" s="28"/>
    </row>
    <row r="24680" spans="4:8" x14ac:dyDescent="0.25">
      <c r="D24680" s="28"/>
      <c r="F24680" s="28"/>
      <c r="H24680" s="28"/>
    </row>
    <row r="24681" spans="4:8" x14ac:dyDescent="0.25">
      <c r="D24681" s="28"/>
      <c r="F24681" s="28"/>
      <c r="H24681" s="28"/>
    </row>
    <row r="24682" spans="4:8" x14ac:dyDescent="0.25">
      <c r="D24682" s="28"/>
      <c r="F24682" s="28"/>
      <c r="H24682" s="28"/>
    </row>
    <row r="24683" spans="4:8" x14ac:dyDescent="0.25">
      <c r="D24683" s="28"/>
      <c r="F24683" s="28"/>
      <c r="H24683" s="28"/>
    </row>
    <row r="24684" spans="4:8" x14ac:dyDescent="0.25">
      <c r="D24684" s="28"/>
      <c r="F24684" s="28"/>
      <c r="H24684" s="28"/>
    </row>
    <row r="24685" spans="4:8" x14ac:dyDescent="0.25">
      <c r="D24685" s="28"/>
      <c r="F24685" s="28"/>
      <c r="H24685" s="28"/>
    </row>
    <row r="24686" spans="4:8" x14ac:dyDescent="0.25">
      <c r="D24686" s="28"/>
      <c r="F24686" s="28"/>
      <c r="H24686" s="28"/>
    </row>
    <row r="24687" spans="4:8" x14ac:dyDescent="0.25">
      <c r="D24687" s="28"/>
      <c r="F24687" s="28"/>
      <c r="H24687" s="28"/>
    </row>
    <row r="24688" spans="4:8" x14ac:dyDescent="0.25">
      <c r="D24688" s="28"/>
      <c r="F24688" s="28"/>
      <c r="H24688" s="28"/>
    </row>
    <row r="24689" spans="4:8" x14ac:dyDescent="0.25">
      <c r="D24689" s="28"/>
      <c r="F24689" s="28"/>
      <c r="H24689" s="28"/>
    </row>
    <row r="24690" spans="4:8" x14ac:dyDescent="0.25">
      <c r="D24690" s="28"/>
      <c r="F24690" s="28"/>
      <c r="H24690" s="28"/>
    </row>
    <row r="24691" spans="4:8" x14ac:dyDescent="0.25">
      <c r="D24691" s="28"/>
      <c r="F24691" s="28"/>
      <c r="H24691" s="28"/>
    </row>
    <row r="24692" spans="4:8" x14ac:dyDescent="0.25">
      <c r="D24692" s="28"/>
      <c r="F24692" s="28"/>
      <c r="H24692" s="28"/>
    </row>
    <row r="24693" spans="4:8" x14ac:dyDescent="0.25">
      <c r="D24693" s="28"/>
      <c r="F24693" s="28"/>
      <c r="H24693" s="28"/>
    </row>
    <row r="24694" spans="4:8" x14ac:dyDescent="0.25">
      <c r="D24694" s="28"/>
      <c r="F24694" s="28"/>
      <c r="H24694" s="28"/>
    </row>
    <row r="24695" spans="4:8" x14ac:dyDescent="0.25">
      <c r="D24695" s="28"/>
      <c r="F24695" s="28"/>
      <c r="H24695" s="28"/>
    </row>
    <row r="24696" spans="4:8" x14ac:dyDescent="0.25">
      <c r="D24696" s="28"/>
      <c r="F24696" s="28"/>
      <c r="H24696" s="28"/>
    </row>
    <row r="24697" spans="4:8" x14ac:dyDescent="0.25">
      <c r="D24697" s="28"/>
      <c r="F24697" s="28"/>
      <c r="H24697" s="28"/>
    </row>
    <row r="24698" spans="4:8" x14ac:dyDescent="0.25">
      <c r="D24698" s="28"/>
      <c r="F24698" s="28"/>
      <c r="H24698" s="28"/>
    </row>
    <row r="24699" spans="4:8" x14ac:dyDescent="0.25">
      <c r="D24699" s="28"/>
      <c r="F24699" s="28"/>
      <c r="H24699" s="28"/>
    </row>
    <row r="24700" spans="4:8" x14ac:dyDescent="0.25">
      <c r="D24700" s="28"/>
      <c r="F24700" s="28"/>
      <c r="H24700" s="28"/>
    </row>
    <row r="24701" spans="4:8" x14ac:dyDescent="0.25">
      <c r="D24701" s="28"/>
      <c r="F24701" s="28"/>
      <c r="H24701" s="28"/>
    </row>
    <row r="24702" spans="4:8" x14ac:dyDescent="0.25">
      <c r="D24702" s="28"/>
      <c r="F24702" s="28"/>
      <c r="H24702" s="28"/>
    </row>
    <row r="24703" spans="4:8" x14ac:dyDescent="0.25">
      <c r="D24703" s="28"/>
      <c r="F24703" s="28"/>
      <c r="H24703" s="28"/>
    </row>
    <row r="24704" spans="4:8" x14ac:dyDescent="0.25">
      <c r="D24704" s="28"/>
      <c r="F24704" s="28"/>
      <c r="H24704" s="28"/>
    </row>
    <row r="24705" spans="4:8" x14ac:dyDescent="0.25">
      <c r="D24705" s="28"/>
      <c r="F24705" s="28"/>
      <c r="H24705" s="28"/>
    </row>
    <row r="24706" spans="4:8" x14ac:dyDescent="0.25">
      <c r="D24706" s="28"/>
      <c r="F24706" s="28"/>
      <c r="H24706" s="28"/>
    </row>
    <row r="24707" spans="4:8" x14ac:dyDescent="0.25">
      <c r="D24707" s="28"/>
      <c r="F24707" s="28"/>
      <c r="H24707" s="28"/>
    </row>
    <row r="24708" spans="4:8" x14ac:dyDescent="0.25">
      <c r="D24708" s="28"/>
      <c r="F24708" s="28"/>
      <c r="H24708" s="28"/>
    </row>
    <row r="24709" spans="4:8" x14ac:dyDescent="0.25">
      <c r="D24709" s="28"/>
      <c r="F24709" s="28"/>
      <c r="H24709" s="28"/>
    </row>
    <row r="24710" spans="4:8" x14ac:dyDescent="0.25">
      <c r="D24710" s="28"/>
      <c r="F24710" s="28"/>
      <c r="H24710" s="28"/>
    </row>
    <row r="24711" spans="4:8" x14ac:dyDescent="0.25">
      <c r="D24711" s="28"/>
      <c r="F24711" s="28"/>
      <c r="H24711" s="28"/>
    </row>
    <row r="24712" spans="4:8" x14ac:dyDescent="0.25">
      <c r="D24712" s="28"/>
      <c r="F24712" s="28"/>
      <c r="H24712" s="28"/>
    </row>
    <row r="24713" spans="4:8" x14ac:dyDescent="0.25">
      <c r="D24713" s="28"/>
      <c r="F24713" s="28"/>
      <c r="H24713" s="28"/>
    </row>
    <row r="24714" spans="4:8" x14ac:dyDescent="0.25">
      <c r="D24714" s="28"/>
      <c r="F24714" s="28"/>
      <c r="H24714" s="28"/>
    </row>
    <row r="24715" spans="4:8" x14ac:dyDescent="0.25">
      <c r="D24715" s="28"/>
      <c r="F24715" s="28"/>
      <c r="H24715" s="28"/>
    </row>
    <row r="24716" spans="4:8" x14ac:dyDescent="0.25">
      <c r="D24716" s="28"/>
      <c r="F24716" s="28"/>
      <c r="H24716" s="28"/>
    </row>
    <row r="24717" spans="4:8" x14ac:dyDescent="0.25">
      <c r="D24717" s="28"/>
      <c r="F24717" s="28"/>
      <c r="H24717" s="28"/>
    </row>
    <row r="24718" spans="4:8" x14ac:dyDescent="0.25">
      <c r="D24718" s="28"/>
      <c r="F24718" s="28"/>
      <c r="H24718" s="28"/>
    </row>
    <row r="24719" spans="4:8" x14ac:dyDescent="0.25">
      <c r="D24719" s="28"/>
      <c r="F24719" s="28"/>
      <c r="H24719" s="28"/>
    </row>
    <row r="24720" spans="4:8" x14ac:dyDescent="0.25">
      <c r="D24720" s="28"/>
      <c r="F24720" s="28"/>
      <c r="H24720" s="28"/>
    </row>
    <row r="24721" spans="4:8" x14ac:dyDescent="0.25">
      <c r="D24721" s="28"/>
      <c r="F24721" s="28"/>
      <c r="H24721" s="28"/>
    </row>
    <row r="24722" spans="4:8" x14ac:dyDescent="0.25">
      <c r="D24722" s="28"/>
      <c r="F24722" s="28"/>
      <c r="H24722" s="28"/>
    </row>
    <row r="24723" spans="4:8" x14ac:dyDescent="0.25">
      <c r="D24723" s="28"/>
      <c r="F24723" s="28"/>
      <c r="H24723" s="28"/>
    </row>
    <row r="24724" spans="4:8" x14ac:dyDescent="0.25">
      <c r="D24724" s="28"/>
      <c r="F24724" s="28"/>
      <c r="H24724" s="28"/>
    </row>
    <row r="24725" spans="4:8" x14ac:dyDescent="0.25">
      <c r="D24725" s="28"/>
      <c r="F24725" s="28"/>
      <c r="H24725" s="28"/>
    </row>
    <row r="24726" spans="4:8" x14ac:dyDescent="0.25">
      <c r="D24726" s="28"/>
      <c r="F24726" s="28"/>
      <c r="H24726" s="28"/>
    </row>
    <row r="24727" spans="4:8" x14ac:dyDescent="0.25">
      <c r="D24727" s="28"/>
      <c r="F24727" s="28"/>
      <c r="H24727" s="28"/>
    </row>
    <row r="24728" spans="4:8" x14ac:dyDescent="0.25">
      <c r="D24728" s="28"/>
      <c r="F24728" s="28"/>
      <c r="H24728" s="28"/>
    </row>
    <row r="24729" spans="4:8" x14ac:dyDescent="0.25">
      <c r="D24729" s="28"/>
      <c r="F24729" s="28"/>
      <c r="H24729" s="28"/>
    </row>
    <row r="24730" spans="4:8" x14ac:dyDescent="0.25">
      <c r="D24730" s="28"/>
      <c r="F24730" s="28"/>
      <c r="H24730" s="28"/>
    </row>
    <row r="24731" spans="4:8" x14ac:dyDescent="0.25">
      <c r="D24731" s="28"/>
      <c r="F24731" s="28"/>
      <c r="H24731" s="28"/>
    </row>
    <row r="24732" spans="4:8" x14ac:dyDescent="0.25">
      <c r="D24732" s="28"/>
      <c r="F24732" s="28"/>
      <c r="H24732" s="28"/>
    </row>
    <row r="24733" spans="4:8" x14ac:dyDescent="0.25">
      <c r="D24733" s="28"/>
      <c r="F24733" s="28"/>
      <c r="H24733" s="28"/>
    </row>
    <row r="24734" spans="4:8" x14ac:dyDescent="0.25">
      <c r="D24734" s="28"/>
      <c r="F24734" s="28"/>
      <c r="H24734" s="28"/>
    </row>
    <row r="24735" spans="4:8" x14ac:dyDescent="0.25">
      <c r="D24735" s="28"/>
      <c r="F24735" s="28"/>
      <c r="H24735" s="28"/>
    </row>
    <row r="24736" spans="4:8" x14ac:dyDescent="0.25">
      <c r="D24736" s="28"/>
      <c r="F24736" s="28"/>
      <c r="H24736" s="28"/>
    </row>
    <row r="24737" spans="4:8" x14ac:dyDescent="0.25">
      <c r="D24737" s="28"/>
      <c r="F24737" s="28"/>
      <c r="H24737" s="28"/>
    </row>
    <row r="24738" spans="4:8" x14ac:dyDescent="0.25">
      <c r="D24738" s="28"/>
      <c r="F24738" s="28"/>
      <c r="H24738" s="28"/>
    </row>
    <row r="24739" spans="4:8" x14ac:dyDescent="0.25">
      <c r="D24739" s="28"/>
      <c r="F24739" s="28"/>
      <c r="H24739" s="28"/>
    </row>
    <row r="24740" spans="4:8" x14ac:dyDescent="0.25">
      <c r="D24740" s="28"/>
      <c r="F24740" s="28"/>
      <c r="H24740" s="28"/>
    </row>
    <row r="24741" spans="4:8" x14ac:dyDescent="0.25">
      <c r="D24741" s="28"/>
      <c r="F24741" s="28"/>
      <c r="H24741" s="28"/>
    </row>
    <row r="24742" spans="4:8" x14ac:dyDescent="0.25">
      <c r="D24742" s="28"/>
      <c r="F24742" s="28"/>
      <c r="H24742" s="28"/>
    </row>
    <row r="24743" spans="4:8" x14ac:dyDescent="0.25">
      <c r="D24743" s="28"/>
      <c r="F24743" s="28"/>
      <c r="H24743" s="28"/>
    </row>
    <row r="24744" spans="4:8" x14ac:dyDescent="0.25">
      <c r="D24744" s="28"/>
      <c r="F24744" s="28"/>
      <c r="H24744" s="28"/>
    </row>
    <row r="24745" spans="4:8" x14ac:dyDescent="0.25">
      <c r="D24745" s="28"/>
      <c r="F24745" s="28"/>
      <c r="H24745" s="28"/>
    </row>
    <row r="24746" spans="4:8" x14ac:dyDescent="0.25">
      <c r="D24746" s="28"/>
      <c r="F24746" s="28"/>
      <c r="H24746" s="28"/>
    </row>
    <row r="24747" spans="4:8" x14ac:dyDescent="0.25">
      <c r="D24747" s="28"/>
      <c r="F24747" s="28"/>
      <c r="H24747" s="28"/>
    </row>
    <row r="24748" spans="4:8" x14ac:dyDescent="0.25">
      <c r="D24748" s="28"/>
      <c r="F24748" s="28"/>
      <c r="H24748" s="28"/>
    </row>
    <row r="24749" spans="4:8" x14ac:dyDescent="0.25">
      <c r="D24749" s="28"/>
      <c r="F24749" s="28"/>
      <c r="H24749" s="28"/>
    </row>
    <row r="24750" spans="4:8" x14ac:dyDescent="0.25">
      <c r="D24750" s="28"/>
      <c r="F24750" s="28"/>
      <c r="H24750" s="28"/>
    </row>
    <row r="24751" spans="4:8" x14ac:dyDescent="0.25">
      <c r="D24751" s="28"/>
      <c r="F24751" s="28"/>
      <c r="H24751" s="28"/>
    </row>
    <row r="24752" spans="4:8" x14ac:dyDescent="0.25">
      <c r="D24752" s="28"/>
      <c r="F24752" s="28"/>
      <c r="H24752" s="28"/>
    </row>
    <row r="24753" spans="4:8" x14ac:dyDescent="0.25">
      <c r="D24753" s="28"/>
      <c r="F24753" s="28"/>
      <c r="H24753" s="28"/>
    </row>
    <row r="24754" spans="4:8" x14ac:dyDescent="0.25">
      <c r="D24754" s="28"/>
      <c r="F24754" s="28"/>
      <c r="H24754" s="28"/>
    </row>
    <row r="24755" spans="4:8" x14ac:dyDescent="0.25">
      <c r="D24755" s="28"/>
      <c r="F24755" s="28"/>
      <c r="H24755" s="28"/>
    </row>
    <row r="24756" spans="4:8" x14ac:dyDescent="0.25">
      <c r="D24756" s="28"/>
      <c r="F24756" s="28"/>
      <c r="H24756" s="28"/>
    </row>
    <row r="24757" spans="4:8" x14ac:dyDescent="0.25">
      <c r="D24757" s="28"/>
      <c r="F24757" s="28"/>
      <c r="H24757" s="28"/>
    </row>
    <row r="24758" spans="4:8" x14ac:dyDescent="0.25">
      <c r="D24758" s="28"/>
      <c r="F24758" s="28"/>
      <c r="H24758" s="28"/>
    </row>
    <row r="24759" spans="4:8" x14ac:dyDescent="0.25">
      <c r="D24759" s="28"/>
      <c r="F24759" s="28"/>
      <c r="H24759" s="28"/>
    </row>
    <row r="24760" spans="4:8" x14ac:dyDescent="0.25">
      <c r="D24760" s="28"/>
      <c r="F24760" s="28"/>
      <c r="H24760" s="28"/>
    </row>
    <row r="24761" spans="4:8" x14ac:dyDescent="0.25">
      <c r="D24761" s="28"/>
      <c r="F24761" s="28"/>
      <c r="H24761" s="28"/>
    </row>
    <row r="24762" spans="4:8" x14ac:dyDescent="0.25">
      <c r="D24762" s="28"/>
      <c r="F24762" s="28"/>
      <c r="H24762" s="28"/>
    </row>
    <row r="24763" spans="4:8" x14ac:dyDescent="0.25">
      <c r="D24763" s="28"/>
      <c r="F24763" s="28"/>
      <c r="H24763" s="28"/>
    </row>
    <row r="24764" spans="4:8" x14ac:dyDescent="0.25">
      <c r="D24764" s="28"/>
      <c r="F24764" s="28"/>
      <c r="H24764" s="28"/>
    </row>
    <row r="24765" spans="4:8" x14ac:dyDescent="0.25">
      <c r="D24765" s="28"/>
      <c r="F24765" s="28"/>
      <c r="H24765" s="28"/>
    </row>
    <row r="24766" spans="4:8" x14ac:dyDescent="0.25">
      <c r="D24766" s="28"/>
      <c r="F24766" s="28"/>
      <c r="H24766" s="28"/>
    </row>
    <row r="24767" spans="4:8" x14ac:dyDescent="0.25">
      <c r="D24767" s="28"/>
      <c r="F24767" s="28"/>
      <c r="H24767" s="28"/>
    </row>
    <row r="24768" spans="4:8" x14ac:dyDescent="0.25">
      <c r="D24768" s="28"/>
      <c r="F24768" s="28"/>
      <c r="H24768" s="28"/>
    </row>
    <row r="24769" spans="4:8" x14ac:dyDescent="0.25">
      <c r="D24769" s="28"/>
      <c r="F24769" s="28"/>
      <c r="H24769" s="28"/>
    </row>
    <row r="24770" spans="4:8" x14ac:dyDescent="0.25">
      <c r="D24770" s="28"/>
      <c r="F24770" s="28"/>
      <c r="H24770" s="28"/>
    </row>
    <row r="24771" spans="4:8" x14ac:dyDescent="0.25">
      <c r="D24771" s="28"/>
      <c r="F24771" s="28"/>
      <c r="H24771" s="28"/>
    </row>
    <row r="24772" spans="4:8" x14ac:dyDescent="0.25">
      <c r="D24772" s="28"/>
      <c r="F24772" s="28"/>
      <c r="H24772" s="28"/>
    </row>
    <row r="24773" spans="4:8" x14ac:dyDescent="0.25">
      <c r="D24773" s="28"/>
      <c r="F24773" s="28"/>
      <c r="H24773" s="28"/>
    </row>
    <row r="24774" spans="4:8" x14ac:dyDescent="0.25">
      <c r="D24774" s="28"/>
      <c r="F24774" s="28"/>
      <c r="H24774" s="28"/>
    </row>
    <row r="24775" spans="4:8" x14ac:dyDescent="0.25">
      <c r="D24775" s="28"/>
      <c r="F24775" s="28"/>
      <c r="H24775" s="28"/>
    </row>
    <row r="24776" spans="4:8" x14ac:dyDescent="0.25">
      <c r="D24776" s="28"/>
      <c r="F24776" s="28"/>
      <c r="H24776" s="28"/>
    </row>
    <row r="24777" spans="4:8" x14ac:dyDescent="0.25">
      <c r="D24777" s="28"/>
      <c r="F24777" s="28"/>
      <c r="H24777" s="28"/>
    </row>
    <row r="24778" spans="4:8" x14ac:dyDescent="0.25">
      <c r="D24778" s="28"/>
      <c r="F24778" s="28"/>
      <c r="H24778" s="28"/>
    </row>
    <row r="24779" spans="4:8" x14ac:dyDescent="0.25">
      <c r="D24779" s="28"/>
      <c r="F24779" s="28"/>
      <c r="H24779" s="28"/>
    </row>
    <row r="24780" spans="4:8" x14ac:dyDescent="0.25">
      <c r="D24780" s="28"/>
      <c r="F24780" s="28"/>
      <c r="H24780" s="28"/>
    </row>
    <row r="24781" spans="4:8" x14ac:dyDescent="0.25">
      <c r="D24781" s="28"/>
      <c r="F24781" s="28"/>
      <c r="H24781" s="28"/>
    </row>
    <row r="24782" spans="4:8" x14ac:dyDescent="0.25">
      <c r="D24782" s="28"/>
      <c r="F24782" s="28"/>
      <c r="H24782" s="28"/>
    </row>
    <row r="24783" spans="4:8" x14ac:dyDescent="0.25">
      <c r="D24783" s="28"/>
      <c r="F24783" s="28"/>
      <c r="H24783" s="28"/>
    </row>
    <row r="24784" spans="4:8" x14ac:dyDescent="0.25">
      <c r="D24784" s="28"/>
      <c r="F24784" s="28"/>
      <c r="H24784" s="28"/>
    </row>
    <row r="24785" spans="4:8" x14ac:dyDescent="0.25">
      <c r="D24785" s="28"/>
      <c r="F24785" s="28"/>
      <c r="H24785" s="28"/>
    </row>
    <row r="24786" spans="4:8" x14ac:dyDescent="0.25">
      <c r="D24786" s="28"/>
      <c r="F24786" s="28"/>
      <c r="H24786" s="28"/>
    </row>
    <row r="24787" spans="4:8" x14ac:dyDescent="0.25">
      <c r="D24787" s="28"/>
      <c r="F24787" s="28"/>
      <c r="H24787" s="28"/>
    </row>
    <row r="24788" spans="4:8" x14ac:dyDescent="0.25">
      <c r="D24788" s="28"/>
      <c r="F24788" s="28"/>
      <c r="H24788" s="28"/>
    </row>
    <row r="24789" spans="4:8" x14ac:dyDescent="0.25">
      <c r="D24789" s="28"/>
      <c r="F24789" s="28"/>
      <c r="H24789" s="28"/>
    </row>
    <row r="24790" spans="4:8" x14ac:dyDescent="0.25">
      <c r="D24790" s="28"/>
      <c r="F24790" s="28"/>
      <c r="H24790" s="28"/>
    </row>
    <row r="24791" spans="4:8" x14ac:dyDescent="0.25">
      <c r="D24791" s="28"/>
      <c r="F24791" s="28"/>
      <c r="H24791" s="28"/>
    </row>
    <row r="24792" spans="4:8" x14ac:dyDescent="0.25">
      <c r="D24792" s="28"/>
      <c r="F24792" s="28"/>
      <c r="H24792" s="28"/>
    </row>
    <row r="24793" spans="4:8" x14ac:dyDescent="0.25">
      <c r="D24793" s="28"/>
      <c r="F24793" s="28"/>
      <c r="H24793" s="28"/>
    </row>
    <row r="24794" spans="4:8" x14ac:dyDescent="0.25">
      <c r="D24794" s="28"/>
      <c r="F24794" s="28"/>
      <c r="H24794" s="28"/>
    </row>
    <row r="24795" spans="4:8" x14ac:dyDescent="0.25">
      <c r="D24795" s="28"/>
      <c r="F24795" s="28"/>
      <c r="H24795" s="28"/>
    </row>
    <row r="24796" spans="4:8" x14ac:dyDescent="0.25">
      <c r="D24796" s="28"/>
      <c r="F24796" s="28"/>
      <c r="H24796" s="28"/>
    </row>
    <row r="24797" spans="4:8" x14ac:dyDescent="0.25">
      <c r="D24797" s="28"/>
      <c r="F24797" s="28"/>
      <c r="H24797" s="28"/>
    </row>
    <row r="24798" spans="4:8" x14ac:dyDescent="0.25">
      <c r="D24798" s="28"/>
      <c r="F24798" s="28"/>
      <c r="H24798" s="28"/>
    </row>
    <row r="24799" spans="4:8" x14ac:dyDescent="0.25">
      <c r="D24799" s="28"/>
      <c r="F24799" s="28"/>
      <c r="H24799" s="28"/>
    </row>
    <row r="24800" spans="4:8" x14ac:dyDescent="0.25">
      <c r="D24800" s="28"/>
      <c r="F24800" s="28"/>
      <c r="H24800" s="28"/>
    </row>
    <row r="24801" spans="4:8" x14ac:dyDescent="0.25">
      <c r="D24801" s="28"/>
      <c r="F24801" s="28"/>
      <c r="H24801" s="28"/>
    </row>
    <row r="24802" spans="4:8" x14ac:dyDescent="0.25">
      <c r="D24802" s="28"/>
      <c r="F24802" s="28"/>
      <c r="H24802" s="28"/>
    </row>
    <row r="24803" spans="4:8" x14ac:dyDescent="0.25">
      <c r="D24803" s="28"/>
      <c r="F24803" s="28"/>
      <c r="H24803" s="28"/>
    </row>
    <row r="24804" spans="4:8" x14ac:dyDescent="0.25">
      <c r="D24804" s="28"/>
      <c r="F24804" s="28"/>
      <c r="H24804" s="28"/>
    </row>
    <row r="24805" spans="4:8" x14ac:dyDescent="0.25">
      <c r="D24805" s="28"/>
      <c r="F24805" s="28"/>
      <c r="H24805" s="28"/>
    </row>
    <row r="24806" spans="4:8" x14ac:dyDescent="0.25">
      <c r="D24806" s="28"/>
      <c r="F24806" s="28"/>
      <c r="H24806" s="28"/>
    </row>
    <row r="24807" spans="4:8" x14ac:dyDescent="0.25">
      <c r="D24807" s="28"/>
      <c r="F24807" s="28"/>
      <c r="H24807" s="28"/>
    </row>
    <row r="24808" spans="4:8" x14ac:dyDescent="0.25">
      <c r="D24808" s="28"/>
      <c r="F24808" s="28"/>
      <c r="H24808" s="28"/>
    </row>
    <row r="24809" spans="4:8" x14ac:dyDescent="0.25">
      <c r="D24809" s="28"/>
      <c r="F24809" s="28"/>
      <c r="H24809" s="28"/>
    </row>
    <row r="24810" spans="4:8" x14ac:dyDescent="0.25">
      <c r="D24810" s="28"/>
      <c r="F24810" s="28"/>
      <c r="H24810" s="28"/>
    </row>
    <row r="24811" spans="4:8" x14ac:dyDescent="0.25">
      <c r="D24811" s="28"/>
      <c r="F24811" s="28"/>
      <c r="H24811" s="28"/>
    </row>
    <row r="24812" spans="4:8" x14ac:dyDescent="0.25">
      <c r="D24812" s="28"/>
      <c r="F24812" s="28"/>
      <c r="H24812" s="28"/>
    </row>
    <row r="24813" spans="4:8" x14ac:dyDescent="0.25">
      <c r="D24813" s="28"/>
      <c r="F24813" s="28"/>
      <c r="H24813" s="28"/>
    </row>
    <row r="24814" spans="4:8" x14ac:dyDescent="0.25">
      <c r="D24814" s="28"/>
      <c r="F24814" s="28"/>
      <c r="H24814" s="28"/>
    </row>
    <row r="24815" spans="4:8" x14ac:dyDescent="0.25">
      <c r="D24815" s="28"/>
      <c r="F24815" s="28"/>
      <c r="H24815" s="28"/>
    </row>
    <row r="24816" spans="4:8" x14ac:dyDescent="0.25">
      <c r="D24816" s="28"/>
      <c r="F24816" s="28"/>
      <c r="H24816" s="28"/>
    </row>
    <row r="24817" spans="4:8" x14ac:dyDescent="0.25">
      <c r="D24817" s="28"/>
      <c r="F24817" s="28"/>
      <c r="H24817" s="28"/>
    </row>
    <row r="24818" spans="4:8" x14ac:dyDescent="0.25">
      <c r="D24818" s="28"/>
      <c r="F24818" s="28"/>
      <c r="H24818" s="28"/>
    </row>
    <row r="24819" spans="4:8" x14ac:dyDescent="0.25">
      <c r="D24819" s="28"/>
      <c r="F24819" s="28"/>
      <c r="H24819" s="28"/>
    </row>
    <row r="24820" spans="4:8" x14ac:dyDescent="0.25">
      <c r="D24820" s="28"/>
      <c r="F24820" s="28"/>
      <c r="H24820" s="28"/>
    </row>
    <row r="24821" spans="4:8" x14ac:dyDescent="0.25">
      <c r="D24821" s="28"/>
      <c r="F24821" s="28"/>
      <c r="H24821" s="28"/>
    </row>
    <row r="24822" spans="4:8" x14ac:dyDescent="0.25">
      <c r="D24822" s="28"/>
      <c r="F24822" s="28"/>
      <c r="H24822" s="28"/>
    </row>
    <row r="24823" spans="4:8" x14ac:dyDescent="0.25">
      <c r="D24823" s="28"/>
      <c r="F24823" s="28"/>
      <c r="H24823" s="28"/>
    </row>
    <row r="24824" spans="4:8" x14ac:dyDescent="0.25">
      <c r="D24824" s="28"/>
      <c r="F24824" s="28"/>
      <c r="H24824" s="28"/>
    </row>
    <row r="24825" spans="4:8" x14ac:dyDescent="0.25">
      <c r="D24825" s="28"/>
      <c r="F24825" s="28"/>
      <c r="H24825" s="28"/>
    </row>
    <row r="24826" spans="4:8" x14ac:dyDescent="0.25">
      <c r="D24826" s="28"/>
      <c r="F24826" s="28"/>
      <c r="H24826" s="28"/>
    </row>
    <row r="24827" spans="4:8" x14ac:dyDescent="0.25">
      <c r="D24827" s="28"/>
      <c r="F24827" s="28"/>
      <c r="H24827" s="28"/>
    </row>
    <row r="24828" spans="4:8" x14ac:dyDescent="0.25">
      <c r="D24828" s="28"/>
      <c r="F24828" s="28"/>
      <c r="H24828" s="28"/>
    </row>
    <row r="24829" spans="4:8" x14ac:dyDescent="0.25">
      <c r="D24829" s="28"/>
      <c r="F24829" s="28"/>
      <c r="H24829" s="28"/>
    </row>
    <row r="24830" spans="4:8" x14ac:dyDescent="0.25">
      <c r="D24830" s="28"/>
      <c r="F24830" s="28"/>
      <c r="H24830" s="28"/>
    </row>
    <row r="24831" spans="4:8" x14ac:dyDescent="0.25">
      <c r="D24831" s="28"/>
      <c r="F24831" s="28"/>
      <c r="H24831" s="28"/>
    </row>
    <row r="24832" spans="4:8" x14ac:dyDescent="0.25">
      <c r="D24832" s="28"/>
      <c r="F24832" s="28"/>
      <c r="H24832" s="28"/>
    </row>
    <row r="24833" spans="4:8" x14ac:dyDescent="0.25">
      <c r="D24833" s="28"/>
      <c r="F24833" s="28"/>
      <c r="H24833" s="28"/>
    </row>
    <row r="24834" spans="4:8" x14ac:dyDescent="0.25">
      <c r="D24834" s="28"/>
      <c r="F24834" s="28"/>
      <c r="H24834" s="28"/>
    </row>
    <row r="24835" spans="4:8" x14ac:dyDescent="0.25">
      <c r="D24835" s="28"/>
      <c r="F24835" s="28"/>
      <c r="H24835" s="28"/>
    </row>
    <row r="24836" spans="4:8" x14ac:dyDescent="0.25">
      <c r="D24836" s="28"/>
      <c r="F24836" s="28"/>
      <c r="H24836" s="28"/>
    </row>
    <row r="24837" spans="4:8" x14ac:dyDescent="0.25">
      <c r="D24837" s="28"/>
      <c r="F24837" s="28"/>
      <c r="H24837" s="28"/>
    </row>
    <row r="24838" spans="4:8" x14ac:dyDescent="0.25">
      <c r="D24838" s="28"/>
      <c r="F24838" s="28"/>
      <c r="H24838" s="28"/>
    </row>
    <row r="24839" spans="4:8" x14ac:dyDescent="0.25">
      <c r="D24839" s="28"/>
      <c r="F24839" s="28"/>
      <c r="H24839" s="28"/>
    </row>
    <row r="24840" spans="4:8" x14ac:dyDescent="0.25">
      <c r="D24840" s="28"/>
      <c r="F24840" s="28"/>
      <c r="H24840" s="28"/>
    </row>
    <row r="24841" spans="4:8" x14ac:dyDescent="0.25">
      <c r="D24841" s="28"/>
      <c r="F24841" s="28"/>
      <c r="H24841" s="28"/>
    </row>
    <row r="24842" spans="4:8" x14ac:dyDescent="0.25">
      <c r="D24842" s="28"/>
      <c r="F24842" s="28"/>
      <c r="H24842" s="28"/>
    </row>
    <row r="24843" spans="4:8" x14ac:dyDescent="0.25">
      <c r="D24843" s="28"/>
      <c r="F24843" s="28"/>
      <c r="H24843" s="28"/>
    </row>
    <row r="24844" spans="4:8" x14ac:dyDescent="0.25">
      <c r="D24844" s="28"/>
      <c r="F24844" s="28"/>
      <c r="H24844" s="28"/>
    </row>
    <row r="24845" spans="4:8" x14ac:dyDescent="0.25">
      <c r="D24845" s="28"/>
      <c r="F24845" s="28"/>
      <c r="H24845" s="28"/>
    </row>
    <row r="24846" spans="4:8" x14ac:dyDescent="0.25">
      <c r="D24846" s="28"/>
      <c r="F24846" s="28"/>
      <c r="H24846" s="28"/>
    </row>
    <row r="24847" spans="4:8" x14ac:dyDescent="0.25">
      <c r="D24847" s="28"/>
      <c r="F24847" s="28"/>
      <c r="H24847" s="28"/>
    </row>
    <row r="24848" spans="4:8" x14ac:dyDescent="0.25">
      <c r="D24848" s="28"/>
      <c r="F24848" s="28"/>
      <c r="H24848" s="28"/>
    </row>
    <row r="24849" spans="4:8" x14ac:dyDescent="0.25">
      <c r="D24849" s="28"/>
      <c r="F24849" s="28"/>
      <c r="H24849" s="28"/>
    </row>
    <row r="24850" spans="4:8" x14ac:dyDescent="0.25">
      <c r="D24850" s="28"/>
      <c r="F24850" s="28"/>
      <c r="H24850" s="28"/>
    </row>
    <row r="24851" spans="4:8" x14ac:dyDescent="0.25">
      <c r="D24851" s="28"/>
      <c r="F24851" s="28"/>
      <c r="H24851" s="28"/>
    </row>
    <row r="24852" spans="4:8" x14ac:dyDescent="0.25">
      <c r="D24852" s="28"/>
      <c r="F24852" s="28"/>
      <c r="H24852" s="28"/>
    </row>
    <row r="24853" spans="4:8" x14ac:dyDescent="0.25">
      <c r="D24853" s="28"/>
      <c r="F24853" s="28"/>
      <c r="H24853" s="28"/>
    </row>
    <row r="24854" spans="4:8" x14ac:dyDescent="0.25">
      <c r="D24854" s="28"/>
      <c r="F24854" s="28"/>
      <c r="H24854" s="28"/>
    </row>
    <row r="24855" spans="4:8" x14ac:dyDescent="0.25">
      <c r="D24855" s="28"/>
      <c r="F24855" s="28"/>
      <c r="H24855" s="28"/>
    </row>
    <row r="24856" spans="4:8" x14ac:dyDescent="0.25">
      <c r="D24856" s="28"/>
      <c r="F24856" s="28"/>
      <c r="H24856" s="28"/>
    </row>
    <row r="24857" spans="4:8" x14ac:dyDescent="0.25">
      <c r="D24857" s="28"/>
      <c r="F24857" s="28"/>
      <c r="H24857" s="28"/>
    </row>
    <row r="24858" spans="4:8" x14ac:dyDescent="0.25">
      <c r="D24858" s="28"/>
      <c r="F24858" s="28"/>
      <c r="H24858" s="28"/>
    </row>
    <row r="24859" spans="4:8" x14ac:dyDescent="0.25">
      <c r="D24859" s="28"/>
      <c r="F24859" s="28"/>
      <c r="H24859" s="28"/>
    </row>
    <row r="24860" spans="4:8" x14ac:dyDescent="0.25">
      <c r="D24860" s="28"/>
      <c r="F24860" s="28"/>
      <c r="H24860" s="28"/>
    </row>
    <row r="24861" spans="4:8" x14ac:dyDescent="0.25">
      <c r="D24861" s="28"/>
      <c r="F24861" s="28"/>
      <c r="H24861" s="28"/>
    </row>
    <row r="24862" spans="4:8" x14ac:dyDescent="0.25">
      <c r="D24862" s="28"/>
      <c r="F24862" s="28"/>
      <c r="H24862" s="28"/>
    </row>
    <row r="24863" spans="4:8" x14ac:dyDescent="0.25">
      <c r="D24863" s="28"/>
      <c r="F24863" s="28"/>
      <c r="H24863" s="28"/>
    </row>
    <row r="24864" spans="4:8" x14ac:dyDescent="0.25">
      <c r="D24864" s="28"/>
      <c r="F24864" s="28"/>
      <c r="H24864" s="28"/>
    </row>
    <row r="24865" spans="4:8" x14ac:dyDescent="0.25">
      <c r="D24865" s="28"/>
      <c r="F24865" s="28"/>
      <c r="H24865" s="28"/>
    </row>
    <row r="24866" spans="4:8" x14ac:dyDescent="0.25">
      <c r="D24866" s="28"/>
      <c r="F24866" s="28"/>
      <c r="H24866" s="28"/>
    </row>
    <row r="24867" spans="4:8" x14ac:dyDescent="0.25">
      <c r="D24867" s="28"/>
      <c r="F24867" s="28"/>
      <c r="H24867" s="28"/>
    </row>
    <row r="24868" spans="4:8" x14ac:dyDescent="0.25">
      <c r="D24868" s="28"/>
      <c r="F24868" s="28"/>
      <c r="H24868" s="28"/>
    </row>
    <row r="24869" spans="4:8" x14ac:dyDescent="0.25">
      <c r="D24869" s="28"/>
      <c r="F24869" s="28"/>
      <c r="H24869" s="28"/>
    </row>
    <row r="24870" spans="4:8" x14ac:dyDescent="0.25">
      <c r="D24870" s="28"/>
      <c r="F24870" s="28"/>
      <c r="H24870" s="28"/>
    </row>
    <row r="24871" spans="4:8" x14ac:dyDescent="0.25">
      <c r="D24871" s="28"/>
      <c r="F24871" s="28"/>
      <c r="H24871" s="28"/>
    </row>
    <row r="24872" spans="4:8" x14ac:dyDescent="0.25">
      <c r="D24872" s="28"/>
      <c r="F24872" s="28"/>
      <c r="H24872" s="28"/>
    </row>
    <row r="24873" spans="4:8" x14ac:dyDescent="0.25">
      <c r="D24873" s="28"/>
      <c r="F24873" s="28"/>
      <c r="H24873" s="28"/>
    </row>
    <row r="24874" spans="4:8" x14ac:dyDescent="0.25">
      <c r="D24874" s="28"/>
      <c r="F24874" s="28"/>
      <c r="H24874" s="28"/>
    </row>
    <row r="24875" spans="4:8" x14ac:dyDescent="0.25">
      <c r="D24875" s="28"/>
      <c r="F24875" s="28"/>
      <c r="H24875" s="28"/>
    </row>
    <row r="24876" spans="4:8" x14ac:dyDescent="0.25">
      <c r="D24876" s="28"/>
      <c r="F24876" s="28"/>
      <c r="H24876" s="28"/>
    </row>
    <row r="24877" spans="4:8" x14ac:dyDescent="0.25">
      <c r="D24877" s="28"/>
      <c r="F24877" s="28"/>
      <c r="H24877" s="28"/>
    </row>
    <row r="24878" spans="4:8" x14ac:dyDescent="0.25">
      <c r="D24878" s="28"/>
      <c r="F24878" s="28"/>
      <c r="H24878" s="28"/>
    </row>
    <row r="24879" spans="4:8" x14ac:dyDescent="0.25">
      <c r="D24879" s="28"/>
      <c r="F24879" s="28"/>
      <c r="H24879" s="28"/>
    </row>
    <row r="24880" spans="4:8" x14ac:dyDescent="0.25">
      <c r="D24880" s="28"/>
      <c r="F24880" s="28"/>
      <c r="H24880" s="28"/>
    </row>
    <row r="24881" spans="4:8" x14ac:dyDescent="0.25">
      <c r="D24881" s="28"/>
      <c r="F24881" s="28"/>
      <c r="H24881" s="28"/>
    </row>
    <row r="24882" spans="4:8" x14ac:dyDescent="0.25">
      <c r="D24882" s="28"/>
      <c r="F24882" s="28"/>
      <c r="H24882" s="28"/>
    </row>
    <row r="24883" spans="4:8" x14ac:dyDescent="0.25">
      <c r="D24883" s="28"/>
      <c r="F24883" s="28"/>
      <c r="H24883" s="28"/>
    </row>
    <row r="24884" spans="4:8" x14ac:dyDescent="0.25">
      <c r="D24884" s="28"/>
      <c r="F24884" s="28"/>
      <c r="H24884" s="28"/>
    </row>
    <row r="24885" spans="4:8" x14ac:dyDescent="0.25">
      <c r="D24885" s="28"/>
      <c r="F24885" s="28"/>
      <c r="H24885" s="28"/>
    </row>
    <row r="24886" spans="4:8" x14ac:dyDescent="0.25">
      <c r="D24886" s="28"/>
      <c r="F24886" s="28"/>
      <c r="H24886" s="28"/>
    </row>
    <row r="24887" spans="4:8" x14ac:dyDescent="0.25">
      <c r="D24887" s="28"/>
      <c r="F24887" s="28"/>
      <c r="H24887" s="28"/>
    </row>
    <row r="24888" spans="4:8" x14ac:dyDescent="0.25">
      <c r="D24888" s="28"/>
      <c r="F24888" s="28"/>
      <c r="H24888" s="28"/>
    </row>
    <row r="24889" spans="4:8" x14ac:dyDescent="0.25">
      <c r="D24889" s="28"/>
      <c r="F24889" s="28"/>
      <c r="H24889" s="28"/>
    </row>
    <row r="24890" spans="4:8" x14ac:dyDescent="0.25">
      <c r="D24890" s="28"/>
      <c r="F24890" s="28"/>
      <c r="H24890" s="28"/>
    </row>
    <row r="24891" spans="4:8" x14ac:dyDescent="0.25">
      <c r="D24891" s="28"/>
      <c r="F24891" s="28"/>
      <c r="H24891" s="28"/>
    </row>
    <row r="24892" spans="4:8" x14ac:dyDescent="0.25">
      <c r="D24892" s="28"/>
      <c r="F24892" s="28"/>
      <c r="H24892" s="28"/>
    </row>
    <row r="24893" spans="4:8" x14ac:dyDescent="0.25">
      <c r="D24893" s="28"/>
      <c r="F24893" s="28"/>
      <c r="H24893" s="28"/>
    </row>
    <row r="24894" spans="4:8" x14ac:dyDescent="0.25">
      <c r="D24894" s="28"/>
      <c r="F24894" s="28"/>
      <c r="H24894" s="28"/>
    </row>
    <row r="24895" spans="4:8" x14ac:dyDescent="0.25">
      <c r="D24895" s="28"/>
      <c r="F24895" s="28"/>
      <c r="H24895" s="28"/>
    </row>
    <row r="24896" spans="4:8" x14ac:dyDescent="0.25">
      <c r="D24896" s="28"/>
      <c r="F24896" s="28"/>
      <c r="H24896" s="28"/>
    </row>
    <row r="24897" spans="4:8" x14ac:dyDescent="0.25">
      <c r="D24897" s="28"/>
      <c r="F24897" s="28"/>
      <c r="H24897" s="28"/>
    </row>
    <row r="24898" spans="4:8" x14ac:dyDescent="0.25">
      <c r="D24898" s="28"/>
      <c r="F24898" s="28"/>
      <c r="H24898" s="28"/>
    </row>
    <row r="24899" spans="4:8" x14ac:dyDescent="0.25">
      <c r="D24899" s="28"/>
      <c r="F24899" s="28"/>
      <c r="H24899" s="28"/>
    </row>
    <row r="24900" spans="4:8" x14ac:dyDescent="0.25">
      <c r="D24900" s="28"/>
      <c r="F24900" s="28"/>
      <c r="H24900" s="28"/>
    </row>
    <row r="24901" spans="4:8" x14ac:dyDescent="0.25">
      <c r="D24901" s="28"/>
      <c r="F24901" s="28"/>
      <c r="H24901" s="28"/>
    </row>
    <row r="24902" spans="4:8" x14ac:dyDescent="0.25">
      <c r="D24902" s="28"/>
      <c r="F24902" s="28"/>
      <c r="H24902" s="28"/>
    </row>
    <row r="24903" spans="4:8" x14ac:dyDescent="0.25">
      <c r="D24903" s="28"/>
      <c r="F24903" s="28"/>
      <c r="H24903" s="28"/>
    </row>
    <row r="24904" spans="4:8" x14ac:dyDescent="0.25">
      <c r="D24904" s="28"/>
      <c r="F24904" s="28"/>
      <c r="H24904" s="28"/>
    </row>
    <row r="24905" spans="4:8" x14ac:dyDescent="0.25">
      <c r="D24905" s="28"/>
      <c r="F24905" s="28"/>
      <c r="H24905" s="28"/>
    </row>
    <row r="24906" spans="4:8" x14ac:dyDescent="0.25">
      <c r="D24906" s="28"/>
      <c r="F24906" s="28"/>
      <c r="H24906" s="28"/>
    </row>
    <row r="24907" spans="4:8" x14ac:dyDescent="0.25">
      <c r="D24907" s="28"/>
      <c r="F24907" s="28"/>
      <c r="H24907" s="28"/>
    </row>
    <row r="24908" spans="4:8" x14ac:dyDescent="0.25">
      <c r="D24908" s="28"/>
      <c r="F24908" s="28"/>
      <c r="H24908" s="28"/>
    </row>
    <row r="24909" spans="4:8" x14ac:dyDescent="0.25">
      <c r="D24909" s="28"/>
      <c r="F24909" s="28"/>
      <c r="H24909" s="28"/>
    </row>
    <row r="24910" spans="4:8" x14ac:dyDescent="0.25">
      <c r="D24910" s="28"/>
      <c r="F24910" s="28"/>
      <c r="H24910" s="28"/>
    </row>
    <row r="24911" spans="4:8" x14ac:dyDescent="0.25">
      <c r="D24911" s="28"/>
      <c r="F24911" s="28"/>
      <c r="H24911" s="28"/>
    </row>
    <row r="24912" spans="4:8" x14ac:dyDescent="0.25">
      <c r="D24912" s="28"/>
      <c r="F24912" s="28"/>
      <c r="H24912" s="28"/>
    </row>
    <row r="24913" spans="4:8" x14ac:dyDescent="0.25">
      <c r="D24913" s="28"/>
      <c r="F24913" s="28"/>
      <c r="H24913" s="28"/>
    </row>
    <row r="24914" spans="4:8" x14ac:dyDescent="0.25">
      <c r="D24914" s="28"/>
      <c r="F24914" s="28"/>
      <c r="H24914" s="28"/>
    </row>
    <row r="24915" spans="4:8" x14ac:dyDescent="0.25">
      <c r="D24915" s="28"/>
      <c r="F24915" s="28"/>
      <c r="H24915" s="28"/>
    </row>
    <row r="24916" spans="4:8" x14ac:dyDescent="0.25">
      <c r="D24916" s="28"/>
      <c r="F24916" s="28"/>
      <c r="H24916" s="28"/>
    </row>
    <row r="24917" spans="4:8" x14ac:dyDescent="0.25">
      <c r="D24917" s="28"/>
      <c r="F24917" s="28"/>
      <c r="H24917" s="28"/>
    </row>
    <row r="24918" spans="4:8" x14ac:dyDescent="0.25">
      <c r="D24918" s="28"/>
      <c r="F24918" s="28"/>
      <c r="H24918" s="28"/>
    </row>
    <row r="24919" spans="4:8" x14ac:dyDescent="0.25">
      <c r="D24919" s="28"/>
      <c r="F24919" s="28"/>
      <c r="H24919" s="28"/>
    </row>
    <row r="24920" spans="4:8" x14ac:dyDescent="0.25">
      <c r="D24920" s="28"/>
      <c r="F24920" s="28"/>
      <c r="H24920" s="28"/>
    </row>
    <row r="24921" spans="4:8" x14ac:dyDescent="0.25">
      <c r="D24921" s="28"/>
      <c r="F24921" s="28"/>
      <c r="H24921" s="28"/>
    </row>
    <row r="24922" spans="4:8" x14ac:dyDescent="0.25">
      <c r="D24922" s="28"/>
      <c r="F24922" s="28"/>
      <c r="H24922" s="28"/>
    </row>
    <row r="24923" spans="4:8" x14ac:dyDescent="0.25">
      <c r="D24923" s="28"/>
      <c r="F24923" s="28"/>
      <c r="H24923" s="28"/>
    </row>
    <row r="24924" spans="4:8" x14ac:dyDescent="0.25">
      <c r="D24924" s="28"/>
      <c r="F24924" s="28"/>
      <c r="H24924" s="28"/>
    </row>
    <row r="24925" spans="4:8" x14ac:dyDescent="0.25">
      <c r="D24925" s="28"/>
      <c r="F24925" s="28"/>
      <c r="H24925" s="28"/>
    </row>
    <row r="24926" spans="4:8" x14ac:dyDescent="0.25">
      <c r="D24926" s="28"/>
      <c r="F24926" s="28"/>
      <c r="H24926" s="28"/>
    </row>
    <row r="24927" spans="4:8" x14ac:dyDescent="0.25">
      <c r="D24927" s="28"/>
      <c r="F24927" s="28"/>
      <c r="H24927" s="28"/>
    </row>
    <row r="24928" spans="4:8" x14ac:dyDescent="0.25">
      <c r="D24928" s="28"/>
      <c r="F24928" s="28"/>
      <c r="H24928" s="28"/>
    </row>
    <row r="24929" spans="4:8" x14ac:dyDescent="0.25">
      <c r="D24929" s="28"/>
      <c r="F24929" s="28"/>
      <c r="H24929" s="28"/>
    </row>
    <row r="24930" spans="4:8" x14ac:dyDescent="0.25">
      <c r="D24930" s="28"/>
      <c r="F24930" s="28"/>
      <c r="H24930" s="28"/>
    </row>
    <row r="24931" spans="4:8" x14ac:dyDescent="0.25">
      <c r="D24931" s="28"/>
      <c r="F24931" s="28"/>
      <c r="H24931" s="28"/>
    </row>
    <row r="24932" spans="4:8" x14ac:dyDescent="0.25">
      <c r="D24932" s="28"/>
      <c r="F24932" s="28"/>
      <c r="H24932" s="28"/>
    </row>
    <row r="24933" spans="4:8" x14ac:dyDescent="0.25">
      <c r="D24933" s="28"/>
      <c r="F24933" s="28"/>
      <c r="H24933" s="28"/>
    </row>
    <row r="24934" spans="4:8" x14ac:dyDescent="0.25">
      <c r="D24934" s="28"/>
      <c r="F24934" s="28"/>
      <c r="H24934" s="28"/>
    </row>
    <row r="24935" spans="4:8" x14ac:dyDescent="0.25">
      <c r="D24935" s="28"/>
      <c r="F24935" s="28"/>
      <c r="H24935" s="28"/>
    </row>
    <row r="24936" spans="4:8" x14ac:dyDescent="0.25">
      <c r="D24936" s="28"/>
      <c r="F24936" s="28"/>
      <c r="H24936" s="28"/>
    </row>
    <row r="24937" spans="4:8" x14ac:dyDescent="0.25">
      <c r="D24937" s="28"/>
      <c r="F24937" s="28"/>
      <c r="H24937" s="28"/>
    </row>
    <row r="24938" spans="4:8" x14ac:dyDescent="0.25">
      <c r="D24938" s="28"/>
      <c r="F24938" s="28"/>
      <c r="H24938" s="28"/>
    </row>
    <row r="24939" spans="4:8" x14ac:dyDescent="0.25">
      <c r="D24939" s="28"/>
      <c r="F24939" s="28"/>
      <c r="H24939" s="28"/>
    </row>
    <row r="24940" spans="4:8" x14ac:dyDescent="0.25">
      <c r="D24940" s="28"/>
      <c r="F24940" s="28"/>
      <c r="H24940" s="28"/>
    </row>
    <row r="24941" spans="4:8" x14ac:dyDescent="0.25">
      <c r="D24941" s="28"/>
      <c r="F24941" s="28"/>
      <c r="H24941" s="28"/>
    </row>
    <row r="24942" spans="4:8" x14ac:dyDescent="0.25">
      <c r="D24942" s="28"/>
      <c r="F24942" s="28"/>
      <c r="H24942" s="28"/>
    </row>
    <row r="24943" spans="4:8" x14ac:dyDescent="0.25">
      <c r="D24943" s="28"/>
      <c r="F24943" s="28"/>
      <c r="H24943" s="28"/>
    </row>
    <row r="24944" spans="4:8" x14ac:dyDescent="0.25">
      <c r="D24944" s="28"/>
      <c r="F24944" s="28"/>
      <c r="H24944" s="28"/>
    </row>
    <row r="24945" spans="4:8" x14ac:dyDescent="0.25">
      <c r="D24945" s="28"/>
      <c r="F24945" s="28"/>
      <c r="H24945" s="28"/>
    </row>
    <row r="24946" spans="4:8" x14ac:dyDescent="0.25">
      <c r="D24946" s="28"/>
      <c r="F24946" s="28"/>
      <c r="H24946" s="28"/>
    </row>
    <row r="24947" spans="4:8" x14ac:dyDescent="0.25">
      <c r="D24947" s="28"/>
      <c r="F24947" s="28"/>
      <c r="H24947" s="28"/>
    </row>
    <row r="24948" spans="4:8" x14ac:dyDescent="0.25">
      <c r="D24948" s="28"/>
      <c r="F24948" s="28"/>
      <c r="H24948" s="28"/>
    </row>
    <row r="24949" spans="4:8" x14ac:dyDescent="0.25">
      <c r="D24949" s="28"/>
      <c r="F24949" s="28"/>
      <c r="H24949" s="28"/>
    </row>
    <row r="24950" spans="4:8" x14ac:dyDescent="0.25">
      <c r="D24950" s="28"/>
      <c r="F24950" s="28"/>
      <c r="H24950" s="28"/>
    </row>
    <row r="24951" spans="4:8" x14ac:dyDescent="0.25">
      <c r="D24951" s="28"/>
      <c r="F24951" s="28"/>
      <c r="H24951" s="28"/>
    </row>
    <row r="24952" spans="4:8" x14ac:dyDescent="0.25">
      <c r="D24952" s="28"/>
      <c r="F24952" s="28"/>
      <c r="H24952" s="28"/>
    </row>
    <row r="24953" spans="4:8" x14ac:dyDescent="0.25">
      <c r="D24953" s="28"/>
      <c r="F24953" s="28"/>
      <c r="H24953" s="28"/>
    </row>
    <row r="24954" spans="4:8" x14ac:dyDescent="0.25">
      <c r="D24954" s="28"/>
      <c r="F24954" s="28"/>
      <c r="H24954" s="28"/>
    </row>
    <row r="24955" spans="4:8" x14ac:dyDescent="0.25">
      <c r="D24955" s="28"/>
      <c r="F24955" s="28"/>
      <c r="H24955" s="28"/>
    </row>
    <row r="24956" spans="4:8" x14ac:dyDescent="0.25">
      <c r="D24956" s="28"/>
      <c r="F24956" s="28"/>
      <c r="H24956" s="28"/>
    </row>
    <row r="24957" spans="4:8" x14ac:dyDescent="0.25">
      <c r="D24957" s="28"/>
      <c r="F24957" s="28"/>
      <c r="H24957" s="28"/>
    </row>
    <row r="24958" spans="4:8" x14ac:dyDescent="0.25">
      <c r="D24958" s="28"/>
      <c r="F24958" s="28"/>
      <c r="H24958" s="28"/>
    </row>
    <row r="24959" spans="4:8" x14ac:dyDescent="0.25">
      <c r="D24959" s="28"/>
      <c r="F24959" s="28"/>
      <c r="H24959" s="28"/>
    </row>
    <row r="24960" spans="4:8" x14ac:dyDescent="0.25">
      <c r="D24960" s="28"/>
      <c r="F24960" s="28"/>
      <c r="H24960" s="28"/>
    </row>
    <row r="24961" spans="4:8" x14ac:dyDescent="0.25">
      <c r="D24961" s="28"/>
      <c r="F24961" s="28"/>
      <c r="H24961" s="28"/>
    </row>
    <row r="24962" spans="4:8" x14ac:dyDescent="0.25">
      <c r="D24962" s="28"/>
      <c r="F24962" s="28"/>
      <c r="H24962" s="28"/>
    </row>
    <row r="24963" spans="4:8" x14ac:dyDescent="0.25">
      <c r="D24963" s="28"/>
      <c r="F24963" s="28"/>
      <c r="H24963" s="28"/>
    </row>
    <row r="24964" spans="4:8" x14ac:dyDescent="0.25">
      <c r="D24964" s="28"/>
      <c r="F24964" s="28"/>
      <c r="H24964" s="28"/>
    </row>
    <row r="24965" spans="4:8" x14ac:dyDescent="0.25">
      <c r="D24965" s="28"/>
      <c r="F24965" s="28"/>
      <c r="H24965" s="28"/>
    </row>
    <row r="24966" spans="4:8" x14ac:dyDescent="0.25">
      <c r="D24966" s="28"/>
      <c r="F24966" s="28"/>
      <c r="H24966" s="28"/>
    </row>
    <row r="24967" spans="4:8" x14ac:dyDescent="0.25">
      <c r="D24967" s="28"/>
      <c r="F24967" s="28"/>
      <c r="H24967" s="28"/>
    </row>
    <row r="24968" spans="4:8" x14ac:dyDescent="0.25">
      <c r="D24968" s="28"/>
      <c r="F24968" s="28"/>
      <c r="H24968" s="28"/>
    </row>
    <row r="24969" spans="4:8" x14ac:dyDescent="0.25">
      <c r="D24969" s="28"/>
      <c r="F24969" s="28"/>
      <c r="H24969" s="28"/>
    </row>
    <row r="24970" spans="4:8" x14ac:dyDescent="0.25">
      <c r="D24970" s="28"/>
      <c r="F24970" s="28"/>
      <c r="H24970" s="28"/>
    </row>
    <row r="24971" spans="4:8" x14ac:dyDescent="0.25">
      <c r="D24971" s="28"/>
      <c r="F24971" s="28"/>
      <c r="H24971" s="28"/>
    </row>
    <row r="24972" spans="4:8" x14ac:dyDescent="0.25">
      <c r="D24972" s="28"/>
      <c r="F24972" s="28"/>
      <c r="H24972" s="28"/>
    </row>
    <row r="24973" spans="4:8" x14ac:dyDescent="0.25">
      <c r="D24973" s="28"/>
      <c r="F24973" s="28"/>
      <c r="H24973" s="28"/>
    </row>
    <row r="24974" spans="4:8" x14ac:dyDescent="0.25">
      <c r="D24974" s="28"/>
      <c r="F24974" s="28"/>
      <c r="H24974" s="28"/>
    </row>
    <row r="24975" spans="4:8" x14ac:dyDescent="0.25">
      <c r="D24975" s="28"/>
      <c r="F24975" s="28"/>
      <c r="H24975" s="28"/>
    </row>
    <row r="24976" spans="4:8" x14ac:dyDescent="0.25">
      <c r="D24976" s="28"/>
      <c r="F24976" s="28"/>
      <c r="H24976" s="28"/>
    </row>
    <row r="24977" spans="4:8" x14ac:dyDescent="0.25">
      <c r="D24977" s="28"/>
      <c r="F24977" s="28"/>
      <c r="H24977" s="28"/>
    </row>
    <row r="24978" spans="4:8" x14ac:dyDescent="0.25">
      <c r="D24978" s="28"/>
      <c r="F24978" s="28"/>
      <c r="H24978" s="28"/>
    </row>
    <row r="24979" spans="4:8" x14ac:dyDescent="0.25">
      <c r="D24979" s="28"/>
      <c r="F24979" s="28"/>
      <c r="H24979" s="28"/>
    </row>
    <row r="24980" spans="4:8" x14ac:dyDescent="0.25">
      <c r="D24980" s="28"/>
      <c r="F24980" s="28"/>
      <c r="H24980" s="28"/>
    </row>
    <row r="24981" spans="4:8" x14ac:dyDescent="0.25">
      <c r="D24981" s="28"/>
      <c r="F24981" s="28"/>
      <c r="H24981" s="28"/>
    </row>
    <row r="24982" spans="4:8" x14ac:dyDescent="0.25">
      <c r="D24982" s="28"/>
      <c r="F24982" s="28"/>
      <c r="H24982" s="28"/>
    </row>
    <row r="24983" spans="4:8" x14ac:dyDescent="0.25">
      <c r="D24983" s="28"/>
      <c r="F24983" s="28"/>
      <c r="H24983" s="28"/>
    </row>
    <row r="24984" spans="4:8" x14ac:dyDescent="0.25">
      <c r="D24984" s="28"/>
      <c r="F24984" s="28"/>
      <c r="H24984" s="28"/>
    </row>
    <row r="24985" spans="4:8" x14ac:dyDescent="0.25">
      <c r="D24985" s="28"/>
      <c r="F24985" s="28"/>
      <c r="H24985" s="28"/>
    </row>
    <row r="24986" spans="4:8" x14ac:dyDescent="0.25">
      <c r="D24986" s="28"/>
      <c r="F24986" s="28"/>
      <c r="H24986" s="28"/>
    </row>
    <row r="24987" spans="4:8" x14ac:dyDescent="0.25">
      <c r="D24987" s="28"/>
      <c r="F24987" s="28"/>
      <c r="H24987" s="28"/>
    </row>
    <row r="24988" spans="4:8" x14ac:dyDescent="0.25">
      <c r="D24988" s="28"/>
      <c r="F24988" s="28"/>
      <c r="H24988" s="28"/>
    </row>
    <row r="24989" spans="4:8" x14ac:dyDescent="0.25">
      <c r="D24989" s="28"/>
      <c r="F24989" s="28"/>
      <c r="H24989" s="28"/>
    </row>
    <row r="24990" spans="4:8" x14ac:dyDescent="0.25">
      <c r="D24990" s="28"/>
      <c r="F24990" s="28"/>
      <c r="H24990" s="28"/>
    </row>
    <row r="24991" spans="4:8" x14ac:dyDescent="0.25">
      <c r="D24991" s="28"/>
      <c r="F24991" s="28"/>
      <c r="H24991" s="28"/>
    </row>
    <row r="24992" spans="4:8" x14ac:dyDescent="0.25">
      <c r="D24992" s="28"/>
      <c r="F24992" s="28"/>
      <c r="H24992" s="28"/>
    </row>
    <row r="24993" spans="4:8" x14ac:dyDescent="0.25">
      <c r="D24993" s="28"/>
      <c r="F24993" s="28"/>
      <c r="H24993" s="28"/>
    </row>
    <row r="24994" spans="4:8" x14ac:dyDescent="0.25">
      <c r="D24994" s="28"/>
      <c r="F24994" s="28"/>
      <c r="H24994" s="28"/>
    </row>
    <row r="24995" spans="4:8" x14ac:dyDescent="0.25">
      <c r="D24995" s="28"/>
      <c r="F24995" s="28"/>
      <c r="H24995" s="28"/>
    </row>
    <row r="24996" spans="4:8" x14ac:dyDescent="0.25">
      <c r="D24996" s="28"/>
      <c r="F24996" s="28"/>
      <c r="H24996" s="28"/>
    </row>
    <row r="24997" spans="4:8" x14ac:dyDescent="0.25">
      <c r="D24997" s="28"/>
      <c r="F24997" s="28"/>
      <c r="H24997" s="28"/>
    </row>
    <row r="24998" spans="4:8" x14ac:dyDescent="0.25">
      <c r="D24998" s="28"/>
      <c r="F24998" s="28"/>
      <c r="H24998" s="28"/>
    </row>
    <row r="24999" spans="4:8" x14ac:dyDescent="0.25">
      <c r="D24999" s="28"/>
      <c r="F24999" s="28"/>
      <c r="H24999" s="28"/>
    </row>
    <row r="25000" spans="4:8" x14ac:dyDescent="0.25">
      <c r="D25000" s="28"/>
      <c r="F25000" s="28"/>
      <c r="H25000" s="28"/>
    </row>
    <row r="25001" spans="4:8" x14ac:dyDescent="0.25">
      <c r="D25001" s="28"/>
      <c r="F25001" s="28"/>
      <c r="H25001" s="28"/>
    </row>
    <row r="25002" spans="4:8" x14ac:dyDescent="0.25">
      <c r="D25002" s="28"/>
      <c r="F25002" s="28"/>
      <c r="H25002" s="28"/>
    </row>
    <row r="25003" spans="4:8" x14ac:dyDescent="0.25">
      <c r="D25003" s="28"/>
      <c r="F25003" s="28"/>
      <c r="H25003" s="28"/>
    </row>
    <row r="25004" spans="4:8" x14ac:dyDescent="0.25">
      <c r="D25004" s="28"/>
      <c r="F25004" s="28"/>
      <c r="H25004" s="28"/>
    </row>
    <row r="25005" spans="4:8" x14ac:dyDescent="0.25">
      <c r="D25005" s="28"/>
      <c r="F25005" s="28"/>
      <c r="H25005" s="28"/>
    </row>
    <row r="25006" spans="4:8" x14ac:dyDescent="0.25">
      <c r="D25006" s="28"/>
      <c r="F25006" s="28"/>
      <c r="H25006" s="28"/>
    </row>
    <row r="25007" spans="4:8" x14ac:dyDescent="0.25">
      <c r="D25007" s="28"/>
      <c r="F25007" s="28"/>
      <c r="H25007" s="28"/>
    </row>
    <row r="25008" spans="4:8" x14ac:dyDescent="0.25">
      <c r="D25008" s="28"/>
      <c r="F25008" s="28"/>
      <c r="H25008" s="28"/>
    </row>
    <row r="25009" spans="4:8" x14ac:dyDescent="0.25">
      <c r="D25009" s="28"/>
      <c r="F25009" s="28"/>
      <c r="H25009" s="28"/>
    </row>
    <row r="25010" spans="4:8" x14ac:dyDescent="0.25">
      <c r="D25010" s="28"/>
      <c r="F25010" s="28"/>
      <c r="H25010" s="28"/>
    </row>
    <row r="25011" spans="4:8" x14ac:dyDescent="0.25">
      <c r="D25011" s="28"/>
      <c r="F25011" s="28"/>
      <c r="H25011" s="28"/>
    </row>
    <row r="25012" spans="4:8" x14ac:dyDescent="0.25">
      <c r="D25012" s="28"/>
      <c r="F25012" s="28"/>
      <c r="H25012" s="28"/>
    </row>
    <row r="25013" spans="4:8" x14ac:dyDescent="0.25">
      <c r="D25013" s="28"/>
      <c r="F25013" s="28"/>
      <c r="H25013" s="28"/>
    </row>
    <row r="25014" spans="4:8" x14ac:dyDescent="0.25">
      <c r="D25014" s="28"/>
      <c r="F25014" s="28"/>
      <c r="H25014" s="28"/>
    </row>
    <row r="25015" spans="4:8" x14ac:dyDescent="0.25">
      <c r="D25015" s="28"/>
      <c r="F25015" s="28"/>
      <c r="H25015" s="28"/>
    </row>
    <row r="25016" spans="4:8" x14ac:dyDescent="0.25">
      <c r="D25016" s="28"/>
      <c r="F25016" s="28"/>
      <c r="H25016" s="28"/>
    </row>
    <row r="25017" spans="4:8" x14ac:dyDescent="0.25">
      <c r="D25017" s="28"/>
      <c r="F25017" s="28"/>
      <c r="H25017" s="28"/>
    </row>
    <row r="25018" spans="4:8" x14ac:dyDescent="0.25">
      <c r="D25018" s="28"/>
      <c r="F25018" s="28"/>
      <c r="H25018" s="28"/>
    </row>
    <row r="25019" spans="4:8" x14ac:dyDescent="0.25">
      <c r="D25019" s="28"/>
      <c r="F25019" s="28"/>
      <c r="H25019" s="28"/>
    </row>
    <row r="25020" spans="4:8" x14ac:dyDescent="0.25">
      <c r="D25020" s="28"/>
      <c r="F25020" s="28"/>
      <c r="H25020" s="28"/>
    </row>
    <row r="25021" spans="4:8" x14ac:dyDescent="0.25">
      <c r="D25021" s="28"/>
      <c r="F25021" s="28"/>
      <c r="H25021" s="28"/>
    </row>
    <row r="25022" spans="4:8" x14ac:dyDescent="0.25">
      <c r="D25022" s="28"/>
      <c r="F25022" s="28"/>
      <c r="H25022" s="28"/>
    </row>
    <row r="25023" spans="4:8" x14ac:dyDescent="0.25">
      <c r="D25023" s="28"/>
      <c r="F25023" s="28"/>
      <c r="H25023" s="28"/>
    </row>
    <row r="25024" spans="4:8" x14ac:dyDescent="0.25">
      <c r="D25024" s="28"/>
      <c r="F25024" s="28"/>
      <c r="H25024" s="28"/>
    </row>
    <row r="25025" spans="4:8" x14ac:dyDescent="0.25">
      <c r="D25025" s="28"/>
      <c r="F25025" s="28"/>
      <c r="H25025" s="28"/>
    </row>
    <row r="25026" spans="4:8" x14ac:dyDescent="0.25">
      <c r="D25026" s="28"/>
      <c r="F25026" s="28"/>
      <c r="H25026" s="28"/>
    </row>
    <row r="25027" spans="4:8" x14ac:dyDescent="0.25">
      <c r="D25027" s="28"/>
      <c r="F25027" s="28"/>
      <c r="H25027" s="28"/>
    </row>
    <row r="25028" spans="4:8" x14ac:dyDescent="0.25">
      <c r="D25028" s="28"/>
      <c r="F25028" s="28"/>
      <c r="H25028" s="28"/>
    </row>
    <row r="25029" spans="4:8" x14ac:dyDescent="0.25">
      <c r="D25029" s="28"/>
      <c r="F25029" s="28"/>
      <c r="H25029" s="28"/>
    </row>
    <row r="25030" spans="4:8" x14ac:dyDescent="0.25">
      <c r="D25030" s="28"/>
      <c r="F25030" s="28"/>
      <c r="H25030" s="28"/>
    </row>
    <row r="25031" spans="4:8" x14ac:dyDescent="0.25">
      <c r="D25031" s="28"/>
      <c r="F25031" s="28"/>
      <c r="H25031" s="28"/>
    </row>
    <row r="25032" spans="4:8" x14ac:dyDescent="0.25">
      <c r="D25032" s="28"/>
      <c r="F25032" s="28"/>
      <c r="H25032" s="28"/>
    </row>
    <row r="25033" spans="4:8" x14ac:dyDescent="0.25">
      <c r="D25033" s="28"/>
      <c r="F25033" s="28"/>
      <c r="H25033" s="28"/>
    </row>
    <row r="25034" spans="4:8" x14ac:dyDescent="0.25">
      <c r="D25034" s="28"/>
      <c r="F25034" s="28"/>
      <c r="H25034" s="28"/>
    </row>
    <row r="25035" spans="4:8" x14ac:dyDescent="0.25">
      <c r="D25035" s="28"/>
      <c r="F25035" s="28"/>
      <c r="H25035" s="28"/>
    </row>
    <row r="25036" spans="4:8" x14ac:dyDescent="0.25">
      <c r="D25036" s="28"/>
      <c r="F25036" s="28"/>
      <c r="H25036" s="28"/>
    </row>
    <row r="25037" spans="4:8" x14ac:dyDescent="0.25">
      <c r="D25037" s="28"/>
      <c r="F25037" s="28"/>
      <c r="H25037" s="28"/>
    </row>
    <row r="25038" spans="4:8" x14ac:dyDescent="0.25">
      <c r="D25038" s="28"/>
      <c r="F25038" s="28"/>
      <c r="H25038" s="28"/>
    </row>
    <row r="25039" spans="4:8" x14ac:dyDescent="0.25">
      <c r="D25039" s="28"/>
      <c r="F25039" s="28"/>
      <c r="H25039" s="28"/>
    </row>
    <row r="25040" spans="4:8" x14ac:dyDescent="0.25">
      <c r="D25040" s="28"/>
      <c r="F25040" s="28"/>
      <c r="H25040" s="28"/>
    </row>
    <row r="25041" spans="4:8" x14ac:dyDescent="0.25">
      <c r="D25041" s="28"/>
      <c r="F25041" s="28"/>
      <c r="H25041" s="28"/>
    </row>
    <row r="25042" spans="4:8" x14ac:dyDescent="0.25">
      <c r="D25042" s="28"/>
      <c r="F25042" s="28"/>
      <c r="H25042" s="28"/>
    </row>
    <row r="25043" spans="4:8" x14ac:dyDescent="0.25">
      <c r="D25043" s="28"/>
      <c r="F25043" s="28"/>
      <c r="H25043" s="28"/>
    </row>
    <row r="25044" spans="4:8" x14ac:dyDescent="0.25">
      <c r="D25044" s="28"/>
      <c r="F25044" s="28"/>
      <c r="H25044" s="28"/>
    </row>
    <row r="25045" spans="4:8" x14ac:dyDescent="0.25">
      <c r="D25045" s="28"/>
      <c r="F25045" s="28"/>
      <c r="H25045" s="28"/>
    </row>
    <row r="25046" spans="4:8" x14ac:dyDescent="0.25">
      <c r="D25046" s="28"/>
      <c r="F25046" s="28"/>
      <c r="H25046" s="28"/>
    </row>
    <row r="25047" spans="4:8" x14ac:dyDescent="0.25">
      <c r="D25047" s="28"/>
      <c r="F25047" s="28"/>
      <c r="H25047" s="28"/>
    </row>
    <row r="25048" spans="4:8" x14ac:dyDescent="0.25">
      <c r="D25048" s="28"/>
      <c r="F25048" s="28"/>
      <c r="H25048" s="28"/>
    </row>
    <row r="25049" spans="4:8" x14ac:dyDescent="0.25">
      <c r="D25049" s="28"/>
      <c r="F25049" s="28"/>
      <c r="H25049" s="28"/>
    </row>
    <row r="25050" spans="4:8" x14ac:dyDescent="0.25">
      <c r="D25050" s="28"/>
      <c r="F25050" s="28"/>
      <c r="H25050" s="28"/>
    </row>
    <row r="25051" spans="4:8" x14ac:dyDescent="0.25">
      <c r="D25051" s="28"/>
      <c r="F25051" s="28"/>
      <c r="H25051" s="28"/>
    </row>
    <row r="25052" spans="4:8" x14ac:dyDescent="0.25">
      <c r="D25052" s="28"/>
      <c r="F25052" s="28"/>
      <c r="H25052" s="28"/>
    </row>
    <row r="25053" spans="4:8" x14ac:dyDescent="0.25">
      <c r="D25053" s="28"/>
      <c r="F25053" s="28"/>
      <c r="H25053" s="28"/>
    </row>
    <row r="25054" spans="4:8" x14ac:dyDescent="0.25">
      <c r="D25054" s="28"/>
      <c r="F25054" s="28"/>
      <c r="H25054" s="28"/>
    </row>
    <row r="25055" spans="4:8" x14ac:dyDescent="0.25">
      <c r="D25055" s="28"/>
      <c r="F25055" s="28"/>
      <c r="H25055" s="28"/>
    </row>
    <row r="25056" spans="4:8" x14ac:dyDescent="0.25">
      <c r="D25056" s="28"/>
      <c r="F25056" s="28"/>
      <c r="H25056" s="28"/>
    </row>
    <row r="25057" spans="4:8" x14ac:dyDescent="0.25">
      <c r="D25057" s="28"/>
      <c r="F25057" s="28"/>
      <c r="H25057" s="28"/>
    </row>
    <row r="25058" spans="4:8" x14ac:dyDescent="0.25">
      <c r="D25058" s="28"/>
      <c r="F25058" s="28"/>
      <c r="H25058" s="28"/>
    </row>
    <row r="25059" spans="4:8" x14ac:dyDescent="0.25">
      <c r="D25059" s="28"/>
      <c r="F25059" s="28"/>
      <c r="H25059" s="28"/>
    </row>
    <row r="25060" spans="4:8" x14ac:dyDescent="0.25">
      <c r="D25060" s="28"/>
      <c r="F25060" s="28"/>
      <c r="H25060" s="28"/>
    </row>
    <row r="25061" spans="4:8" x14ac:dyDescent="0.25">
      <c r="D25061" s="28"/>
      <c r="F25061" s="28"/>
      <c r="H25061" s="28"/>
    </row>
    <row r="25062" spans="4:8" x14ac:dyDescent="0.25">
      <c r="D25062" s="28"/>
      <c r="F25062" s="28"/>
      <c r="H25062" s="28"/>
    </row>
    <row r="25063" spans="4:8" x14ac:dyDescent="0.25">
      <c r="D25063" s="28"/>
      <c r="F25063" s="28"/>
      <c r="H25063" s="28"/>
    </row>
    <row r="25064" spans="4:8" x14ac:dyDescent="0.25">
      <c r="D25064" s="28"/>
      <c r="F25064" s="28"/>
      <c r="H25064" s="28"/>
    </row>
    <row r="25065" spans="4:8" x14ac:dyDescent="0.25">
      <c r="D25065" s="28"/>
      <c r="F25065" s="28"/>
      <c r="H25065" s="28"/>
    </row>
    <row r="25066" spans="4:8" x14ac:dyDescent="0.25">
      <c r="D25066" s="28"/>
      <c r="F25066" s="28"/>
      <c r="H25066" s="28"/>
    </row>
    <row r="25067" spans="4:8" x14ac:dyDescent="0.25">
      <c r="D25067" s="28"/>
      <c r="F25067" s="28"/>
      <c r="H25067" s="28"/>
    </row>
    <row r="25068" spans="4:8" x14ac:dyDescent="0.25">
      <c r="D25068" s="28"/>
      <c r="F25068" s="28"/>
      <c r="H25068" s="28"/>
    </row>
    <row r="25069" spans="4:8" x14ac:dyDescent="0.25">
      <c r="D25069" s="28"/>
      <c r="F25069" s="28"/>
      <c r="H25069" s="28"/>
    </row>
    <row r="25070" spans="4:8" x14ac:dyDescent="0.25">
      <c r="D25070" s="28"/>
      <c r="F25070" s="28"/>
      <c r="H25070" s="28"/>
    </row>
    <row r="25071" spans="4:8" x14ac:dyDescent="0.25">
      <c r="D25071" s="28"/>
      <c r="F25071" s="28"/>
      <c r="H25071" s="28"/>
    </row>
    <row r="25072" spans="4:8" x14ac:dyDescent="0.25">
      <c r="D25072" s="28"/>
      <c r="F25072" s="28"/>
      <c r="H25072" s="28"/>
    </row>
    <row r="25073" spans="4:8" x14ac:dyDescent="0.25">
      <c r="D25073" s="28"/>
      <c r="F25073" s="28"/>
      <c r="H25073" s="28"/>
    </row>
    <row r="25074" spans="4:8" x14ac:dyDescent="0.25">
      <c r="D25074" s="28"/>
      <c r="F25074" s="28"/>
      <c r="H25074" s="28"/>
    </row>
    <row r="25075" spans="4:8" x14ac:dyDescent="0.25">
      <c r="D25075" s="28"/>
      <c r="F25075" s="28"/>
      <c r="H25075" s="28"/>
    </row>
    <row r="25076" spans="4:8" x14ac:dyDescent="0.25">
      <c r="D25076" s="28"/>
      <c r="F25076" s="28"/>
      <c r="H25076" s="28"/>
    </row>
    <row r="25077" spans="4:8" x14ac:dyDescent="0.25">
      <c r="D25077" s="28"/>
      <c r="F25077" s="28"/>
      <c r="H25077" s="28"/>
    </row>
    <row r="25078" spans="4:8" x14ac:dyDescent="0.25">
      <c r="D25078" s="28"/>
      <c r="F25078" s="28"/>
      <c r="H25078" s="28"/>
    </row>
    <row r="25079" spans="4:8" x14ac:dyDescent="0.25">
      <c r="D25079" s="28"/>
      <c r="F25079" s="28"/>
      <c r="H25079" s="28"/>
    </row>
    <row r="25080" spans="4:8" x14ac:dyDescent="0.25">
      <c r="D25080" s="28"/>
      <c r="F25080" s="28"/>
      <c r="H25080" s="28"/>
    </row>
    <row r="25081" spans="4:8" x14ac:dyDescent="0.25">
      <c r="D25081" s="28"/>
      <c r="F25081" s="28"/>
      <c r="H25081" s="28"/>
    </row>
    <row r="25082" spans="4:8" x14ac:dyDescent="0.25">
      <c r="D25082" s="28"/>
      <c r="F25082" s="28"/>
      <c r="H25082" s="28"/>
    </row>
    <row r="25083" spans="4:8" x14ac:dyDescent="0.25">
      <c r="D25083" s="28"/>
      <c r="F25083" s="28"/>
      <c r="H25083" s="28"/>
    </row>
    <row r="25084" spans="4:8" x14ac:dyDescent="0.25">
      <c r="D25084" s="28"/>
      <c r="F25084" s="28"/>
      <c r="H25084" s="28"/>
    </row>
    <row r="25085" spans="4:8" x14ac:dyDescent="0.25">
      <c r="D25085" s="28"/>
      <c r="F25085" s="28"/>
      <c r="H25085" s="28"/>
    </row>
    <row r="25086" spans="4:8" x14ac:dyDescent="0.25">
      <c r="D25086" s="28"/>
      <c r="F25086" s="28"/>
      <c r="H25086" s="28"/>
    </row>
    <row r="25087" spans="4:8" x14ac:dyDescent="0.25">
      <c r="D25087" s="28"/>
      <c r="F25087" s="28"/>
      <c r="H25087" s="28"/>
    </row>
    <row r="25088" spans="4:8" x14ac:dyDescent="0.25">
      <c r="D25088" s="28"/>
      <c r="F25088" s="28"/>
      <c r="H25088" s="28"/>
    </row>
    <row r="25089" spans="4:8" x14ac:dyDescent="0.25">
      <c r="D25089" s="28"/>
      <c r="F25089" s="28"/>
      <c r="H25089" s="28"/>
    </row>
    <row r="25090" spans="4:8" x14ac:dyDescent="0.25">
      <c r="D25090" s="28"/>
      <c r="F25090" s="28"/>
      <c r="H25090" s="28"/>
    </row>
    <row r="25091" spans="4:8" x14ac:dyDescent="0.25">
      <c r="D25091" s="28"/>
      <c r="F25091" s="28"/>
      <c r="H25091" s="28"/>
    </row>
    <row r="25092" spans="4:8" x14ac:dyDescent="0.25">
      <c r="D25092" s="28"/>
      <c r="F25092" s="28"/>
      <c r="H25092" s="28"/>
    </row>
    <row r="25093" spans="4:8" x14ac:dyDescent="0.25">
      <c r="D25093" s="28"/>
      <c r="F25093" s="28"/>
      <c r="H25093" s="28"/>
    </row>
    <row r="25094" spans="4:8" x14ac:dyDescent="0.25">
      <c r="D25094" s="28"/>
      <c r="F25094" s="28"/>
      <c r="H25094" s="28"/>
    </row>
    <row r="25095" spans="4:8" x14ac:dyDescent="0.25">
      <c r="D25095" s="28"/>
      <c r="F25095" s="28"/>
      <c r="H25095" s="28"/>
    </row>
    <row r="25096" spans="4:8" x14ac:dyDescent="0.25">
      <c r="D25096" s="28"/>
      <c r="F25096" s="28"/>
      <c r="H25096" s="28"/>
    </row>
    <row r="25097" spans="4:8" x14ac:dyDescent="0.25">
      <c r="D25097" s="28"/>
      <c r="F25097" s="28"/>
      <c r="H25097" s="28"/>
    </row>
    <row r="25098" spans="4:8" x14ac:dyDescent="0.25">
      <c r="D25098" s="28"/>
      <c r="F25098" s="28"/>
      <c r="H25098" s="28"/>
    </row>
    <row r="25099" spans="4:8" x14ac:dyDescent="0.25">
      <c r="D25099" s="28"/>
      <c r="F25099" s="28"/>
      <c r="H25099" s="28"/>
    </row>
    <row r="25100" spans="4:8" x14ac:dyDescent="0.25">
      <c r="D25100" s="28"/>
      <c r="F25100" s="28"/>
      <c r="H25100" s="28"/>
    </row>
    <row r="25101" spans="4:8" x14ac:dyDescent="0.25">
      <c r="D25101" s="28"/>
      <c r="F25101" s="28"/>
      <c r="H25101" s="28"/>
    </row>
    <row r="25102" spans="4:8" x14ac:dyDescent="0.25">
      <c r="D25102" s="28"/>
      <c r="F25102" s="28"/>
      <c r="H25102" s="28"/>
    </row>
    <row r="25103" spans="4:8" x14ac:dyDescent="0.25">
      <c r="D25103" s="28"/>
      <c r="F25103" s="28"/>
      <c r="H25103" s="28"/>
    </row>
    <row r="25104" spans="4:8" x14ac:dyDescent="0.25">
      <c r="D25104" s="28"/>
      <c r="F25104" s="28"/>
      <c r="H25104" s="28"/>
    </row>
    <row r="25105" spans="4:8" x14ac:dyDescent="0.25">
      <c r="D25105" s="28"/>
      <c r="F25105" s="28"/>
      <c r="H25105" s="28"/>
    </row>
    <row r="25106" spans="4:8" x14ac:dyDescent="0.25">
      <c r="D25106" s="28"/>
      <c r="F25106" s="28"/>
      <c r="H25106" s="28"/>
    </row>
    <row r="25107" spans="4:8" x14ac:dyDescent="0.25">
      <c r="D25107" s="28"/>
      <c r="F25107" s="28"/>
      <c r="H25107" s="28"/>
    </row>
    <row r="25108" spans="4:8" x14ac:dyDescent="0.25">
      <c r="D25108" s="28"/>
      <c r="F25108" s="28"/>
      <c r="H25108" s="28"/>
    </row>
    <row r="25109" spans="4:8" x14ac:dyDescent="0.25">
      <c r="D25109" s="28"/>
      <c r="F25109" s="28"/>
      <c r="H25109" s="28"/>
    </row>
    <row r="25110" spans="4:8" x14ac:dyDescent="0.25">
      <c r="D25110" s="28"/>
      <c r="F25110" s="28"/>
      <c r="H25110" s="28"/>
    </row>
    <row r="25111" spans="4:8" x14ac:dyDescent="0.25">
      <c r="D25111" s="28"/>
      <c r="F25111" s="28"/>
      <c r="H25111" s="28"/>
    </row>
    <row r="25112" spans="4:8" x14ac:dyDescent="0.25">
      <c r="D25112" s="28"/>
      <c r="F25112" s="28"/>
      <c r="H25112" s="28"/>
    </row>
    <row r="25113" spans="4:8" x14ac:dyDescent="0.25">
      <c r="D25113" s="28"/>
      <c r="F25113" s="28"/>
      <c r="H25113" s="28"/>
    </row>
    <row r="25114" spans="4:8" x14ac:dyDescent="0.25">
      <c r="D25114" s="28"/>
      <c r="F25114" s="28"/>
      <c r="H25114" s="28"/>
    </row>
    <row r="25115" spans="4:8" x14ac:dyDescent="0.25">
      <c r="D25115" s="28"/>
      <c r="F25115" s="28"/>
      <c r="H25115" s="28"/>
    </row>
    <row r="25116" spans="4:8" x14ac:dyDescent="0.25">
      <c r="D25116" s="28"/>
      <c r="F25116" s="28"/>
      <c r="H25116" s="28"/>
    </row>
    <row r="25117" spans="4:8" x14ac:dyDescent="0.25">
      <c r="D25117" s="28"/>
      <c r="F25117" s="28"/>
      <c r="H25117" s="28"/>
    </row>
    <row r="25118" spans="4:8" x14ac:dyDescent="0.25">
      <c r="D25118" s="28"/>
      <c r="F25118" s="28"/>
      <c r="H25118" s="28"/>
    </row>
    <row r="25119" spans="4:8" x14ac:dyDescent="0.25">
      <c r="D25119" s="28"/>
      <c r="F25119" s="28"/>
      <c r="H25119" s="28"/>
    </row>
    <row r="25120" spans="4:8" x14ac:dyDescent="0.25">
      <c r="D25120" s="28"/>
      <c r="F25120" s="28"/>
      <c r="H25120" s="28"/>
    </row>
    <row r="25121" spans="4:8" x14ac:dyDescent="0.25">
      <c r="D25121" s="28"/>
      <c r="F25121" s="28"/>
      <c r="H25121" s="28"/>
    </row>
    <row r="25122" spans="4:8" x14ac:dyDescent="0.25">
      <c r="D25122" s="28"/>
      <c r="F25122" s="28"/>
      <c r="H25122" s="28"/>
    </row>
    <row r="25123" spans="4:8" x14ac:dyDescent="0.25">
      <c r="D25123" s="28"/>
      <c r="F25123" s="28"/>
      <c r="H25123" s="28"/>
    </row>
    <row r="25124" spans="4:8" x14ac:dyDescent="0.25">
      <c r="D25124" s="28"/>
      <c r="F25124" s="28"/>
      <c r="H25124" s="28"/>
    </row>
    <row r="25125" spans="4:8" x14ac:dyDescent="0.25">
      <c r="D25125" s="28"/>
      <c r="F25125" s="28"/>
      <c r="H25125" s="28"/>
    </row>
    <row r="25126" spans="4:8" x14ac:dyDescent="0.25">
      <c r="D25126" s="28"/>
      <c r="F25126" s="28"/>
      <c r="H25126" s="28"/>
    </row>
    <row r="25127" spans="4:8" x14ac:dyDescent="0.25">
      <c r="D25127" s="28"/>
      <c r="F25127" s="28"/>
      <c r="H25127" s="28"/>
    </row>
    <row r="25128" spans="4:8" x14ac:dyDescent="0.25">
      <c r="D25128" s="28"/>
      <c r="F25128" s="28"/>
      <c r="H25128" s="28"/>
    </row>
    <row r="25129" spans="4:8" x14ac:dyDescent="0.25">
      <c r="D25129" s="28"/>
      <c r="F25129" s="28"/>
      <c r="H25129" s="28"/>
    </row>
    <row r="25130" spans="4:8" x14ac:dyDescent="0.25">
      <c r="D25130" s="28"/>
      <c r="F25130" s="28"/>
      <c r="H25130" s="28"/>
    </row>
    <row r="25131" spans="4:8" x14ac:dyDescent="0.25">
      <c r="D25131" s="28"/>
      <c r="F25131" s="28"/>
      <c r="H25131" s="28"/>
    </row>
    <row r="25132" spans="4:8" x14ac:dyDescent="0.25">
      <c r="D25132" s="28"/>
      <c r="F25132" s="28"/>
      <c r="H25132" s="28"/>
    </row>
    <row r="25133" spans="4:8" x14ac:dyDescent="0.25">
      <c r="D25133" s="28"/>
      <c r="F25133" s="28"/>
      <c r="H25133" s="28"/>
    </row>
    <row r="25134" spans="4:8" x14ac:dyDescent="0.25">
      <c r="D25134" s="28"/>
      <c r="F25134" s="28"/>
      <c r="H25134" s="28"/>
    </row>
    <row r="25135" spans="4:8" x14ac:dyDescent="0.25">
      <c r="D25135" s="28"/>
      <c r="F25135" s="28"/>
      <c r="H25135" s="28"/>
    </row>
    <row r="25136" spans="4:8" x14ac:dyDescent="0.25">
      <c r="D25136" s="28"/>
      <c r="F25136" s="28"/>
      <c r="H25136" s="28"/>
    </row>
    <row r="25137" spans="4:8" x14ac:dyDescent="0.25">
      <c r="D25137" s="28"/>
      <c r="F25137" s="28"/>
      <c r="H25137" s="28"/>
    </row>
    <row r="25138" spans="4:8" x14ac:dyDescent="0.25">
      <c r="D25138" s="28"/>
      <c r="F25138" s="28"/>
      <c r="H25138" s="28"/>
    </row>
    <row r="25139" spans="4:8" x14ac:dyDescent="0.25">
      <c r="D25139" s="28"/>
      <c r="F25139" s="28"/>
      <c r="H25139" s="28"/>
    </row>
    <row r="25140" spans="4:8" x14ac:dyDescent="0.25">
      <c r="D25140" s="28"/>
      <c r="F25140" s="28"/>
      <c r="H25140" s="28"/>
    </row>
    <row r="25141" spans="4:8" x14ac:dyDescent="0.25">
      <c r="D25141" s="28"/>
      <c r="F25141" s="28"/>
      <c r="H25141" s="28"/>
    </row>
    <row r="25142" spans="4:8" x14ac:dyDescent="0.25">
      <c r="D25142" s="28"/>
      <c r="F25142" s="28"/>
      <c r="H25142" s="28"/>
    </row>
    <row r="25143" spans="4:8" x14ac:dyDescent="0.25">
      <c r="D25143" s="28"/>
      <c r="F25143" s="28"/>
      <c r="H25143" s="28"/>
    </row>
    <row r="25144" spans="4:8" x14ac:dyDescent="0.25">
      <c r="D25144" s="28"/>
      <c r="F25144" s="28"/>
      <c r="H25144" s="28"/>
    </row>
    <row r="25145" spans="4:8" x14ac:dyDescent="0.25">
      <c r="D25145" s="28"/>
      <c r="F25145" s="28"/>
      <c r="H25145" s="28"/>
    </row>
    <row r="25146" spans="4:8" x14ac:dyDescent="0.25">
      <c r="D25146" s="28"/>
      <c r="F25146" s="28"/>
      <c r="H25146" s="28"/>
    </row>
    <row r="25147" spans="4:8" x14ac:dyDescent="0.25">
      <c r="D25147" s="28"/>
      <c r="F25147" s="28"/>
      <c r="H25147" s="28"/>
    </row>
    <row r="25148" spans="4:8" x14ac:dyDescent="0.25">
      <c r="D25148" s="28"/>
      <c r="F25148" s="28"/>
      <c r="H25148" s="28"/>
    </row>
    <row r="25149" spans="4:8" x14ac:dyDescent="0.25">
      <c r="D25149" s="28"/>
      <c r="F25149" s="28"/>
      <c r="H25149" s="28"/>
    </row>
    <row r="25150" spans="4:8" x14ac:dyDescent="0.25">
      <c r="D25150" s="28"/>
      <c r="F25150" s="28"/>
      <c r="H25150" s="28"/>
    </row>
    <row r="25151" spans="4:8" x14ac:dyDescent="0.25">
      <c r="D25151" s="28"/>
      <c r="F25151" s="28"/>
      <c r="H25151" s="28"/>
    </row>
    <row r="25152" spans="4:8" x14ac:dyDescent="0.25">
      <c r="D25152" s="28"/>
      <c r="F25152" s="28"/>
      <c r="H25152" s="28"/>
    </row>
    <row r="25153" spans="4:8" x14ac:dyDescent="0.25">
      <c r="D25153" s="28"/>
      <c r="F25153" s="28"/>
      <c r="H25153" s="28"/>
    </row>
    <row r="25154" spans="4:8" x14ac:dyDescent="0.25">
      <c r="D25154" s="28"/>
      <c r="F25154" s="28"/>
      <c r="H25154" s="28"/>
    </row>
    <row r="25155" spans="4:8" x14ac:dyDescent="0.25">
      <c r="D25155" s="28"/>
      <c r="F25155" s="28"/>
      <c r="H25155" s="28"/>
    </row>
    <row r="25156" spans="4:8" x14ac:dyDescent="0.25">
      <c r="D25156" s="28"/>
      <c r="F25156" s="28"/>
      <c r="H25156" s="28"/>
    </row>
    <row r="25157" spans="4:8" x14ac:dyDescent="0.25">
      <c r="D25157" s="28"/>
      <c r="F25157" s="28"/>
      <c r="H25157" s="28"/>
    </row>
    <row r="25158" spans="4:8" x14ac:dyDescent="0.25">
      <c r="D25158" s="28"/>
      <c r="F25158" s="28"/>
      <c r="H25158" s="28"/>
    </row>
    <row r="25159" spans="4:8" x14ac:dyDescent="0.25">
      <c r="D25159" s="28"/>
      <c r="F25159" s="28"/>
      <c r="H25159" s="28"/>
    </row>
    <row r="25160" spans="4:8" x14ac:dyDescent="0.25">
      <c r="D25160" s="28"/>
      <c r="F25160" s="28"/>
      <c r="H25160" s="28"/>
    </row>
    <row r="25161" spans="4:8" x14ac:dyDescent="0.25">
      <c r="D25161" s="28"/>
      <c r="F25161" s="28"/>
      <c r="H25161" s="28"/>
    </row>
    <row r="25162" spans="4:8" x14ac:dyDescent="0.25">
      <c r="D25162" s="28"/>
      <c r="F25162" s="28"/>
      <c r="H25162" s="28"/>
    </row>
    <row r="25163" spans="4:8" x14ac:dyDescent="0.25">
      <c r="D25163" s="28"/>
      <c r="F25163" s="28"/>
      <c r="H25163" s="28"/>
    </row>
    <row r="25164" spans="4:8" x14ac:dyDescent="0.25">
      <c r="D25164" s="28"/>
      <c r="F25164" s="28"/>
      <c r="H25164" s="28"/>
    </row>
    <row r="25165" spans="4:8" x14ac:dyDescent="0.25">
      <c r="D25165" s="28"/>
      <c r="F25165" s="28"/>
      <c r="H25165" s="28"/>
    </row>
    <row r="25166" spans="4:8" x14ac:dyDescent="0.25">
      <c r="D25166" s="28"/>
      <c r="F25166" s="28"/>
      <c r="H25166" s="28"/>
    </row>
    <row r="25167" spans="4:8" x14ac:dyDescent="0.25">
      <c r="D25167" s="28"/>
      <c r="F25167" s="28"/>
      <c r="H25167" s="28"/>
    </row>
    <row r="25168" spans="4:8" x14ac:dyDescent="0.25">
      <c r="D25168" s="28"/>
      <c r="F25168" s="28"/>
      <c r="H25168" s="28"/>
    </row>
    <row r="25169" spans="4:8" x14ac:dyDescent="0.25">
      <c r="D25169" s="28"/>
      <c r="F25169" s="28"/>
      <c r="H25169" s="28"/>
    </row>
    <row r="25170" spans="4:8" x14ac:dyDescent="0.25">
      <c r="D25170" s="28"/>
      <c r="F25170" s="28"/>
      <c r="H25170" s="28"/>
    </row>
    <row r="25171" spans="4:8" x14ac:dyDescent="0.25">
      <c r="D25171" s="28"/>
      <c r="F25171" s="28"/>
      <c r="H25171" s="28"/>
    </row>
    <row r="25172" spans="4:8" x14ac:dyDescent="0.25">
      <c r="D25172" s="28"/>
      <c r="F25172" s="28"/>
      <c r="H25172" s="28"/>
    </row>
    <row r="25173" spans="4:8" x14ac:dyDescent="0.25">
      <c r="D25173" s="28"/>
      <c r="F25173" s="28"/>
      <c r="H25173" s="28"/>
    </row>
    <row r="25174" spans="4:8" x14ac:dyDescent="0.25">
      <c r="D25174" s="28"/>
      <c r="F25174" s="28"/>
      <c r="H25174" s="28"/>
    </row>
    <row r="25175" spans="4:8" x14ac:dyDescent="0.25">
      <c r="D25175" s="28"/>
      <c r="F25175" s="28"/>
      <c r="H25175" s="28"/>
    </row>
    <row r="25176" spans="4:8" x14ac:dyDescent="0.25">
      <c r="D25176" s="28"/>
      <c r="F25176" s="28"/>
      <c r="H25176" s="28"/>
    </row>
    <row r="25177" spans="4:8" x14ac:dyDescent="0.25">
      <c r="D25177" s="28"/>
      <c r="F25177" s="28"/>
      <c r="H25177" s="28"/>
    </row>
    <row r="25178" spans="4:8" x14ac:dyDescent="0.25">
      <c r="D25178" s="28"/>
      <c r="F25178" s="28"/>
      <c r="H25178" s="28"/>
    </row>
    <row r="25179" spans="4:8" x14ac:dyDescent="0.25">
      <c r="D25179" s="28"/>
      <c r="F25179" s="28"/>
      <c r="H25179" s="28"/>
    </row>
    <row r="25180" spans="4:8" x14ac:dyDescent="0.25">
      <c r="D25180" s="28"/>
      <c r="F25180" s="28"/>
      <c r="H25180" s="28"/>
    </row>
    <row r="25181" spans="4:8" x14ac:dyDescent="0.25">
      <c r="D25181" s="28"/>
      <c r="F25181" s="28"/>
      <c r="H25181" s="28"/>
    </row>
    <row r="25182" spans="4:8" x14ac:dyDescent="0.25">
      <c r="D25182" s="28"/>
      <c r="F25182" s="28"/>
      <c r="H25182" s="28"/>
    </row>
    <row r="25183" spans="4:8" x14ac:dyDescent="0.25">
      <c r="D25183" s="28"/>
      <c r="F25183" s="28"/>
      <c r="H25183" s="28"/>
    </row>
    <row r="25184" spans="4:8" x14ac:dyDescent="0.25">
      <c r="D25184" s="28"/>
      <c r="F25184" s="28"/>
      <c r="H25184" s="28"/>
    </row>
    <row r="25185" spans="4:8" x14ac:dyDescent="0.25">
      <c r="D25185" s="28"/>
      <c r="F25185" s="28"/>
      <c r="H25185" s="28"/>
    </row>
    <row r="25186" spans="4:8" x14ac:dyDescent="0.25">
      <c r="D25186" s="28"/>
      <c r="F25186" s="28"/>
      <c r="H25186" s="28"/>
    </row>
    <row r="25187" spans="4:8" x14ac:dyDescent="0.25">
      <c r="D25187" s="28"/>
      <c r="F25187" s="28"/>
      <c r="H25187" s="28"/>
    </row>
    <row r="25188" spans="4:8" x14ac:dyDescent="0.25">
      <c r="D25188" s="28"/>
      <c r="F25188" s="28"/>
      <c r="H25188" s="28"/>
    </row>
    <row r="25189" spans="4:8" x14ac:dyDescent="0.25">
      <c r="D25189" s="28"/>
      <c r="F25189" s="28"/>
      <c r="H25189" s="28"/>
    </row>
    <row r="25190" spans="4:8" x14ac:dyDescent="0.25">
      <c r="D25190" s="28"/>
      <c r="F25190" s="28"/>
      <c r="H25190" s="28"/>
    </row>
    <row r="25191" spans="4:8" x14ac:dyDescent="0.25">
      <c r="D25191" s="28"/>
      <c r="F25191" s="28"/>
      <c r="H25191" s="28"/>
    </row>
    <row r="25192" spans="4:8" x14ac:dyDescent="0.25">
      <c r="D25192" s="28"/>
      <c r="F25192" s="28"/>
      <c r="H25192" s="28"/>
    </row>
    <row r="25193" spans="4:8" x14ac:dyDescent="0.25">
      <c r="D25193" s="28"/>
      <c r="F25193" s="28"/>
      <c r="H25193" s="28"/>
    </row>
    <row r="25194" spans="4:8" x14ac:dyDescent="0.25">
      <c r="D25194" s="28"/>
      <c r="F25194" s="28"/>
      <c r="H25194" s="28"/>
    </row>
    <row r="25195" spans="4:8" x14ac:dyDescent="0.25">
      <c r="D25195" s="28"/>
      <c r="F25195" s="28"/>
      <c r="H25195" s="28"/>
    </row>
    <row r="25196" spans="4:8" x14ac:dyDescent="0.25">
      <c r="D25196" s="28"/>
      <c r="F25196" s="28"/>
      <c r="H25196" s="28"/>
    </row>
    <row r="25197" spans="4:8" x14ac:dyDescent="0.25">
      <c r="D25197" s="28"/>
      <c r="F25197" s="28"/>
      <c r="H25197" s="28"/>
    </row>
    <row r="25198" spans="4:8" x14ac:dyDescent="0.25">
      <c r="D25198" s="28"/>
      <c r="F25198" s="28"/>
      <c r="H25198" s="28"/>
    </row>
    <row r="25199" spans="4:8" x14ac:dyDescent="0.25">
      <c r="D25199" s="28"/>
      <c r="F25199" s="28"/>
      <c r="H25199" s="28"/>
    </row>
    <row r="25200" spans="4:8" x14ac:dyDescent="0.25">
      <c r="D25200" s="28"/>
      <c r="F25200" s="28"/>
      <c r="H25200" s="28"/>
    </row>
    <row r="25201" spans="4:8" x14ac:dyDescent="0.25">
      <c r="D25201" s="28"/>
      <c r="F25201" s="28"/>
      <c r="H25201" s="28"/>
    </row>
    <row r="25202" spans="4:8" x14ac:dyDescent="0.25">
      <c r="D25202" s="28"/>
      <c r="F25202" s="28"/>
      <c r="H25202" s="28"/>
    </row>
    <row r="25203" spans="4:8" x14ac:dyDescent="0.25">
      <c r="D25203" s="28"/>
      <c r="F25203" s="28"/>
      <c r="H25203" s="28"/>
    </row>
    <row r="25204" spans="4:8" x14ac:dyDescent="0.25">
      <c r="D25204" s="28"/>
      <c r="F25204" s="28"/>
      <c r="H25204" s="28"/>
    </row>
    <row r="25205" spans="4:8" x14ac:dyDescent="0.25">
      <c r="D25205" s="28"/>
      <c r="F25205" s="28"/>
      <c r="H25205" s="28"/>
    </row>
    <row r="25206" spans="4:8" x14ac:dyDescent="0.25">
      <c r="D25206" s="28"/>
      <c r="F25206" s="28"/>
      <c r="H25206" s="28"/>
    </row>
    <row r="25207" spans="4:8" x14ac:dyDescent="0.25">
      <c r="D25207" s="28"/>
      <c r="F25207" s="28"/>
      <c r="H25207" s="28"/>
    </row>
    <row r="25208" spans="4:8" x14ac:dyDescent="0.25">
      <c r="D25208" s="28"/>
      <c r="F25208" s="28"/>
      <c r="H25208" s="28"/>
    </row>
    <row r="25209" spans="4:8" x14ac:dyDescent="0.25">
      <c r="D25209" s="28"/>
      <c r="F25209" s="28"/>
      <c r="H25209" s="28"/>
    </row>
    <row r="25210" spans="4:8" x14ac:dyDescent="0.25">
      <c r="D25210" s="28"/>
      <c r="F25210" s="28"/>
      <c r="H25210" s="28"/>
    </row>
    <row r="25211" spans="4:8" x14ac:dyDescent="0.25">
      <c r="D25211" s="28"/>
      <c r="F25211" s="28"/>
      <c r="H25211" s="28"/>
    </row>
    <row r="25212" spans="4:8" x14ac:dyDescent="0.25">
      <c r="D25212" s="28"/>
      <c r="F25212" s="28"/>
      <c r="H25212" s="28"/>
    </row>
    <row r="25213" spans="4:8" x14ac:dyDescent="0.25">
      <c r="D25213" s="28"/>
      <c r="F25213" s="28"/>
      <c r="H25213" s="28"/>
    </row>
    <row r="25214" spans="4:8" x14ac:dyDescent="0.25">
      <c r="D25214" s="28"/>
      <c r="F25214" s="28"/>
      <c r="H25214" s="28"/>
    </row>
    <row r="25215" spans="4:8" x14ac:dyDescent="0.25">
      <c r="D25215" s="28"/>
      <c r="F25215" s="28"/>
      <c r="H25215" s="28"/>
    </row>
    <row r="25216" spans="4:8" x14ac:dyDescent="0.25">
      <c r="D25216" s="28"/>
      <c r="F25216" s="28"/>
      <c r="H25216" s="28"/>
    </row>
    <row r="25217" spans="4:8" x14ac:dyDescent="0.25">
      <c r="D25217" s="28"/>
      <c r="F25217" s="28"/>
      <c r="H25217" s="28"/>
    </row>
    <row r="25218" spans="4:8" x14ac:dyDescent="0.25">
      <c r="D25218" s="28"/>
      <c r="F25218" s="28"/>
      <c r="H25218" s="28"/>
    </row>
    <row r="25219" spans="4:8" x14ac:dyDescent="0.25">
      <c r="D25219" s="28"/>
      <c r="F25219" s="28"/>
      <c r="H25219" s="28"/>
    </row>
    <row r="25220" spans="4:8" x14ac:dyDescent="0.25">
      <c r="D25220" s="28"/>
      <c r="F25220" s="28"/>
      <c r="H25220" s="28"/>
    </row>
    <row r="25221" spans="4:8" x14ac:dyDescent="0.25">
      <c r="D25221" s="28"/>
      <c r="F25221" s="28"/>
      <c r="H25221" s="28"/>
    </row>
    <row r="25222" spans="4:8" x14ac:dyDescent="0.25">
      <c r="D25222" s="28"/>
      <c r="F25222" s="28"/>
      <c r="H25222" s="28"/>
    </row>
    <row r="25223" spans="4:8" x14ac:dyDescent="0.25">
      <c r="D25223" s="28"/>
      <c r="F25223" s="28"/>
      <c r="H25223" s="28"/>
    </row>
    <row r="25224" spans="4:8" x14ac:dyDescent="0.25">
      <c r="D25224" s="28"/>
      <c r="F25224" s="28"/>
      <c r="H25224" s="28"/>
    </row>
    <row r="25225" spans="4:8" x14ac:dyDescent="0.25">
      <c r="D25225" s="28"/>
      <c r="F25225" s="28"/>
      <c r="H25225" s="28"/>
    </row>
    <row r="25226" spans="4:8" x14ac:dyDescent="0.25">
      <c r="D25226" s="28"/>
      <c r="F25226" s="28"/>
      <c r="H25226" s="28"/>
    </row>
    <row r="25227" spans="4:8" x14ac:dyDescent="0.25">
      <c r="D25227" s="28"/>
      <c r="F25227" s="28"/>
      <c r="H25227" s="28"/>
    </row>
    <row r="25228" spans="4:8" x14ac:dyDescent="0.25">
      <c r="D25228" s="28"/>
      <c r="F25228" s="28"/>
      <c r="H25228" s="28"/>
    </row>
    <row r="25229" spans="4:8" x14ac:dyDescent="0.25">
      <c r="D25229" s="28"/>
      <c r="F25229" s="28"/>
      <c r="H25229" s="28"/>
    </row>
    <row r="25230" spans="4:8" x14ac:dyDescent="0.25">
      <c r="D25230" s="28"/>
      <c r="F25230" s="28"/>
      <c r="H25230" s="28"/>
    </row>
    <row r="25231" spans="4:8" x14ac:dyDescent="0.25">
      <c r="D25231" s="28"/>
      <c r="F25231" s="28"/>
      <c r="H25231" s="28"/>
    </row>
    <row r="25232" spans="4:8" x14ac:dyDescent="0.25">
      <c r="D25232" s="28"/>
      <c r="F25232" s="28"/>
      <c r="H25232" s="28"/>
    </row>
    <row r="25233" spans="4:8" x14ac:dyDescent="0.25">
      <c r="D25233" s="28"/>
      <c r="F25233" s="28"/>
      <c r="H25233" s="28"/>
    </row>
    <row r="25234" spans="4:8" x14ac:dyDescent="0.25">
      <c r="D25234" s="28"/>
      <c r="F25234" s="28"/>
      <c r="H25234" s="28"/>
    </row>
    <row r="25235" spans="4:8" x14ac:dyDescent="0.25">
      <c r="D25235" s="28"/>
      <c r="F25235" s="28"/>
      <c r="H25235" s="28"/>
    </row>
    <row r="25236" spans="4:8" x14ac:dyDescent="0.25">
      <c r="D25236" s="28"/>
      <c r="F25236" s="28"/>
      <c r="H25236" s="28"/>
    </row>
    <row r="25237" spans="4:8" x14ac:dyDescent="0.25">
      <c r="D25237" s="28"/>
      <c r="F25237" s="28"/>
      <c r="H25237" s="28"/>
    </row>
    <row r="25238" spans="4:8" x14ac:dyDescent="0.25">
      <c r="D25238" s="28"/>
      <c r="F25238" s="28"/>
      <c r="H25238" s="28"/>
    </row>
    <row r="25239" spans="4:8" x14ac:dyDescent="0.25">
      <c r="D25239" s="28"/>
      <c r="F25239" s="28"/>
      <c r="H25239" s="28"/>
    </row>
    <row r="25240" spans="4:8" x14ac:dyDescent="0.25">
      <c r="D25240" s="28"/>
      <c r="F25240" s="28"/>
      <c r="H25240" s="28"/>
    </row>
    <row r="25241" spans="4:8" x14ac:dyDescent="0.25">
      <c r="D25241" s="28"/>
      <c r="F25241" s="28"/>
      <c r="H25241" s="28"/>
    </row>
    <row r="25242" spans="4:8" x14ac:dyDescent="0.25">
      <c r="D25242" s="28"/>
      <c r="F25242" s="28"/>
      <c r="H25242" s="28"/>
    </row>
    <row r="25243" spans="4:8" x14ac:dyDescent="0.25">
      <c r="D25243" s="28"/>
      <c r="F25243" s="28"/>
      <c r="H25243" s="28"/>
    </row>
    <row r="25244" spans="4:8" x14ac:dyDescent="0.25">
      <c r="D25244" s="28"/>
      <c r="F25244" s="28"/>
      <c r="H25244" s="28"/>
    </row>
    <row r="25245" spans="4:8" x14ac:dyDescent="0.25">
      <c r="D25245" s="28"/>
      <c r="F25245" s="28"/>
      <c r="H25245" s="28"/>
    </row>
    <row r="25246" spans="4:8" x14ac:dyDescent="0.25">
      <c r="D25246" s="28"/>
      <c r="F25246" s="28"/>
      <c r="H25246" s="28"/>
    </row>
    <row r="25247" spans="4:8" x14ac:dyDescent="0.25">
      <c r="D25247" s="28"/>
      <c r="F25247" s="28"/>
      <c r="H25247" s="28"/>
    </row>
    <row r="25248" spans="4:8" x14ac:dyDescent="0.25">
      <c r="D25248" s="28"/>
      <c r="F25248" s="28"/>
      <c r="H25248" s="28"/>
    </row>
    <row r="25249" spans="4:8" x14ac:dyDescent="0.25">
      <c r="D25249" s="28"/>
      <c r="F25249" s="28"/>
      <c r="H25249" s="28"/>
    </row>
    <row r="25250" spans="4:8" x14ac:dyDescent="0.25">
      <c r="D25250" s="28"/>
      <c r="F25250" s="28"/>
      <c r="H25250" s="28"/>
    </row>
    <row r="25251" spans="4:8" x14ac:dyDescent="0.25">
      <c r="D25251" s="28"/>
      <c r="F25251" s="28"/>
      <c r="H25251" s="28"/>
    </row>
    <row r="25252" spans="4:8" x14ac:dyDescent="0.25">
      <c r="D25252" s="28"/>
      <c r="F25252" s="28"/>
      <c r="H25252" s="28"/>
    </row>
    <row r="25253" spans="4:8" x14ac:dyDescent="0.25">
      <c r="D25253" s="28"/>
      <c r="F25253" s="28"/>
      <c r="H25253" s="28"/>
    </row>
    <row r="25254" spans="4:8" x14ac:dyDescent="0.25">
      <c r="D25254" s="28"/>
      <c r="F25254" s="28"/>
      <c r="H25254" s="28"/>
    </row>
    <row r="25255" spans="4:8" x14ac:dyDescent="0.25">
      <c r="D25255" s="28"/>
      <c r="F25255" s="28"/>
      <c r="H25255" s="28"/>
    </row>
    <row r="25256" spans="4:8" x14ac:dyDescent="0.25">
      <c r="D25256" s="28"/>
      <c r="F25256" s="28"/>
      <c r="H25256" s="28"/>
    </row>
    <row r="25257" spans="4:8" x14ac:dyDescent="0.25">
      <c r="D25257" s="28"/>
      <c r="F25257" s="28"/>
      <c r="H25257" s="28"/>
    </row>
    <row r="25258" spans="4:8" x14ac:dyDescent="0.25">
      <c r="D25258" s="28"/>
      <c r="F25258" s="28"/>
      <c r="H25258" s="28"/>
    </row>
    <row r="25259" spans="4:8" x14ac:dyDescent="0.25">
      <c r="D25259" s="28"/>
      <c r="F25259" s="28"/>
      <c r="H25259" s="28"/>
    </row>
    <row r="25260" spans="4:8" x14ac:dyDescent="0.25">
      <c r="D25260" s="28"/>
      <c r="F25260" s="28"/>
      <c r="H25260" s="28"/>
    </row>
    <row r="25261" spans="4:8" x14ac:dyDescent="0.25">
      <c r="D25261" s="28"/>
      <c r="F25261" s="28"/>
      <c r="H25261" s="28"/>
    </row>
    <row r="25262" spans="4:8" x14ac:dyDescent="0.25">
      <c r="D25262" s="28"/>
      <c r="F25262" s="28"/>
      <c r="H25262" s="28"/>
    </row>
    <row r="25263" spans="4:8" x14ac:dyDescent="0.25">
      <c r="D25263" s="28"/>
      <c r="F25263" s="28"/>
      <c r="H25263" s="28"/>
    </row>
    <row r="25264" spans="4:8" x14ac:dyDescent="0.25">
      <c r="D25264" s="28"/>
      <c r="F25264" s="28"/>
      <c r="H25264" s="28"/>
    </row>
    <row r="25265" spans="4:8" x14ac:dyDescent="0.25">
      <c r="D25265" s="28"/>
      <c r="F25265" s="28"/>
      <c r="H25265" s="28"/>
    </row>
    <row r="25266" spans="4:8" x14ac:dyDescent="0.25">
      <c r="D25266" s="28"/>
      <c r="F25266" s="28"/>
      <c r="H25266" s="28"/>
    </row>
    <row r="25267" spans="4:8" x14ac:dyDescent="0.25">
      <c r="D25267" s="28"/>
      <c r="F25267" s="28"/>
      <c r="H25267" s="28"/>
    </row>
    <row r="25268" spans="4:8" x14ac:dyDescent="0.25">
      <c r="D25268" s="28"/>
      <c r="F25268" s="28"/>
      <c r="H25268" s="28"/>
    </row>
    <row r="25269" spans="4:8" x14ac:dyDescent="0.25">
      <c r="D25269" s="28"/>
      <c r="F25269" s="28"/>
      <c r="H25269" s="28"/>
    </row>
    <row r="25270" spans="4:8" x14ac:dyDescent="0.25">
      <c r="D25270" s="28"/>
      <c r="F25270" s="28"/>
      <c r="H25270" s="28"/>
    </row>
    <row r="25271" spans="4:8" x14ac:dyDescent="0.25">
      <c r="D25271" s="28"/>
      <c r="F25271" s="28"/>
      <c r="H25271" s="28"/>
    </row>
    <row r="25272" spans="4:8" x14ac:dyDescent="0.25">
      <c r="D25272" s="28"/>
      <c r="F25272" s="28"/>
      <c r="H25272" s="28"/>
    </row>
    <row r="25273" spans="4:8" x14ac:dyDescent="0.25">
      <c r="D25273" s="28"/>
      <c r="F25273" s="28"/>
      <c r="H25273" s="28"/>
    </row>
    <row r="25274" spans="4:8" x14ac:dyDescent="0.25">
      <c r="D25274" s="28"/>
      <c r="F25274" s="28"/>
      <c r="H25274" s="28"/>
    </row>
    <row r="25275" spans="4:8" x14ac:dyDescent="0.25">
      <c r="D25275" s="28"/>
      <c r="F25275" s="28"/>
      <c r="H25275" s="28"/>
    </row>
    <row r="25276" spans="4:8" x14ac:dyDescent="0.25">
      <c r="D25276" s="28"/>
      <c r="F25276" s="28"/>
      <c r="H25276" s="28"/>
    </row>
    <row r="25277" spans="4:8" x14ac:dyDescent="0.25">
      <c r="D25277" s="28"/>
      <c r="F25277" s="28"/>
      <c r="H25277" s="28"/>
    </row>
    <row r="25278" spans="4:8" x14ac:dyDescent="0.25">
      <c r="D25278" s="28"/>
      <c r="F25278" s="28"/>
      <c r="H25278" s="28"/>
    </row>
    <row r="25279" spans="4:8" x14ac:dyDescent="0.25">
      <c r="D25279" s="28"/>
      <c r="F25279" s="28"/>
      <c r="H25279" s="28"/>
    </row>
    <row r="25280" spans="4:8" x14ac:dyDescent="0.25">
      <c r="D25280" s="28"/>
      <c r="F25280" s="28"/>
      <c r="H25280" s="28"/>
    </row>
    <row r="25281" spans="4:8" x14ac:dyDescent="0.25">
      <c r="D25281" s="28"/>
      <c r="F25281" s="28"/>
      <c r="H25281" s="28"/>
    </row>
    <row r="25282" spans="4:8" x14ac:dyDescent="0.25">
      <c r="D25282" s="28"/>
      <c r="F25282" s="28"/>
      <c r="H25282" s="28"/>
    </row>
    <row r="25283" spans="4:8" x14ac:dyDescent="0.25">
      <c r="D25283" s="28"/>
      <c r="F25283" s="28"/>
      <c r="H25283" s="28"/>
    </row>
    <row r="25284" spans="4:8" x14ac:dyDescent="0.25">
      <c r="D25284" s="28"/>
      <c r="F25284" s="28"/>
      <c r="H25284" s="28"/>
    </row>
    <row r="25285" spans="4:8" x14ac:dyDescent="0.25">
      <c r="D25285" s="28"/>
      <c r="F25285" s="28"/>
      <c r="H25285" s="28"/>
    </row>
    <row r="25286" spans="4:8" x14ac:dyDescent="0.25">
      <c r="D25286" s="28"/>
      <c r="F25286" s="28"/>
      <c r="H25286" s="28"/>
    </row>
    <row r="25287" spans="4:8" x14ac:dyDescent="0.25">
      <c r="D25287" s="28"/>
      <c r="F25287" s="28"/>
      <c r="H25287" s="28"/>
    </row>
    <row r="25288" spans="4:8" x14ac:dyDescent="0.25">
      <c r="D25288" s="28"/>
      <c r="F25288" s="28"/>
      <c r="H25288" s="28"/>
    </row>
    <row r="25289" spans="4:8" x14ac:dyDescent="0.25">
      <c r="D25289" s="28"/>
      <c r="F25289" s="28"/>
      <c r="H25289" s="28"/>
    </row>
    <row r="25290" spans="4:8" x14ac:dyDescent="0.25">
      <c r="D25290" s="28"/>
      <c r="F25290" s="28"/>
      <c r="H25290" s="28"/>
    </row>
    <row r="25291" spans="4:8" x14ac:dyDescent="0.25">
      <c r="D25291" s="28"/>
      <c r="F25291" s="28"/>
      <c r="H25291" s="28"/>
    </row>
    <row r="25292" spans="4:8" x14ac:dyDescent="0.25">
      <c r="D25292" s="28"/>
      <c r="F25292" s="28"/>
      <c r="H25292" s="28"/>
    </row>
    <row r="25293" spans="4:8" x14ac:dyDescent="0.25">
      <c r="D25293" s="28"/>
      <c r="F25293" s="28"/>
      <c r="H25293" s="28"/>
    </row>
    <row r="25294" spans="4:8" x14ac:dyDescent="0.25">
      <c r="D25294" s="28"/>
      <c r="F25294" s="28"/>
      <c r="H25294" s="28"/>
    </row>
    <row r="25295" spans="4:8" x14ac:dyDescent="0.25">
      <c r="D25295" s="28"/>
      <c r="F25295" s="28"/>
      <c r="H25295" s="28"/>
    </row>
    <row r="25296" spans="4:8" x14ac:dyDescent="0.25">
      <c r="D25296" s="28"/>
      <c r="F25296" s="28"/>
      <c r="H25296" s="28"/>
    </row>
    <row r="25297" spans="4:8" x14ac:dyDescent="0.25">
      <c r="D25297" s="28"/>
      <c r="F25297" s="28"/>
      <c r="H25297" s="28"/>
    </row>
    <row r="25298" spans="4:8" x14ac:dyDescent="0.25">
      <c r="D25298" s="28"/>
      <c r="F25298" s="28"/>
      <c r="H25298" s="28"/>
    </row>
    <row r="25299" spans="4:8" x14ac:dyDescent="0.25">
      <c r="D25299" s="28"/>
      <c r="F25299" s="28"/>
      <c r="H25299" s="28"/>
    </row>
    <row r="25300" spans="4:8" x14ac:dyDescent="0.25">
      <c r="D25300" s="28"/>
      <c r="F25300" s="28"/>
      <c r="H25300" s="28"/>
    </row>
    <row r="25301" spans="4:8" x14ac:dyDescent="0.25">
      <c r="D25301" s="28"/>
      <c r="F25301" s="28"/>
      <c r="H25301" s="28"/>
    </row>
    <row r="25302" spans="4:8" x14ac:dyDescent="0.25">
      <c r="D25302" s="28"/>
      <c r="F25302" s="28"/>
      <c r="H25302" s="28"/>
    </row>
    <row r="25303" spans="4:8" x14ac:dyDescent="0.25">
      <c r="D25303" s="28"/>
      <c r="F25303" s="28"/>
      <c r="H25303" s="28"/>
    </row>
    <row r="25304" spans="4:8" x14ac:dyDescent="0.25">
      <c r="D25304" s="28"/>
      <c r="F25304" s="28"/>
      <c r="H25304" s="28"/>
    </row>
    <row r="25305" spans="4:8" x14ac:dyDescent="0.25">
      <c r="D25305" s="28"/>
      <c r="F25305" s="28"/>
      <c r="H25305" s="28"/>
    </row>
    <row r="25306" spans="4:8" x14ac:dyDescent="0.25">
      <c r="D25306" s="28"/>
      <c r="F25306" s="28"/>
      <c r="H25306" s="28"/>
    </row>
    <row r="25307" spans="4:8" x14ac:dyDescent="0.25">
      <c r="D25307" s="28"/>
      <c r="F25307" s="28"/>
      <c r="H25307" s="28"/>
    </row>
    <row r="25308" spans="4:8" x14ac:dyDescent="0.25">
      <c r="D25308" s="28"/>
      <c r="F25308" s="28"/>
      <c r="H25308" s="28"/>
    </row>
    <row r="25309" spans="4:8" x14ac:dyDescent="0.25">
      <c r="D25309" s="28"/>
      <c r="F25309" s="28"/>
      <c r="H25309" s="28"/>
    </row>
    <row r="25310" spans="4:8" x14ac:dyDescent="0.25">
      <c r="D25310" s="28"/>
      <c r="F25310" s="28"/>
      <c r="H25310" s="28"/>
    </row>
    <row r="25311" spans="4:8" x14ac:dyDescent="0.25">
      <c r="D25311" s="28"/>
      <c r="F25311" s="28"/>
      <c r="H25311" s="28"/>
    </row>
    <row r="25312" spans="4:8" x14ac:dyDescent="0.25">
      <c r="D25312" s="28"/>
      <c r="F25312" s="28"/>
      <c r="H25312" s="28"/>
    </row>
    <row r="25313" spans="4:8" x14ac:dyDescent="0.25">
      <c r="D25313" s="28"/>
      <c r="F25313" s="28"/>
      <c r="H25313" s="28"/>
    </row>
    <row r="25314" spans="4:8" x14ac:dyDescent="0.25">
      <c r="D25314" s="28"/>
      <c r="F25314" s="28"/>
      <c r="H25314" s="28"/>
    </row>
    <row r="25315" spans="4:8" x14ac:dyDescent="0.25">
      <c r="D25315" s="28"/>
      <c r="F25315" s="28"/>
      <c r="H25315" s="28"/>
    </row>
    <row r="25316" spans="4:8" x14ac:dyDescent="0.25">
      <c r="D25316" s="28"/>
      <c r="F25316" s="28"/>
      <c r="H25316" s="28"/>
    </row>
    <row r="25317" spans="4:8" x14ac:dyDescent="0.25">
      <c r="D25317" s="28"/>
      <c r="F25317" s="28"/>
      <c r="H25317" s="28"/>
    </row>
    <row r="25318" spans="4:8" x14ac:dyDescent="0.25">
      <c r="D25318" s="28"/>
      <c r="F25318" s="28"/>
      <c r="H25318" s="28"/>
    </row>
    <row r="25319" spans="4:8" x14ac:dyDescent="0.25">
      <c r="D25319" s="28"/>
      <c r="F25319" s="28"/>
      <c r="H25319" s="28"/>
    </row>
    <row r="25320" spans="4:8" x14ac:dyDescent="0.25">
      <c r="D25320" s="28"/>
      <c r="F25320" s="28"/>
      <c r="H25320" s="28"/>
    </row>
    <row r="25321" spans="4:8" x14ac:dyDescent="0.25">
      <c r="D25321" s="28"/>
      <c r="F25321" s="28"/>
      <c r="H25321" s="28"/>
    </row>
    <row r="25322" spans="4:8" x14ac:dyDescent="0.25">
      <c r="D25322" s="28"/>
      <c r="F25322" s="28"/>
      <c r="H25322" s="28"/>
    </row>
    <row r="25323" spans="4:8" x14ac:dyDescent="0.25">
      <c r="D25323" s="28"/>
      <c r="F25323" s="28"/>
      <c r="H25323" s="28"/>
    </row>
    <row r="25324" spans="4:8" x14ac:dyDescent="0.25">
      <c r="D25324" s="28"/>
      <c r="F25324" s="28"/>
      <c r="H25324" s="28"/>
    </row>
    <row r="25325" spans="4:8" x14ac:dyDescent="0.25">
      <c r="D25325" s="28"/>
      <c r="F25325" s="28"/>
      <c r="H25325" s="28"/>
    </row>
    <row r="25326" spans="4:8" x14ac:dyDescent="0.25">
      <c r="D25326" s="28"/>
      <c r="F25326" s="28"/>
      <c r="H25326" s="28"/>
    </row>
    <row r="25327" spans="4:8" x14ac:dyDescent="0.25">
      <c r="D25327" s="28"/>
      <c r="F25327" s="28"/>
      <c r="H25327" s="28"/>
    </row>
    <row r="25328" spans="4:8" x14ac:dyDescent="0.25">
      <c r="D25328" s="28"/>
      <c r="F25328" s="28"/>
      <c r="H25328" s="28"/>
    </row>
    <row r="25329" spans="4:8" x14ac:dyDescent="0.25">
      <c r="D25329" s="28"/>
      <c r="F25329" s="28"/>
      <c r="H25329" s="28"/>
    </row>
    <row r="25330" spans="4:8" x14ac:dyDescent="0.25">
      <c r="D25330" s="28"/>
      <c r="F25330" s="28"/>
      <c r="H25330" s="28"/>
    </row>
    <row r="25331" spans="4:8" x14ac:dyDescent="0.25">
      <c r="D25331" s="28"/>
      <c r="F25331" s="28"/>
      <c r="H25331" s="28"/>
    </row>
    <row r="25332" spans="4:8" x14ac:dyDescent="0.25">
      <c r="D25332" s="28"/>
      <c r="F25332" s="28"/>
      <c r="H25332" s="28"/>
    </row>
    <row r="25333" spans="4:8" x14ac:dyDescent="0.25">
      <c r="D25333" s="28"/>
      <c r="F25333" s="28"/>
      <c r="H25333" s="28"/>
    </row>
    <row r="25334" spans="4:8" x14ac:dyDescent="0.25">
      <c r="D25334" s="28"/>
      <c r="F25334" s="28"/>
      <c r="H25334" s="28"/>
    </row>
    <row r="25335" spans="4:8" x14ac:dyDescent="0.25">
      <c r="D25335" s="28"/>
      <c r="F25335" s="28"/>
      <c r="H25335" s="28"/>
    </row>
    <row r="25336" spans="4:8" x14ac:dyDescent="0.25">
      <c r="D25336" s="28"/>
      <c r="F25336" s="28"/>
      <c r="H25336" s="28"/>
    </row>
    <row r="25337" spans="4:8" x14ac:dyDescent="0.25">
      <c r="D25337" s="28"/>
      <c r="F25337" s="28"/>
      <c r="H25337" s="28"/>
    </row>
    <row r="25338" spans="4:8" x14ac:dyDescent="0.25">
      <c r="D25338" s="28"/>
      <c r="F25338" s="28"/>
      <c r="H25338" s="28"/>
    </row>
    <row r="25339" spans="4:8" x14ac:dyDescent="0.25">
      <c r="D25339" s="28"/>
      <c r="F25339" s="28"/>
      <c r="H25339" s="28"/>
    </row>
    <row r="25340" spans="4:8" x14ac:dyDescent="0.25">
      <c r="D25340" s="28"/>
      <c r="F25340" s="28"/>
      <c r="H25340" s="28"/>
    </row>
    <row r="25341" spans="4:8" x14ac:dyDescent="0.25">
      <c r="D25341" s="28"/>
      <c r="F25341" s="28"/>
      <c r="H25341" s="28"/>
    </row>
    <row r="25342" spans="4:8" x14ac:dyDescent="0.25">
      <c r="D25342" s="28"/>
      <c r="F25342" s="28"/>
      <c r="H25342" s="28"/>
    </row>
    <row r="25343" spans="4:8" x14ac:dyDescent="0.25">
      <c r="D25343" s="28"/>
      <c r="F25343" s="28"/>
      <c r="H25343" s="28"/>
    </row>
    <row r="25344" spans="4:8" x14ac:dyDescent="0.25">
      <c r="D25344" s="28"/>
      <c r="F25344" s="28"/>
      <c r="H25344" s="28"/>
    </row>
    <row r="25345" spans="4:8" x14ac:dyDescent="0.25">
      <c r="D25345" s="28"/>
      <c r="F25345" s="28"/>
      <c r="H25345" s="28"/>
    </row>
    <row r="25346" spans="4:8" x14ac:dyDescent="0.25">
      <c r="D25346" s="28"/>
      <c r="F25346" s="28"/>
      <c r="H25346" s="28"/>
    </row>
    <row r="25347" spans="4:8" x14ac:dyDescent="0.25">
      <c r="D25347" s="28"/>
      <c r="F25347" s="28"/>
      <c r="H25347" s="28"/>
    </row>
    <row r="25348" spans="4:8" x14ac:dyDescent="0.25">
      <c r="D25348" s="28"/>
      <c r="F25348" s="28"/>
      <c r="H25348" s="28"/>
    </row>
    <row r="25349" spans="4:8" x14ac:dyDescent="0.25">
      <c r="D25349" s="28"/>
      <c r="F25349" s="28"/>
      <c r="H25349" s="28"/>
    </row>
    <row r="25350" spans="4:8" x14ac:dyDescent="0.25">
      <c r="D25350" s="28"/>
      <c r="F25350" s="28"/>
      <c r="H25350" s="28"/>
    </row>
    <row r="25351" spans="4:8" x14ac:dyDescent="0.25">
      <c r="D25351" s="28"/>
      <c r="F25351" s="28"/>
      <c r="H25351" s="28"/>
    </row>
    <row r="25352" spans="4:8" x14ac:dyDescent="0.25">
      <c r="D25352" s="28"/>
      <c r="F25352" s="28"/>
      <c r="H25352" s="28"/>
    </row>
    <row r="25353" spans="4:8" x14ac:dyDescent="0.25">
      <c r="D25353" s="28"/>
      <c r="F25353" s="28"/>
      <c r="H25353" s="28"/>
    </row>
    <row r="25354" spans="4:8" x14ac:dyDescent="0.25">
      <c r="D25354" s="28"/>
      <c r="F25354" s="28"/>
      <c r="H25354" s="28"/>
    </row>
    <row r="25355" spans="4:8" x14ac:dyDescent="0.25">
      <c r="D25355" s="28"/>
      <c r="F25355" s="28"/>
      <c r="H25355" s="28"/>
    </row>
    <row r="25356" spans="4:8" x14ac:dyDescent="0.25">
      <c r="D25356" s="28"/>
      <c r="F25356" s="28"/>
      <c r="H25356" s="28"/>
    </row>
    <row r="25357" spans="4:8" x14ac:dyDescent="0.25">
      <c r="D25357" s="28"/>
      <c r="F25357" s="28"/>
      <c r="H25357" s="28"/>
    </row>
    <row r="25358" spans="4:8" x14ac:dyDescent="0.25">
      <c r="D25358" s="28"/>
      <c r="F25358" s="28"/>
      <c r="H25358" s="28"/>
    </row>
    <row r="25359" spans="4:8" x14ac:dyDescent="0.25">
      <c r="D25359" s="28"/>
      <c r="F25359" s="28"/>
      <c r="H25359" s="28"/>
    </row>
    <row r="25360" spans="4:8" x14ac:dyDescent="0.25">
      <c r="D25360" s="28"/>
      <c r="F25360" s="28"/>
      <c r="H25360" s="28"/>
    </row>
    <row r="25361" spans="4:8" x14ac:dyDescent="0.25">
      <c r="D25361" s="28"/>
      <c r="F25361" s="28"/>
      <c r="H25361" s="28"/>
    </row>
    <row r="25362" spans="4:8" x14ac:dyDescent="0.25">
      <c r="D25362" s="28"/>
      <c r="F25362" s="28"/>
      <c r="H25362" s="28"/>
    </row>
    <row r="25363" spans="4:8" x14ac:dyDescent="0.25">
      <c r="D25363" s="28"/>
      <c r="F25363" s="28"/>
      <c r="H25363" s="28"/>
    </row>
    <row r="25364" spans="4:8" x14ac:dyDescent="0.25">
      <c r="D25364" s="28"/>
      <c r="F25364" s="28"/>
      <c r="H25364" s="28"/>
    </row>
    <row r="25365" spans="4:8" x14ac:dyDescent="0.25">
      <c r="D25365" s="28"/>
      <c r="F25365" s="28"/>
      <c r="H25365" s="28"/>
    </row>
    <row r="25366" spans="4:8" x14ac:dyDescent="0.25">
      <c r="D25366" s="28"/>
      <c r="F25366" s="28"/>
      <c r="H25366" s="28"/>
    </row>
    <row r="25367" spans="4:8" x14ac:dyDescent="0.25">
      <c r="D25367" s="28"/>
      <c r="F25367" s="28"/>
      <c r="H25367" s="28"/>
    </row>
    <row r="25368" spans="4:8" x14ac:dyDescent="0.25">
      <c r="D25368" s="28"/>
      <c r="F25368" s="28"/>
      <c r="H25368" s="28"/>
    </row>
    <row r="25369" spans="4:8" x14ac:dyDescent="0.25">
      <c r="D25369" s="28"/>
      <c r="F25369" s="28"/>
      <c r="H25369" s="28"/>
    </row>
    <row r="25370" spans="4:8" x14ac:dyDescent="0.25">
      <c r="D25370" s="28"/>
      <c r="F25370" s="28"/>
      <c r="H25370" s="28"/>
    </row>
    <row r="25371" spans="4:8" x14ac:dyDescent="0.25">
      <c r="D25371" s="28"/>
      <c r="F25371" s="28"/>
      <c r="H25371" s="28"/>
    </row>
    <row r="25372" spans="4:8" x14ac:dyDescent="0.25">
      <c r="D25372" s="28"/>
      <c r="F25372" s="28"/>
      <c r="H25372" s="28"/>
    </row>
    <row r="25373" spans="4:8" x14ac:dyDescent="0.25">
      <c r="D25373" s="28"/>
      <c r="F25373" s="28"/>
      <c r="H25373" s="28"/>
    </row>
    <row r="25374" spans="4:8" x14ac:dyDescent="0.25">
      <c r="D25374" s="28"/>
      <c r="F25374" s="28"/>
      <c r="H25374" s="28"/>
    </row>
    <row r="25375" spans="4:8" x14ac:dyDescent="0.25">
      <c r="D25375" s="28"/>
      <c r="F25375" s="28"/>
      <c r="H25375" s="28"/>
    </row>
    <row r="25376" spans="4:8" x14ac:dyDescent="0.25">
      <c r="D25376" s="28"/>
      <c r="F25376" s="28"/>
      <c r="H25376" s="28"/>
    </row>
    <row r="25377" spans="4:8" x14ac:dyDescent="0.25">
      <c r="D25377" s="28"/>
      <c r="F25377" s="28"/>
      <c r="H25377" s="28"/>
    </row>
    <row r="25378" spans="4:8" x14ac:dyDescent="0.25">
      <c r="D25378" s="28"/>
      <c r="F25378" s="28"/>
      <c r="H25378" s="28"/>
    </row>
    <row r="25379" spans="4:8" x14ac:dyDescent="0.25">
      <c r="D25379" s="28"/>
      <c r="F25379" s="28"/>
      <c r="H25379" s="28"/>
    </row>
    <row r="25380" spans="4:8" x14ac:dyDescent="0.25">
      <c r="D25380" s="28"/>
      <c r="F25380" s="28"/>
      <c r="H25380" s="28"/>
    </row>
    <row r="25381" spans="4:8" x14ac:dyDescent="0.25">
      <c r="D25381" s="28"/>
      <c r="F25381" s="28"/>
      <c r="H25381" s="28"/>
    </row>
    <row r="25382" spans="4:8" x14ac:dyDescent="0.25">
      <c r="D25382" s="28"/>
      <c r="F25382" s="28"/>
      <c r="H25382" s="28"/>
    </row>
    <row r="25383" spans="4:8" x14ac:dyDescent="0.25">
      <c r="D25383" s="28"/>
      <c r="F25383" s="28"/>
      <c r="H25383" s="28"/>
    </row>
    <row r="25384" spans="4:8" x14ac:dyDescent="0.25">
      <c r="D25384" s="28"/>
      <c r="F25384" s="28"/>
      <c r="H25384" s="28"/>
    </row>
    <row r="25385" spans="4:8" x14ac:dyDescent="0.25">
      <c r="D25385" s="28"/>
      <c r="F25385" s="28"/>
      <c r="H25385" s="28"/>
    </row>
    <row r="25386" spans="4:8" x14ac:dyDescent="0.25">
      <c r="D25386" s="28"/>
      <c r="F25386" s="28"/>
      <c r="H25386" s="28"/>
    </row>
    <row r="25387" spans="4:8" x14ac:dyDescent="0.25">
      <c r="D25387" s="28"/>
      <c r="F25387" s="28"/>
      <c r="H25387" s="28"/>
    </row>
    <row r="25388" spans="4:8" x14ac:dyDescent="0.25">
      <c r="D25388" s="28"/>
      <c r="F25388" s="28"/>
      <c r="H25388" s="28"/>
    </row>
    <row r="25389" spans="4:8" x14ac:dyDescent="0.25">
      <c r="D25389" s="28"/>
      <c r="F25389" s="28"/>
      <c r="H25389" s="28"/>
    </row>
    <row r="25390" spans="4:8" x14ac:dyDescent="0.25">
      <c r="D25390" s="28"/>
      <c r="F25390" s="28"/>
      <c r="H25390" s="28"/>
    </row>
    <row r="25391" spans="4:8" x14ac:dyDescent="0.25">
      <c r="D25391" s="28"/>
      <c r="F25391" s="28"/>
      <c r="H25391" s="28"/>
    </row>
    <row r="25392" spans="4:8" x14ac:dyDescent="0.25">
      <c r="D25392" s="28"/>
      <c r="F25392" s="28"/>
      <c r="H25392" s="28"/>
    </row>
    <row r="25393" spans="4:8" x14ac:dyDescent="0.25">
      <c r="D25393" s="28"/>
      <c r="F25393" s="28"/>
      <c r="H25393" s="28"/>
    </row>
    <row r="25394" spans="4:8" x14ac:dyDescent="0.25">
      <c r="D25394" s="28"/>
      <c r="F25394" s="28"/>
      <c r="H25394" s="28"/>
    </row>
    <row r="25395" spans="4:8" x14ac:dyDescent="0.25">
      <c r="D25395" s="28"/>
      <c r="F25395" s="28"/>
      <c r="H25395" s="28"/>
    </row>
    <row r="25396" spans="4:8" x14ac:dyDescent="0.25">
      <c r="D25396" s="28"/>
      <c r="F25396" s="28"/>
      <c r="H25396" s="28"/>
    </row>
    <row r="25397" spans="4:8" x14ac:dyDescent="0.25">
      <c r="D25397" s="28"/>
      <c r="F25397" s="28"/>
      <c r="H25397" s="28"/>
    </row>
    <row r="25398" spans="4:8" x14ac:dyDescent="0.25">
      <c r="D25398" s="28"/>
      <c r="F25398" s="28"/>
      <c r="H25398" s="28"/>
    </row>
    <row r="25399" spans="4:8" x14ac:dyDescent="0.25">
      <c r="D25399" s="28"/>
      <c r="F25399" s="28"/>
      <c r="H25399" s="28"/>
    </row>
    <row r="25400" spans="4:8" x14ac:dyDescent="0.25">
      <c r="D25400" s="28"/>
      <c r="F25400" s="28"/>
      <c r="H25400" s="28"/>
    </row>
    <row r="25401" spans="4:8" x14ac:dyDescent="0.25">
      <c r="D25401" s="28"/>
      <c r="F25401" s="28"/>
      <c r="H25401" s="28"/>
    </row>
    <row r="25402" spans="4:8" x14ac:dyDescent="0.25">
      <c r="D25402" s="28"/>
      <c r="F25402" s="28"/>
      <c r="H25402" s="28"/>
    </row>
    <row r="25403" spans="4:8" x14ac:dyDescent="0.25">
      <c r="D25403" s="28"/>
      <c r="F25403" s="28"/>
      <c r="H25403" s="28"/>
    </row>
    <row r="25404" spans="4:8" x14ac:dyDescent="0.25">
      <c r="D25404" s="28"/>
      <c r="F25404" s="28"/>
      <c r="H25404" s="28"/>
    </row>
    <row r="25405" spans="4:8" x14ac:dyDescent="0.25">
      <c r="D25405" s="28"/>
      <c r="F25405" s="28"/>
      <c r="H25405" s="28"/>
    </row>
    <row r="25406" spans="4:8" x14ac:dyDescent="0.25">
      <c r="D25406" s="28"/>
      <c r="F25406" s="28"/>
      <c r="H25406" s="28"/>
    </row>
    <row r="25407" spans="4:8" x14ac:dyDescent="0.25">
      <c r="D25407" s="28"/>
      <c r="F25407" s="28"/>
      <c r="H25407" s="28"/>
    </row>
    <row r="25408" spans="4:8" x14ac:dyDescent="0.25">
      <c r="D25408" s="28"/>
      <c r="F25408" s="28"/>
      <c r="H25408" s="28"/>
    </row>
    <row r="25409" spans="4:8" x14ac:dyDescent="0.25">
      <c r="D25409" s="28"/>
      <c r="F25409" s="28"/>
      <c r="H25409" s="28"/>
    </row>
    <row r="25410" spans="4:8" x14ac:dyDescent="0.25">
      <c r="D25410" s="28"/>
      <c r="F25410" s="28"/>
      <c r="H25410" s="28"/>
    </row>
    <row r="25411" spans="4:8" x14ac:dyDescent="0.25">
      <c r="D25411" s="28"/>
      <c r="F25411" s="28"/>
      <c r="H25411" s="28"/>
    </row>
    <row r="25412" spans="4:8" x14ac:dyDescent="0.25">
      <c r="D25412" s="28"/>
      <c r="F25412" s="28"/>
      <c r="H25412" s="28"/>
    </row>
    <row r="25413" spans="4:8" x14ac:dyDescent="0.25">
      <c r="D25413" s="28"/>
      <c r="F25413" s="28"/>
      <c r="H25413" s="28"/>
    </row>
    <row r="25414" spans="4:8" x14ac:dyDescent="0.25">
      <c r="D25414" s="28"/>
      <c r="F25414" s="28"/>
      <c r="H25414" s="28"/>
    </row>
    <row r="25415" spans="4:8" x14ac:dyDescent="0.25">
      <c r="D25415" s="28"/>
      <c r="F25415" s="28"/>
      <c r="H25415" s="28"/>
    </row>
    <row r="25416" spans="4:8" x14ac:dyDescent="0.25">
      <c r="D25416" s="28"/>
      <c r="F25416" s="28"/>
      <c r="H25416" s="28"/>
    </row>
    <row r="25417" spans="4:8" x14ac:dyDescent="0.25">
      <c r="D25417" s="28"/>
      <c r="F25417" s="28"/>
      <c r="H25417" s="28"/>
    </row>
    <row r="25418" spans="4:8" x14ac:dyDescent="0.25">
      <c r="D25418" s="28"/>
      <c r="F25418" s="28"/>
      <c r="H25418" s="28"/>
    </row>
    <row r="25419" spans="4:8" x14ac:dyDescent="0.25">
      <c r="D25419" s="28"/>
      <c r="F25419" s="28"/>
      <c r="H25419" s="28"/>
    </row>
    <row r="25420" spans="4:8" x14ac:dyDescent="0.25">
      <c r="D25420" s="28"/>
      <c r="F25420" s="28"/>
      <c r="H25420" s="28"/>
    </row>
    <row r="25421" spans="4:8" x14ac:dyDescent="0.25">
      <c r="D25421" s="28"/>
      <c r="F25421" s="28"/>
      <c r="H25421" s="28"/>
    </row>
    <row r="25422" spans="4:8" x14ac:dyDescent="0.25">
      <c r="D25422" s="28"/>
      <c r="F25422" s="28"/>
      <c r="H25422" s="28"/>
    </row>
    <row r="25423" spans="4:8" x14ac:dyDescent="0.25">
      <c r="D25423" s="28"/>
      <c r="F25423" s="28"/>
      <c r="H25423" s="28"/>
    </row>
    <row r="25424" spans="4:8" x14ac:dyDescent="0.25">
      <c r="D25424" s="28"/>
      <c r="F25424" s="28"/>
      <c r="H25424" s="28"/>
    </row>
    <row r="25425" spans="4:8" x14ac:dyDescent="0.25">
      <c r="D25425" s="28"/>
      <c r="F25425" s="28"/>
      <c r="H25425" s="28"/>
    </row>
    <row r="25426" spans="4:8" x14ac:dyDescent="0.25">
      <c r="D25426" s="28"/>
      <c r="F25426" s="28"/>
      <c r="H25426" s="28"/>
    </row>
    <row r="25427" spans="4:8" x14ac:dyDescent="0.25">
      <c r="D25427" s="28"/>
      <c r="F25427" s="28"/>
      <c r="H25427" s="28"/>
    </row>
    <row r="25428" spans="4:8" x14ac:dyDescent="0.25">
      <c r="D25428" s="28"/>
      <c r="F25428" s="28"/>
      <c r="H25428" s="28"/>
    </row>
    <row r="25429" spans="4:8" x14ac:dyDescent="0.25">
      <c r="D25429" s="28"/>
      <c r="F25429" s="28"/>
      <c r="H25429" s="28"/>
    </row>
    <row r="25430" spans="4:8" x14ac:dyDescent="0.25">
      <c r="D25430" s="28"/>
      <c r="F25430" s="28"/>
      <c r="H25430" s="28"/>
    </row>
    <row r="25431" spans="4:8" x14ac:dyDescent="0.25">
      <c r="D25431" s="28"/>
      <c r="F25431" s="28"/>
      <c r="H25431" s="28"/>
    </row>
    <row r="25432" spans="4:8" x14ac:dyDescent="0.25">
      <c r="D25432" s="28"/>
      <c r="F25432" s="28"/>
      <c r="H25432" s="28"/>
    </row>
    <row r="25433" spans="4:8" x14ac:dyDescent="0.25">
      <c r="D25433" s="28"/>
      <c r="F25433" s="28"/>
      <c r="H25433" s="28"/>
    </row>
    <row r="25434" spans="4:8" x14ac:dyDescent="0.25">
      <c r="D25434" s="28"/>
      <c r="F25434" s="28"/>
      <c r="H25434" s="28"/>
    </row>
    <row r="25435" spans="4:8" x14ac:dyDescent="0.25">
      <c r="D25435" s="28"/>
      <c r="F25435" s="28"/>
      <c r="H25435" s="28"/>
    </row>
    <row r="25436" spans="4:8" x14ac:dyDescent="0.25">
      <c r="D25436" s="28"/>
      <c r="F25436" s="28"/>
      <c r="H25436" s="28"/>
    </row>
    <row r="25437" spans="4:8" x14ac:dyDescent="0.25">
      <c r="D25437" s="28"/>
      <c r="F25437" s="28"/>
      <c r="H25437" s="28"/>
    </row>
    <row r="25438" spans="4:8" x14ac:dyDescent="0.25">
      <c r="D25438" s="28"/>
      <c r="F25438" s="28"/>
      <c r="H25438" s="28"/>
    </row>
    <row r="25439" spans="4:8" x14ac:dyDescent="0.25">
      <c r="D25439" s="28"/>
      <c r="F25439" s="28"/>
      <c r="H25439" s="28"/>
    </row>
    <row r="25440" spans="4:8" x14ac:dyDescent="0.25">
      <c r="D25440" s="28"/>
      <c r="F25440" s="28"/>
      <c r="H25440" s="28"/>
    </row>
    <row r="25441" spans="4:8" x14ac:dyDescent="0.25">
      <c r="D25441" s="28"/>
      <c r="F25441" s="28"/>
      <c r="H25441" s="28"/>
    </row>
    <row r="25442" spans="4:8" x14ac:dyDescent="0.25">
      <c r="D25442" s="28"/>
      <c r="F25442" s="28"/>
      <c r="H25442" s="28"/>
    </row>
    <row r="25443" spans="4:8" x14ac:dyDescent="0.25">
      <c r="D25443" s="28"/>
      <c r="F25443" s="28"/>
      <c r="H25443" s="28"/>
    </row>
    <row r="25444" spans="4:8" x14ac:dyDescent="0.25">
      <c r="D25444" s="28"/>
      <c r="F25444" s="28"/>
      <c r="H25444" s="28"/>
    </row>
    <row r="25445" spans="4:8" x14ac:dyDescent="0.25">
      <c r="D25445" s="28"/>
      <c r="F25445" s="28"/>
      <c r="H25445" s="28"/>
    </row>
    <row r="25446" spans="4:8" x14ac:dyDescent="0.25">
      <c r="D25446" s="28"/>
      <c r="F25446" s="28"/>
      <c r="H25446" s="28"/>
    </row>
    <row r="25447" spans="4:8" x14ac:dyDescent="0.25">
      <c r="D25447" s="28"/>
      <c r="F25447" s="28"/>
      <c r="H25447" s="28"/>
    </row>
    <row r="25448" spans="4:8" x14ac:dyDescent="0.25">
      <c r="D25448" s="28"/>
      <c r="F25448" s="28"/>
      <c r="H25448" s="28"/>
    </row>
    <row r="25449" spans="4:8" x14ac:dyDescent="0.25">
      <c r="D25449" s="28"/>
      <c r="F25449" s="28"/>
      <c r="H25449" s="28"/>
    </row>
    <row r="25450" spans="4:8" x14ac:dyDescent="0.25">
      <c r="D25450" s="28"/>
      <c r="F25450" s="28"/>
      <c r="H25450" s="28"/>
    </row>
    <row r="25451" spans="4:8" x14ac:dyDescent="0.25">
      <c r="D25451" s="28"/>
      <c r="F25451" s="28"/>
      <c r="H25451" s="28"/>
    </row>
    <row r="25452" spans="4:8" x14ac:dyDescent="0.25">
      <c r="D25452" s="28"/>
      <c r="F25452" s="28"/>
      <c r="H25452" s="28"/>
    </row>
    <row r="25453" spans="4:8" x14ac:dyDescent="0.25">
      <c r="D25453" s="28"/>
      <c r="F25453" s="28"/>
      <c r="H25453" s="28"/>
    </row>
    <row r="25454" spans="4:8" x14ac:dyDescent="0.25">
      <c r="D25454" s="28"/>
      <c r="F25454" s="28"/>
      <c r="H25454" s="28"/>
    </row>
    <row r="25455" spans="4:8" x14ac:dyDescent="0.25">
      <c r="D25455" s="28"/>
      <c r="F25455" s="28"/>
      <c r="H25455" s="28"/>
    </row>
    <row r="25456" spans="4:8" x14ac:dyDescent="0.25">
      <c r="D25456" s="28"/>
      <c r="F25456" s="28"/>
      <c r="H25456" s="28"/>
    </row>
    <row r="25457" spans="4:8" x14ac:dyDescent="0.25">
      <c r="D25457" s="28"/>
      <c r="F25457" s="28"/>
      <c r="H25457" s="28"/>
    </row>
    <row r="25458" spans="4:8" x14ac:dyDescent="0.25">
      <c r="D25458" s="28"/>
      <c r="F25458" s="28"/>
      <c r="H25458" s="28"/>
    </row>
    <row r="25459" spans="4:8" x14ac:dyDescent="0.25">
      <c r="D25459" s="28"/>
      <c r="F25459" s="28"/>
      <c r="H25459" s="28"/>
    </row>
    <row r="25460" spans="4:8" x14ac:dyDescent="0.25">
      <c r="D25460" s="28"/>
      <c r="F25460" s="28"/>
      <c r="H25460" s="28"/>
    </row>
    <row r="25461" spans="4:8" x14ac:dyDescent="0.25">
      <c r="D25461" s="28"/>
      <c r="F25461" s="28"/>
      <c r="H25461" s="28"/>
    </row>
    <row r="25462" spans="4:8" x14ac:dyDescent="0.25">
      <c r="D25462" s="28"/>
      <c r="F25462" s="28"/>
      <c r="H25462" s="28"/>
    </row>
    <row r="25463" spans="4:8" x14ac:dyDescent="0.25">
      <c r="D25463" s="28"/>
      <c r="F25463" s="28"/>
      <c r="H25463" s="28"/>
    </row>
    <row r="25464" spans="4:8" x14ac:dyDescent="0.25">
      <c r="D25464" s="28"/>
      <c r="F25464" s="28"/>
      <c r="H25464" s="28"/>
    </row>
    <row r="25465" spans="4:8" x14ac:dyDescent="0.25">
      <c r="D25465" s="28"/>
      <c r="F25465" s="28"/>
      <c r="H25465" s="28"/>
    </row>
    <row r="25466" spans="4:8" x14ac:dyDescent="0.25">
      <c r="D25466" s="28"/>
      <c r="F25466" s="28"/>
      <c r="H25466" s="28"/>
    </row>
    <row r="25467" spans="4:8" x14ac:dyDescent="0.25">
      <c r="D25467" s="28"/>
      <c r="F25467" s="28"/>
      <c r="H25467" s="28"/>
    </row>
    <row r="25468" spans="4:8" x14ac:dyDescent="0.25">
      <c r="D25468" s="28"/>
      <c r="F25468" s="28"/>
      <c r="H25468" s="28"/>
    </row>
    <row r="25469" spans="4:8" x14ac:dyDescent="0.25">
      <c r="D25469" s="28"/>
      <c r="F25469" s="28"/>
      <c r="H25469" s="28"/>
    </row>
    <row r="25470" spans="4:8" x14ac:dyDescent="0.25">
      <c r="D25470" s="28"/>
      <c r="F25470" s="28"/>
      <c r="H25470" s="28"/>
    </row>
    <row r="25471" spans="4:8" x14ac:dyDescent="0.25">
      <c r="D25471" s="28"/>
      <c r="F25471" s="28"/>
      <c r="H25471" s="28"/>
    </row>
    <row r="25472" spans="4:8" x14ac:dyDescent="0.25">
      <c r="D25472" s="28"/>
      <c r="F25472" s="28"/>
      <c r="H25472" s="28"/>
    </row>
    <row r="25473" spans="4:8" x14ac:dyDescent="0.25">
      <c r="D25473" s="28"/>
      <c r="F25473" s="28"/>
      <c r="H25473" s="28"/>
    </row>
    <row r="25474" spans="4:8" x14ac:dyDescent="0.25">
      <c r="D25474" s="28"/>
      <c r="F25474" s="28"/>
      <c r="H25474" s="28"/>
    </row>
    <row r="25475" spans="4:8" x14ac:dyDescent="0.25">
      <c r="D25475" s="28"/>
      <c r="F25475" s="28"/>
      <c r="H25475" s="28"/>
    </row>
    <row r="25476" spans="4:8" x14ac:dyDescent="0.25">
      <c r="D25476" s="28"/>
      <c r="F25476" s="28"/>
      <c r="H25476" s="28"/>
    </row>
    <row r="25477" spans="4:8" x14ac:dyDescent="0.25">
      <c r="D25477" s="28"/>
      <c r="F25477" s="28"/>
      <c r="H25477" s="28"/>
    </row>
    <row r="25478" spans="4:8" x14ac:dyDescent="0.25">
      <c r="D25478" s="28"/>
      <c r="F25478" s="28"/>
      <c r="H25478" s="28"/>
    </row>
    <row r="25479" spans="4:8" x14ac:dyDescent="0.25">
      <c r="D25479" s="28"/>
      <c r="F25479" s="28"/>
      <c r="H25479" s="28"/>
    </row>
    <row r="25480" spans="4:8" x14ac:dyDescent="0.25">
      <c r="D25480" s="28"/>
      <c r="F25480" s="28"/>
      <c r="H25480" s="28"/>
    </row>
    <row r="25481" spans="4:8" x14ac:dyDescent="0.25">
      <c r="D25481" s="28"/>
      <c r="F25481" s="28"/>
      <c r="H25481" s="28"/>
    </row>
    <row r="25482" spans="4:8" x14ac:dyDescent="0.25">
      <c r="D25482" s="28"/>
      <c r="F25482" s="28"/>
      <c r="H25482" s="28"/>
    </row>
    <row r="25483" spans="4:8" x14ac:dyDescent="0.25">
      <c r="D25483" s="28"/>
      <c r="F25483" s="28"/>
      <c r="H25483" s="28"/>
    </row>
    <row r="25484" spans="4:8" x14ac:dyDescent="0.25">
      <c r="D25484" s="28"/>
      <c r="F25484" s="28"/>
      <c r="H25484" s="28"/>
    </row>
    <row r="25485" spans="4:8" x14ac:dyDescent="0.25">
      <c r="D25485" s="28"/>
      <c r="F25485" s="28"/>
      <c r="H25485" s="28"/>
    </row>
    <row r="25486" spans="4:8" x14ac:dyDescent="0.25">
      <c r="D25486" s="28"/>
      <c r="F25486" s="28"/>
      <c r="H25486" s="28"/>
    </row>
    <row r="25487" spans="4:8" x14ac:dyDescent="0.25">
      <c r="D25487" s="28"/>
      <c r="F25487" s="28"/>
      <c r="H25487" s="28"/>
    </row>
    <row r="25488" spans="4:8" x14ac:dyDescent="0.25">
      <c r="D25488" s="28"/>
      <c r="F25488" s="28"/>
      <c r="H25488" s="28"/>
    </row>
    <row r="25489" spans="4:8" x14ac:dyDescent="0.25">
      <c r="D25489" s="28"/>
      <c r="F25489" s="28"/>
      <c r="H25489" s="28"/>
    </row>
    <row r="25490" spans="4:8" x14ac:dyDescent="0.25">
      <c r="D25490" s="28"/>
      <c r="F25490" s="28"/>
      <c r="H25490" s="28"/>
    </row>
    <row r="25491" spans="4:8" x14ac:dyDescent="0.25">
      <c r="D25491" s="28"/>
      <c r="F25491" s="28"/>
      <c r="H25491" s="28"/>
    </row>
    <row r="25492" spans="4:8" x14ac:dyDescent="0.25">
      <c r="D25492" s="28"/>
      <c r="F25492" s="28"/>
      <c r="H25492" s="28"/>
    </row>
    <row r="25493" spans="4:8" x14ac:dyDescent="0.25">
      <c r="D25493" s="28"/>
      <c r="F25493" s="28"/>
      <c r="H25493" s="28"/>
    </row>
    <row r="25494" spans="4:8" x14ac:dyDescent="0.25">
      <c r="D25494" s="28"/>
      <c r="F25494" s="28"/>
      <c r="H25494" s="28"/>
    </row>
    <row r="25495" spans="4:8" x14ac:dyDescent="0.25">
      <c r="D25495" s="28"/>
      <c r="F25495" s="28"/>
      <c r="H25495" s="28"/>
    </row>
    <row r="25496" spans="4:8" x14ac:dyDescent="0.25">
      <c r="D25496" s="28"/>
      <c r="F25496" s="28"/>
      <c r="H25496" s="28"/>
    </row>
    <row r="25497" spans="4:8" x14ac:dyDescent="0.25">
      <c r="D25497" s="28"/>
      <c r="F25497" s="28"/>
      <c r="H25497" s="28"/>
    </row>
    <row r="25498" spans="4:8" x14ac:dyDescent="0.25">
      <c r="D25498" s="28"/>
      <c r="F25498" s="28"/>
      <c r="H25498" s="28"/>
    </row>
    <row r="25499" spans="4:8" x14ac:dyDescent="0.25">
      <c r="D25499" s="28"/>
      <c r="F25499" s="28"/>
      <c r="H25499" s="28"/>
    </row>
    <row r="25500" spans="4:8" x14ac:dyDescent="0.25">
      <c r="D25500" s="28"/>
      <c r="F25500" s="28"/>
      <c r="H25500" s="28"/>
    </row>
    <row r="25501" spans="4:8" x14ac:dyDescent="0.25">
      <c r="D25501" s="28"/>
      <c r="F25501" s="28"/>
      <c r="H25501" s="28"/>
    </row>
    <row r="25502" spans="4:8" x14ac:dyDescent="0.25">
      <c r="D25502" s="28"/>
      <c r="F25502" s="28"/>
      <c r="H25502" s="28"/>
    </row>
    <row r="25503" spans="4:8" x14ac:dyDescent="0.25">
      <c r="D25503" s="28"/>
      <c r="F25503" s="28"/>
      <c r="H25503" s="28"/>
    </row>
    <row r="25504" spans="4:8" x14ac:dyDescent="0.25">
      <c r="D25504" s="28"/>
      <c r="F25504" s="28"/>
      <c r="H25504" s="28"/>
    </row>
    <row r="25505" spans="4:8" x14ac:dyDescent="0.25">
      <c r="D25505" s="28"/>
      <c r="F25505" s="28"/>
      <c r="H25505" s="28"/>
    </row>
    <row r="25506" spans="4:8" x14ac:dyDescent="0.25">
      <c r="D25506" s="28"/>
      <c r="F25506" s="28"/>
      <c r="H25506" s="28"/>
    </row>
    <row r="25507" spans="4:8" x14ac:dyDescent="0.25">
      <c r="D25507" s="28"/>
      <c r="F25507" s="28"/>
      <c r="H25507" s="28"/>
    </row>
    <row r="25508" spans="4:8" x14ac:dyDescent="0.25">
      <c r="D25508" s="28"/>
      <c r="F25508" s="28"/>
      <c r="H25508" s="28"/>
    </row>
    <row r="25509" spans="4:8" x14ac:dyDescent="0.25">
      <c r="D25509" s="28"/>
      <c r="F25509" s="28"/>
      <c r="H25509" s="28"/>
    </row>
    <row r="25510" spans="4:8" x14ac:dyDescent="0.25">
      <c r="D25510" s="28"/>
      <c r="F25510" s="28"/>
      <c r="H25510" s="28"/>
    </row>
    <row r="25511" spans="4:8" x14ac:dyDescent="0.25">
      <c r="D25511" s="28"/>
      <c r="F25511" s="28"/>
      <c r="H25511" s="28"/>
    </row>
    <row r="25512" spans="4:8" x14ac:dyDescent="0.25">
      <c r="D25512" s="28"/>
      <c r="F25512" s="28"/>
      <c r="H25512" s="28"/>
    </row>
    <row r="25513" spans="4:8" x14ac:dyDescent="0.25">
      <c r="D25513" s="28"/>
      <c r="F25513" s="28"/>
      <c r="H25513" s="28"/>
    </row>
    <row r="25514" spans="4:8" x14ac:dyDescent="0.25">
      <c r="D25514" s="28"/>
      <c r="F25514" s="28"/>
      <c r="H25514" s="28"/>
    </row>
    <row r="25515" spans="4:8" x14ac:dyDescent="0.25">
      <c r="D25515" s="28"/>
      <c r="F25515" s="28"/>
      <c r="H25515" s="28"/>
    </row>
    <row r="25516" spans="4:8" x14ac:dyDescent="0.25">
      <c r="D25516" s="28"/>
      <c r="F25516" s="28"/>
      <c r="H25516" s="28"/>
    </row>
    <row r="25517" spans="4:8" x14ac:dyDescent="0.25">
      <c r="D25517" s="28"/>
      <c r="F25517" s="28"/>
      <c r="H25517" s="28"/>
    </row>
    <row r="25518" spans="4:8" x14ac:dyDescent="0.25">
      <c r="D25518" s="28"/>
      <c r="F25518" s="28"/>
      <c r="H25518" s="28"/>
    </row>
    <row r="25519" spans="4:8" x14ac:dyDescent="0.25">
      <c r="D25519" s="28"/>
      <c r="F25519" s="28"/>
      <c r="H25519" s="28"/>
    </row>
    <row r="25520" spans="4:8" x14ac:dyDescent="0.25">
      <c r="D25520" s="28"/>
      <c r="F25520" s="28"/>
      <c r="H25520" s="28"/>
    </row>
    <row r="25521" spans="4:8" x14ac:dyDescent="0.25">
      <c r="D25521" s="28"/>
      <c r="F25521" s="28"/>
      <c r="H25521" s="28"/>
    </row>
    <row r="25522" spans="4:8" x14ac:dyDescent="0.25">
      <c r="D25522" s="28"/>
      <c r="F25522" s="28"/>
      <c r="H25522" s="28"/>
    </row>
    <row r="25523" spans="4:8" x14ac:dyDescent="0.25">
      <c r="D25523" s="28"/>
      <c r="F25523" s="28"/>
      <c r="H25523" s="28"/>
    </row>
    <row r="25524" spans="4:8" x14ac:dyDescent="0.25">
      <c r="D25524" s="28"/>
      <c r="F25524" s="28"/>
      <c r="H25524" s="28"/>
    </row>
    <row r="25525" spans="4:8" x14ac:dyDescent="0.25">
      <c r="D25525" s="28"/>
      <c r="F25525" s="28"/>
      <c r="H25525" s="28"/>
    </row>
    <row r="25526" spans="4:8" x14ac:dyDescent="0.25">
      <c r="D25526" s="28"/>
      <c r="F25526" s="28"/>
      <c r="H25526" s="28"/>
    </row>
    <row r="25527" spans="4:8" x14ac:dyDescent="0.25">
      <c r="D25527" s="28"/>
      <c r="F25527" s="28"/>
      <c r="H25527" s="28"/>
    </row>
    <row r="25528" spans="4:8" x14ac:dyDescent="0.25">
      <c r="D25528" s="28"/>
      <c r="F25528" s="28"/>
      <c r="H25528" s="28"/>
    </row>
    <row r="25529" spans="4:8" x14ac:dyDescent="0.25">
      <c r="D25529" s="28"/>
      <c r="F25529" s="28"/>
      <c r="H25529" s="28"/>
    </row>
    <row r="25530" spans="4:8" x14ac:dyDescent="0.25">
      <c r="D25530" s="28"/>
      <c r="F25530" s="28"/>
      <c r="H25530" s="28"/>
    </row>
    <row r="25531" spans="4:8" x14ac:dyDescent="0.25">
      <c r="D25531" s="28"/>
      <c r="F25531" s="28"/>
      <c r="H25531" s="28"/>
    </row>
    <row r="25532" spans="4:8" x14ac:dyDescent="0.25">
      <c r="D25532" s="28"/>
      <c r="F25532" s="28"/>
      <c r="H25532" s="28"/>
    </row>
    <row r="25533" spans="4:8" x14ac:dyDescent="0.25">
      <c r="D25533" s="28"/>
      <c r="F25533" s="28"/>
      <c r="H25533" s="28"/>
    </row>
    <row r="25534" spans="4:8" x14ac:dyDescent="0.25">
      <c r="D25534" s="28"/>
      <c r="F25534" s="28"/>
      <c r="H25534" s="28"/>
    </row>
    <row r="25535" spans="4:8" x14ac:dyDescent="0.25">
      <c r="D25535" s="28"/>
      <c r="F25535" s="28"/>
      <c r="H25535" s="28"/>
    </row>
    <row r="25536" spans="4:8" x14ac:dyDescent="0.25">
      <c r="D25536" s="28"/>
      <c r="F25536" s="28"/>
      <c r="H25536" s="28"/>
    </row>
    <row r="25537" spans="4:8" x14ac:dyDescent="0.25">
      <c r="D25537" s="28"/>
      <c r="F25537" s="28"/>
      <c r="H25537" s="28"/>
    </row>
    <row r="25538" spans="4:8" x14ac:dyDescent="0.25">
      <c r="D25538" s="28"/>
      <c r="F25538" s="28"/>
      <c r="H25538" s="28"/>
    </row>
    <row r="25539" spans="4:8" x14ac:dyDescent="0.25">
      <c r="D25539" s="28"/>
      <c r="F25539" s="28"/>
      <c r="H25539" s="28"/>
    </row>
    <row r="25540" spans="4:8" x14ac:dyDescent="0.25">
      <c r="D25540" s="28"/>
      <c r="F25540" s="28"/>
      <c r="H25540" s="28"/>
    </row>
    <row r="25541" spans="4:8" x14ac:dyDescent="0.25">
      <c r="D25541" s="28"/>
      <c r="F25541" s="28"/>
      <c r="H25541" s="28"/>
    </row>
    <row r="25542" spans="4:8" x14ac:dyDescent="0.25">
      <c r="D25542" s="28"/>
      <c r="F25542" s="28"/>
      <c r="H25542" s="28"/>
    </row>
    <row r="25543" spans="4:8" x14ac:dyDescent="0.25">
      <c r="D25543" s="28"/>
      <c r="F25543" s="28"/>
      <c r="H25543" s="28"/>
    </row>
    <row r="25544" spans="4:8" x14ac:dyDescent="0.25">
      <c r="D25544" s="28"/>
      <c r="F25544" s="28"/>
      <c r="H25544" s="28"/>
    </row>
    <row r="25545" spans="4:8" x14ac:dyDescent="0.25">
      <c r="D25545" s="28"/>
      <c r="F25545" s="28"/>
      <c r="H25545" s="28"/>
    </row>
    <row r="25546" spans="4:8" x14ac:dyDescent="0.25">
      <c r="D25546" s="28"/>
      <c r="F25546" s="28"/>
      <c r="H25546" s="28"/>
    </row>
    <row r="25547" spans="4:8" x14ac:dyDescent="0.25">
      <c r="D25547" s="28"/>
      <c r="F25547" s="28"/>
      <c r="H25547" s="28"/>
    </row>
    <row r="25548" spans="4:8" x14ac:dyDescent="0.25">
      <c r="D25548" s="28"/>
      <c r="F25548" s="28"/>
      <c r="H25548" s="28"/>
    </row>
    <row r="25549" spans="4:8" x14ac:dyDescent="0.25">
      <c r="D25549" s="28"/>
      <c r="F25549" s="28"/>
      <c r="H25549" s="28"/>
    </row>
    <row r="25550" spans="4:8" x14ac:dyDescent="0.25">
      <c r="D25550" s="28"/>
      <c r="F25550" s="28"/>
      <c r="H25550" s="28"/>
    </row>
    <row r="25551" spans="4:8" x14ac:dyDescent="0.25">
      <c r="D25551" s="28"/>
      <c r="F25551" s="28"/>
      <c r="H25551" s="28"/>
    </row>
    <row r="25552" spans="4:8" x14ac:dyDescent="0.25">
      <c r="D25552" s="28"/>
      <c r="F25552" s="28"/>
      <c r="H25552" s="28"/>
    </row>
    <row r="25553" spans="4:8" x14ac:dyDescent="0.25">
      <c r="D25553" s="28"/>
      <c r="F25553" s="28"/>
      <c r="H25553" s="28"/>
    </row>
    <row r="25554" spans="4:8" x14ac:dyDescent="0.25">
      <c r="D25554" s="28"/>
      <c r="F25554" s="28"/>
      <c r="H25554" s="28"/>
    </row>
    <row r="25555" spans="4:8" x14ac:dyDescent="0.25">
      <c r="D25555" s="28"/>
      <c r="F25555" s="28"/>
      <c r="H25555" s="28"/>
    </row>
    <row r="25556" spans="4:8" x14ac:dyDescent="0.25">
      <c r="D25556" s="28"/>
      <c r="F25556" s="28"/>
      <c r="H25556" s="28"/>
    </row>
    <row r="25557" spans="4:8" x14ac:dyDescent="0.25">
      <c r="D25557" s="28"/>
      <c r="F25557" s="28"/>
      <c r="H25557" s="28"/>
    </row>
    <row r="25558" spans="4:8" x14ac:dyDescent="0.25">
      <c r="D25558" s="28"/>
      <c r="F25558" s="28"/>
      <c r="H25558" s="28"/>
    </row>
    <row r="25559" spans="4:8" x14ac:dyDescent="0.25">
      <c r="D25559" s="28"/>
      <c r="F25559" s="28"/>
      <c r="H25559" s="28"/>
    </row>
    <row r="25560" spans="4:8" x14ac:dyDescent="0.25">
      <c r="D25560" s="28"/>
      <c r="F25560" s="28"/>
      <c r="H25560" s="28"/>
    </row>
    <row r="25561" spans="4:8" x14ac:dyDescent="0.25">
      <c r="D25561" s="28"/>
      <c r="F25561" s="28"/>
      <c r="H25561" s="28"/>
    </row>
    <row r="25562" spans="4:8" x14ac:dyDescent="0.25">
      <c r="D25562" s="28"/>
      <c r="F25562" s="28"/>
      <c r="H25562" s="28"/>
    </row>
    <row r="25563" spans="4:8" x14ac:dyDescent="0.25">
      <c r="D25563" s="28"/>
      <c r="F25563" s="28"/>
      <c r="H25563" s="28"/>
    </row>
    <row r="25564" spans="4:8" x14ac:dyDescent="0.25">
      <c r="D25564" s="28"/>
      <c r="F25564" s="28"/>
      <c r="H25564" s="28"/>
    </row>
    <row r="25565" spans="4:8" x14ac:dyDescent="0.25">
      <c r="D25565" s="28"/>
      <c r="F25565" s="28"/>
      <c r="H25565" s="28"/>
    </row>
    <row r="25566" spans="4:8" x14ac:dyDescent="0.25">
      <c r="D25566" s="28"/>
      <c r="F25566" s="28"/>
      <c r="H25566" s="28"/>
    </row>
    <row r="25567" spans="4:8" x14ac:dyDescent="0.25">
      <c r="D25567" s="28"/>
      <c r="F25567" s="28"/>
      <c r="H25567" s="28"/>
    </row>
    <row r="25568" spans="4:8" x14ac:dyDescent="0.25">
      <c r="D25568" s="28"/>
      <c r="F25568" s="28"/>
      <c r="H25568" s="28"/>
    </row>
    <row r="25569" spans="4:8" x14ac:dyDescent="0.25">
      <c r="D25569" s="28"/>
      <c r="F25569" s="28"/>
      <c r="H25569" s="28"/>
    </row>
    <row r="25570" spans="4:8" x14ac:dyDescent="0.25">
      <c r="D25570" s="28"/>
      <c r="F25570" s="28"/>
      <c r="H25570" s="28"/>
    </row>
    <row r="25571" spans="4:8" x14ac:dyDescent="0.25">
      <c r="D25571" s="28"/>
      <c r="F25571" s="28"/>
      <c r="H25571" s="28"/>
    </row>
    <row r="25572" spans="4:8" x14ac:dyDescent="0.25">
      <c r="D25572" s="28"/>
      <c r="F25572" s="28"/>
      <c r="H25572" s="28"/>
    </row>
    <row r="25573" spans="4:8" x14ac:dyDescent="0.25">
      <c r="D25573" s="28"/>
      <c r="F25573" s="28"/>
      <c r="H25573" s="28"/>
    </row>
    <row r="25574" spans="4:8" x14ac:dyDescent="0.25">
      <c r="D25574" s="28"/>
      <c r="F25574" s="28"/>
      <c r="H25574" s="28"/>
    </row>
    <row r="25575" spans="4:8" x14ac:dyDescent="0.25">
      <c r="D25575" s="28"/>
      <c r="F25575" s="28"/>
      <c r="H25575" s="28"/>
    </row>
    <row r="25576" spans="4:8" x14ac:dyDescent="0.25">
      <c r="D25576" s="28"/>
      <c r="F25576" s="28"/>
      <c r="H25576" s="28"/>
    </row>
    <row r="25577" spans="4:8" x14ac:dyDescent="0.25">
      <c r="D25577" s="28"/>
      <c r="F25577" s="28"/>
      <c r="H25577" s="28"/>
    </row>
    <row r="25578" spans="4:8" x14ac:dyDescent="0.25">
      <c r="D25578" s="28"/>
      <c r="F25578" s="28"/>
      <c r="H25578" s="28"/>
    </row>
    <row r="25579" spans="4:8" x14ac:dyDescent="0.25">
      <c r="D25579" s="28"/>
      <c r="F25579" s="28"/>
      <c r="H25579" s="28"/>
    </row>
    <row r="25580" spans="4:8" x14ac:dyDescent="0.25">
      <c r="D25580" s="28"/>
      <c r="F25580" s="28"/>
      <c r="H25580" s="28"/>
    </row>
    <row r="25581" spans="4:8" x14ac:dyDescent="0.25">
      <c r="D25581" s="28"/>
      <c r="F25581" s="28"/>
      <c r="H25581" s="28"/>
    </row>
    <row r="25582" spans="4:8" x14ac:dyDescent="0.25">
      <c r="D25582" s="28"/>
      <c r="F25582" s="28"/>
      <c r="H25582" s="28"/>
    </row>
    <row r="25583" spans="4:8" x14ac:dyDescent="0.25">
      <c r="D25583" s="28"/>
      <c r="F25583" s="28"/>
      <c r="H25583" s="28"/>
    </row>
    <row r="25584" spans="4:8" x14ac:dyDescent="0.25">
      <c r="D25584" s="28"/>
      <c r="F25584" s="28"/>
      <c r="H25584" s="28"/>
    </row>
    <row r="25585" spans="4:8" x14ac:dyDescent="0.25">
      <c r="D25585" s="28"/>
      <c r="F25585" s="28"/>
      <c r="H25585" s="28"/>
    </row>
    <row r="25586" spans="4:8" x14ac:dyDescent="0.25">
      <c r="D25586" s="28"/>
      <c r="F25586" s="28"/>
      <c r="H25586" s="28"/>
    </row>
    <row r="25587" spans="4:8" x14ac:dyDescent="0.25">
      <c r="D25587" s="28"/>
      <c r="F25587" s="28"/>
      <c r="H25587" s="28"/>
    </row>
    <row r="25588" spans="4:8" x14ac:dyDescent="0.25">
      <c r="D25588" s="28"/>
      <c r="F25588" s="28"/>
      <c r="H25588" s="28"/>
    </row>
    <row r="25589" spans="4:8" x14ac:dyDescent="0.25">
      <c r="D25589" s="28"/>
      <c r="F25589" s="28"/>
      <c r="H25589" s="28"/>
    </row>
    <row r="25590" spans="4:8" x14ac:dyDescent="0.25">
      <c r="D25590" s="28"/>
      <c r="F25590" s="28"/>
      <c r="H25590" s="28"/>
    </row>
    <row r="25591" spans="4:8" x14ac:dyDescent="0.25">
      <c r="D25591" s="28"/>
      <c r="F25591" s="28"/>
      <c r="H25591" s="28"/>
    </row>
    <row r="25592" spans="4:8" x14ac:dyDescent="0.25">
      <c r="D25592" s="28"/>
      <c r="F25592" s="28"/>
      <c r="H25592" s="28"/>
    </row>
    <row r="25593" spans="4:8" x14ac:dyDescent="0.25">
      <c r="D25593" s="28"/>
      <c r="F25593" s="28"/>
      <c r="H25593" s="28"/>
    </row>
    <row r="25594" spans="4:8" x14ac:dyDescent="0.25">
      <c r="D25594" s="28"/>
      <c r="F25594" s="28"/>
      <c r="H25594" s="28"/>
    </row>
    <row r="25595" spans="4:8" x14ac:dyDescent="0.25">
      <c r="D25595" s="28"/>
      <c r="F25595" s="28"/>
      <c r="H25595" s="28"/>
    </row>
    <row r="25596" spans="4:8" x14ac:dyDescent="0.25">
      <c r="D25596" s="28"/>
      <c r="F25596" s="28"/>
      <c r="H25596" s="28"/>
    </row>
    <row r="25597" spans="4:8" x14ac:dyDescent="0.25">
      <c r="D25597" s="28"/>
      <c r="F25597" s="28"/>
      <c r="H25597" s="28"/>
    </row>
    <row r="25598" spans="4:8" x14ac:dyDescent="0.25">
      <c r="D25598" s="28"/>
      <c r="F25598" s="28"/>
      <c r="H25598" s="28"/>
    </row>
    <row r="25599" spans="4:8" x14ac:dyDescent="0.25">
      <c r="D25599" s="28"/>
      <c r="F25599" s="28"/>
      <c r="H25599" s="28"/>
    </row>
    <row r="25600" spans="4:8" x14ac:dyDescent="0.25">
      <c r="D25600" s="28"/>
      <c r="F25600" s="28"/>
      <c r="H25600" s="28"/>
    </row>
    <row r="25601" spans="4:8" x14ac:dyDescent="0.25">
      <c r="D25601" s="28"/>
      <c r="F25601" s="28"/>
      <c r="H25601" s="28"/>
    </row>
    <row r="25602" spans="4:8" x14ac:dyDescent="0.25">
      <c r="D25602" s="28"/>
      <c r="F25602" s="28"/>
      <c r="H25602" s="28"/>
    </row>
    <row r="25603" spans="4:8" x14ac:dyDescent="0.25">
      <c r="D25603" s="28"/>
      <c r="F25603" s="28"/>
      <c r="H25603" s="28"/>
    </row>
    <row r="25604" spans="4:8" x14ac:dyDescent="0.25">
      <c r="D25604" s="28"/>
      <c r="F25604" s="28"/>
      <c r="H25604" s="28"/>
    </row>
    <row r="25605" spans="4:8" x14ac:dyDescent="0.25">
      <c r="D25605" s="28"/>
      <c r="F25605" s="28"/>
      <c r="H25605" s="28"/>
    </row>
    <row r="25606" spans="4:8" x14ac:dyDescent="0.25">
      <c r="D25606" s="28"/>
      <c r="F25606" s="28"/>
      <c r="H25606" s="28"/>
    </row>
    <row r="25607" spans="4:8" x14ac:dyDescent="0.25">
      <c r="D25607" s="28"/>
      <c r="F25607" s="28"/>
      <c r="H25607" s="28"/>
    </row>
    <row r="25608" spans="4:8" x14ac:dyDescent="0.25">
      <c r="D25608" s="28"/>
      <c r="F25608" s="28"/>
      <c r="H25608" s="28"/>
    </row>
    <row r="25609" spans="4:8" x14ac:dyDescent="0.25">
      <c r="D25609" s="28"/>
      <c r="F25609" s="28"/>
      <c r="H25609" s="28"/>
    </row>
    <row r="25610" spans="4:8" x14ac:dyDescent="0.25">
      <c r="D25610" s="28"/>
      <c r="F25610" s="28"/>
      <c r="H25610" s="28"/>
    </row>
    <row r="25611" spans="4:8" x14ac:dyDescent="0.25">
      <c r="D25611" s="28"/>
      <c r="F25611" s="28"/>
      <c r="H25611" s="28"/>
    </row>
    <row r="25612" spans="4:8" x14ac:dyDescent="0.25">
      <c r="D25612" s="28"/>
      <c r="F25612" s="28"/>
      <c r="H25612" s="28"/>
    </row>
    <row r="25613" spans="4:8" x14ac:dyDescent="0.25">
      <c r="D25613" s="28"/>
      <c r="F25613" s="28"/>
      <c r="H25613" s="28"/>
    </row>
    <row r="25614" spans="4:8" x14ac:dyDescent="0.25">
      <c r="D25614" s="28"/>
      <c r="F25614" s="28"/>
      <c r="H25614" s="28"/>
    </row>
    <row r="25615" spans="4:8" x14ac:dyDescent="0.25">
      <c r="D25615" s="28"/>
      <c r="F25615" s="28"/>
      <c r="H25615" s="28"/>
    </row>
    <row r="25616" spans="4:8" x14ac:dyDescent="0.25">
      <c r="D25616" s="28"/>
      <c r="F25616" s="28"/>
      <c r="H25616" s="28"/>
    </row>
    <row r="25617" spans="4:8" x14ac:dyDescent="0.25">
      <c r="D25617" s="28"/>
      <c r="F25617" s="28"/>
      <c r="H25617" s="28"/>
    </row>
    <row r="25618" spans="4:8" x14ac:dyDescent="0.25">
      <c r="D25618" s="28"/>
      <c r="F25618" s="28"/>
      <c r="H25618" s="28"/>
    </row>
    <row r="25619" spans="4:8" x14ac:dyDescent="0.25">
      <c r="D25619" s="28"/>
      <c r="F25619" s="28"/>
      <c r="H25619" s="28"/>
    </row>
    <row r="25620" spans="4:8" x14ac:dyDescent="0.25">
      <c r="D25620" s="28"/>
      <c r="F25620" s="28"/>
      <c r="H25620" s="28"/>
    </row>
    <row r="25621" spans="4:8" x14ac:dyDescent="0.25">
      <c r="D25621" s="28"/>
      <c r="F25621" s="28"/>
      <c r="H25621" s="28"/>
    </row>
    <row r="25622" spans="4:8" x14ac:dyDescent="0.25">
      <c r="D25622" s="28"/>
      <c r="F25622" s="28"/>
      <c r="H25622" s="28"/>
    </row>
    <row r="25623" spans="4:8" x14ac:dyDescent="0.25">
      <c r="D25623" s="28"/>
      <c r="F25623" s="28"/>
      <c r="H25623" s="28"/>
    </row>
    <row r="25624" spans="4:8" x14ac:dyDescent="0.25">
      <c r="D25624" s="28"/>
      <c r="F25624" s="28"/>
      <c r="H25624" s="28"/>
    </row>
    <row r="25625" spans="4:8" x14ac:dyDescent="0.25">
      <c r="D25625" s="28"/>
      <c r="F25625" s="28"/>
      <c r="H25625" s="28"/>
    </row>
    <row r="25626" spans="4:8" x14ac:dyDescent="0.25">
      <c r="D25626" s="28"/>
      <c r="F25626" s="28"/>
      <c r="H25626" s="28"/>
    </row>
    <row r="25627" spans="4:8" x14ac:dyDescent="0.25">
      <c r="D25627" s="28"/>
      <c r="F25627" s="28"/>
      <c r="H25627" s="28"/>
    </row>
    <row r="25628" spans="4:8" x14ac:dyDescent="0.25">
      <c r="D25628" s="28"/>
      <c r="F25628" s="28"/>
      <c r="H25628" s="28"/>
    </row>
    <row r="25629" spans="4:8" x14ac:dyDescent="0.25">
      <c r="D25629" s="28"/>
      <c r="F25629" s="28"/>
      <c r="H25629" s="28"/>
    </row>
    <row r="25630" spans="4:8" x14ac:dyDescent="0.25">
      <c r="D25630" s="28"/>
      <c r="F25630" s="28"/>
      <c r="H25630" s="28"/>
    </row>
    <row r="25631" spans="4:8" x14ac:dyDescent="0.25">
      <c r="D25631" s="28"/>
      <c r="F25631" s="28"/>
      <c r="H25631" s="28"/>
    </row>
    <row r="25632" spans="4:8" x14ac:dyDescent="0.25">
      <c r="D25632" s="28"/>
      <c r="F25632" s="28"/>
      <c r="H25632" s="28"/>
    </row>
    <row r="25633" spans="4:8" x14ac:dyDescent="0.25">
      <c r="D25633" s="28"/>
      <c r="F25633" s="28"/>
      <c r="H25633" s="28"/>
    </row>
    <row r="25634" spans="4:8" x14ac:dyDescent="0.25">
      <c r="D25634" s="28"/>
      <c r="F25634" s="28"/>
      <c r="H25634" s="28"/>
    </row>
    <row r="25635" spans="4:8" x14ac:dyDescent="0.25">
      <c r="D25635" s="28"/>
      <c r="F25635" s="28"/>
      <c r="H25635" s="28"/>
    </row>
    <row r="25636" spans="4:8" x14ac:dyDescent="0.25">
      <c r="D25636" s="28"/>
      <c r="F25636" s="28"/>
      <c r="H25636" s="28"/>
    </row>
    <row r="25637" spans="4:8" x14ac:dyDescent="0.25">
      <c r="D25637" s="28"/>
      <c r="F25637" s="28"/>
      <c r="H25637" s="28"/>
    </row>
    <row r="25638" spans="4:8" x14ac:dyDescent="0.25">
      <c r="D25638" s="28"/>
      <c r="F25638" s="28"/>
      <c r="H25638" s="28"/>
    </row>
    <row r="25639" spans="4:8" x14ac:dyDescent="0.25">
      <c r="D25639" s="28"/>
      <c r="F25639" s="28"/>
      <c r="H25639" s="28"/>
    </row>
    <row r="25640" spans="4:8" x14ac:dyDescent="0.25">
      <c r="D25640" s="28"/>
      <c r="F25640" s="28"/>
      <c r="H25640" s="28"/>
    </row>
    <row r="25641" spans="4:8" x14ac:dyDescent="0.25">
      <c r="D25641" s="28"/>
      <c r="F25641" s="28"/>
      <c r="H25641" s="28"/>
    </row>
    <row r="25642" spans="4:8" x14ac:dyDescent="0.25">
      <c r="D25642" s="28"/>
      <c r="F25642" s="28"/>
      <c r="H25642" s="28"/>
    </row>
    <row r="25643" spans="4:8" x14ac:dyDescent="0.25">
      <c r="D25643" s="28"/>
      <c r="F25643" s="28"/>
      <c r="H25643" s="28"/>
    </row>
    <row r="25644" spans="4:8" x14ac:dyDescent="0.25">
      <c r="D25644" s="28"/>
      <c r="F25644" s="28"/>
      <c r="H25644" s="28"/>
    </row>
    <row r="25645" spans="4:8" x14ac:dyDescent="0.25">
      <c r="D25645" s="28"/>
      <c r="F25645" s="28"/>
      <c r="H25645" s="28"/>
    </row>
    <row r="25646" spans="4:8" x14ac:dyDescent="0.25">
      <c r="D25646" s="28"/>
      <c r="F25646" s="28"/>
      <c r="H25646" s="28"/>
    </row>
    <row r="25647" spans="4:8" x14ac:dyDescent="0.25">
      <c r="D25647" s="28"/>
      <c r="F25647" s="28"/>
      <c r="H25647" s="28"/>
    </row>
    <row r="25648" spans="4:8" x14ac:dyDescent="0.25">
      <c r="D25648" s="28"/>
      <c r="F25648" s="28"/>
      <c r="H25648" s="28"/>
    </row>
    <row r="25649" spans="4:8" x14ac:dyDescent="0.25">
      <c r="D25649" s="28"/>
      <c r="F25649" s="28"/>
      <c r="H25649" s="28"/>
    </row>
    <row r="25650" spans="4:8" x14ac:dyDescent="0.25">
      <c r="D25650" s="28"/>
      <c r="F25650" s="28"/>
      <c r="H25650" s="28"/>
    </row>
    <row r="25651" spans="4:8" x14ac:dyDescent="0.25">
      <c r="D25651" s="28"/>
      <c r="F25651" s="28"/>
      <c r="H25651" s="28"/>
    </row>
    <row r="25652" spans="4:8" x14ac:dyDescent="0.25">
      <c r="D25652" s="28"/>
      <c r="F25652" s="28"/>
      <c r="H25652" s="28"/>
    </row>
    <row r="25653" spans="4:8" x14ac:dyDescent="0.25">
      <c r="D25653" s="28"/>
      <c r="F25653" s="28"/>
      <c r="H25653" s="28"/>
    </row>
    <row r="25654" spans="4:8" x14ac:dyDescent="0.25">
      <c r="D25654" s="28"/>
      <c r="F25654" s="28"/>
      <c r="H25654" s="28"/>
    </row>
    <row r="25655" spans="4:8" x14ac:dyDescent="0.25">
      <c r="D25655" s="28"/>
      <c r="F25655" s="28"/>
      <c r="H25655" s="28"/>
    </row>
    <row r="25656" spans="4:8" x14ac:dyDescent="0.25">
      <c r="D25656" s="28"/>
      <c r="F25656" s="28"/>
      <c r="H25656" s="28"/>
    </row>
    <row r="25657" spans="4:8" x14ac:dyDescent="0.25">
      <c r="D25657" s="28"/>
      <c r="F25657" s="28"/>
      <c r="H25657" s="28"/>
    </row>
    <row r="25658" spans="4:8" x14ac:dyDescent="0.25">
      <c r="D25658" s="28"/>
      <c r="F25658" s="28"/>
      <c r="H25658" s="28"/>
    </row>
    <row r="25659" spans="4:8" x14ac:dyDescent="0.25">
      <c r="D25659" s="28"/>
      <c r="F25659" s="28"/>
      <c r="H25659" s="28"/>
    </row>
    <row r="25660" spans="4:8" x14ac:dyDescent="0.25">
      <c r="D25660" s="28"/>
      <c r="F25660" s="28"/>
      <c r="H25660" s="28"/>
    </row>
    <row r="25661" spans="4:8" x14ac:dyDescent="0.25">
      <c r="D25661" s="28"/>
      <c r="F25661" s="28"/>
      <c r="H25661" s="28"/>
    </row>
    <row r="25662" spans="4:8" x14ac:dyDescent="0.25">
      <c r="D25662" s="28"/>
      <c r="F25662" s="28"/>
      <c r="H25662" s="28"/>
    </row>
    <row r="25663" spans="4:8" x14ac:dyDescent="0.25">
      <c r="D25663" s="28"/>
      <c r="F25663" s="28"/>
      <c r="H25663" s="28"/>
    </row>
    <row r="25664" spans="4:8" x14ac:dyDescent="0.25">
      <c r="D25664" s="28"/>
      <c r="F25664" s="28"/>
      <c r="H25664" s="28"/>
    </row>
    <row r="25665" spans="4:8" x14ac:dyDescent="0.25">
      <c r="D25665" s="28"/>
      <c r="F25665" s="28"/>
      <c r="H25665" s="28"/>
    </row>
    <row r="25666" spans="4:8" x14ac:dyDescent="0.25">
      <c r="D25666" s="28"/>
      <c r="F25666" s="28"/>
      <c r="H25666" s="28"/>
    </row>
    <row r="25667" spans="4:8" x14ac:dyDescent="0.25">
      <c r="D25667" s="28"/>
      <c r="F25667" s="28"/>
      <c r="H25667" s="28"/>
    </row>
    <row r="25668" spans="4:8" x14ac:dyDescent="0.25">
      <c r="D25668" s="28"/>
      <c r="F25668" s="28"/>
      <c r="H25668" s="28"/>
    </row>
    <row r="25669" spans="4:8" x14ac:dyDescent="0.25">
      <c r="D25669" s="28"/>
      <c r="F25669" s="28"/>
      <c r="H25669" s="28"/>
    </row>
    <row r="25670" spans="4:8" x14ac:dyDescent="0.25">
      <c r="D25670" s="28"/>
      <c r="F25670" s="28"/>
      <c r="H25670" s="28"/>
    </row>
    <row r="25671" spans="4:8" x14ac:dyDescent="0.25">
      <c r="D25671" s="28"/>
      <c r="F25671" s="28"/>
      <c r="H25671" s="28"/>
    </row>
    <row r="25672" spans="4:8" x14ac:dyDescent="0.25">
      <c r="D25672" s="28"/>
      <c r="F25672" s="28"/>
      <c r="H25672" s="28"/>
    </row>
    <row r="25673" spans="4:8" x14ac:dyDescent="0.25">
      <c r="D25673" s="28"/>
      <c r="F25673" s="28"/>
      <c r="H25673" s="28"/>
    </row>
    <row r="25674" spans="4:8" x14ac:dyDescent="0.25">
      <c r="D25674" s="28"/>
      <c r="F25674" s="28"/>
      <c r="H25674" s="28"/>
    </row>
    <row r="25675" spans="4:8" x14ac:dyDescent="0.25">
      <c r="D25675" s="28"/>
      <c r="F25675" s="28"/>
      <c r="H25675" s="28"/>
    </row>
    <row r="25676" spans="4:8" x14ac:dyDescent="0.25">
      <c r="D25676" s="28"/>
      <c r="F25676" s="28"/>
      <c r="H25676" s="28"/>
    </row>
    <row r="25677" spans="4:8" x14ac:dyDescent="0.25">
      <c r="D25677" s="28"/>
      <c r="F25677" s="28"/>
      <c r="H25677" s="28"/>
    </row>
    <row r="25678" spans="4:8" x14ac:dyDescent="0.25">
      <c r="D25678" s="28"/>
      <c r="F25678" s="28"/>
      <c r="H25678" s="28"/>
    </row>
    <row r="25679" spans="4:8" x14ac:dyDescent="0.25">
      <c r="D25679" s="28"/>
      <c r="F25679" s="28"/>
      <c r="H25679" s="28"/>
    </row>
    <row r="25680" spans="4:8" x14ac:dyDescent="0.25">
      <c r="D25680" s="28"/>
      <c r="F25680" s="28"/>
      <c r="H25680" s="28"/>
    </row>
    <row r="25681" spans="4:8" x14ac:dyDescent="0.25">
      <c r="D25681" s="28"/>
      <c r="F25681" s="28"/>
      <c r="H25681" s="28"/>
    </row>
    <row r="25682" spans="4:8" x14ac:dyDescent="0.25">
      <c r="D25682" s="28"/>
      <c r="F25682" s="28"/>
      <c r="H25682" s="28"/>
    </row>
    <row r="25683" spans="4:8" x14ac:dyDescent="0.25">
      <c r="D25683" s="28"/>
      <c r="F25683" s="28"/>
      <c r="H25683" s="28"/>
    </row>
    <row r="25684" spans="4:8" x14ac:dyDescent="0.25">
      <c r="D25684" s="28"/>
      <c r="F25684" s="28"/>
      <c r="H25684" s="28"/>
    </row>
    <row r="25685" spans="4:8" x14ac:dyDescent="0.25">
      <c r="D25685" s="28"/>
      <c r="F25685" s="28"/>
      <c r="H25685" s="28"/>
    </row>
    <row r="25686" spans="4:8" x14ac:dyDescent="0.25">
      <c r="D25686" s="28"/>
      <c r="F25686" s="28"/>
      <c r="H25686" s="28"/>
    </row>
    <row r="25687" spans="4:8" x14ac:dyDescent="0.25">
      <c r="D25687" s="28"/>
      <c r="F25687" s="28"/>
      <c r="H25687" s="28"/>
    </row>
    <row r="25688" spans="4:8" x14ac:dyDescent="0.25">
      <c r="D25688" s="28"/>
      <c r="F25688" s="28"/>
      <c r="H25688" s="28"/>
    </row>
    <row r="25689" spans="4:8" x14ac:dyDescent="0.25">
      <c r="D25689" s="28"/>
      <c r="F25689" s="28"/>
      <c r="H25689" s="28"/>
    </row>
    <row r="25690" spans="4:8" x14ac:dyDescent="0.25">
      <c r="D25690" s="28"/>
      <c r="F25690" s="28"/>
      <c r="H25690" s="28"/>
    </row>
    <row r="25691" spans="4:8" x14ac:dyDescent="0.25">
      <c r="D25691" s="28"/>
      <c r="F25691" s="28"/>
      <c r="H25691" s="28"/>
    </row>
    <row r="25692" spans="4:8" x14ac:dyDescent="0.25">
      <c r="D25692" s="28"/>
      <c r="F25692" s="28"/>
      <c r="H25692" s="28"/>
    </row>
    <row r="25693" spans="4:8" x14ac:dyDescent="0.25">
      <c r="D25693" s="28"/>
      <c r="F25693" s="28"/>
      <c r="H25693" s="28"/>
    </row>
    <row r="25694" spans="4:8" x14ac:dyDescent="0.25">
      <c r="D25694" s="28"/>
      <c r="F25694" s="28"/>
      <c r="H25694" s="28"/>
    </row>
    <row r="25695" spans="4:8" x14ac:dyDescent="0.25">
      <c r="D25695" s="28"/>
      <c r="F25695" s="28"/>
      <c r="H25695" s="28"/>
    </row>
    <row r="25696" spans="4:8" x14ac:dyDescent="0.25">
      <c r="D25696" s="28"/>
      <c r="F25696" s="28"/>
      <c r="H25696" s="28"/>
    </row>
    <row r="25697" spans="4:8" x14ac:dyDescent="0.25">
      <c r="D25697" s="28"/>
      <c r="F25697" s="28"/>
      <c r="H25697" s="28"/>
    </row>
    <row r="25698" spans="4:8" x14ac:dyDescent="0.25">
      <c r="D25698" s="28"/>
      <c r="F25698" s="28"/>
      <c r="H25698" s="28"/>
    </row>
    <row r="25699" spans="4:8" x14ac:dyDescent="0.25">
      <c r="D25699" s="28"/>
      <c r="F25699" s="28"/>
      <c r="H25699" s="28"/>
    </row>
    <row r="25700" spans="4:8" x14ac:dyDescent="0.25">
      <c r="D25700" s="28"/>
      <c r="F25700" s="28"/>
      <c r="H25700" s="28"/>
    </row>
    <row r="25701" spans="4:8" x14ac:dyDescent="0.25">
      <c r="D25701" s="28"/>
      <c r="F25701" s="28"/>
      <c r="H25701" s="28"/>
    </row>
    <row r="25702" spans="4:8" x14ac:dyDescent="0.25">
      <c r="D25702" s="28"/>
      <c r="F25702" s="28"/>
      <c r="H25702" s="28"/>
    </row>
    <row r="25703" spans="4:8" x14ac:dyDescent="0.25">
      <c r="D25703" s="28"/>
      <c r="F25703" s="28"/>
      <c r="H25703" s="28"/>
    </row>
    <row r="25704" spans="4:8" x14ac:dyDescent="0.25">
      <c r="D25704" s="28"/>
      <c r="F25704" s="28"/>
      <c r="H25704" s="28"/>
    </row>
    <row r="25705" spans="4:8" x14ac:dyDescent="0.25">
      <c r="D25705" s="28"/>
      <c r="F25705" s="28"/>
      <c r="H25705" s="28"/>
    </row>
    <row r="25706" spans="4:8" x14ac:dyDescent="0.25">
      <c r="D25706" s="28"/>
      <c r="F25706" s="28"/>
      <c r="H25706" s="28"/>
    </row>
    <row r="25707" spans="4:8" x14ac:dyDescent="0.25">
      <c r="D25707" s="28"/>
      <c r="F25707" s="28"/>
      <c r="H25707" s="28"/>
    </row>
    <row r="25708" spans="4:8" x14ac:dyDescent="0.25">
      <c r="D25708" s="28"/>
      <c r="F25708" s="28"/>
      <c r="H25708" s="28"/>
    </row>
    <row r="25709" spans="4:8" x14ac:dyDescent="0.25">
      <c r="D25709" s="28"/>
      <c r="F25709" s="28"/>
      <c r="H25709" s="28"/>
    </row>
    <row r="25710" spans="4:8" x14ac:dyDescent="0.25">
      <c r="D25710" s="28"/>
      <c r="F25710" s="28"/>
      <c r="H25710" s="28"/>
    </row>
    <row r="25711" spans="4:8" x14ac:dyDescent="0.25">
      <c r="D25711" s="28"/>
      <c r="F25711" s="28"/>
      <c r="H25711" s="28"/>
    </row>
    <row r="25712" spans="4:8" x14ac:dyDescent="0.25">
      <c r="D25712" s="28"/>
      <c r="F25712" s="28"/>
      <c r="H25712" s="28"/>
    </row>
    <row r="25713" spans="4:8" x14ac:dyDescent="0.25">
      <c r="D25713" s="28"/>
      <c r="F25713" s="28"/>
      <c r="H25713" s="28"/>
    </row>
    <row r="25714" spans="4:8" x14ac:dyDescent="0.25">
      <c r="D25714" s="28"/>
      <c r="F25714" s="28"/>
      <c r="H25714" s="28"/>
    </row>
    <row r="25715" spans="4:8" x14ac:dyDescent="0.25">
      <c r="D25715" s="28"/>
      <c r="F25715" s="28"/>
      <c r="H25715" s="28"/>
    </row>
    <row r="25716" spans="4:8" x14ac:dyDescent="0.25">
      <c r="D25716" s="28"/>
      <c r="F25716" s="28"/>
      <c r="H25716" s="28"/>
    </row>
    <row r="25717" spans="4:8" x14ac:dyDescent="0.25">
      <c r="D25717" s="28"/>
      <c r="F25717" s="28"/>
      <c r="H25717" s="28"/>
    </row>
    <row r="25718" spans="4:8" x14ac:dyDescent="0.25">
      <c r="D25718" s="28"/>
      <c r="F25718" s="28"/>
      <c r="H25718" s="28"/>
    </row>
    <row r="25719" spans="4:8" x14ac:dyDescent="0.25">
      <c r="D25719" s="28"/>
      <c r="F25719" s="28"/>
      <c r="H25719" s="28"/>
    </row>
    <row r="25720" spans="4:8" x14ac:dyDescent="0.25">
      <c r="D25720" s="28"/>
      <c r="F25720" s="28"/>
      <c r="H25720" s="28"/>
    </row>
    <row r="25721" spans="4:8" x14ac:dyDescent="0.25">
      <c r="D25721" s="28"/>
      <c r="F25721" s="28"/>
      <c r="H25721" s="28"/>
    </row>
    <row r="25722" spans="4:8" x14ac:dyDescent="0.25">
      <c r="D25722" s="28"/>
      <c r="F25722" s="28"/>
      <c r="H25722" s="28"/>
    </row>
    <row r="25723" spans="4:8" x14ac:dyDescent="0.25">
      <c r="D25723" s="28"/>
      <c r="F25723" s="28"/>
      <c r="H25723" s="28"/>
    </row>
    <row r="25724" spans="4:8" x14ac:dyDescent="0.25">
      <c r="D25724" s="28"/>
      <c r="F25724" s="28"/>
      <c r="H25724" s="28"/>
    </row>
    <row r="25725" spans="4:8" x14ac:dyDescent="0.25">
      <c r="D25725" s="28"/>
      <c r="F25725" s="28"/>
      <c r="H25725" s="28"/>
    </row>
    <row r="25726" spans="4:8" x14ac:dyDescent="0.25">
      <c r="D25726" s="28"/>
      <c r="F25726" s="28"/>
      <c r="H25726" s="28"/>
    </row>
    <row r="25727" spans="4:8" x14ac:dyDescent="0.25">
      <c r="D25727" s="28"/>
      <c r="F25727" s="28"/>
      <c r="H25727" s="28"/>
    </row>
    <row r="25728" spans="4:8" x14ac:dyDescent="0.25">
      <c r="D25728" s="28"/>
      <c r="F25728" s="28"/>
      <c r="H25728" s="28"/>
    </row>
    <row r="25729" spans="4:8" x14ac:dyDescent="0.25">
      <c r="D25729" s="28"/>
      <c r="F25729" s="28"/>
      <c r="H25729" s="28"/>
    </row>
    <row r="25730" spans="4:8" x14ac:dyDescent="0.25">
      <c r="D25730" s="28"/>
      <c r="F25730" s="28"/>
      <c r="H25730" s="28"/>
    </row>
    <row r="25731" spans="4:8" x14ac:dyDescent="0.25">
      <c r="D25731" s="28"/>
      <c r="F25731" s="28"/>
      <c r="H25731" s="28"/>
    </row>
    <row r="25732" spans="4:8" x14ac:dyDescent="0.25">
      <c r="D25732" s="28"/>
      <c r="F25732" s="28"/>
      <c r="H25732" s="28"/>
    </row>
    <row r="25733" spans="4:8" x14ac:dyDescent="0.25">
      <c r="D25733" s="28"/>
      <c r="F25733" s="28"/>
      <c r="H25733" s="28"/>
    </row>
    <row r="25734" spans="4:8" x14ac:dyDescent="0.25">
      <c r="D25734" s="28"/>
      <c r="F25734" s="28"/>
      <c r="H25734" s="28"/>
    </row>
    <row r="25735" spans="4:8" x14ac:dyDescent="0.25">
      <c r="D25735" s="28"/>
      <c r="F25735" s="28"/>
      <c r="H25735" s="28"/>
    </row>
    <row r="25736" spans="4:8" x14ac:dyDescent="0.25">
      <c r="D25736" s="28"/>
      <c r="F25736" s="28"/>
      <c r="H25736" s="28"/>
    </row>
    <row r="25737" spans="4:8" x14ac:dyDescent="0.25">
      <c r="D25737" s="28"/>
      <c r="F25737" s="28"/>
      <c r="H25737" s="28"/>
    </row>
    <row r="25738" spans="4:8" x14ac:dyDescent="0.25">
      <c r="D25738" s="28"/>
      <c r="F25738" s="28"/>
      <c r="H25738" s="28"/>
    </row>
    <row r="25739" spans="4:8" x14ac:dyDescent="0.25">
      <c r="D25739" s="28"/>
      <c r="F25739" s="28"/>
      <c r="H25739" s="28"/>
    </row>
    <row r="25740" spans="4:8" x14ac:dyDescent="0.25">
      <c r="D25740" s="28"/>
      <c r="F25740" s="28"/>
      <c r="H25740" s="28"/>
    </row>
    <row r="25741" spans="4:8" x14ac:dyDescent="0.25">
      <c r="D25741" s="28"/>
      <c r="F25741" s="28"/>
      <c r="H25741" s="28"/>
    </row>
    <row r="25742" spans="4:8" x14ac:dyDescent="0.25">
      <c r="D25742" s="28"/>
      <c r="F25742" s="28"/>
      <c r="H25742" s="28"/>
    </row>
    <row r="25743" spans="4:8" x14ac:dyDescent="0.25">
      <c r="D25743" s="28"/>
      <c r="F25743" s="28"/>
      <c r="H25743" s="28"/>
    </row>
    <row r="25744" spans="4:8" x14ac:dyDescent="0.25">
      <c r="D25744" s="28"/>
      <c r="F25744" s="28"/>
      <c r="H25744" s="28"/>
    </row>
    <row r="25745" spans="4:8" x14ac:dyDescent="0.25">
      <c r="D25745" s="28"/>
      <c r="F25745" s="28"/>
      <c r="H25745" s="28"/>
    </row>
    <row r="25746" spans="4:8" x14ac:dyDescent="0.25">
      <c r="D25746" s="28"/>
      <c r="F25746" s="28"/>
      <c r="H25746" s="28"/>
    </row>
    <row r="25747" spans="4:8" x14ac:dyDescent="0.25">
      <c r="D25747" s="28"/>
      <c r="F25747" s="28"/>
      <c r="H25747" s="28"/>
    </row>
    <row r="25748" spans="4:8" x14ac:dyDescent="0.25">
      <c r="D25748" s="28"/>
      <c r="F25748" s="28"/>
      <c r="H25748" s="28"/>
    </row>
    <row r="25749" spans="4:8" x14ac:dyDescent="0.25">
      <c r="D25749" s="28"/>
      <c r="F25749" s="28"/>
      <c r="H25749" s="28"/>
    </row>
    <row r="25750" spans="4:8" x14ac:dyDescent="0.25">
      <c r="D25750" s="28"/>
      <c r="F25750" s="28"/>
      <c r="H25750" s="28"/>
    </row>
    <row r="25751" spans="4:8" x14ac:dyDescent="0.25">
      <c r="D25751" s="28"/>
      <c r="F25751" s="28"/>
      <c r="H25751" s="28"/>
    </row>
    <row r="25752" spans="4:8" x14ac:dyDescent="0.25">
      <c r="D25752" s="28"/>
      <c r="F25752" s="28"/>
      <c r="H25752" s="28"/>
    </row>
    <row r="25753" spans="4:8" x14ac:dyDescent="0.25">
      <c r="D25753" s="28"/>
      <c r="F25753" s="28"/>
      <c r="H25753" s="28"/>
    </row>
    <row r="25754" spans="4:8" x14ac:dyDescent="0.25">
      <c r="D25754" s="28"/>
      <c r="F25754" s="28"/>
      <c r="H25754" s="28"/>
    </row>
    <row r="25755" spans="4:8" x14ac:dyDescent="0.25">
      <c r="D25755" s="28"/>
      <c r="F25755" s="28"/>
      <c r="H25755" s="28"/>
    </row>
    <row r="25756" spans="4:8" x14ac:dyDescent="0.25">
      <c r="D25756" s="28"/>
      <c r="F25756" s="28"/>
      <c r="H25756" s="28"/>
    </row>
    <row r="25757" spans="4:8" x14ac:dyDescent="0.25">
      <c r="D25757" s="28"/>
      <c r="F25757" s="28"/>
      <c r="H25757" s="28"/>
    </row>
    <row r="25758" spans="4:8" x14ac:dyDescent="0.25">
      <c r="D25758" s="28"/>
      <c r="F25758" s="28"/>
      <c r="H25758" s="28"/>
    </row>
    <row r="25759" spans="4:8" x14ac:dyDescent="0.25">
      <c r="D25759" s="28"/>
      <c r="F25759" s="28"/>
      <c r="H25759" s="28"/>
    </row>
    <row r="25760" spans="4:8" x14ac:dyDescent="0.25">
      <c r="D25760" s="28"/>
      <c r="F25760" s="28"/>
      <c r="H25760" s="28"/>
    </row>
    <row r="25761" spans="4:8" x14ac:dyDescent="0.25">
      <c r="D25761" s="28"/>
      <c r="F25761" s="28"/>
      <c r="H25761" s="28"/>
    </row>
    <row r="25762" spans="4:8" x14ac:dyDescent="0.25">
      <c r="D25762" s="28"/>
      <c r="F25762" s="28"/>
      <c r="H25762" s="28"/>
    </row>
    <row r="25763" spans="4:8" x14ac:dyDescent="0.25">
      <c r="D25763" s="28"/>
      <c r="F25763" s="28"/>
      <c r="H25763" s="28"/>
    </row>
    <row r="25764" spans="4:8" x14ac:dyDescent="0.25">
      <c r="D25764" s="28"/>
      <c r="F25764" s="28"/>
      <c r="H25764" s="28"/>
    </row>
    <row r="25765" spans="4:8" x14ac:dyDescent="0.25">
      <c r="D25765" s="28"/>
      <c r="F25765" s="28"/>
      <c r="H25765" s="28"/>
    </row>
    <row r="25766" spans="4:8" x14ac:dyDescent="0.25">
      <c r="D25766" s="28"/>
      <c r="F25766" s="28"/>
      <c r="H25766" s="28"/>
    </row>
    <row r="25767" spans="4:8" x14ac:dyDescent="0.25">
      <c r="D25767" s="28"/>
      <c r="F25767" s="28"/>
      <c r="H25767" s="28"/>
    </row>
    <row r="25768" spans="4:8" x14ac:dyDescent="0.25">
      <c r="D25768" s="28"/>
      <c r="F25768" s="28"/>
      <c r="H25768" s="28"/>
    </row>
    <row r="25769" spans="4:8" x14ac:dyDescent="0.25">
      <c r="D25769" s="28"/>
      <c r="F25769" s="28"/>
      <c r="H25769" s="28"/>
    </row>
    <row r="25770" spans="4:8" x14ac:dyDescent="0.25">
      <c r="D25770" s="28"/>
      <c r="F25770" s="28"/>
      <c r="H25770" s="28"/>
    </row>
    <row r="25771" spans="4:8" x14ac:dyDescent="0.25">
      <c r="D25771" s="28"/>
      <c r="F25771" s="28"/>
      <c r="H25771" s="28"/>
    </row>
    <row r="25772" spans="4:8" x14ac:dyDescent="0.25">
      <c r="D25772" s="28"/>
      <c r="F25772" s="28"/>
      <c r="H25772" s="28"/>
    </row>
    <row r="25773" spans="4:8" x14ac:dyDescent="0.25">
      <c r="D25773" s="28"/>
      <c r="F25773" s="28"/>
      <c r="H25773" s="28"/>
    </row>
    <row r="25774" spans="4:8" x14ac:dyDescent="0.25">
      <c r="D25774" s="28"/>
      <c r="F25774" s="28"/>
      <c r="H25774" s="28"/>
    </row>
    <row r="25775" spans="4:8" x14ac:dyDescent="0.25">
      <c r="D25775" s="28"/>
      <c r="F25775" s="28"/>
      <c r="H25775" s="28"/>
    </row>
    <row r="25776" spans="4:8" x14ac:dyDescent="0.25">
      <c r="D25776" s="28"/>
      <c r="F25776" s="28"/>
      <c r="H25776" s="28"/>
    </row>
    <row r="25777" spans="4:8" x14ac:dyDescent="0.25">
      <c r="D25777" s="28"/>
      <c r="F25777" s="28"/>
      <c r="H25777" s="28"/>
    </row>
    <row r="25778" spans="4:8" x14ac:dyDescent="0.25">
      <c r="D25778" s="28"/>
      <c r="F25778" s="28"/>
      <c r="H25778" s="28"/>
    </row>
    <row r="25779" spans="4:8" x14ac:dyDescent="0.25">
      <c r="D25779" s="28"/>
      <c r="F25779" s="28"/>
      <c r="H25779" s="28"/>
    </row>
    <row r="25780" spans="4:8" x14ac:dyDescent="0.25">
      <c r="D25780" s="28"/>
      <c r="F25780" s="28"/>
      <c r="H25780" s="28"/>
    </row>
    <row r="25781" spans="4:8" x14ac:dyDescent="0.25">
      <c r="D25781" s="28"/>
      <c r="F25781" s="28"/>
      <c r="H25781" s="28"/>
    </row>
    <row r="25782" spans="4:8" x14ac:dyDescent="0.25">
      <c r="D25782" s="28"/>
      <c r="F25782" s="28"/>
      <c r="H25782" s="28"/>
    </row>
    <row r="25783" spans="4:8" x14ac:dyDescent="0.25">
      <c r="D25783" s="28"/>
      <c r="F25783" s="28"/>
      <c r="H25783" s="28"/>
    </row>
    <row r="25784" spans="4:8" x14ac:dyDescent="0.25">
      <c r="D25784" s="28"/>
      <c r="F25784" s="28"/>
      <c r="H25784" s="28"/>
    </row>
    <row r="25785" spans="4:8" x14ac:dyDescent="0.25">
      <c r="D25785" s="28"/>
      <c r="F25785" s="28"/>
      <c r="H25785" s="28"/>
    </row>
    <row r="25786" spans="4:8" x14ac:dyDescent="0.25">
      <c r="D25786" s="28"/>
      <c r="F25786" s="28"/>
      <c r="H25786" s="28"/>
    </row>
    <row r="25787" spans="4:8" x14ac:dyDescent="0.25">
      <c r="D25787" s="28"/>
      <c r="F25787" s="28"/>
      <c r="H25787" s="28"/>
    </row>
    <row r="25788" spans="4:8" x14ac:dyDescent="0.25">
      <c r="D25788" s="28"/>
      <c r="F25788" s="28"/>
      <c r="H25788" s="28"/>
    </row>
    <row r="25789" spans="4:8" x14ac:dyDescent="0.25">
      <c r="D25789" s="28"/>
      <c r="F25789" s="28"/>
      <c r="H25789" s="28"/>
    </row>
    <row r="25790" spans="4:8" x14ac:dyDescent="0.25">
      <c r="D25790" s="28"/>
      <c r="F25790" s="28"/>
      <c r="H25790" s="28"/>
    </row>
    <row r="25791" spans="4:8" x14ac:dyDescent="0.25">
      <c r="D25791" s="28"/>
      <c r="F25791" s="28"/>
      <c r="H25791" s="28"/>
    </row>
    <row r="25792" spans="4:8" x14ac:dyDescent="0.25">
      <c r="D25792" s="28"/>
      <c r="F25792" s="28"/>
      <c r="H25792" s="28"/>
    </row>
    <row r="25793" spans="4:8" x14ac:dyDescent="0.25">
      <c r="D25793" s="28"/>
      <c r="F25793" s="28"/>
      <c r="H25793" s="28"/>
    </row>
    <row r="25794" spans="4:8" x14ac:dyDescent="0.25">
      <c r="D25794" s="28"/>
      <c r="F25794" s="28"/>
      <c r="H25794" s="28"/>
    </row>
    <row r="25795" spans="4:8" x14ac:dyDescent="0.25">
      <c r="D25795" s="28"/>
      <c r="F25795" s="28"/>
      <c r="H25795" s="28"/>
    </row>
    <row r="25796" spans="4:8" x14ac:dyDescent="0.25">
      <c r="D25796" s="28"/>
      <c r="F25796" s="28"/>
      <c r="H25796" s="28"/>
    </row>
    <row r="25797" spans="4:8" x14ac:dyDescent="0.25">
      <c r="D25797" s="28"/>
      <c r="F25797" s="28"/>
      <c r="H25797" s="28"/>
    </row>
    <row r="25798" spans="4:8" x14ac:dyDescent="0.25">
      <c r="D25798" s="28"/>
      <c r="F25798" s="28"/>
      <c r="H25798" s="28"/>
    </row>
    <row r="25799" spans="4:8" x14ac:dyDescent="0.25">
      <c r="D25799" s="28"/>
      <c r="F25799" s="28"/>
      <c r="H25799" s="28"/>
    </row>
    <row r="25800" spans="4:8" x14ac:dyDescent="0.25">
      <c r="D25800" s="28"/>
      <c r="F25800" s="28"/>
      <c r="H25800" s="28"/>
    </row>
    <row r="25801" spans="4:8" x14ac:dyDescent="0.25">
      <c r="D25801" s="28"/>
      <c r="F25801" s="28"/>
      <c r="H25801" s="28"/>
    </row>
    <row r="25802" spans="4:8" x14ac:dyDescent="0.25">
      <c r="D25802" s="28"/>
      <c r="F25802" s="28"/>
      <c r="H25802" s="28"/>
    </row>
    <row r="25803" spans="4:8" x14ac:dyDescent="0.25">
      <c r="D25803" s="28"/>
      <c r="F25803" s="28"/>
      <c r="H25803" s="28"/>
    </row>
    <row r="25804" spans="4:8" x14ac:dyDescent="0.25">
      <c r="D25804" s="28"/>
      <c r="F25804" s="28"/>
      <c r="H25804" s="28"/>
    </row>
    <row r="25805" spans="4:8" x14ac:dyDescent="0.25">
      <c r="D25805" s="28"/>
      <c r="F25805" s="28"/>
      <c r="H25805" s="28"/>
    </row>
    <row r="25806" spans="4:8" x14ac:dyDescent="0.25">
      <c r="D25806" s="28"/>
      <c r="F25806" s="28"/>
      <c r="H25806" s="28"/>
    </row>
    <row r="25807" spans="4:8" x14ac:dyDescent="0.25">
      <c r="D25807" s="28"/>
      <c r="F25807" s="28"/>
      <c r="H25807" s="28"/>
    </row>
    <row r="25808" spans="4:8" x14ac:dyDescent="0.25">
      <c r="D25808" s="28"/>
      <c r="F25808" s="28"/>
      <c r="H25808" s="28"/>
    </row>
    <row r="25809" spans="4:8" x14ac:dyDescent="0.25">
      <c r="D25809" s="28"/>
      <c r="F25809" s="28"/>
      <c r="H25809" s="28"/>
    </row>
    <row r="25810" spans="4:8" x14ac:dyDescent="0.25">
      <c r="D25810" s="28"/>
      <c r="F25810" s="28"/>
      <c r="H25810" s="28"/>
    </row>
    <row r="25811" spans="4:8" x14ac:dyDescent="0.25">
      <c r="D25811" s="28"/>
      <c r="F25811" s="28"/>
      <c r="H25811" s="28"/>
    </row>
    <row r="25812" spans="4:8" x14ac:dyDescent="0.25">
      <c r="D25812" s="28"/>
      <c r="F25812" s="28"/>
      <c r="H25812" s="28"/>
    </row>
    <row r="25813" spans="4:8" x14ac:dyDescent="0.25">
      <c r="D25813" s="28"/>
      <c r="F25813" s="28"/>
      <c r="H25813" s="28"/>
    </row>
    <row r="25814" spans="4:8" x14ac:dyDescent="0.25">
      <c r="D25814" s="28"/>
      <c r="F25814" s="28"/>
      <c r="H25814" s="28"/>
    </row>
    <row r="25815" spans="4:8" x14ac:dyDescent="0.25">
      <c r="D25815" s="28"/>
      <c r="F25815" s="28"/>
      <c r="H25815" s="28"/>
    </row>
    <row r="25816" spans="4:8" x14ac:dyDescent="0.25">
      <c r="D25816" s="28"/>
      <c r="F25816" s="28"/>
      <c r="H25816" s="28"/>
    </row>
    <row r="25817" spans="4:8" x14ac:dyDescent="0.25">
      <c r="D25817" s="28"/>
      <c r="F25817" s="28"/>
      <c r="H25817" s="28"/>
    </row>
    <row r="25818" spans="4:8" x14ac:dyDescent="0.25">
      <c r="D25818" s="28"/>
      <c r="F25818" s="28"/>
      <c r="H25818" s="28"/>
    </row>
    <row r="25819" spans="4:8" x14ac:dyDescent="0.25">
      <c r="D25819" s="28"/>
      <c r="F25819" s="28"/>
      <c r="H25819" s="28"/>
    </row>
    <row r="25820" spans="4:8" x14ac:dyDescent="0.25">
      <c r="D25820" s="28"/>
      <c r="F25820" s="28"/>
      <c r="H25820" s="28"/>
    </row>
    <row r="25821" spans="4:8" x14ac:dyDescent="0.25">
      <c r="D25821" s="28"/>
      <c r="F25821" s="28"/>
      <c r="H25821" s="28"/>
    </row>
    <row r="25822" spans="4:8" x14ac:dyDescent="0.25">
      <c r="D25822" s="28"/>
      <c r="F25822" s="28"/>
      <c r="H25822" s="28"/>
    </row>
    <row r="25823" spans="4:8" x14ac:dyDescent="0.25">
      <c r="D25823" s="28"/>
      <c r="F25823" s="28"/>
      <c r="H25823" s="28"/>
    </row>
    <row r="25824" spans="4:8" x14ac:dyDescent="0.25">
      <c r="D25824" s="28"/>
      <c r="F25824" s="28"/>
      <c r="H25824" s="28"/>
    </row>
    <row r="25825" spans="4:8" x14ac:dyDescent="0.25">
      <c r="D25825" s="28"/>
      <c r="F25825" s="28"/>
      <c r="H25825" s="28"/>
    </row>
    <row r="25826" spans="4:8" x14ac:dyDescent="0.25">
      <c r="D25826" s="28"/>
      <c r="F25826" s="28"/>
      <c r="H25826" s="28"/>
    </row>
    <row r="25827" spans="4:8" x14ac:dyDescent="0.25">
      <c r="D25827" s="28"/>
      <c r="F25827" s="28"/>
      <c r="H25827" s="28"/>
    </row>
    <row r="25828" spans="4:8" x14ac:dyDescent="0.25">
      <c r="D25828" s="28"/>
      <c r="F25828" s="28"/>
      <c r="H25828" s="28"/>
    </row>
    <row r="25829" spans="4:8" x14ac:dyDescent="0.25">
      <c r="D25829" s="28"/>
      <c r="F25829" s="28"/>
      <c r="H25829" s="28"/>
    </row>
    <row r="25830" spans="4:8" x14ac:dyDescent="0.25">
      <c r="D25830" s="28"/>
      <c r="F25830" s="28"/>
      <c r="H25830" s="28"/>
    </row>
    <row r="25831" spans="4:8" x14ac:dyDescent="0.25">
      <c r="D25831" s="28"/>
      <c r="F25831" s="28"/>
      <c r="H25831" s="28"/>
    </row>
    <row r="25832" spans="4:8" x14ac:dyDescent="0.25">
      <c r="D25832" s="28"/>
      <c r="F25832" s="28"/>
      <c r="H25832" s="28"/>
    </row>
    <row r="25833" spans="4:8" x14ac:dyDescent="0.25">
      <c r="D25833" s="28"/>
      <c r="F25833" s="28"/>
      <c r="H25833" s="28"/>
    </row>
    <row r="25834" spans="4:8" x14ac:dyDescent="0.25">
      <c r="D25834" s="28"/>
      <c r="F25834" s="28"/>
      <c r="H25834" s="28"/>
    </row>
    <row r="25835" spans="4:8" x14ac:dyDescent="0.25">
      <c r="D25835" s="28"/>
      <c r="F25835" s="28"/>
      <c r="H25835" s="28"/>
    </row>
    <row r="25836" spans="4:8" x14ac:dyDescent="0.25">
      <c r="D25836" s="28"/>
      <c r="F25836" s="28"/>
      <c r="H25836" s="28"/>
    </row>
    <row r="25837" spans="4:8" x14ac:dyDescent="0.25">
      <c r="D25837" s="28"/>
      <c r="F25837" s="28"/>
      <c r="H25837" s="28"/>
    </row>
    <row r="25838" spans="4:8" x14ac:dyDescent="0.25">
      <c r="D25838" s="28"/>
      <c r="F25838" s="28"/>
      <c r="H25838" s="28"/>
    </row>
    <row r="25839" spans="4:8" x14ac:dyDescent="0.25">
      <c r="D25839" s="28"/>
      <c r="F25839" s="28"/>
      <c r="H25839" s="28"/>
    </row>
    <row r="25840" spans="4:8" x14ac:dyDescent="0.25">
      <c r="D25840" s="28"/>
      <c r="F25840" s="28"/>
      <c r="H25840" s="28"/>
    </row>
    <row r="25841" spans="4:8" x14ac:dyDescent="0.25">
      <c r="D25841" s="28"/>
      <c r="F25841" s="28"/>
      <c r="H25841" s="28"/>
    </row>
    <row r="25842" spans="4:8" x14ac:dyDescent="0.25">
      <c r="D25842" s="28"/>
      <c r="F25842" s="28"/>
      <c r="H25842" s="28"/>
    </row>
    <row r="25843" spans="4:8" x14ac:dyDescent="0.25">
      <c r="D25843" s="28"/>
      <c r="F25843" s="28"/>
      <c r="H25843" s="28"/>
    </row>
    <row r="25844" spans="4:8" x14ac:dyDescent="0.25">
      <c r="D25844" s="28"/>
      <c r="F25844" s="28"/>
      <c r="H25844" s="28"/>
    </row>
    <row r="25845" spans="4:8" x14ac:dyDescent="0.25">
      <c r="D25845" s="28"/>
      <c r="F25845" s="28"/>
      <c r="H25845" s="28"/>
    </row>
    <row r="25846" spans="4:8" x14ac:dyDescent="0.25">
      <c r="D25846" s="28"/>
      <c r="F25846" s="28"/>
      <c r="H25846" s="28"/>
    </row>
    <row r="25847" spans="4:8" x14ac:dyDescent="0.25">
      <c r="D25847" s="28"/>
      <c r="F25847" s="28"/>
      <c r="H25847" s="28"/>
    </row>
    <row r="25848" spans="4:8" x14ac:dyDescent="0.25">
      <c r="D25848" s="28"/>
      <c r="F25848" s="28"/>
      <c r="H25848" s="28"/>
    </row>
    <row r="25849" spans="4:8" x14ac:dyDescent="0.25">
      <c r="D25849" s="28"/>
      <c r="F25849" s="28"/>
      <c r="H25849" s="28"/>
    </row>
    <row r="25850" spans="4:8" x14ac:dyDescent="0.25">
      <c r="D25850" s="28"/>
      <c r="F25850" s="28"/>
      <c r="H25850" s="28"/>
    </row>
    <row r="25851" spans="4:8" x14ac:dyDescent="0.25">
      <c r="D25851" s="28"/>
      <c r="F25851" s="28"/>
      <c r="H25851" s="28"/>
    </row>
    <row r="25852" spans="4:8" x14ac:dyDescent="0.25">
      <c r="D25852" s="28"/>
      <c r="F25852" s="28"/>
      <c r="H25852" s="28"/>
    </row>
    <row r="25853" spans="4:8" x14ac:dyDescent="0.25">
      <c r="D25853" s="28"/>
      <c r="F25853" s="28"/>
      <c r="H25853" s="28"/>
    </row>
    <row r="25854" spans="4:8" x14ac:dyDescent="0.25">
      <c r="D25854" s="28"/>
      <c r="F25854" s="28"/>
      <c r="H25854" s="28"/>
    </row>
    <row r="25855" spans="4:8" x14ac:dyDescent="0.25">
      <c r="D25855" s="28"/>
      <c r="F25855" s="28"/>
      <c r="H25855" s="28"/>
    </row>
    <row r="25856" spans="4:8" x14ac:dyDescent="0.25">
      <c r="D25856" s="28"/>
      <c r="F25856" s="28"/>
      <c r="H25856" s="28"/>
    </row>
    <row r="25857" spans="4:8" x14ac:dyDescent="0.25">
      <c r="D25857" s="28"/>
      <c r="F25857" s="28"/>
      <c r="H25857" s="28"/>
    </row>
    <row r="25858" spans="4:8" x14ac:dyDescent="0.25">
      <c r="D25858" s="28"/>
      <c r="F25858" s="28"/>
      <c r="H25858" s="28"/>
    </row>
    <row r="25859" spans="4:8" x14ac:dyDescent="0.25">
      <c r="D25859" s="28"/>
      <c r="F25859" s="28"/>
      <c r="H25859" s="28"/>
    </row>
    <row r="25860" spans="4:8" x14ac:dyDescent="0.25">
      <c r="D25860" s="28"/>
      <c r="F25860" s="28"/>
      <c r="H25860" s="28"/>
    </row>
    <row r="25861" spans="4:8" x14ac:dyDescent="0.25">
      <c r="D25861" s="28"/>
      <c r="F25861" s="28"/>
      <c r="H25861" s="28"/>
    </row>
    <row r="25862" spans="4:8" x14ac:dyDescent="0.25">
      <c r="D25862" s="28"/>
      <c r="F25862" s="28"/>
      <c r="H25862" s="28"/>
    </row>
    <row r="25863" spans="4:8" x14ac:dyDescent="0.25">
      <c r="D25863" s="28"/>
      <c r="F25863" s="28"/>
      <c r="H25863" s="28"/>
    </row>
    <row r="25864" spans="4:8" x14ac:dyDescent="0.25">
      <c r="D25864" s="28"/>
      <c r="F25864" s="28"/>
      <c r="H25864" s="28"/>
    </row>
    <row r="25865" spans="4:8" x14ac:dyDescent="0.25">
      <c r="D25865" s="28"/>
      <c r="F25865" s="28"/>
      <c r="H25865" s="28"/>
    </row>
    <row r="25866" spans="4:8" x14ac:dyDescent="0.25">
      <c r="D25866" s="28"/>
      <c r="F25866" s="28"/>
      <c r="H25866" s="28"/>
    </row>
    <row r="25867" spans="4:8" x14ac:dyDescent="0.25">
      <c r="D25867" s="28"/>
      <c r="F25867" s="28"/>
      <c r="H25867" s="28"/>
    </row>
    <row r="25868" spans="4:8" x14ac:dyDescent="0.25">
      <c r="D25868" s="28"/>
      <c r="F25868" s="28"/>
      <c r="H25868" s="28"/>
    </row>
    <row r="25869" spans="4:8" x14ac:dyDescent="0.25">
      <c r="D25869" s="28"/>
      <c r="F25869" s="28"/>
      <c r="H25869" s="28"/>
    </row>
    <row r="25870" spans="4:8" x14ac:dyDescent="0.25">
      <c r="D25870" s="28"/>
      <c r="F25870" s="28"/>
      <c r="H25870" s="28"/>
    </row>
    <row r="25871" spans="4:8" x14ac:dyDescent="0.25">
      <c r="D25871" s="28"/>
      <c r="F25871" s="28"/>
      <c r="H25871" s="28"/>
    </row>
    <row r="25872" spans="4:8" x14ac:dyDescent="0.25">
      <c r="D25872" s="28"/>
      <c r="F25872" s="28"/>
      <c r="H25872" s="28"/>
    </row>
    <row r="25873" spans="4:8" x14ac:dyDescent="0.25">
      <c r="D25873" s="28"/>
      <c r="F25873" s="28"/>
      <c r="H25873" s="28"/>
    </row>
    <row r="25874" spans="4:8" x14ac:dyDescent="0.25">
      <c r="D25874" s="28"/>
      <c r="F25874" s="28"/>
      <c r="H25874" s="28"/>
    </row>
    <row r="25875" spans="4:8" x14ac:dyDescent="0.25">
      <c r="D25875" s="28"/>
      <c r="F25875" s="28"/>
      <c r="H25875" s="28"/>
    </row>
    <row r="25876" spans="4:8" x14ac:dyDescent="0.25">
      <c r="D25876" s="28"/>
      <c r="F25876" s="28"/>
      <c r="H25876" s="28"/>
    </row>
    <row r="25877" spans="4:8" x14ac:dyDescent="0.25">
      <c r="D25877" s="28"/>
      <c r="F25877" s="28"/>
      <c r="H25877" s="28"/>
    </row>
    <row r="25878" spans="4:8" x14ac:dyDescent="0.25">
      <c r="D25878" s="28"/>
      <c r="F25878" s="28"/>
      <c r="H25878" s="28"/>
    </row>
    <row r="25879" spans="4:8" x14ac:dyDescent="0.25">
      <c r="D25879" s="28"/>
      <c r="F25879" s="28"/>
      <c r="H25879" s="28"/>
    </row>
    <row r="25880" spans="4:8" x14ac:dyDescent="0.25">
      <c r="D25880" s="28"/>
      <c r="F25880" s="28"/>
      <c r="H25880" s="28"/>
    </row>
    <row r="25881" spans="4:8" x14ac:dyDescent="0.25">
      <c r="D25881" s="28"/>
      <c r="F25881" s="28"/>
      <c r="H25881" s="28"/>
    </row>
    <row r="25882" spans="4:8" x14ac:dyDescent="0.25">
      <c r="D25882" s="28"/>
      <c r="F25882" s="28"/>
      <c r="H25882" s="28"/>
    </row>
    <row r="25883" spans="4:8" x14ac:dyDescent="0.25">
      <c r="D25883" s="28"/>
      <c r="F25883" s="28"/>
      <c r="H25883" s="28"/>
    </row>
    <row r="25884" spans="4:8" x14ac:dyDescent="0.25">
      <c r="D25884" s="28"/>
      <c r="F25884" s="28"/>
      <c r="H25884" s="28"/>
    </row>
    <row r="25885" spans="4:8" x14ac:dyDescent="0.25">
      <c r="D25885" s="28"/>
      <c r="F25885" s="28"/>
      <c r="H25885" s="28"/>
    </row>
    <row r="25886" spans="4:8" x14ac:dyDescent="0.25">
      <c r="D25886" s="28"/>
      <c r="F25886" s="28"/>
      <c r="H25886" s="28"/>
    </row>
    <row r="25887" spans="4:8" x14ac:dyDescent="0.25">
      <c r="D25887" s="28"/>
      <c r="F25887" s="28"/>
      <c r="H25887" s="28"/>
    </row>
    <row r="25888" spans="4:8" x14ac:dyDescent="0.25">
      <c r="D25888" s="28"/>
      <c r="F25888" s="28"/>
      <c r="H25888" s="28"/>
    </row>
    <row r="25889" spans="4:8" x14ac:dyDescent="0.25">
      <c r="D25889" s="28"/>
      <c r="F25889" s="28"/>
      <c r="H25889" s="28"/>
    </row>
    <row r="25890" spans="4:8" x14ac:dyDescent="0.25">
      <c r="D25890" s="28"/>
      <c r="F25890" s="28"/>
      <c r="H25890" s="28"/>
    </row>
    <row r="25891" spans="4:8" x14ac:dyDescent="0.25">
      <c r="D25891" s="28"/>
      <c r="F25891" s="28"/>
      <c r="H25891" s="28"/>
    </row>
    <row r="25892" spans="4:8" x14ac:dyDescent="0.25">
      <c r="D25892" s="28"/>
      <c r="F25892" s="28"/>
      <c r="H25892" s="28"/>
    </row>
    <row r="25893" spans="4:8" x14ac:dyDescent="0.25">
      <c r="D25893" s="28"/>
      <c r="F25893" s="28"/>
      <c r="H25893" s="28"/>
    </row>
    <row r="25894" spans="4:8" x14ac:dyDescent="0.25">
      <c r="D25894" s="28"/>
      <c r="F25894" s="28"/>
      <c r="H25894" s="28"/>
    </row>
    <row r="25895" spans="4:8" x14ac:dyDescent="0.25">
      <c r="D25895" s="28"/>
      <c r="F25895" s="28"/>
      <c r="H25895" s="28"/>
    </row>
    <row r="25896" spans="4:8" x14ac:dyDescent="0.25">
      <c r="D25896" s="28"/>
      <c r="F25896" s="28"/>
      <c r="H25896" s="28"/>
    </row>
    <row r="25897" spans="4:8" x14ac:dyDescent="0.25">
      <c r="D25897" s="28"/>
      <c r="F25897" s="28"/>
      <c r="H25897" s="28"/>
    </row>
    <row r="25898" spans="4:8" x14ac:dyDescent="0.25">
      <c r="D25898" s="28"/>
      <c r="F25898" s="28"/>
      <c r="H25898" s="28"/>
    </row>
    <row r="25899" spans="4:8" x14ac:dyDescent="0.25">
      <c r="D25899" s="28"/>
      <c r="F25899" s="28"/>
      <c r="H25899" s="28"/>
    </row>
    <row r="25900" spans="4:8" x14ac:dyDescent="0.25">
      <c r="D25900" s="28"/>
      <c r="F25900" s="28"/>
      <c r="H25900" s="28"/>
    </row>
    <row r="25901" spans="4:8" x14ac:dyDescent="0.25">
      <c r="D25901" s="28"/>
      <c r="F25901" s="28"/>
      <c r="H25901" s="28"/>
    </row>
    <row r="25902" spans="4:8" x14ac:dyDescent="0.25">
      <c r="D25902" s="28"/>
      <c r="F25902" s="28"/>
      <c r="H25902" s="28"/>
    </row>
    <row r="25903" spans="4:8" x14ac:dyDescent="0.25">
      <c r="D25903" s="28"/>
      <c r="F25903" s="28"/>
      <c r="H25903" s="28"/>
    </row>
    <row r="25904" spans="4:8" x14ac:dyDescent="0.25">
      <c r="D25904" s="28"/>
      <c r="F25904" s="28"/>
      <c r="H25904" s="28"/>
    </row>
    <row r="25905" spans="4:8" x14ac:dyDescent="0.25">
      <c r="D25905" s="28"/>
      <c r="F25905" s="28"/>
      <c r="H25905" s="28"/>
    </row>
    <row r="25906" spans="4:8" x14ac:dyDescent="0.25">
      <c r="D25906" s="28"/>
      <c r="F25906" s="28"/>
      <c r="H25906" s="28"/>
    </row>
    <row r="25907" spans="4:8" x14ac:dyDescent="0.25">
      <c r="D25907" s="28"/>
      <c r="F25907" s="28"/>
      <c r="H25907" s="28"/>
    </row>
    <row r="25908" spans="4:8" x14ac:dyDescent="0.25">
      <c r="D25908" s="28"/>
      <c r="F25908" s="28"/>
      <c r="H25908" s="28"/>
    </row>
    <row r="25909" spans="4:8" x14ac:dyDescent="0.25">
      <c r="D25909" s="28"/>
      <c r="F25909" s="28"/>
      <c r="H25909" s="28"/>
    </row>
    <row r="25910" spans="4:8" x14ac:dyDescent="0.25">
      <c r="D25910" s="28"/>
      <c r="F25910" s="28"/>
      <c r="H25910" s="28"/>
    </row>
    <row r="25911" spans="4:8" x14ac:dyDescent="0.25">
      <c r="D25911" s="28"/>
      <c r="F25911" s="28"/>
      <c r="H25911" s="28"/>
    </row>
    <row r="25912" spans="4:8" x14ac:dyDescent="0.25">
      <c r="D25912" s="28"/>
      <c r="F25912" s="28"/>
      <c r="H25912" s="28"/>
    </row>
    <row r="25913" spans="4:8" x14ac:dyDescent="0.25">
      <c r="D25913" s="28"/>
      <c r="F25913" s="28"/>
      <c r="H25913" s="28"/>
    </row>
    <row r="25914" spans="4:8" x14ac:dyDescent="0.25">
      <c r="D25914" s="28"/>
      <c r="F25914" s="28"/>
      <c r="H25914" s="28"/>
    </row>
    <row r="25915" spans="4:8" x14ac:dyDescent="0.25">
      <c r="D25915" s="28"/>
      <c r="F25915" s="28"/>
      <c r="H25915" s="28"/>
    </row>
    <row r="25916" spans="4:8" x14ac:dyDescent="0.25">
      <c r="D25916" s="28"/>
      <c r="F25916" s="28"/>
      <c r="H25916" s="28"/>
    </row>
    <row r="25917" spans="4:8" x14ac:dyDescent="0.25">
      <c r="D25917" s="28"/>
      <c r="F25917" s="28"/>
      <c r="H25917" s="28"/>
    </row>
    <row r="25918" spans="4:8" x14ac:dyDescent="0.25">
      <c r="D25918" s="28"/>
      <c r="F25918" s="28"/>
      <c r="H25918" s="28"/>
    </row>
    <row r="25919" spans="4:8" x14ac:dyDescent="0.25">
      <c r="D25919" s="28"/>
      <c r="F25919" s="28"/>
      <c r="H25919" s="28"/>
    </row>
    <row r="25920" spans="4:8" x14ac:dyDescent="0.25">
      <c r="D25920" s="28"/>
      <c r="F25920" s="28"/>
      <c r="H25920" s="28"/>
    </row>
    <row r="25921" spans="4:8" x14ac:dyDescent="0.25">
      <c r="D25921" s="28"/>
      <c r="F25921" s="28"/>
      <c r="H25921" s="28"/>
    </row>
    <row r="25922" spans="4:8" x14ac:dyDescent="0.25">
      <c r="D25922" s="28"/>
      <c r="F25922" s="28"/>
      <c r="H25922" s="28"/>
    </row>
    <row r="25923" spans="4:8" x14ac:dyDescent="0.25">
      <c r="D25923" s="28"/>
      <c r="F25923" s="28"/>
      <c r="H25923" s="28"/>
    </row>
    <row r="25924" spans="4:8" x14ac:dyDescent="0.25">
      <c r="D25924" s="28"/>
      <c r="F25924" s="28"/>
      <c r="H25924" s="28"/>
    </row>
    <row r="25925" spans="4:8" x14ac:dyDescent="0.25">
      <c r="D25925" s="28"/>
      <c r="F25925" s="28"/>
      <c r="H25925" s="28"/>
    </row>
    <row r="25926" spans="4:8" x14ac:dyDescent="0.25">
      <c r="D25926" s="28"/>
      <c r="F25926" s="28"/>
      <c r="H25926" s="28"/>
    </row>
    <row r="25927" spans="4:8" x14ac:dyDescent="0.25">
      <c r="D25927" s="28"/>
      <c r="F25927" s="28"/>
      <c r="H25927" s="28"/>
    </row>
    <row r="25928" spans="4:8" x14ac:dyDescent="0.25">
      <c r="D25928" s="28"/>
      <c r="F25928" s="28"/>
      <c r="H25928" s="28"/>
    </row>
    <row r="25929" spans="4:8" x14ac:dyDescent="0.25">
      <c r="D25929" s="28"/>
      <c r="F25929" s="28"/>
      <c r="H25929" s="28"/>
    </row>
    <row r="25930" spans="4:8" x14ac:dyDescent="0.25">
      <c r="D25930" s="28"/>
      <c r="F25930" s="28"/>
      <c r="H25930" s="28"/>
    </row>
    <row r="25931" spans="4:8" x14ac:dyDescent="0.25">
      <c r="D25931" s="28"/>
      <c r="F25931" s="28"/>
      <c r="H25931" s="28"/>
    </row>
    <row r="25932" spans="4:8" x14ac:dyDescent="0.25">
      <c r="D25932" s="28"/>
      <c r="F25932" s="28"/>
      <c r="H25932" s="28"/>
    </row>
    <row r="25933" spans="4:8" x14ac:dyDescent="0.25">
      <c r="D25933" s="28"/>
      <c r="F25933" s="28"/>
      <c r="H25933" s="28"/>
    </row>
    <row r="25934" spans="4:8" x14ac:dyDescent="0.25">
      <c r="D25934" s="28"/>
      <c r="F25934" s="28"/>
      <c r="H25934" s="28"/>
    </row>
    <row r="25935" spans="4:8" x14ac:dyDescent="0.25">
      <c r="D25935" s="28"/>
      <c r="F25935" s="28"/>
      <c r="H25935" s="28"/>
    </row>
    <row r="25936" spans="4:8" x14ac:dyDescent="0.25">
      <c r="D25936" s="28"/>
      <c r="F25936" s="28"/>
      <c r="H25936" s="28"/>
    </row>
    <row r="25937" spans="4:8" x14ac:dyDescent="0.25">
      <c r="D25937" s="28"/>
      <c r="F25937" s="28"/>
      <c r="H25937" s="28"/>
    </row>
    <row r="25938" spans="4:8" x14ac:dyDescent="0.25">
      <c r="D25938" s="28"/>
      <c r="F25938" s="28"/>
      <c r="H25938" s="28"/>
    </row>
    <row r="25939" spans="4:8" x14ac:dyDescent="0.25">
      <c r="D25939" s="28"/>
      <c r="F25939" s="28"/>
      <c r="H25939" s="28"/>
    </row>
    <row r="25940" spans="4:8" x14ac:dyDescent="0.25">
      <c r="D25940" s="28"/>
      <c r="F25940" s="28"/>
      <c r="H25940" s="28"/>
    </row>
    <row r="25941" spans="4:8" x14ac:dyDescent="0.25">
      <c r="D25941" s="28"/>
      <c r="F25941" s="28"/>
      <c r="H25941" s="28"/>
    </row>
    <row r="25942" spans="4:8" x14ac:dyDescent="0.25">
      <c r="D25942" s="28"/>
      <c r="F25942" s="28"/>
      <c r="H25942" s="28"/>
    </row>
    <row r="25943" spans="4:8" x14ac:dyDescent="0.25">
      <c r="D25943" s="28"/>
      <c r="F25943" s="28"/>
      <c r="H25943" s="28"/>
    </row>
    <row r="25944" spans="4:8" x14ac:dyDescent="0.25">
      <c r="D25944" s="28"/>
      <c r="F25944" s="28"/>
      <c r="H25944" s="28"/>
    </row>
    <row r="25945" spans="4:8" x14ac:dyDescent="0.25">
      <c r="D25945" s="28"/>
      <c r="F25945" s="28"/>
      <c r="H25945" s="28"/>
    </row>
    <row r="25946" spans="4:8" x14ac:dyDescent="0.25">
      <c r="D25946" s="28"/>
      <c r="F25946" s="28"/>
      <c r="H25946" s="28"/>
    </row>
    <row r="25947" spans="4:8" x14ac:dyDescent="0.25">
      <c r="D25947" s="28"/>
      <c r="F25947" s="28"/>
      <c r="H25947" s="28"/>
    </row>
    <row r="25948" spans="4:8" x14ac:dyDescent="0.25">
      <c r="D25948" s="28"/>
      <c r="F25948" s="28"/>
      <c r="H25948" s="28"/>
    </row>
    <row r="25949" spans="4:8" x14ac:dyDescent="0.25">
      <c r="D25949" s="28"/>
      <c r="F25949" s="28"/>
      <c r="H25949" s="28"/>
    </row>
    <row r="25950" spans="4:8" x14ac:dyDescent="0.25">
      <c r="D25950" s="28"/>
      <c r="F25950" s="28"/>
      <c r="H25950" s="28"/>
    </row>
    <row r="25951" spans="4:8" x14ac:dyDescent="0.25">
      <c r="D25951" s="28"/>
      <c r="F25951" s="28"/>
      <c r="H25951" s="28"/>
    </row>
    <row r="25952" spans="4:8" x14ac:dyDescent="0.25">
      <c r="D25952" s="28"/>
      <c r="F25952" s="28"/>
      <c r="H25952" s="28"/>
    </row>
    <row r="25953" spans="4:8" x14ac:dyDescent="0.25">
      <c r="D25953" s="28"/>
      <c r="F25953" s="28"/>
      <c r="H25953" s="28"/>
    </row>
    <row r="25954" spans="4:8" x14ac:dyDescent="0.25">
      <c r="D25954" s="28"/>
      <c r="F25954" s="28"/>
      <c r="H25954" s="28"/>
    </row>
    <row r="25955" spans="4:8" x14ac:dyDescent="0.25">
      <c r="D25955" s="28"/>
      <c r="F25955" s="28"/>
      <c r="H25955" s="28"/>
    </row>
    <row r="25956" spans="4:8" x14ac:dyDescent="0.25">
      <c r="D25956" s="28"/>
      <c r="F25956" s="28"/>
      <c r="H25956" s="28"/>
    </row>
    <row r="25957" spans="4:8" x14ac:dyDescent="0.25">
      <c r="D25957" s="28"/>
      <c r="F25957" s="28"/>
      <c r="H25957" s="28"/>
    </row>
    <row r="25958" spans="4:8" x14ac:dyDescent="0.25">
      <c r="D25958" s="28"/>
      <c r="F25958" s="28"/>
      <c r="H25958" s="28"/>
    </row>
    <row r="25959" spans="4:8" x14ac:dyDescent="0.25">
      <c r="D25959" s="28"/>
      <c r="F25959" s="28"/>
      <c r="H25959" s="28"/>
    </row>
    <row r="25960" spans="4:8" x14ac:dyDescent="0.25">
      <c r="D25960" s="28"/>
      <c r="F25960" s="28"/>
      <c r="H25960" s="28"/>
    </row>
    <row r="25961" spans="4:8" x14ac:dyDescent="0.25">
      <c r="D25961" s="28"/>
      <c r="F25961" s="28"/>
      <c r="H25961" s="28"/>
    </row>
    <row r="25962" spans="4:8" x14ac:dyDescent="0.25">
      <c r="D25962" s="28"/>
      <c r="F25962" s="28"/>
      <c r="H25962" s="28"/>
    </row>
    <row r="25963" spans="4:8" x14ac:dyDescent="0.25">
      <c r="D25963" s="28"/>
      <c r="F25963" s="28"/>
      <c r="H25963" s="28"/>
    </row>
    <row r="25964" spans="4:8" x14ac:dyDescent="0.25">
      <c r="D25964" s="28"/>
      <c r="F25964" s="28"/>
      <c r="H25964" s="28"/>
    </row>
    <row r="25965" spans="4:8" x14ac:dyDescent="0.25">
      <c r="D25965" s="28"/>
      <c r="F25965" s="28"/>
      <c r="H25965" s="28"/>
    </row>
    <row r="25966" spans="4:8" x14ac:dyDescent="0.25">
      <c r="D25966" s="28"/>
      <c r="F25966" s="28"/>
      <c r="H25966" s="28"/>
    </row>
    <row r="25967" spans="4:8" x14ac:dyDescent="0.25">
      <c r="D25967" s="28"/>
      <c r="F25967" s="28"/>
      <c r="H25967" s="28"/>
    </row>
    <row r="25968" spans="4:8" x14ac:dyDescent="0.25">
      <c r="D25968" s="28"/>
      <c r="F25968" s="28"/>
      <c r="H25968" s="28"/>
    </row>
    <row r="25969" spans="4:8" x14ac:dyDescent="0.25">
      <c r="D25969" s="28"/>
      <c r="F25969" s="28"/>
      <c r="H25969" s="28"/>
    </row>
    <row r="25970" spans="4:8" x14ac:dyDescent="0.25">
      <c r="D25970" s="28"/>
      <c r="F25970" s="28"/>
      <c r="H25970" s="28"/>
    </row>
    <row r="25971" spans="4:8" x14ac:dyDescent="0.25">
      <c r="D25971" s="28"/>
      <c r="F25971" s="28"/>
      <c r="H25971" s="28"/>
    </row>
    <row r="25972" spans="4:8" x14ac:dyDescent="0.25">
      <c r="D25972" s="28"/>
      <c r="F25972" s="28"/>
      <c r="H25972" s="28"/>
    </row>
    <row r="25973" spans="4:8" x14ac:dyDescent="0.25">
      <c r="D25973" s="28"/>
      <c r="F25973" s="28"/>
      <c r="H25973" s="28"/>
    </row>
    <row r="25974" spans="4:8" x14ac:dyDescent="0.25">
      <c r="D25974" s="28"/>
      <c r="F25974" s="28"/>
      <c r="H25974" s="28"/>
    </row>
    <row r="25975" spans="4:8" x14ac:dyDescent="0.25">
      <c r="D25975" s="28"/>
      <c r="F25975" s="28"/>
      <c r="H25975" s="28"/>
    </row>
    <row r="25976" spans="4:8" x14ac:dyDescent="0.25">
      <c r="D25976" s="28"/>
      <c r="F25976" s="28"/>
      <c r="H25976" s="28"/>
    </row>
    <row r="25977" spans="4:8" x14ac:dyDescent="0.25">
      <c r="D25977" s="28"/>
      <c r="F25977" s="28"/>
      <c r="H25977" s="28"/>
    </row>
    <row r="25978" spans="4:8" x14ac:dyDescent="0.25">
      <c r="D25978" s="28"/>
      <c r="F25978" s="28"/>
      <c r="H25978" s="28"/>
    </row>
    <row r="25979" spans="4:8" x14ac:dyDescent="0.25">
      <c r="D25979" s="28"/>
      <c r="F25979" s="28"/>
      <c r="H25979" s="28"/>
    </row>
    <row r="25980" spans="4:8" x14ac:dyDescent="0.25">
      <c r="D25980" s="28"/>
      <c r="F25980" s="28"/>
      <c r="H25980" s="28"/>
    </row>
    <row r="25981" spans="4:8" x14ac:dyDescent="0.25">
      <c r="D25981" s="28"/>
      <c r="F25981" s="28"/>
      <c r="H25981" s="28"/>
    </row>
    <row r="25982" spans="4:8" x14ac:dyDescent="0.25">
      <c r="D25982" s="28"/>
      <c r="F25982" s="28"/>
      <c r="H25982" s="28"/>
    </row>
    <row r="25983" spans="4:8" x14ac:dyDescent="0.25">
      <c r="D25983" s="28"/>
      <c r="F25983" s="28"/>
      <c r="H25983" s="28"/>
    </row>
    <row r="25984" spans="4:8" x14ac:dyDescent="0.25">
      <c r="D25984" s="28"/>
      <c r="F25984" s="28"/>
      <c r="H25984" s="28"/>
    </row>
    <row r="25985" spans="4:8" x14ac:dyDescent="0.25">
      <c r="D25985" s="28"/>
      <c r="F25985" s="28"/>
      <c r="H25985" s="28"/>
    </row>
    <row r="25986" spans="4:8" x14ac:dyDescent="0.25">
      <c r="D25986" s="28"/>
      <c r="F25986" s="28"/>
      <c r="H25986" s="28"/>
    </row>
    <row r="25987" spans="4:8" x14ac:dyDescent="0.25">
      <c r="D25987" s="28"/>
      <c r="F25987" s="28"/>
      <c r="H25987" s="28"/>
    </row>
    <row r="25988" spans="4:8" x14ac:dyDescent="0.25">
      <c r="D25988" s="28"/>
      <c r="F25988" s="28"/>
      <c r="H25988" s="28"/>
    </row>
    <row r="25989" spans="4:8" x14ac:dyDescent="0.25">
      <c r="D25989" s="28"/>
      <c r="F25989" s="28"/>
      <c r="H25989" s="28"/>
    </row>
    <row r="25990" spans="4:8" x14ac:dyDescent="0.25">
      <c r="D25990" s="28"/>
      <c r="F25990" s="28"/>
      <c r="H25990" s="28"/>
    </row>
    <row r="25991" spans="4:8" x14ac:dyDescent="0.25">
      <c r="D25991" s="28"/>
      <c r="F25991" s="28"/>
      <c r="H25991" s="28"/>
    </row>
    <row r="25992" spans="4:8" x14ac:dyDescent="0.25">
      <c r="D25992" s="28"/>
      <c r="F25992" s="28"/>
      <c r="H25992" s="28"/>
    </row>
    <row r="25993" spans="4:8" x14ac:dyDescent="0.25">
      <c r="D25993" s="28"/>
      <c r="F25993" s="28"/>
      <c r="H25993" s="28"/>
    </row>
    <row r="25994" spans="4:8" x14ac:dyDescent="0.25">
      <c r="D25994" s="28"/>
      <c r="F25994" s="28"/>
      <c r="H25994" s="28"/>
    </row>
    <row r="25995" spans="4:8" x14ac:dyDescent="0.25">
      <c r="D25995" s="28"/>
      <c r="F25995" s="28"/>
      <c r="H25995" s="28"/>
    </row>
    <row r="25996" spans="4:8" x14ac:dyDescent="0.25">
      <c r="D25996" s="28"/>
      <c r="F25996" s="28"/>
      <c r="H25996" s="28"/>
    </row>
    <row r="25997" spans="4:8" x14ac:dyDescent="0.25">
      <c r="D25997" s="28"/>
      <c r="F25997" s="28"/>
      <c r="H25997" s="28"/>
    </row>
    <row r="25998" spans="4:8" x14ac:dyDescent="0.25">
      <c r="D25998" s="28"/>
      <c r="F25998" s="28"/>
      <c r="H25998" s="28"/>
    </row>
    <row r="25999" spans="4:8" x14ac:dyDescent="0.25">
      <c r="D25999" s="28"/>
      <c r="F25999" s="28"/>
      <c r="H25999" s="28"/>
    </row>
    <row r="26000" spans="4:8" x14ac:dyDescent="0.25">
      <c r="D26000" s="28"/>
      <c r="F26000" s="28"/>
      <c r="H26000" s="28"/>
    </row>
    <row r="26001" spans="4:8" x14ac:dyDescent="0.25">
      <c r="D26001" s="28"/>
      <c r="F26001" s="28"/>
      <c r="H26001" s="28"/>
    </row>
    <row r="26002" spans="4:8" x14ac:dyDescent="0.25">
      <c r="D26002" s="28"/>
      <c r="F26002" s="28"/>
      <c r="H26002" s="28"/>
    </row>
    <row r="26003" spans="4:8" x14ac:dyDescent="0.25">
      <c r="D26003" s="28"/>
      <c r="F26003" s="28"/>
      <c r="H26003" s="28"/>
    </row>
    <row r="26004" spans="4:8" x14ac:dyDescent="0.25">
      <c r="D26004" s="28"/>
      <c r="F26004" s="28"/>
      <c r="H26004" s="28"/>
    </row>
    <row r="26005" spans="4:8" x14ac:dyDescent="0.25">
      <c r="D26005" s="28"/>
      <c r="F26005" s="28"/>
      <c r="H26005" s="28"/>
    </row>
    <row r="26006" spans="4:8" x14ac:dyDescent="0.25">
      <c r="D26006" s="28"/>
      <c r="F26006" s="28"/>
      <c r="H26006" s="28"/>
    </row>
    <row r="26007" spans="4:8" x14ac:dyDescent="0.25">
      <c r="D26007" s="28"/>
      <c r="F26007" s="28"/>
      <c r="H26007" s="28"/>
    </row>
    <row r="26008" spans="4:8" x14ac:dyDescent="0.25">
      <c r="D26008" s="28"/>
      <c r="F26008" s="28"/>
      <c r="H26008" s="28"/>
    </row>
    <row r="26009" spans="4:8" x14ac:dyDescent="0.25">
      <c r="D26009" s="28"/>
      <c r="F26009" s="28"/>
      <c r="H26009" s="28"/>
    </row>
    <row r="26010" spans="4:8" x14ac:dyDescent="0.25">
      <c r="D26010" s="28"/>
      <c r="F26010" s="28"/>
      <c r="H26010" s="28"/>
    </row>
    <row r="26011" spans="4:8" x14ac:dyDescent="0.25">
      <c r="D26011" s="28"/>
      <c r="F26011" s="28"/>
      <c r="H26011" s="28"/>
    </row>
    <row r="26012" spans="4:8" x14ac:dyDescent="0.25">
      <c r="D26012" s="28"/>
      <c r="F26012" s="28"/>
      <c r="H26012" s="28"/>
    </row>
    <row r="26013" spans="4:8" x14ac:dyDescent="0.25">
      <c r="D26013" s="28"/>
      <c r="F26013" s="28"/>
      <c r="H26013" s="28"/>
    </row>
    <row r="26014" spans="4:8" x14ac:dyDescent="0.25">
      <c r="D26014" s="28"/>
      <c r="F26014" s="28"/>
      <c r="H26014" s="28"/>
    </row>
    <row r="26015" spans="4:8" x14ac:dyDescent="0.25">
      <c r="D26015" s="28"/>
      <c r="F26015" s="28"/>
      <c r="H26015" s="28"/>
    </row>
    <row r="26016" spans="4:8" x14ac:dyDescent="0.25">
      <c r="D26016" s="28"/>
      <c r="F26016" s="28"/>
      <c r="H26016" s="28"/>
    </row>
    <row r="26017" spans="4:8" x14ac:dyDescent="0.25">
      <c r="D26017" s="28"/>
      <c r="F26017" s="28"/>
      <c r="H26017" s="28"/>
    </row>
    <row r="26018" spans="4:8" x14ac:dyDescent="0.25">
      <c r="D26018" s="28"/>
      <c r="F26018" s="28"/>
      <c r="H26018" s="28"/>
    </row>
    <row r="26019" spans="4:8" x14ac:dyDescent="0.25">
      <c r="D26019" s="28"/>
      <c r="F26019" s="28"/>
      <c r="H26019" s="28"/>
    </row>
    <row r="26020" spans="4:8" x14ac:dyDescent="0.25">
      <c r="D26020" s="28"/>
      <c r="F26020" s="28"/>
      <c r="H26020" s="28"/>
    </row>
    <row r="26021" spans="4:8" x14ac:dyDescent="0.25">
      <c r="D26021" s="28"/>
      <c r="F26021" s="28"/>
      <c r="H26021" s="28"/>
    </row>
    <row r="26022" spans="4:8" x14ac:dyDescent="0.25">
      <c r="D26022" s="28"/>
      <c r="F26022" s="28"/>
      <c r="H26022" s="28"/>
    </row>
    <row r="26023" spans="4:8" x14ac:dyDescent="0.25">
      <c r="D26023" s="28"/>
      <c r="F26023" s="28"/>
      <c r="H26023" s="28"/>
    </row>
    <row r="26024" spans="4:8" x14ac:dyDescent="0.25">
      <c r="D26024" s="28"/>
      <c r="F26024" s="28"/>
      <c r="H26024" s="28"/>
    </row>
    <row r="26025" spans="4:8" x14ac:dyDescent="0.25">
      <c r="D26025" s="28"/>
      <c r="F26025" s="28"/>
      <c r="H26025" s="28"/>
    </row>
    <row r="26026" spans="4:8" x14ac:dyDescent="0.25">
      <c r="D26026" s="28"/>
      <c r="F26026" s="28"/>
      <c r="H26026" s="28"/>
    </row>
    <row r="26027" spans="4:8" x14ac:dyDescent="0.25">
      <c r="D26027" s="28"/>
      <c r="F26027" s="28"/>
      <c r="H26027" s="28"/>
    </row>
    <row r="26028" spans="4:8" x14ac:dyDescent="0.25">
      <c r="D26028" s="28"/>
      <c r="F26028" s="28"/>
      <c r="H26028" s="28"/>
    </row>
    <row r="26029" spans="4:8" x14ac:dyDescent="0.25">
      <c r="D26029" s="28"/>
      <c r="F26029" s="28"/>
      <c r="H26029" s="28"/>
    </row>
    <row r="26030" spans="4:8" x14ac:dyDescent="0.25">
      <c r="D26030" s="28"/>
      <c r="F26030" s="28"/>
      <c r="H26030" s="28"/>
    </row>
    <row r="26031" spans="4:8" x14ac:dyDescent="0.25">
      <c r="D26031" s="28"/>
      <c r="F26031" s="28"/>
      <c r="H26031" s="28"/>
    </row>
    <row r="26032" spans="4:8" x14ac:dyDescent="0.25">
      <c r="D26032" s="28"/>
      <c r="F26032" s="28"/>
      <c r="H26032" s="28"/>
    </row>
    <row r="26033" spans="4:8" x14ac:dyDescent="0.25">
      <c r="D26033" s="28"/>
      <c r="F26033" s="28"/>
      <c r="H26033" s="28"/>
    </row>
    <row r="26034" spans="4:8" x14ac:dyDescent="0.25">
      <c r="D26034" s="28"/>
      <c r="F26034" s="28"/>
      <c r="H26034" s="28"/>
    </row>
    <row r="26035" spans="4:8" x14ac:dyDescent="0.25">
      <c r="D26035" s="28"/>
      <c r="F26035" s="28"/>
      <c r="H26035" s="28"/>
    </row>
    <row r="26036" spans="4:8" x14ac:dyDescent="0.25">
      <c r="D26036" s="28"/>
      <c r="F26036" s="28"/>
      <c r="H26036" s="28"/>
    </row>
    <row r="26037" spans="4:8" x14ac:dyDescent="0.25">
      <c r="D26037" s="28"/>
      <c r="F26037" s="28"/>
      <c r="H26037" s="28"/>
    </row>
    <row r="26038" spans="4:8" x14ac:dyDescent="0.25">
      <c r="D26038" s="28"/>
      <c r="F26038" s="28"/>
      <c r="H26038" s="28"/>
    </row>
    <row r="26039" spans="4:8" x14ac:dyDescent="0.25">
      <c r="D26039" s="28"/>
      <c r="F26039" s="28"/>
      <c r="H26039" s="28"/>
    </row>
    <row r="26040" spans="4:8" x14ac:dyDescent="0.25">
      <c r="D26040" s="28"/>
      <c r="F26040" s="28"/>
      <c r="H26040" s="28"/>
    </row>
    <row r="26041" spans="4:8" x14ac:dyDescent="0.25">
      <c r="D26041" s="28"/>
      <c r="F26041" s="28"/>
      <c r="H26041" s="28"/>
    </row>
    <row r="26042" spans="4:8" x14ac:dyDescent="0.25">
      <c r="D26042" s="28"/>
      <c r="F26042" s="28"/>
      <c r="H26042" s="28"/>
    </row>
    <row r="26043" spans="4:8" x14ac:dyDescent="0.25">
      <c r="D26043" s="28"/>
      <c r="F26043" s="28"/>
      <c r="H26043" s="28"/>
    </row>
    <row r="26044" spans="4:8" x14ac:dyDescent="0.25">
      <c r="D26044" s="28"/>
      <c r="F26044" s="28"/>
      <c r="H26044" s="28"/>
    </row>
    <row r="26045" spans="4:8" x14ac:dyDescent="0.25">
      <c r="D26045" s="28"/>
      <c r="F26045" s="28"/>
      <c r="H26045" s="28"/>
    </row>
    <row r="26046" spans="4:8" x14ac:dyDescent="0.25">
      <c r="D26046" s="28"/>
      <c r="F26046" s="28"/>
      <c r="H26046" s="28"/>
    </row>
    <row r="26047" spans="4:8" x14ac:dyDescent="0.25">
      <c r="D26047" s="28"/>
      <c r="F26047" s="28"/>
      <c r="H26047" s="28"/>
    </row>
    <row r="26048" spans="4:8" x14ac:dyDescent="0.25">
      <c r="D26048" s="28"/>
      <c r="F26048" s="28"/>
      <c r="H26048" s="28"/>
    </row>
    <row r="26049" spans="4:8" x14ac:dyDescent="0.25">
      <c r="D26049" s="28"/>
      <c r="F26049" s="28"/>
      <c r="H26049" s="28"/>
    </row>
    <row r="26050" spans="4:8" x14ac:dyDescent="0.25">
      <c r="D26050" s="28"/>
      <c r="F26050" s="28"/>
      <c r="H26050" s="28"/>
    </row>
    <row r="26051" spans="4:8" x14ac:dyDescent="0.25">
      <c r="D26051" s="28"/>
      <c r="F26051" s="28"/>
      <c r="H26051" s="28"/>
    </row>
    <row r="26052" spans="4:8" x14ac:dyDescent="0.25">
      <c r="D26052" s="28"/>
      <c r="F26052" s="28"/>
      <c r="H26052" s="28"/>
    </row>
    <row r="26053" spans="4:8" x14ac:dyDescent="0.25">
      <c r="D26053" s="28"/>
      <c r="F26053" s="28"/>
      <c r="H26053" s="28"/>
    </row>
    <row r="26054" spans="4:8" x14ac:dyDescent="0.25">
      <c r="D26054" s="28"/>
      <c r="F26054" s="28"/>
      <c r="H26054" s="28"/>
    </row>
    <row r="26055" spans="4:8" x14ac:dyDescent="0.25">
      <c r="D26055" s="28"/>
      <c r="F26055" s="28"/>
      <c r="H26055" s="28"/>
    </row>
    <row r="26056" spans="4:8" x14ac:dyDescent="0.25">
      <c r="D26056" s="28"/>
      <c r="F26056" s="28"/>
      <c r="H26056" s="28"/>
    </row>
    <row r="26057" spans="4:8" x14ac:dyDescent="0.25">
      <c r="D26057" s="28"/>
      <c r="F26057" s="28"/>
      <c r="H26057" s="28"/>
    </row>
    <row r="26058" spans="4:8" x14ac:dyDescent="0.25">
      <c r="D26058" s="28"/>
      <c r="F26058" s="28"/>
      <c r="H26058" s="28"/>
    </row>
    <row r="26059" spans="4:8" x14ac:dyDescent="0.25">
      <c r="D26059" s="28"/>
      <c r="F26059" s="28"/>
      <c r="H26059" s="28"/>
    </row>
    <row r="26060" spans="4:8" x14ac:dyDescent="0.25">
      <c r="D26060" s="28"/>
      <c r="F26060" s="28"/>
      <c r="H26060" s="28"/>
    </row>
    <row r="26061" spans="4:8" x14ac:dyDescent="0.25">
      <c r="D26061" s="28"/>
      <c r="F26061" s="28"/>
      <c r="H26061" s="28"/>
    </row>
    <row r="26062" spans="4:8" x14ac:dyDescent="0.25">
      <c r="D26062" s="28"/>
      <c r="F26062" s="28"/>
      <c r="H26062" s="28"/>
    </row>
    <row r="26063" spans="4:8" x14ac:dyDescent="0.25">
      <c r="D26063" s="28"/>
      <c r="F26063" s="28"/>
      <c r="H26063" s="28"/>
    </row>
    <row r="26064" spans="4:8" x14ac:dyDescent="0.25">
      <c r="D26064" s="28"/>
      <c r="F26064" s="28"/>
      <c r="H26064" s="28"/>
    </row>
    <row r="26065" spans="4:8" x14ac:dyDescent="0.25">
      <c r="D26065" s="28"/>
      <c r="F26065" s="28"/>
      <c r="H26065" s="28"/>
    </row>
    <row r="26066" spans="4:8" x14ac:dyDescent="0.25">
      <c r="D26066" s="28"/>
      <c r="F26066" s="28"/>
      <c r="H26066" s="28"/>
    </row>
    <row r="26067" spans="4:8" x14ac:dyDescent="0.25">
      <c r="D26067" s="28"/>
      <c r="F26067" s="28"/>
      <c r="H26067" s="28"/>
    </row>
    <row r="26068" spans="4:8" x14ac:dyDescent="0.25">
      <c r="D26068" s="28"/>
      <c r="F26068" s="28"/>
      <c r="H26068" s="28"/>
    </row>
    <row r="26069" spans="4:8" x14ac:dyDescent="0.25">
      <c r="D26069" s="28"/>
      <c r="F26069" s="28"/>
      <c r="H26069" s="28"/>
    </row>
    <row r="26070" spans="4:8" x14ac:dyDescent="0.25">
      <c r="D26070" s="28"/>
      <c r="F26070" s="28"/>
      <c r="H26070" s="28"/>
    </row>
    <row r="26071" spans="4:8" x14ac:dyDescent="0.25">
      <c r="D26071" s="28"/>
      <c r="F26071" s="28"/>
      <c r="H26071" s="28"/>
    </row>
    <row r="26072" spans="4:8" x14ac:dyDescent="0.25">
      <c r="D26072" s="28"/>
      <c r="F26072" s="28"/>
      <c r="H26072" s="28"/>
    </row>
    <row r="26073" spans="4:8" x14ac:dyDescent="0.25">
      <c r="D26073" s="28"/>
      <c r="F26073" s="28"/>
      <c r="H26073" s="28"/>
    </row>
    <row r="26074" spans="4:8" x14ac:dyDescent="0.25">
      <c r="D26074" s="28"/>
      <c r="F26074" s="28"/>
      <c r="H26074" s="28"/>
    </row>
    <row r="26075" spans="4:8" x14ac:dyDescent="0.25">
      <c r="D26075" s="28"/>
      <c r="F26075" s="28"/>
      <c r="H26075" s="28"/>
    </row>
    <row r="26076" spans="4:8" x14ac:dyDescent="0.25">
      <c r="D26076" s="28"/>
      <c r="F26076" s="28"/>
      <c r="H26076" s="28"/>
    </row>
    <row r="26077" spans="4:8" x14ac:dyDescent="0.25">
      <c r="D26077" s="28"/>
      <c r="F26077" s="28"/>
      <c r="H26077" s="28"/>
    </row>
    <row r="26078" spans="4:8" x14ac:dyDescent="0.25">
      <c r="D26078" s="28"/>
      <c r="F26078" s="28"/>
      <c r="H26078" s="28"/>
    </row>
    <row r="26079" spans="4:8" x14ac:dyDescent="0.25">
      <c r="D26079" s="28"/>
      <c r="F26079" s="28"/>
      <c r="H26079" s="28"/>
    </row>
    <row r="26080" spans="4:8" x14ac:dyDescent="0.25">
      <c r="D26080" s="28"/>
      <c r="F26080" s="28"/>
      <c r="H26080" s="28"/>
    </row>
    <row r="26081" spans="4:8" x14ac:dyDescent="0.25">
      <c r="D26081" s="28"/>
      <c r="F26081" s="28"/>
      <c r="H26081" s="28"/>
    </row>
    <row r="26082" spans="4:8" x14ac:dyDescent="0.25">
      <c r="D26082" s="28"/>
      <c r="F26082" s="28"/>
      <c r="H26082" s="28"/>
    </row>
    <row r="26083" spans="4:8" x14ac:dyDescent="0.25">
      <c r="D26083" s="28"/>
      <c r="F26083" s="28"/>
      <c r="H26083" s="28"/>
    </row>
    <row r="26084" spans="4:8" x14ac:dyDescent="0.25">
      <c r="D26084" s="28"/>
      <c r="F26084" s="28"/>
      <c r="H26084" s="28"/>
    </row>
    <row r="26085" spans="4:8" x14ac:dyDescent="0.25">
      <c r="D26085" s="28"/>
      <c r="F26085" s="28"/>
      <c r="H26085" s="28"/>
    </row>
    <row r="26086" spans="4:8" x14ac:dyDescent="0.25">
      <c r="D26086" s="28"/>
      <c r="F26086" s="28"/>
      <c r="H26086" s="28"/>
    </row>
    <row r="26087" spans="4:8" x14ac:dyDescent="0.25">
      <c r="D26087" s="28"/>
      <c r="F26087" s="28"/>
      <c r="H26087" s="28"/>
    </row>
    <row r="26088" spans="4:8" x14ac:dyDescent="0.25">
      <c r="D26088" s="28"/>
      <c r="F26088" s="28"/>
      <c r="H26088" s="28"/>
    </row>
    <row r="26089" spans="4:8" x14ac:dyDescent="0.25">
      <c r="D26089" s="28"/>
      <c r="F26089" s="28"/>
      <c r="H26089" s="28"/>
    </row>
    <row r="26090" spans="4:8" x14ac:dyDescent="0.25">
      <c r="D26090" s="28"/>
      <c r="F26090" s="28"/>
      <c r="H26090" s="28"/>
    </row>
    <row r="26091" spans="4:8" x14ac:dyDescent="0.25">
      <c r="D26091" s="28"/>
      <c r="F26091" s="28"/>
      <c r="H26091" s="28"/>
    </row>
    <row r="26092" spans="4:8" x14ac:dyDescent="0.25">
      <c r="D26092" s="28"/>
      <c r="F26092" s="28"/>
      <c r="H26092" s="28"/>
    </row>
    <row r="26093" spans="4:8" x14ac:dyDescent="0.25">
      <c r="D26093" s="28"/>
      <c r="F26093" s="28"/>
      <c r="H26093" s="28"/>
    </row>
    <row r="26094" spans="4:8" x14ac:dyDescent="0.25">
      <c r="D26094" s="28"/>
      <c r="F26094" s="28"/>
      <c r="H26094" s="28"/>
    </row>
    <row r="26095" spans="4:8" x14ac:dyDescent="0.25">
      <c r="D26095" s="28"/>
      <c r="F26095" s="28"/>
      <c r="H26095" s="28"/>
    </row>
    <row r="26096" spans="4:8" x14ac:dyDescent="0.25">
      <c r="D26096" s="28"/>
      <c r="F26096" s="28"/>
      <c r="H26096" s="28"/>
    </row>
    <row r="26097" spans="4:8" x14ac:dyDescent="0.25">
      <c r="D26097" s="28"/>
      <c r="F26097" s="28"/>
      <c r="H26097" s="28"/>
    </row>
    <row r="26098" spans="4:8" x14ac:dyDescent="0.25">
      <c r="D26098" s="28"/>
      <c r="F26098" s="28"/>
      <c r="H26098" s="28"/>
    </row>
    <row r="26099" spans="4:8" x14ac:dyDescent="0.25">
      <c r="D26099" s="28"/>
      <c r="F26099" s="28"/>
      <c r="H26099" s="28"/>
    </row>
    <row r="26100" spans="4:8" x14ac:dyDescent="0.25">
      <c r="D26100" s="28"/>
      <c r="F26100" s="28"/>
      <c r="H26100" s="28"/>
    </row>
    <row r="26101" spans="4:8" x14ac:dyDescent="0.25">
      <c r="D26101" s="28"/>
      <c r="F26101" s="28"/>
      <c r="H26101" s="28"/>
    </row>
    <row r="26102" spans="4:8" x14ac:dyDescent="0.25">
      <c r="D26102" s="28"/>
      <c r="F26102" s="28"/>
      <c r="H26102" s="28"/>
    </row>
    <row r="26103" spans="4:8" x14ac:dyDescent="0.25">
      <c r="D26103" s="28"/>
      <c r="F26103" s="28"/>
      <c r="H26103" s="28"/>
    </row>
    <row r="26104" spans="4:8" x14ac:dyDescent="0.25">
      <c r="D26104" s="28"/>
      <c r="F26104" s="28"/>
      <c r="H26104" s="28"/>
    </row>
    <row r="26105" spans="4:8" x14ac:dyDescent="0.25">
      <c r="D26105" s="28"/>
      <c r="F26105" s="28"/>
      <c r="H26105" s="28"/>
    </row>
    <row r="26106" spans="4:8" x14ac:dyDescent="0.25">
      <c r="D26106" s="28"/>
      <c r="F26106" s="28"/>
      <c r="H26106" s="28"/>
    </row>
    <row r="26107" spans="4:8" x14ac:dyDescent="0.25">
      <c r="D26107" s="28"/>
      <c r="F26107" s="28"/>
      <c r="H26107" s="28"/>
    </row>
    <row r="26108" spans="4:8" x14ac:dyDescent="0.25">
      <c r="D26108" s="28"/>
      <c r="F26108" s="28"/>
      <c r="H26108" s="28"/>
    </row>
    <row r="26109" spans="4:8" x14ac:dyDescent="0.25">
      <c r="D26109" s="28"/>
      <c r="F26109" s="28"/>
      <c r="H26109" s="28"/>
    </row>
    <row r="26110" spans="4:8" x14ac:dyDescent="0.25">
      <c r="D26110" s="28"/>
      <c r="F26110" s="28"/>
      <c r="H26110" s="28"/>
    </row>
    <row r="26111" spans="4:8" x14ac:dyDescent="0.25">
      <c r="D26111" s="28"/>
      <c r="F26111" s="28"/>
      <c r="H26111" s="28"/>
    </row>
    <row r="26112" spans="4:8" x14ac:dyDescent="0.25">
      <c r="D26112" s="28"/>
      <c r="F26112" s="28"/>
      <c r="H26112" s="28"/>
    </row>
    <row r="26113" spans="4:8" x14ac:dyDescent="0.25">
      <c r="D26113" s="28"/>
      <c r="F26113" s="28"/>
      <c r="H26113" s="28"/>
    </row>
    <row r="26114" spans="4:8" x14ac:dyDescent="0.25">
      <c r="D26114" s="28"/>
      <c r="F26114" s="28"/>
      <c r="H26114" s="28"/>
    </row>
    <row r="26115" spans="4:8" x14ac:dyDescent="0.25">
      <c r="D26115" s="28"/>
      <c r="F26115" s="28"/>
      <c r="H26115" s="28"/>
    </row>
    <row r="26116" spans="4:8" x14ac:dyDescent="0.25">
      <c r="D26116" s="28"/>
      <c r="F26116" s="28"/>
      <c r="H26116" s="28"/>
    </row>
    <row r="26117" spans="4:8" x14ac:dyDescent="0.25">
      <c r="D26117" s="28"/>
      <c r="F26117" s="28"/>
      <c r="H26117" s="28"/>
    </row>
    <row r="26118" spans="4:8" x14ac:dyDescent="0.25">
      <c r="D26118" s="28"/>
      <c r="F26118" s="28"/>
      <c r="H26118" s="28"/>
    </row>
    <row r="26119" spans="4:8" x14ac:dyDescent="0.25">
      <c r="D26119" s="28"/>
      <c r="F26119" s="28"/>
      <c r="H26119" s="28"/>
    </row>
    <row r="26120" spans="4:8" x14ac:dyDescent="0.25">
      <c r="D26120" s="28"/>
      <c r="F26120" s="28"/>
      <c r="H26120" s="28"/>
    </row>
    <row r="26121" spans="4:8" x14ac:dyDescent="0.25">
      <c r="D26121" s="28"/>
      <c r="F26121" s="28"/>
      <c r="H26121" s="28"/>
    </row>
    <row r="26122" spans="4:8" x14ac:dyDescent="0.25">
      <c r="D26122" s="28"/>
      <c r="F26122" s="28"/>
      <c r="H26122" s="28"/>
    </row>
    <row r="26123" spans="4:8" x14ac:dyDescent="0.25">
      <c r="D26123" s="28"/>
      <c r="F26123" s="28"/>
      <c r="H26123" s="28"/>
    </row>
    <row r="26124" spans="4:8" x14ac:dyDescent="0.25">
      <c r="D26124" s="28"/>
      <c r="F26124" s="28"/>
      <c r="H26124" s="28"/>
    </row>
    <row r="26125" spans="4:8" x14ac:dyDescent="0.25">
      <c r="D26125" s="28"/>
      <c r="F26125" s="28"/>
      <c r="H26125" s="28"/>
    </row>
    <row r="26126" spans="4:8" x14ac:dyDescent="0.25">
      <c r="D26126" s="28"/>
      <c r="F26126" s="28"/>
      <c r="H26126" s="28"/>
    </row>
    <row r="26127" spans="4:8" x14ac:dyDescent="0.25">
      <c r="D26127" s="28"/>
      <c r="F26127" s="28"/>
      <c r="H26127" s="28"/>
    </row>
    <row r="26128" spans="4:8" x14ac:dyDescent="0.25">
      <c r="D26128" s="28"/>
      <c r="F26128" s="28"/>
      <c r="H26128" s="28"/>
    </row>
    <row r="26129" spans="4:8" x14ac:dyDescent="0.25">
      <c r="D26129" s="28"/>
      <c r="F26129" s="28"/>
      <c r="H26129" s="28"/>
    </row>
    <row r="26130" spans="4:8" x14ac:dyDescent="0.25">
      <c r="D26130" s="28"/>
      <c r="F26130" s="28"/>
      <c r="H26130" s="28"/>
    </row>
    <row r="26131" spans="4:8" x14ac:dyDescent="0.25">
      <c r="D26131" s="28"/>
      <c r="F26131" s="28"/>
      <c r="H26131" s="28"/>
    </row>
    <row r="26132" spans="4:8" x14ac:dyDescent="0.25">
      <c r="D26132" s="28"/>
      <c r="F26132" s="28"/>
      <c r="H26132" s="28"/>
    </row>
    <row r="26133" spans="4:8" x14ac:dyDescent="0.25">
      <c r="D26133" s="28"/>
      <c r="F26133" s="28"/>
      <c r="H26133" s="28"/>
    </row>
    <row r="26134" spans="4:8" x14ac:dyDescent="0.25">
      <c r="D26134" s="28"/>
      <c r="F26134" s="28"/>
      <c r="H26134" s="28"/>
    </row>
    <row r="26135" spans="4:8" x14ac:dyDescent="0.25">
      <c r="D26135" s="28"/>
      <c r="F26135" s="28"/>
      <c r="H26135" s="28"/>
    </row>
    <row r="26136" spans="4:8" x14ac:dyDescent="0.25">
      <c r="D26136" s="28"/>
      <c r="F26136" s="28"/>
      <c r="H26136" s="28"/>
    </row>
    <row r="26137" spans="4:8" x14ac:dyDescent="0.25">
      <c r="D26137" s="28"/>
      <c r="F26137" s="28"/>
      <c r="H26137" s="28"/>
    </row>
    <row r="26138" spans="4:8" x14ac:dyDescent="0.25">
      <c r="D26138" s="28"/>
      <c r="F26138" s="28"/>
      <c r="H26138" s="28"/>
    </row>
    <row r="26139" spans="4:8" x14ac:dyDescent="0.25">
      <c r="D26139" s="28"/>
      <c r="F26139" s="28"/>
      <c r="H26139" s="28"/>
    </row>
    <row r="26140" spans="4:8" x14ac:dyDescent="0.25">
      <c r="D26140" s="28"/>
      <c r="F26140" s="28"/>
      <c r="H26140" s="28"/>
    </row>
    <row r="26141" spans="4:8" x14ac:dyDescent="0.25">
      <c r="D26141" s="28"/>
      <c r="F26141" s="28"/>
      <c r="H26141" s="28"/>
    </row>
    <row r="26142" spans="4:8" x14ac:dyDescent="0.25">
      <c r="D26142" s="28"/>
      <c r="F26142" s="28"/>
      <c r="H26142" s="28"/>
    </row>
    <row r="26143" spans="4:8" x14ac:dyDescent="0.25">
      <c r="D26143" s="28"/>
      <c r="F26143" s="28"/>
      <c r="H26143" s="28"/>
    </row>
    <row r="26144" spans="4:8" x14ac:dyDescent="0.25">
      <c r="D26144" s="28"/>
      <c r="F26144" s="28"/>
      <c r="H26144" s="28"/>
    </row>
    <row r="26145" spans="4:8" x14ac:dyDescent="0.25">
      <c r="D26145" s="28"/>
      <c r="F26145" s="28"/>
      <c r="H26145" s="28"/>
    </row>
    <row r="26146" spans="4:8" x14ac:dyDescent="0.25">
      <c r="D26146" s="28"/>
      <c r="F26146" s="28"/>
      <c r="H26146" s="28"/>
    </row>
    <row r="26147" spans="4:8" x14ac:dyDescent="0.25">
      <c r="D26147" s="28"/>
      <c r="F26147" s="28"/>
      <c r="H26147" s="28"/>
    </row>
    <row r="26148" spans="4:8" x14ac:dyDescent="0.25">
      <c r="D26148" s="28"/>
      <c r="F26148" s="28"/>
      <c r="H26148" s="28"/>
    </row>
    <row r="26149" spans="4:8" x14ac:dyDescent="0.25">
      <c r="D26149" s="28"/>
      <c r="F26149" s="28"/>
      <c r="H26149" s="28"/>
    </row>
    <row r="26150" spans="4:8" x14ac:dyDescent="0.25">
      <c r="D26150" s="28"/>
      <c r="F26150" s="28"/>
      <c r="H26150" s="28"/>
    </row>
    <row r="26151" spans="4:8" x14ac:dyDescent="0.25">
      <c r="D26151" s="28"/>
      <c r="F26151" s="28"/>
      <c r="H26151" s="28"/>
    </row>
    <row r="26152" spans="4:8" x14ac:dyDescent="0.25">
      <c r="D26152" s="28"/>
      <c r="F26152" s="28"/>
      <c r="H26152" s="28"/>
    </row>
    <row r="26153" spans="4:8" x14ac:dyDescent="0.25">
      <c r="D26153" s="28"/>
      <c r="F26153" s="28"/>
      <c r="H26153" s="28"/>
    </row>
    <row r="26154" spans="4:8" x14ac:dyDescent="0.25">
      <c r="D26154" s="28"/>
      <c r="F26154" s="28"/>
      <c r="H26154" s="28"/>
    </row>
    <row r="26155" spans="4:8" x14ac:dyDescent="0.25">
      <c r="D26155" s="28"/>
      <c r="F26155" s="28"/>
      <c r="H26155" s="28"/>
    </row>
    <row r="26156" spans="4:8" x14ac:dyDescent="0.25">
      <c r="D26156" s="28"/>
      <c r="F26156" s="28"/>
      <c r="H26156" s="28"/>
    </row>
    <row r="26157" spans="4:8" x14ac:dyDescent="0.25">
      <c r="D26157" s="28"/>
      <c r="F26157" s="28"/>
      <c r="H26157" s="28"/>
    </row>
    <row r="26158" spans="4:8" x14ac:dyDescent="0.25">
      <c r="D26158" s="28"/>
      <c r="F26158" s="28"/>
      <c r="H26158" s="28"/>
    </row>
    <row r="26159" spans="4:8" x14ac:dyDescent="0.25">
      <c r="D26159" s="28"/>
      <c r="F26159" s="28"/>
      <c r="H26159" s="28"/>
    </row>
    <row r="26160" spans="4:8" x14ac:dyDescent="0.25">
      <c r="D26160" s="28"/>
      <c r="F26160" s="28"/>
      <c r="H26160" s="28"/>
    </row>
    <row r="26161" spans="4:8" x14ac:dyDescent="0.25">
      <c r="D26161" s="28"/>
      <c r="F26161" s="28"/>
      <c r="H26161" s="28"/>
    </row>
    <row r="26162" spans="4:8" x14ac:dyDescent="0.25">
      <c r="D26162" s="28"/>
      <c r="F26162" s="28"/>
      <c r="H26162" s="28"/>
    </row>
    <row r="26163" spans="4:8" x14ac:dyDescent="0.25">
      <c r="D26163" s="28"/>
      <c r="F26163" s="28"/>
      <c r="H26163" s="28"/>
    </row>
    <row r="26164" spans="4:8" x14ac:dyDescent="0.25">
      <c r="D26164" s="28"/>
      <c r="F26164" s="28"/>
      <c r="H26164" s="28"/>
    </row>
    <row r="26165" spans="4:8" x14ac:dyDescent="0.25">
      <c r="D26165" s="28"/>
      <c r="F26165" s="28"/>
      <c r="H26165" s="28"/>
    </row>
    <row r="26166" spans="4:8" x14ac:dyDescent="0.25">
      <c r="D26166" s="28"/>
      <c r="F26166" s="28"/>
      <c r="H26166" s="28"/>
    </row>
    <row r="26167" spans="4:8" x14ac:dyDescent="0.25">
      <c r="D26167" s="28"/>
      <c r="F26167" s="28"/>
      <c r="H26167" s="28"/>
    </row>
    <row r="26168" spans="4:8" x14ac:dyDescent="0.25">
      <c r="D26168" s="28"/>
      <c r="F26168" s="28"/>
      <c r="H26168" s="28"/>
    </row>
    <row r="26169" spans="4:8" x14ac:dyDescent="0.25">
      <c r="D26169" s="28"/>
      <c r="F26169" s="28"/>
      <c r="H26169" s="28"/>
    </row>
    <row r="26170" spans="4:8" x14ac:dyDescent="0.25">
      <c r="D26170" s="28"/>
      <c r="F26170" s="28"/>
      <c r="H26170" s="28"/>
    </row>
    <row r="26171" spans="4:8" x14ac:dyDescent="0.25">
      <c r="D26171" s="28"/>
      <c r="F26171" s="28"/>
      <c r="H26171" s="28"/>
    </row>
    <row r="26172" spans="4:8" x14ac:dyDescent="0.25">
      <c r="D26172" s="28"/>
      <c r="F26172" s="28"/>
      <c r="H26172" s="28"/>
    </row>
    <row r="26173" spans="4:8" x14ac:dyDescent="0.25">
      <c r="D26173" s="28"/>
      <c r="F26173" s="28"/>
      <c r="H26173" s="28"/>
    </row>
    <row r="26174" spans="4:8" x14ac:dyDescent="0.25">
      <c r="D26174" s="28"/>
      <c r="F26174" s="28"/>
      <c r="H26174" s="28"/>
    </row>
    <row r="26175" spans="4:8" x14ac:dyDescent="0.25">
      <c r="D26175" s="28"/>
      <c r="F26175" s="28"/>
      <c r="H26175" s="28"/>
    </row>
    <row r="26176" spans="4:8" x14ac:dyDescent="0.25">
      <c r="D26176" s="28"/>
      <c r="F26176" s="28"/>
      <c r="H26176" s="28"/>
    </row>
    <row r="26177" spans="4:8" x14ac:dyDescent="0.25">
      <c r="D26177" s="28"/>
      <c r="F26177" s="28"/>
      <c r="H26177" s="28"/>
    </row>
    <row r="26178" spans="4:8" x14ac:dyDescent="0.25">
      <c r="D26178" s="28"/>
      <c r="F26178" s="28"/>
      <c r="H26178" s="28"/>
    </row>
    <row r="26179" spans="4:8" x14ac:dyDescent="0.25">
      <c r="D26179" s="28"/>
      <c r="F26179" s="28"/>
      <c r="H26179" s="28"/>
    </row>
    <row r="26180" spans="4:8" x14ac:dyDescent="0.25">
      <c r="D26180" s="28"/>
      <c r="F26180" s="28"/>
      <c r="H26180" s="28"/>
    </row>
    <row r="26181" spans="4:8" x14ac:dyDescent="0.25">
      <c r="D26181" s="28"/>
      <c r="F26181" s="28"/>
      <c r="H26181" s="28"/>
    </row>
    <row r="26182" spans="4:8" x14ac:dyDescent="0.25">
      <c r="D26182" s="28"/>
      <c r="F26182" s="28"/>
      <c r="H26182" s="28"/>
    </row>
    <row r="26183" spans="4:8" x14ac:dyDescent="0.25">
      <c r="D26183" s="28"/>
      <c r="F26183" s="28"/>
      <c r="H26183" s="28"/>
    </row>
    <row r="26184" spans="4:8" x14ac:dyDescent="0.25">
      <c r="D26184" s="28"/>
      <c r="F26184" s="28"/>
      <c r="H26184" s="28"/>
    </row>
    <row r="26185" spans="4:8" x14ac:dyDescent="0.25">
      <c r="D26185" s="28"/>
      <c r="F26185" s="28"/>
      <c r="H26185" s="28"/>
    </row>
    <row r="26186" spans="4:8" x14ac:dyDescent="0.25">
      <c r="D26186" s="28"/>
      <c r="F26186" s="28"/>
      <c r="H26186" s="28"/>
    </row>
    <row r="26187" spans="4:8" x14ac:dyDescent="0.25">
      <c r="D26187" s="28"/>
      <c r="F26187" s="28"/>
      <c r="H26187" s="28"/>
    </row>
    <row r="26188" spans="4:8" x14ac:dyDescent="0.25">
      <c r="D26188" s="28"/>
      <c r="F26188" s="28"/>
      <c r="H26188" s="28"/>
    </row>
    <row r="26189" spans="4:8" x14ac:dyDescent="0.25">
      <c r="D26189" s="28"/>
      <c r="F26189" s="28"/>
      <c r="H26189" s="28"/>
    </row>
    <row r="26190" spans="4:8" x14ac:dyDescent="0.25">
      <c r="D26190" s="28"/>
      <c r="F26190" s="28"/>
      <c r="H26190" s="28"/>
    </row>
    <row r="26191" spans="4:8" x14ac:dyDescent="0.25">
      <c r="D26191" s="28"/>
      <c r="F26191" s="28"/>
      <c r="H26191" s="28"/>
    </row>
    <row r="26192" spans="4:8" x14ac:dyDescent="0.25">
      <c r="D26192" s="28"/>
      <c r="F26192" s="28"/>
      <c r="H26192" s="28"/>
    </row>
    <row r="26193" spans="4:8" x14ac:dyDescent="0.25">
      <c r="D26193" s="28"/>
      <c r="F26193" s="28"/>
      <c r="H26193" s="28"/>
    </row>
    <row r="26194" spans="4:8" x14ac:dyDescent="0.25">
      <c r="D26194" s="28"/>
      <c r="F26194" s="28"/>
      <c r="H26194" s="28"/>
    </row>
    <row r="26195" spans="4:8" x14ac:dyDescent="0.25">
      <c r="D26195" s="28"/>
      <c r="F26195" s="28"/>
      <c r="H26195" s="28"/>
    </row>
    <row r="26196" spans="4:8" x14ac:dyDescent="0.25">
      <c r="D26196" s="28"/>
      <c r="F26196" s="28"/>
      <c r="H26196" s="28"/>
    </row>
    <row r="26197" spans="4:8" x14ac:dyDescent="0.25">
      <c r="D26197" s="28"/>
      <c r="F26197" s="28"/>
      <c r="H26197" s="28"/>
    </row>
    <row r="26198" spans="4:8" x14ac:dyDescent="0.25">
      <c r="D26198" s="28"/>
      <c r="F26198" s="28"/>
      <c r="H26198" s="28"/>
    </row>
    <row r="26199" spans="4:8" x14ac:dyDescent="0.25">
      <c r="D26199" s="28"/>
      <c r="F26199" s="28"/>
      <c r="H26199" s="28"/>
    </row>
    <row r="26200" spans="4:8" x14ac:dyDescent="0.25">
      <c r="D26200" s="28"/>
      <c r="F26200" s="28"/>
      <c r="H26200" s="28"/>
    </row>
    <row r="26201" spans="4:8" x14ac:dyDescent="0.25">
      <c r="D26201" s="28"/>
      <c r="F26201" s="28"/>
      <c r="H26201" s="28"/>
    </row>
    <row r="26202" spans="4:8" x14ac:dyDescent="0.25">
      <c r="D26202" s="28"/>
      <c r="F26202" s="28"/>
      <c r="H26202" s="28"/>
    </row>
    <row r="26203" spans="4:8" x14ac:dyDescent="0.25">
      <c r="D26203" s="28"/>
      <c r="F26203" s="28"/>
      <c r="H26203" s="28"/>
    </row>
    <row r="26204" spans="4:8" x14ac:dyDescent="0.25">
      <c r="D26204" s="28"/>
      <c r="F26204" s="28"/>
      <c r="H26204" s="28"/>
    </row>
    <row r="26205" spans="4:8" x14ac:dyDescent="0.25">
      <c r="D26205" s="28"/>
      <c r="F26205" s="28"/>
      <c r="H26205" s="28"/>
    </row>
    <row r="26206" spans="4:8" x14ac:dyDescent="0.25">
      <c r="D26206" s="28"/>
      <c r="F26206" s="28"/>
      <c r="H26206" s="28"/>
    </row>
    <row r="26207" spans="4:8" x14ac:dyDescent="0.25">
      <c r="D26207" s="28"/>
      <c r="F26207" s="28"/>
      <c r="H26207" s="28"/>
    </row>
    <row r="26208" spans="4:8" x14ac:dyDescent="0.25">
      <c r="D26208" s="28"/>
      <c r="F26208" s="28"/>
      <c r="H26208" s="28"/>
    </row>
    <row r="26209" spans="4:8" x14ac:dyDescent="0.25">
      <c r="D26209" s="28"/>
      <c r="F26209" s="28"/>
      <c r="H26209" s="28"/>
    </row>
    <row r="26210" spans="4:8" x14ac:dyDescent="0.25">
      <c r="D26210" s="28"/>
      <c r="F26210" s="28"/>
      <c r="H26210" s="28"/>
    </row>
    <row r="26211" spans="4:8" x14ac:dyDescent="0.25">
      <c r="D26211" s="28"/>
      <c r="F26211" s="28"/>
      <c r="H26211" s="28"/>
    </row>
    <row r="26212" spans="4:8" x14ac:dyDescent="0.25">
      <c r="D26212" s="28"/>
      <c r="F26212" s="28"/>
      <c r="H26212" s="28"/>
    </row>
    <row r="26213" spans="4:8" x14ac:dyDescent="0.25">
      <c r="D26213" s="28"/>
      <c r="F26213" s="28"/>
      <c r="H26213" s="28"/>
    </row>
    <row r="26214" spans="4:8" x14ac:dyDescent="0.25">
      <c r="D26214" s="28"/>
      <c r="F26214" s="28"/>
      <c r="H26214" s="28"/>
    </row>
    <row r="26215" spans="4:8" x14ac:dyDescent="0.25">
      <c r="D26215" s="28"/>
      <c r="F26215" s="28"/>
      <c r="H26215" s="28"/>
    </row>
    <row r="26216" spans="4:8" x14ac:dyDescent="0.25">
      <c r="D26216" s="28"/>
      <c r="F26216" s="28"/>
      <c r="H26216" s="28"/>
    </row>
    <row r="26217" spans="4:8" x14ac:dyDescent="0.25">
      <c r="D26217" s="28"/>
      <c r="F26217" s="28"/>
      <c r="H26217" s="28"/>
    </row>
    <row r="26218" spans="4:8" x14ac:dyDescent="0.25">
      <c r="D26218" s="28"/>
      <c r="F26218" s="28"/>
      <c r="H26218" s="28"/>
    </row>
    <row r="26219" spans="4:8" x14ac:dyDescent="0.25">
      <c r="D26219" s="28"/>
      <c r="F26219" s="28"/>
      <c r="H26219" s="28"/>
    </row>
    <row r="26220" spans="4:8" x14ac:dyDescent="0.25">
      <c r="D26220" s="28"/>
      <c r="F26220" s="28"/>
      <c r="H26220" s="28"/>
    </row>
    <row r="26221" spans="4:8" x14ac:dyDescent="0.25">
      <c r="D26221" s="28"/>
      <c r="F26221" s="28"/>
      <c r="H26221" s="28"/>
    </row>
    <row r="26222" spans="4:8" x14ac:dyDescent="0.25">
      <c r="D26222" s="28"/>
      <c r="F26222" s="28"/>
      <c r="H26222" s="28"/>
    </row>
    <row r="26223" spans="4:8" x14ac:dyDescent="0.25">
      <c r="D26223" s="28"/>
      <c r="F26223" s="28"/>
      <c r="H26223" s="28"/>
    </row>
    <row r="26224" spans="4:8" x14ac:dyDescent="0.25">
      <c r="D26224" s="28"/>
      <c r="F26224" s="28"/>
      <c r="H26224" s="28"/>
    </row>
    <row r="26225" spans="4:8" x14ac:dyDescent="0.25">
      <c r="D26225" s="28"/>
      <c r="F26225" s="28"/>
      <c r="H26225" s="28"/>
    </row>
    <row r="26226" spans="4:8" x14ac:dyDescent="0.25">
      <c r="D26226" s="28"/>
      <c r="F26226" s="28"/>
      <c r="H26226" s="28"/>
    </row>
    <row r="26227" spans="4:8" x14ac:dyDescent="0.25">
      <c r="D26227" s="28"/>
      <c r="F26227" s="28"/>
      <c r="H26227" s="28"/>
    </row>
    <row r="26228" spans="4:8" x14ac:dyDescent="0.25">
      <c r="D26228" s="28"/>
      <c r="F26228" s="28"/>
      <c r="H26228" s="28"/>
    </row>
    <row r="26229" spans="4:8" x14ac:dyDescent="0.25">
      <c r="D26229" s="28"/>
      <c r="F26229" s="28"/>
      <c r="H26229" s="28"/>
    </row>
    <row r="26230" spans="4:8" x14ac:dyDescent="0.25">
      <c r="D26230" s="28"/>
      <c r="F26230" s="28"/>
      <c r="H26230" s="28"/>
    </row>
    <row r="26231" spans="4:8" x14ac:dyDescent="0.25">
      <c r="D26231" s="28"/>
      <c r="F26231" s="28"/>
      <c r="H26231" s="28"/>
    </row>
    <row r="26232" spans="4:8" x14ac:dyDescent="0.25">
      <c r="D26232" s="28"/>
      <c r="F26232" s="28"/>
      <c r="H26232" s="28"/>
    </row>
    <row r="26233" spans="4:8" x14ac:dyDescent="0.25">
      <c r="D26233" s="28"/>
      <c r="F26233" s="28"/>
      <c r="H26233" s="28"/>
    </row>
    <row r="26234" spans="4:8" x14ac:dyDescent="0.25">
      <c r="D26234" s="28"/>
      <c r="F26234" s="28"/>
      <c r="H26234" s="28"/>
    </row>
    <row r="26235" spans="4:8" x14ac:dyDescent="0.25">
      <c r="D26235" s="28"/>
      <c r="F26235" s="28"/>
      <c r="H26235" s="28"/>
    </row>
    <row r="26236" spans="4:8" x14ac:dyDescent="0.25">
      <c r="D26236" s="28"/>
      <c r="F26236" s="28"/>
      <c r="H26236" s="28"/>
    </row>
    <row r="26237" spans="4:8" x14ac:dyDescent="0.25">
      <c r="D26237" s="28"/>
      <c r="F26237" s="28"/>
      <c r="H26237" s="28"/>
    </row>
    <row r="26238" spans="4:8" x14ac:dyDescent="0.25">
      <c r="D26238" s="28"/>
      <c r="F26238" s="28"/>
      <c r="H26238" s="28"/>
    </row>
    <row r="26239" spans="4:8" x14ac:dyDescent="0.25">
      <c r="D26239" s="28"/>
      <c r="F26239" s="28"/>
      <c r="H26239" s="28"/>
    </row>
    <row r="26240" spans="4:8" x14ac:dyDescent="0.25">
      <c r="D26240" s="28"/>
      <c r="F26240" s="28"/>
      <c r="H26240" s="28"/>
    </row>
    <row r="26241" spans="4:8" x14ac:dyDescent="0.25">
      <c r="D26241" s="28"/>
      <c r="F26241" s="28"/>
      <c r="H26241" s="28"/>
    </row>
    <row r="26242" spans="4:8" x14ac:dyDescent="0.25">
      <c r="D26242" s="28"/>
      <c r="F26242" s="28"/>
      <c r="H26242" s="28"/>
    </row>
    <row r="26243" spans="4:8" x14ac:dyDescent="0.25">
      <c r="D26243" s="28"/>
      <c r="F26243" s="28"/>
      <c r="H26243" s="28"/>
    </row>
    <row r="26244" spans="4:8" x14ac:dyDescent="0.25">
      <c r="D26244" s="28"/>
      <c r="F26244" s="28"/>
      <c r="H26244" s="28"/>
    </row>
    <row r="26245" spans="4:8" x14ac:dyDescent="0.25">
      <c r="D26245" s="28"/>
      <c r="F26245" s="28"/>
      <c r="H26245" s="28"/>
    </row>
    <row r="26246" spans="4:8" x14ac:dyDescent="0.25">
      <c r="D26246" s="28"/>
      <c r="F26246" s="28"/>
      <c r="H26246" s="28"/>
    </row>
    <row r="26247" spans="4:8" x14ac:dyDescent="0.25">
      <c r="D26247" s="28"/>
      <c r="F26247" s="28"/>
      <c r="H26247" s="28"/>
    </row>
    <row r="26248" spans="4:8" x14ac:dyDescent="0.25">
      <c r="D26248" s="28"/>
      <c r="F26248" s="28"/>
      <c r="H26248" s="28"/>
    </row>
    <row r="26249" spans="4:8" x14ac:dyDescent="0.25">
      <c r="D26249" s="28"/>
      <c r="F26249" s="28"/>
      <c r="H26249" s="28"/>
    </row>
    <row r="26250" spans="4:8" x14ac:dyDescent="0.25">
      <c r="D26250" s="28"/>
      <c r="F26250" s="28"/>
      <c r="H26250" s="28"/>
    </row>
    <row r="26251" spans="4:8" x14ac:dyDescent="0.25">
      <c r="D26251" s="28"/>
      <c r="F26251" s="28"/>
      <c r="H26251" s="28"/>
    </row>
    <row r="26252" spans="4:8" x14ac:dyDescent="0.25">
      <c r="D26252" s="28"/>
      <c r="F26252" s="28"/>
      <c r="H26252" s="28"/>
    </row>
    <row r="26253" spans="4:8" x14ac:dyDescent="0.25">
      <c r="D26253" s="28"/>
      <c r="F26253" s="28"/>
      <c r="H26253" s="28"/>
    </row>
    <row r="26254" spans="4:8" x14ac:dyDescent="0.25">
      <c r="D26254" s="28"/>
      <c r="F26254" s="28"/>
      <c r="H26254" s="28"/>
    </row>
    <row r="26255" spans="4:8" x14ac:dyDescent="0.25">
      <c r="D26255" s="28"/>
      <c r="F26255" s="28"/>
      <c r="H26255" s="28"/>
    </row>
    <row r="26256" spans="4:8" x14ac:dyDescent="0.25">
      <c r="D26256" s="28"/>
      <c r="F26256" s="28"/>
      <c r="H26256" s="28"/>
    </row>
    <row r="26257" spans="4:8" x14ac:dyDescent="0.25">
      <c r="D26257" s="28"/>
      <c r="F26257" s="28"/>
      <c r="H26257" s="28"/>
    </row>
    <row r="26258" spans="4:8" x14ac:dyDescent="0.25">
      <c r="D26258" s="28"/>
      <c r="F26258" s="28"/>
      <c r="H26258" s="28"/>
    </row>
    <row r="26259" spans="4:8" x14ac:dyDescent="0.25">
      <c r="D26259" s="28"/>
      <c r="F26259" s="28"/>
      <c r="H26259" s="28"/>
    </row>
    <row r="26260" spans="4:8" x14ac:dyDescent="0.25">
      <c r="D26260" s="28"/>
      <c r="F26260" s="28"/>
      <c r="H26260" s="28"/>
    </row>
    <row r="26261" spans="4:8" x14ac:dyDescent="0.25">
      <c r="D26261" s="28"/>
      <c r="F26261" s="28"/>
      <c r="H26261" s="28"/>
    </row>
    <row r="26262" spans="4:8" x14ac:dyDescent="0.25">
      <c r="D26262" s="28"/>
      <c r="F26262" s="28"/>
      <c r="H26262" s="28"/>
    </row>
    <row r="26263" spans="4:8" x14ac:dyDescent="0.25">
      <c r="D26263" s="28"/>
      <c r="F26263" s="28"/>
      <c r="H26263" s="28"/>
    </row>
    <row r="26264" spans="4:8" x14ac:dyDescent="0.25">
      <c r="D26264" s="28"/>
      <c r="F26264" s="28"/>
      <c r="H26264" s="28"/>
    </row>
    <row r="26265" spans="4:8" x14ac:dyDescent="0.25">
      <c r="D26265" s="28"/>
      <c r="F26265" s="28"/>
      <c r="H26265" s="28"/>
    </row>
    <row r="26266" spans="4:8" x14ac:dyDescent="0.25">
      <c r="D26266" s="28"/>
      <c r="F26266" s="28"/>
      <c r="H26266" s="28"/>
    </row>
    <row r="26267" spans="4:8" x14ac:dyDescent="0.25">
      <c r="D26267" s="28"/>
      <c r="F26267" s="28"/>
      <c r="H26267" s="28"/>
    </row>
    <row r="26268" spans="4:8" x14ac:dyDescent="0.25">
      <c r="D26268" s="28"/>
      <c r="F26268" s="28"/>
      <c r="H26268" s="28"/>
    </row>
    <row r="26269" spans="4:8" x14ac:dyDescent="0.25">
      <c r="D26269" s="28"/>
      <c r="F26269" s="28"/>
      <c r="H26269" s="28"/>
    </row>
    <row r="26270" spans="4:8" x14ac:dyDescent="0.25">
      <c r="D26270" s="28"/>
      <c r="F26270" s="28"/>
      <c r="H26270" s="28"/>
    </row>
    <row r="26271" spans="4:8" x14ac:dyDescent="0.25">
      <c r="D26271" s="28"/>
      <c r="F26271" s="28"/>
      <c r="H26271" s="28"/>
    </row>
    <row r="26272" spans="4:8" x14ac:dyDescent="0.25">
      <c r="D26272" s="28"/>
      <c r="F26272" s="28"/>
      <c r="H26272" s="28"/>
    </row>
    <row r="26273" spans="4:8" x14ac:dyDescent="0.25">
      <c r="D26273" s="28"/>
      <c r="F26273" s="28"/>
      <c r="H26273" s="28"/>
    </row>
    <row r="26274" spans="4:8" x14ac:dyDescent="0.25">
      <c r="D26274" s="28"/>
      <c r="F26274" s="28"/>
      <c r="H26274" s="28"/>
    </row>
    <row r="26275" spans="4:8" x14ac:dyDescent="0.25">
      <c r="D26275" s="28"/>
      <c r="F26275" s="28"/>
      <c r="H26275" s="28"/>
    </row>
    <row r="26276" spans="4:8" x14ac:dyDescent="0.25">
      <c r="D26276" s="28"/>
      <c r="F26276" s="28"/>
      <c r="H26276" s="28"/>
    </row>
    <row r="26277" spans="4:8" x14ac:dyDescent="0.25">
      <c r="D26277" s="28"/>
      <c r="F26277" s="28"/>
      <c r="H26277" s="28"/>
    </row>
    <row r="26278" spans="4:8" x14ac:dyDescent="0.25">
      <c r="D26278" s="28"/>
      <c r="F26278" s="28"/>
      <c r="H26278" s="28"/>
    </row>
    <row r="26279" spans="4:8" x14ac:dyDescent="0.25">
      <c r="D26279" s="28"/>
      <c r="F26279" s="28"/>
      <c r="H26279" s="28"/>
    </row>
    <row r="26280" spans="4:8" x14ac:dyDescent="0.25">
      <c r="D26280" s="28"/>
      <c r="F26280" s="28"/>
      <c r="H26280" s="28"/>
    </row>
    <row r="26281" spans="4:8" x14ac:dyDescent="0.25">
      <c r="D26281" s="28"/>
      <c r="F26281" s="28"/>
      <c r="H26281" s="28"/>
    </row>
    <row r="26282" spans="4:8" x14ac:dyDescent="0.25">
      <c r="D26282" s="28"/>
      <c r="F26282" s="28"/>
      <c r="H26282" s="28"/>
    </row>
    <row r="26283" spans="4:8" x14ac:dyDescent="0.25">
      <c r="D26283" s="28"/>
      <c r="F26283" s="28"/>
      <c r="H26283" s="28"/>
    </row>
    <row r="26284" spans="4:8" x14ac:dyDescent="0.25">
      <c r="D26284" s="28"/>
      <c r="F26284" s="28"/>
      <c r="H26284" s="28"/>
    </row>
    <row r="26285" spans="4:8" x14ac:dyDescent="0.25">
      <c r="D26285" s="28"/>
      <c r="F26285" s="28"/>
      <c r="H26285" s="28"/>
    </row>
    <row r="26286" spans="4:8" x14ac:dyDescent="0.25">
      <c r="D26286" s="28"/>
      <c r="F26286" s="28"/>
      <c r="H26286" s="28"/>
    </row>
    <row r="26287" spans="4:8" x14ac:dyDescent="0.25">
      <c r="D26287" s="28"/>
      <c r="F26287" s="28"/>
      <c r="H26287" s="28"/>
    </row>
    <row r="26288" spans="4:8" x14ac:dyDescent="0.25">
      <c r="D26288" s="28"/>
      <c r="F26288" s="28"/>
      <c r="H26288" s="28"/>
    </row>
    <row r="26289" spans="4:8" x14ac:dyDescent="0.25">
      <c r="D26289" s="28"/>
      <c r="F26289" s="28"/>
      <c r="H26289" s="28"/>
    </row>
    <row r="26290" spans="4:8" x14ac:dyDescent="0.25">
      <c r="D26290" s="28"/>
      <c r="F26290" s="28"/>
      <c r="H26290" s="28"/>
    </row>
    <row r="26291" spans="4:8" x14ac:dyDescent="0.25">
      <c r="D26291" s="28"/>
      <c r="F26291" s="28"/>
      <c r="H26291" s="28"/>
    </row>
    <row r="26292" spans="4:8" x14ac:dyDescent="0.25">
      <c r="D26292" s="28"/>
      <c r="F26292" s="28"/>
      <c r="H26292" s="28"/>
    </row>
    <row r="26293" spans="4:8" x14ac:dyDescent="0.25">
      <c r="D26293" s="28"/>
      <c r="F26293" s="28"/>
      <c r="H26293" s="28"/>
    </row>
    <row r="26294" spans="4:8" x14ac:dyDescent="0.25">
      <c r="D26294" s="28"/>
      <c r="F26294" s="28"/>
      <c r="H26294" s="28"/>
    </row>
    <row r="26295" spans="4:8" x14ac:dyDescent="0.25">
      <c r="D26295" s="28"/>
      <c r="F26295" s="28"/>
      <c r="H26295" s="28"/>
    </row>
    <row r="26296" spans="4:8" x14ac:dyDescent="0.25">
      <c r="D26296" s="28"/>
      <c r="F26296" s="28"/>
      <c r="H26296" s="28"/>
    </row>
    <row r="26297" spans="4:8" x14ac:dyDescent="0.25">
      <c r="D26297" s="28"/>
      <c r="F26297" s="28"/>
      <c r="H26297" s="28"/>
    </row>
    <row r="26298" spans="4:8" x14ac:dyDescent="0.25">
      <c r="D26298" s="28"/>
      <c r="F26298" s="28"/>
      <c r="H26298" s="28"/>
    </row>
    <row r="26299" spans="4:8" x14ac:dyDescent="0.25">
      <c r="D26299" s="28"/>
      <c r="F26299" s="28"/>
      <c r="H26299" s="28"/>
    </row>
    <row r="26300" spans="4:8" x14ac:dyDescent="0.25">
      <c r="D26300" s="28"/>
      <c r="F26300" s="28"/>
      <c r="H26300" s="28"/>
    </row>
    <row r="26301" spans="4:8" x14ac:dyDescent="0.25">
      <c r="D26301" s="28"/>
      <c r="F26301" s="28"/>
      <c r="H26301" s="28"/>
    </row>
    <row r="26302" spans="4:8" x14ac:dyDescent="0.25">
      <c r="D26302" s="28"/>
      <c r="F26302" s="28"/>
      <c r="H26302" s="28"/>
    </row>
    <row r="26303" spans="4:8" x14ac:dyDescent="0.25">
      <c r="D26303" s="28"/>
      <c r="F26303" s="28"/>
      <c r="H26303" s="28"/>
    </row>
    <row r="26304" spans="4:8" x14ac:dyDescent="0.25">
      <c r="D26304" s="28"/>
      <c r="F26304" s="28"/>
      <c r="H26304" s="28"/>
    </row>
    <row r="26305" spans="4:8" x14ac:dyDescent="0.25">
      <c r="D26305" s="28"/>
      <c r="F26305" s="28"/>
      <c r="H26305" s="28"/>
    </row>
    <row r="26306" spans="4:8" x14ac:dyDescent="0.25">
      <c r="D26306" s="28"/>
      <c r="F26306" s="28"/>
      <c r="H26306" s="28"/>
    </row>
    <row r="26307" spans="4:8" x14ac:dyDescent="0.25">
      <c r="D26307" s="28"/>
      <c r="F26307" s="28"/>
      <c r="H26307" s="28"/>
    </row>
    <row r="26308" spans="4:8" x14ac:dyDescent="0.25">
      <c r="D26308" s="28"/>
      <c r="F26308" s="28"/>
      <c r="H26308" s="28"/>
    </row>
    <row r="26309" spans="4:8" x14ac:dyDescent="0.25">
      <c r="D26309" s="28"/>
      <c r="F26309" s="28"/>
      <c r="H26309" s="28"/>
    </row>
    <row r="26310" spans="4:8" x14ac:dyDescent="0.25">
      <c r="D26310" s="28"/>
      <c r="F26310" s="28"/>
      <c r="H26310" s="28"/>
    </row>
    <row r="26311" spans="4:8" x14ac:dyDescent="0.25">
      <c r="D26311" s="28"/>
      <c r="F26311" s="28"/>
      <c r="H26311" s="28"/>
    </row>
    <row r="26312" spans="4:8" x14ac:dyDescent="0.25">
      <c r="D26312" s="28"/>
      <c r="F26312" s="28"/>
      <c r="H26312" s="28"/>
    </row>
    <row r="26313" spans="4:8" x14ac:dyDescent="0.25">
      <c r="D26313" s="28"/>
      <c r="F26313" s="28"/>
      <c r="H26313" s="28"/>
    </row>
    <row r="26314" spans="4:8" x14ac:dyDescent="0.25">
      <c r="D26314" s="28"/>
      <c r="F26314" s="28"/>
      <c r="H26314" s="28"/>
    </row>
    <row r="26315" spans="4:8" x14ac:dyDescent="0.25">
      <c r="D26315" s="28"/>
      <c r="F26315" s="28"/>
      <c r="H26315" s="28"/>
    </row>
    <row r="26316" spans="4:8" x14ac:dyDescent="0.25">
      <c r="D26316" s="28"/>
      <c r="F26316" s="28"/>
      <c r="H26316" s="28"/>
    </row>
    <row r="26317" spans="4:8" x14ac:dyDescent="0.25">
      <c r="D26317" s="28"/>
      <c r="F26317" s="28"/>
      <c r="H26317" s="28"/>
    </row>
    <row r="26318" spans="4:8" x14ac:dyDescent="0.25">
      <c r="D26318" s="28"/>
      <c r="F26318" s="28"/>
      <c r="H26318" s="28"/>
    </row>
    <row r="26319" spans="4:8" x14ac:dyDescent="0.25">
      <c r="D26319" s="28"/>
      <c r="F26319" s="28"/>
      <c r="H26319" s="28"/>
    </row>
    <row r="26320" spans="4:8" x14ac:dyDescent="0.25">
      <c r="D26320" s="28"/>
      <c r="F26320" s="28"/>
      <c r="H26320" s="28"/>
    </row>
    <row r="26321" spans="4:8" x14ac:dyDescent="0.25">
      <c r="D26321" s="28"/>
      <c r="F26321" s="28"/>
      <c r="H26321" s="28"/>
    </row>
    <row r="26322" spans="4:8" x14ac:dyDescent="0.25">
      <c r="D26322" s="28"/>
      <c r="F26322" s="28"/>
      <c r="H26322" s="28"/>
    </row>
    <row r="26323" spans="4:8" x14ac:dyDescent="0.25">
      <c r="D26323" s="28"/>
      <c r="F26323" s="28"/>
      <c r="H26323" s="28"/>
    </row>
    <row r="26324" spans="4:8" x14ac:dyDescent="0.25">
      <c r="D26324" s="28"/>
      <c r="F26324" s="28"/>
      <c r="H26324" s="28"/>
    </row>
    <row r="26325" spans="4:8" x14ac:dyDescent="0.25">
      <c r="D26325" s="28"/>
      <c r="F26325" s="28"/>
      <c r="H26325" s="28"/>
    </row>
    <row r="26326" spans="4:8" x14ac:dyDescent="0.25">
      <c r="D26326" s="28"/>
      <c r="F26326" s="28"/>
      <c r="H26326" s="28"/>
    </row>
    <row r="26327" spans="4:8" x14ac:dyDescent="0.25">
      <c r="D26327" s="28"/>
      <c r="F26327" s="28"/>
      <c r="H26327" s="28"/>
    </row>
    <row r="26328" spans="4:8" x14ac:dyDescent="0.25">
      <c r="D26328" s="28"/>
      <c r="F26328" s="28"/>
      <c r="H26328" s="28"/>
    </row>
    <row r="26329" spans="4:8" x14ac:dyDescent="0.25">
      <c r="D26329" s="28"/>
      <c r="F26329" s="28"/>
      <c r="H26329" s="28"/>
    </row>
    <row r="26330" spans="4:8" x14ac:dyDescent="0.25">
      <c r="D26330" s="28"/>
      <c r="F26330" s="28"/>
      <c r="H26330" s="28"/>
    </row>
    <row r="26331" spans="4:8" x14ac:dyDescent="0.25">
      <c r="D26331" s="28"/>
      <c r="F26331" s="28"/>
      <c r="H26331" s="28"/>
    </row>
    <row r="26332" spans="4:8" x14ac:dyDescent="0.25">
      <c r="D26332" s="28"/>
      <c r="F26332" s="28"/>
      <c r="H26332" s="28"/>
    </row>
    <row r="26333" spans="4:8" x14ac:dyDescent="0.25">
      <c r="D26333" s="28"/>
      <c r="F26333" s="28"/>
      <c r="H26333" s="28"/>
    </row>
    <row r="26334" spans="4:8" x14ac:dyDescent="0.25">
      <c r="D26334" s="28"/>
      <c r="F26334" s="28"/>
      <c r="H26334" s="28"/>
    </row>
    <row r="26335" spans="4:8" x14ac:dyDescent="0.25">
      <c r="D26335" s="28"/>
      <c r="F26335" s="28"/>
      <c r="H26335" s="28"/>
    </row>
    <row r="26336" spans="4:8" x14ac:dyDescent="0.25">
      <c r="D26336" s="28"/>
      <c r="F26336" s="28"/>
      <c r="H26336" s="28"/>
    </row>
    <row r="26337" spans="4:8" x14ac:dyDescent="0.25">
      <c r="D26337" s="28"/>
      <c r="F26337" s="28"/>
      <c r="H26337" s="28"/>
    </row>
    <row r="26338" spans="4:8" x14ac:dyDescent="0.25">
      <c r="D26338" s="28"/>
      <c r="F26338" s="28"/>
      <c r="H26338" s="28"/>
    </row>
    <row r="26339" spans="4:8" x14ac:dyDescent="0.25">
      <c r="D26339" s="28"/>
      <c r="F26339" s="28"/>
      <c r="H26339" s="28"/>
    </row>
    <row r="26340" spans="4:8" x14ac:dyDescent="0.25">
      <c r="D26340" s="28"/>
      <c r="F26340" s="28"/>
      <c r="H26340" s="28"/>
    </row>
    <row r="26341" spans="4:8" x14ac:dyDescent="0.25">
      <c r="D26341" s="28"/>
      <c r="F26341" s="28"/>
      <c r="H26341" s="28"/>
    </row>
    <row r="26342" spans="4:8" x14ac:dyDescent="0.25">
      <c r="D26342" s="28"/>
      <c r="F26342" s="28"/>
      <c r="H26342" s="28"/>
    </row>
    <row r="26343" spans="4:8" x14ac:dyDescent="0.25">
      <c r="D26343" s="28"/>
      <c r="F26343" s="28"/>
      <c r="H26343" s="28"/>
    </row>
    <row r="26344" spans="4:8" x14ac:dyDescent="0.25">
      <c r="D26344" s="28"/>
      <c r="F26344" s="28"/>
      <c r="H26344" s="28"/>
    </row>
    <row r="26345" spans="4:8" x14ac:dyDescent="0.25">
      <c r="D26345" s="28"/>
      <c r="F26345" s="28"/>
      <c r="H26345" s="28"/>
    </row>
    <row r="26346" spans="4:8" x14ac:dyDescent="0.25">
      <c r="D26346" s="28"/>
      <c r="F26346" s="28"/>
      <c r="H26346" s="28"/>
    </row>
    <row r="26347" spans="4:8" x14ac:dyDescent="0.25">
      <c r="D26347" s="28"/>
      <c r="F26347" s="28"/>
      <c r="H26347" s="28"/>
    </row>
    <row r="26348" spans="4:8" x14ac:dyDescent="0.25">
      <c r="D26348" s="28"/>
      <c r="F26348" s="28"/>
      <c r="H26348" s="28"/>
    </row>
    <row r="26349" spans="4:8" x14ac:dyDescent="0.25">
      <c r="D26349" s="28"/>
      <c r="F26349" s="28"/>
      <c r="H26349" s="28"/>
    </row>
    <row r="26350" spans="4:8" x14ac:dyDescent="0.25">
      <c r="D26350" s="28"/>
      <c r="F26350" s="28"/>
      <c r="H26350" s="28"/>
    </row>
    <row r="26351" spans="4:8" x14ac:dyDescent="0.25">
      <c r="D26351" s="28"/>
      <c r="F26351" s="28"/>
      <c r="H26351" s="28"/>
    </row>
    <row r="26352" spans="4:8" x14ac:dyDescent="0.25">
      <c r="D26352" s="28"/>
      <c r="F26352" s="28"/>
      <c r="H26352" s="28"/>
    </row>
    <row r="26353" spans="4:8" x14ac:dyDescent="0.25">
      <c r="D26353" s="28"/>
      <c r="F26353" s="28"/>
      <c r="H26353" s="28"/>
    </row>
    <row r="26354" spans="4:8" x14ac:dyDescent="0.25">
      <c r="D26354" s="28"/>
      <c r="F26354" s="28"/>
      <c r="H26354" s="28"/>
    </row>
    <row r="26355" spans="4:8" x14ac:dyDescent="0.25">
      <c r="D26355" s="28"/>
      <c r="F26355" s="28"/>
      <c r="H26355" s="28"/>
    </row>
    <row r="26356" spans="4:8" x14ac:dyDescent="0.25">
      <c r="D26356" s="28"/>
      <c r="F26356" s="28"/>
      <c r="H26356" s="28"/>
    </row>
    <row r="26357" spans="4:8" x14ac:dyDescent="0.25">
      <c r="D26357" s="28"/>
      <c r="F26357" s="28"/>
      <c r="H26357" s="28"/>
    </row>
    <row r="26358" spans="4:8" x14ac:dyDescent="0.25">
      <c r="D26358" s="28"/>
      <c r="F26358" s="28"/>
      <c r="H26358" s="28"/>
    </row>
    <row r="26359" spans="4:8" x14ac:dyDescent="0.25">
      <c r="D26359" s="28"/>
      <c r="F26359" s="28"/>
      <c r="H26359" s="28"/>
    </row>
    <row r="26360" spans="4:8" x14ac:dyDescent="0.25">
      <c r="D26360" s="28"/>
      <c r="F26360" s="28"/>
      <c r="H26360" s="28"/>
    </row>
    <row r="26361" spans="4:8" x14ac:dyDescent="0.25">
      <c r="D26361" s="28"/>
      <c r="F26361" s="28"/>
      <c r="H26361" s="28"/>
    </row>
    <row r="26362" spans="4:8" x14ac:dyDescent="0.25">
      <c r="D26362" s="28"/>
      <c r="F26362" s="28"/>
      <c r="H26362" s="28"/>
    </row>
    <row r="26363" spans="4:8" x14ac:dyDescent="0.25">
      <c r="D26363" s="28"/>
      <c r="F26363" s="28"/>
      <c r="H26363" s="28"/>
    </row>
    <row r="26364" spans="4:8" x14ac:dyDescent="0.25">
      <c r="D26364" s="28"/>
      <c r="F26364" s="28"/>
      <c r="H26364" s="28"/>
    </row>
    <row r="26365" spans="4:8" x14ac:dyDescent="0.25">
      <c r="D26365" s="28"/>
      <c r="F26365" s="28"/>
      <c r="H26365" s="28"/>
    </row>
    <row r="26366" spans="4:8" x14ac:dyDescent="0.25">
      <c r="D26366" s="28"/>
      <c r="F26366" s="28"/>
      <c r="H26366" s="28"/>
    </row>
    <row r="26367" spans="4:8" x14ac:dyDescent="0.25">
      <c r="D26367" s="28"/>
      <c r="F26367" s="28"/>
      <c r="H26367" s="28"/>
    </row>
    <row r="26368" spans="4:8" x14ac:dyDescent="0.25">
      <c r="D26368" s="28"/>
      <c r="F26368" s="28"/>
      <c r="H26368" s="28"/>
    </row>
    <row r="26369" spans="4:8" x14ac:dyDescent="0.25">
      <c r="D26369" s="28"/>
      <c r="F26369" s="28"/>
      <c r="H26369" s="28"/>
    </row>
    <row r="26370" spans="4:8" x14ac:dyDescent="0.25">
      <c r="D26370" s="28"/>
      <c r="F26370" s="28"/>
      <c r="H26370" s="28"/>
    </row>
    <row r="26371" spans="4:8" x14ac:dyDescent="0.25">
      <c r="D26371" s="28"/>
      <c r="F26371" s="28"/>
      <c r="H26371" s="28"/>
    </row>
    <row r="26372" spans="4:8" x14ac:dyDescent="0.25">
      <c r="D26372" s="28"/>
      <c r="F26372" s="28"/>
      <c r="H26372" s="28"/>
    </row>
    <row r="26373" spans="4:8" x14ac:dyDescent="0.25">
      <c r="D26373" s="28"/>
      <c r="F26373" s="28"/>
      <c r="H26373" s="28"/>
    </row>
    <row r="26374" spans="4:8" x14ac:dyDescent="0.25">
      <c r="D26374" s="28"/>
      <c r="F26374" s="28"/>
      <c r="H26374" s="28"/>
    </row>
    <row r="26375" spans="4:8" x14ac:dyDescent="0.25">
      <c r="D26375" s="28"/>
      <c r="F26375" s="28"/>
      <c r="H26375" s="28"/>
    </row>
    <row r="26376" spans="4:8" x14ac:dyDescent="0.25">
      <c r="D26376" s="28"/>
      <c r="F26376" s="28"/>
      <c r="H26376" s="28"/>
    </row>
    <row r="26377" spans="4:8" x14ac:dyDescent="0.25">
      <c r="D26377" s="28"/>
      <c r="F26377" s="28"/>
      <c r="H26377" s="28"/>
    </row>
    <row r="26378" spans="4:8" x14ac:dyDescent="0.25">
      <c r="D26378" s="28"/>
      <c r="F26378" s="28"/>
      <c r="H26378" s="28"/>
    </row>
    <row r="26379" spans="4:8" x14ac:dyDescent="0.25">
      <c r="D26379" s="28"/>
      <c r="F26379" s="28"/>
      <c r="H26379" s="28"/>
    </row>
    <row r="26380" spans="4:8" x14ac:dyDescent="0.25">
      <c r="D26380" s="28"/>
      <c r="F26380" s="28"/>
      <c r="H26380" s="28"/>
    </row>
    <row r="26381" spans="4:8" x14ac:dyDescent="0.25">
      <c r="D26381" s="28"/>
      <c r="F26381" s="28"/>
      <c r="H26381" s="28"/>
    </row>
    <row r="26382" spans="4:8" x14ac:dyDescent="0.25">
      <c r="D26382" s="28"/>
      <c r="F26382" s="28"/>
      <c r="H26382" s="28"/>
    </row>
    <row r="26383" spans="4:8" x14ac:dyDescent="0.25">
      <c r="D26383" s="28"/>
      <c r="F26383" s="28"/>
      <c r="H26383" s="28"/>
    </row>
    <row r="26384" spans="4:8" x14ac:dyDescent="0.25">
      <c r="D26384" s="28"/>
      <c r="F26384" s="28"/>
      <c r="H26384" s="28"/>
    </row>
    <row r="26385" spans="4:8" x14ac:dyDescent="0.25">
      <c r="D26385" s="28"/>
      <c r="F26385" s="28"/>
      <c r="H26385" s="28"/>
    </row>
    <row r="26386" spans="4:8" x14ac:dyDescent="0.25">
      <c r="D26386" s="28"/>
      <c r="F26386" s="28"/>
      <c r="H26386" s="28"/>
    </row>
    <row r="26387" spans="4:8" x14ac:dyDescent="0.25">
      <c r="D26387" s="28"/>
      <c r="F26387" s="28"/>
      <c r="H26387" s="28"/>
    </row>
    <row r="26388" spans="4:8" x14ac:dyDescent="0.25">
      <c r="D26388" s="28"/>
      <c r="F26388" s="28"/>
      <c r="H26388" s="28"/>
    </row>
    <row r="26389" spans="4:8" x14ac:dyDescent="0.25">
      <c r="D26389" s="28"/>
      <c r="F26389" s="28"/>
      <c r="H26389" s="28"/>
    </row>
    <row r="26390" spans="4:8" x14ac:dyDescent="0.25">
      <c r="D26390" s="28"/>
      <c r="F26390" s="28"/>
      <c r="H26390" s="28"/>
    </row>
    <row r="26391" spans="4:8" x14ac:dyDescent="0.25">
      <c r="D26391" s="28"/>
      <c r="F26391" s="28"/>
      <c r="H26391" s="28"/>
    </row>
    <row r="26392" spans="4:8" x14ac:dyDescent="0.25">
      <c r="D26392" s="28"/>
      <c r="F26392" s="28"/>
      <c r="H26392" s="28"/>
    </row>
    <row r="26393" spans="4:8" x14ac:dyDescent="0.25">
      <c r="D26393" s="28"/>
      <c r="F26393" s="28"/>
      <c r="H26393" s="28"/>
    </row>
    <row r="26394" spans="4:8" x14ac:dyDescent="0.25">
      <c r="D26394" s="28"/>
      <c r="F26394" s="28"/>
      <c r="H26394" s="28"/>
    </row>
    <row r="26395" spans="4:8" x14ac:dyDescent="0.25">
      <c r="D26395" s="28"/>
      <c r="F26395" s="28"/>
      <c r="H26395" s="28"/>
    </row>
    <row r="26396" spans="4:8" x14ac:dyDescent="0.25">
      <c r="D26396" s="28"/>
      <c r="F26396" s="28"/>
      <c r="H26396" s="28"/>
    </row>
    <row r="26397" spans="4:8" x14ac:dyDescent="0.25">
      <c r="D26397" s="28"/>
      <c r="F26397" s="28"/>
      <c r="H26397" s="28"/>
    </row>
    <row r="26398" spans="4:8" x14ac:dyDescent="0.25">
      <c r="D26398" s="28"/>
      <c r="F26398" s="28"/>
      <c r="H26398" s="28"/>
    </row>
    <row r="26399" spans="4:8" x14ac:dyDescent="0.25">
      <c r="D26399" s="28"/>
      <c r="F26399" s="28"/>
      <c r="H26399" s="28"/>
    </row>
    <row r="26400" spans="4:8" x14ac:dyDescent="0.25">
      <c r="D26400" s="28"/>
      <c r="F26400" s="28"/>
      <c r="H26400" s="28"/>
    </row>
    <row r="26401" spans="4:8" x14ac:dyDescent="0.25">
      <c r="D26401" s="28"/>
      <c r="F26401" s="28"/>
      <c r="H26401" s="28"/>
    </row>
    <row r="26402" spans="4:8" x14ac:dyDescent="0.25">
      <c r="D26402" s="28"/>
      <c r="F26402" s="28"/>
      <c r="H26402" s="28"/>
    </row>
    <row r="26403" spans="4:8" x14ac:dyDescent="0.25">
      <c r="D26403" s="28"/>
      <c r="F26403" s="28"/>
      <c r="H26403" s="28"/>
    </row>
    <row r="26404" spans="4:8" x14ac:dyDescent="0.25">
      <c r="D26404" s="28"/>
      <c r="F26404" s="28"/>
      <c r="H26404" s="28"/>
    </row>
    <row r="26405" spans="4:8" x14ac:dyDescent="0.25">
      <c r="D26405" s="28"/>
      <c r="F26405" s="28"/>
      <c r="H26405" s="28"/>
    </row>
    <row r="26406" spans="4:8" x14ac:dyDescent="0.25">
      <c r="D26406" s="28"/>
      <c r="F26406" s="28"/>
      <c r="H26406" s="28"/>
    </row>
    <row r="26407" spans="4:8" x14ac:dyDescent="0.25">
      <c r="D26407" s="28"/>
      <c r="F26407" s="28"/>
      <c r="H26407" s="28"/>
    </row>
    <row r="26408" spans="4:8" x14ac:dyDescent="0.25">
      <c r="D26408" s="28"/>
      <c r="F26408" s="28"/>
      <c r="H26408" s="28"/>
    </row>
    <row r="26409" spans="4:8" x14ac:dyDescent="0.25">
      <c r="D26409" s="28"/>
      <c r="F26409" s="28"/>
      <c r="H26409" s="28"/>
    </row>
    <row r="26410" spans="4:8" x14ac:dyDescent="0.25">
      <c r="D26410" s="28"/>
      <c r="F26410" s="28"/>
      <c r="H26410" s="28"/>
    </row>
    <row r="26411" spans="4:8" x14ac:dyDescent="0.25">
      <c r="D26411" s="28"/>
      <c r="F26411" s="28"/>
      <c r="H26411" s="28"/>
    </row>
    <row r="26412" spans="4:8" x14ac:dyDescent="0.25">
      <c r="D26412" s="28"/>
      <c r="F26412" s="28"/>
      <c r="H26412" s="28"/>
    </row>
    <row r="26413" spans="4:8" x14ac:dyDescent="0.25">
      <c r="D26413" s="28"/>
      <c r="F26413" s="28"/>
      <c r="H26413" s="28"/>
    </row>
    <row r="26414" spans="4:8" x14ac:dyDescent="0.25">
      <c r="D26414" s="28"/>
      <c r="F26414" s="28"/>
      <c r="H26414" s="28"/>
    </row>
    <row r="26415" spans="4:8" x14ac:dyDescent="0.25">
      <c r="D26415" s="28"/>
      <c r="F26415" s="28"/>
      <c r="H26415" s="28"/>
    </row>
    <row r="26416" spans="4:8" x14ac:dyDescent="0.25">
      <c r="D26416" s="28"/>
      <c r="F26416" s="28"/>
      <c r="H26416" s="28"/>
    </row>
    <row r="26417" spans="4:8" x14ac:dyDescent="0.25">
      <c r="D26417" s="28"/>
      <c r="F26417" s="28"/>
      <c r="H26417" s="28"/>
    </row>
    <row r="26418" spans="4:8" x14ac:dyDescent="0.25">
      <c r="D26418" s="28"/>
      <c r="F26418" s="28"/>
      <c r="H26418" s="28"/>
    </row>
    <row r="26419" spans="4:8" x14ac:dyDescent="0.25">
      <c r="D26419" s="28"/>
      <c r="F26419" s="28"/>
      <c r="H26419" s="28"/>
    </row>
    <row r="26420" spans="4:8" x14ac:dyDescent="0.25">
      <c r="D26420" s="28"/>
      <c r="F26420" s="28"/>
      <c r="H26420" s="28"/>
    </row>
    <row r="26421" spans="4:8" x14ac:dyDescent="0.25">
      <c r="D26421" s="28"/>
      <c r="F26421" s="28"/>
      <c r="H26421" s="28"/>
    </row>
    <row r="26422" spans="4:8" x14ac:dyDescent="0.25">
      <c r="D26422" s="28"/>
      <c r="F26422" s="28"/>
      <c r="H26422" s="28"/>
    </row>
    <row r="26423" spans="4:8" x14ac:dyDescent="0.25">
      <c r="D26423" s="28"/>
      <c r="F26423" s="28"/>
      <c r="H26423" s="28"/>
    </row>
    <row r="26424" spans="4:8" x14ac:dyDescent="0.25">
      <c r="D26424" s="28"/>
      <c r="F26424" s="28"/>
      <c r="H26424" s="28"/>
    </row>
    <row r="26425" spans="4:8" x14ac:dyDescent="0.25">
      <c r="D26425" s="28"/>
      <c r="F26425" s="28"/>
      <c r="H26425" s="28"/>
    </row>
    <row r="26426" spans="4:8" x14ac:dyDescent="0.25">
      <c r="D26426" s="28"/>
      <c r="F26426" s="28"/>
      <c r="H26426" s="28"/>
    </row>
    <row r="26427" spans="4:8" x14ac:dyDescent="0.25">
      <c r="D26427" s="28"/>
      <c r="F26427" s="28"/>
      <c r="H26427" s="28"/>
    </row>
    <row r="26428" spans="4:8" x14ac:dyDescent="0.25">
      <c r="D26428" s="28"/>
      <c r="F26428" s="28"/>
      <c r="H26428" s="28"/>
    </row>
    <row r="26429" spans="4:8" x14ac:dyDescent="0.25">
      <c r="D26429" s="28"/>
      <c r="F26429" s="28"/>
      <c r="H26429" s="28"/>
    </row>
    <row r="26430" spans="4:8" x14ac:dyDescent="0.25">
      <c r="D26430" s="28"/>
      <c r="F26430" s="28"/>
      <c r="H26430" s="28"/>
    </row>
    <row r="26431" spans="4:8" x14ac:dyDescent="0.25">
      <c r="D26431" s="28"/>
      <c r="F26431" s="28"/>
      <c r="H26431" s="28"/>
    </row>
    <row r="26432" spans="4:8" x14ac:dyDescent="0.25">
      <c r="D26432" s="28"/>
      <c r="F26432" s="28"/>
      <c r="H26432" s="28"/>
    </row>
    <row r="26433" spans="4:8" x14ac:dyDescent="0.25">
      <c r="D26433" s="28"/>
      <c r="F26433" s="28"/>
      <c r="H26433" s="28"/>
    </row>
    <row r="26434" spans="4:8" x14ac:dyDescent="0.25">
      <c r="D26434" s="28"/>
      <c r="F26434" s="28"/>
      <c r="H26434" s="28"/>
    </row>
    <row r="26435" spans="4:8" x14ac:dyDescent="0.25">
      <c r="D26435" s="28"/>
      <c r="F26435" s="28"/>
      <c r="H26435" s="28"/>
    </row>
    <row r="26436" spans="4:8" x14ac:dyDescent="0.25">
      <c r="D26436" s="28"/>
      <c r="F26436" s="28"/>
      <c r="H26436" s="28"/>
    </row>
    <row r="26437" spans="4:8" x14ac:dyDescent="0.25">
      <c r="D26437" s="28"/>
      <c r="F26437" s="28"/>
      <c r="H26437" s="28"/>
    </row>
    <row r="26438" spans="4:8" x14ac:dyDescent="0.25">
      <c r="D26438" s="28"/>
      <c r="F26438" s="28"/>
      <c r="H26438" s="28"/>
    </row>
    <row r="26439" spans="4:8" x14ac:dyDescent="0.25">
      <c r="D26439" s="28"/>
      <c r="F26439" s="28"/>
      <c r="H26439" s="28"/>
    </row>
    <row r="26440" spans="4:8" x14ac:dyDescent="0.25">
      <c r="D26440" s="28"/>
      <c r="F26440" s="28"/>
      <c r="H26440" s="28"/>
    </row>
    <row r="26441" spans="4:8" x14ac:dyDescent="0.25">
      <c r="D26441" s="28"/>
      <c r="F26441" s="28"/>
      <c r="H26441" s="28"/>
    </row>
    <row r="26442" spans="4:8" x14ac:dyDescent="0.25">
      <c r="D26442" s="28"/>
      <c r="F26442" s="28"/>
      <c r="H26442" s="28"/>
    </row>
    <row r="26443" spans="4:8" x14ac:dyDescent="0.25">
      <c r="D26443" s="28"/>
      <c r="F26443" s="28"/>
      <c r="H26443" s="28"/>
    </row>
    <row r="26444" spans="4:8" x14ac:dyDescent="0.25">
      <c r="D26444" s="28"/>
      <c r="F26444" s="28"/>
      <c r="H26444" s="28"/>
    </row>
    <row r="26445" spans="4:8" x14ac:dyDescent="0.25">
      <c r="D26445" s="28"/>
      <c r="F26445" s="28"/>
      <c r="H26445" s="28"/>
    </row>
    <row r="26446" spans="4:8" x14ac:dyDescent="0.25">
      <c r="D26446" s="28"/>
      <c r="F26446" s="28"/>
      <c r="H26446" s="28"/>
    </row>
    <row r="26447" spans="4:8" x14ac:dyDescent="0.25">
      <c r="D26447" s="28"/>
      <c r="F26447" s="28"/>
      <c r="H26447" s="28"/>
    </row>
    <row r="26448" spans="4:8" x14ac:dyDescent="0.25">
      <c r="D26448" s="28"/>
      <c r="F26448" s="28"/>
      <c r="H26448" s="28"/>
    </row>
    <row r="26449" spans="4:8" x14ac:dyDescent="0.25">
      <c r="D26449" s="28"/>
      <c r="F26449" s="28"/>
      <c r="H26449" s="28"/>
    </row>
    <row r="26450" spans="4:8" x14ac:dyDescent="0.25">
      <c r="D26450" s="28"/>
      <c r="F26450" s="28"/>
      <c r="H26450" s="28"/>
    </row>
    <row r="26451" spans="4:8" x14ac:dyDescent="0.25">
      <c r="D26451" s="28"/>
      <c r="F26451" s="28"/>
      <c r="H26451" s="28"/>
    </row>
    <row r="26452" spans="4:8" x14ac:dyDescent="0.25">
      <c r="D26452" s="28"/>
      <c r="F26452" s="28"/>
      <c r="H26452" s="28"/>
    </row>
    <row r="26453" spans="4:8" x14ac:dyDescent="0.25">
      <c r="D26453" s="28"/>
      <c r="F26453" s="28"/>
      <c r="H26453" s="28"/>
    </row>
    <row r="26454" spans="4:8" x14ac:dyDescent="0.25">
      <c r="D26454" s="28"/>
      <c r="F26454" s="28"/>
      <c r="H26454" s="28"/>
    </row>
    <row r="26455" spans="4:8" x14ac:dyDescent="0.25">
      <c r="D26455" s="28"/>
      <c r="F26455" s="28"/>
      <c r="H26455" s="28"/>
    </row>
    <row r="26456" spans="4:8" x14ac:dyDescent="0.25">
      <c r="D26456" s="28"/>
      <c r="F26456" s="28"/>
      <c r="H26456" s="28"/>
    </row>
    <row r="26457" spans="4:8" x14ac:dyDescent="0.25">
      <c r="D26457" s="28"/>
      <c r="F26457" s="28"/>
      <c r="H26457" s="28"/>
    </row>
    <row r="26458" spans="4:8" x14ac:dyDescent="0.25">
      <c r="D26458" s="28"/>
      <c r="F26458" s="28"/>
      <c r="H26458" s="28"/>
    </row>
    <row r="26459" spans="4:8" x14ac:dyDescent="0.25">
      <c r="D26459" s="28"/>
      <c r="F26459" s="28"/>
      <c r="H26459" s="28"/>
    </row>
    <row r="26460" spans="4:8" x14ac:dyDescent="0.25">
      <c r="D26460" s="28"/>
      <c r="F26460" s="28"/>
      <c r="H26460" s="28"/>
    </row>
    <row r="26461" spans="4:8" x14ac:dyDescent="0.25">
      <c r="D26461" s="28"/>
      <c r="F26461" s="28"/>
      <c r="H26461" s="28"/>
    </row>
    <row r="26462" spans="4:8" x14ac:dyDescent="0.25">
      <c r="D26462" s="28"/>
      <c r="F26462" s="28"/>
      <c r="H26462" s="28"/>
    </row>
    <row r="26463" spans="4:8" x14ac:dyDescent="0.25">
      <c r="D26463" s="28"/>
      <c r="F26463" s="28"/>
      <c r="H26463" s="28"/>
    </row>
    <row r="26464" spans="4:8" x14ac:dyDescent="0.25">
      <c r="D26464" s="28"/>
      <c r="F26464" s="28"/>
      <c r="H26464" s="28"/>
    </row>
    <row r="26465" spans="4:8" x14ac:dyDescent="0.25">
      <c r="D26465" s="28"/>
      <c r="F26465" s="28"/>
      <c r="H26465" s="28"/>
    </row>
    <row r="26466" spans="4:8" x14ac:dyDescent="0.25">
      <c r="D26466" s="28"/>
      <c r="F26466" s="28"/>
      <c r="H26466" s="28"/>
    </row>
    <row r="26467" spans="4:8" x14ac:dyDescent="0.25">
      <c r="D26467" s="28"/>
      <c r="F26467" s="28"/>
      <c r="H26467" s="28"/>
    </row>
    <row r="26468" spans="4:8" x14ac:dyDescent="0.25">
      <c r="D26468" s="28"/>
      <c r="F26468" s="28"/>
      <c r="H26468" s="28"/>
    </row>
    <row r="26469" spans="4:8" x14ac:dyDescent="0.25">
      <c r="D26469" s="28"/>
      <c r="F26469" s="28"/>
      <c r="H26469" s="28"/>
    </row>
    <row r="26470" spans="4:8" x14ac:dyDescent="0.25">
      <c r="D26470" s="28"/>
      <c r="F26470" s="28"/>
      <c r="H26470" s="28"/>
    </row>
    <row r="26471" spans="4:8" x14ac:dyDescent="0.25">
      <c r="D26471" s="28"/>
      <c r="F26471" s="28"/>
      <c r="H26471" s="28"/>
    </row>
    <row r="26472" spans="4:8" x14ac:dyDescent="0.25">
      <c r="D26472" s="28"/>
      <c r="F26472" s="28"/>
      <c r="H26472" s="28"/>
    </row>
    <row r="26473" spans="4:8" x14ac:dyDescent="0.25">
      <c r="D26473" s="28"/>
      <c r="F26473" s="28"/>
      <c r="H26473" s="28"/>
    </row>
    <row r="26474" spans="4:8" x14ac:dyDescent="0.25">
      <c r="D26474" s="28"/>
      <c r="F26474" s="28"/>
      <c r="H26474" s="28"/>
    </row>
    <row r="26475" spans="4:8" x14ac:dyDescent="0.25">
      <c r="D26475" s="28"/>
      <c r="F26475" s="28"/>
      <c r="H26475" s="28"/>
    </row>
    <row r="26476" spans="4:8" x14ac:dyDescent="0.25">
      <c r="D26476" s="28"/>
      <c r="F26476" s="28"/>
      <c r="H26476" s="28"/>
    </row>
    <row r="26477" spans="4:8" x14ac:dyDescent="0.25">
      <c r="D26477" s="28"/>
      <c r="F26477" s="28"/>
      <c r="H26477" s="28"/>
    </row>
    <row r="26478" spans="4:8" x14ac:dyDescent="0.25">
      <c r="D26478" s="28"/>
      <c r="F26478" s="28"/>
      <c r="H26478" s="28"/>
    </row>
    <row r="26479" spans="4:8" x14ac:dyDescent="0.25">
      <c r="D26479" s="28"/>
      <c r="F26479" s="28"/>
      <c r="H26479" s="28"/>
    </row>
    <row r="26480" spans="4:8" x14ac:dyDescent="0.25">
      <c r="D26480" s="28"/>
      <c r="F26480" s="28"/>
      <c r="H26480" s="28"/>
    </row>
    <row r="26481" spans="4:8" x14ac:dyDescent="0.25">
      <c r="D26481" s="28"/>
      <c r="F26481" s="28"/>
      <c r="H26481" s="28"/>
    </row>
    <row r="26482" spans="4:8" x14ac:dyDescent="0.25">
      <c r="D26482" s="28"/>
      <c r="F26482" s="28"/>
      <c r="H26482" s="28"/>
    </row>
    <row r="26483" spans="4:8" x14ac:dyDescent="0.25">
      <c r="D26483" s="28"/>
      <c r="F26483" s="28"/>
      <c r="H26483" s="28"/>
    </row>
    <row r="26484" spans="4:8" x14ac:dyDescent="0.25">
      <c r="D26484" s="28"/>
      <c r="F26484" s="28"/>
      <c r="H26484" s="28"/>
    </row>
    <row r="26485" spans="4:8" x14ac:dyDescent="0.25">
      <c r="D26485" s="28"/>
      <c r="F26485" s="28"/>
      <c r="H26485" s="28"/>
    </row>
    <row r="26486" spans="4:8" x14ac:dyDescent="0.25">
      <c r="D26486" s="28"/>
      <c r="F26486" s="28"/>
      <c r="H26486" s="28"/>
    </row>
    <row r="26487" spans="4:8" x14ac:dyDescent="0.25">
      <c r="D26487" s="28"/>
      <c r="F26487" s="28"/>
      <c r="H26487" s="28"/>
    </row>
    <row r="26488" spans="4:8" x14ac:dyDescent="0.25">
      <c r="D26488" s="28"/>
      <c r="F26488" s="28"/>
      <c r="H26488" s="28"/>
    </row>
    <row r="26489" spans="4:8" x14ac:dyDescent="0.25">
      <c r="D26489" s="28"/>
      <c r="F26489" s="28"/>
      <c r="H26489" s="28"/>
    </row>
    <row r="26490" spans="4:8" x14ac:dyDescent="0.25">
      <c r="D26490" s="28"/>
      <c r="F26490" s="28"/>
      <c r="H26490" s="28"/>
    </row>
    <row r="26491" spans="4:8" x14ac:dyDescent="0.25">
      <c r="D26491" s="28"/>
      <c r="F26491" s="28"/>
      <c r="H26491" s="28"/>
    </row>
    <row r="26492" spans="4:8" x14ac:dyDescent="0.25">
      <c r="D26492" s="28"/>
      <c r="F26492" s="28"/>
      <c r="H26492" s="28"/>
    </row>
    <row r="26493" spans="4:8" x14ac:dyDescent="0.25">
      <c r="D26493" s="28"/>
      <c r="F26493" s="28"/>
      <c r="H26493" s="28"/>
    </row>
    <row r="26494" spans="4:8" x14ac:dyDescent="0.25">
      <c r="D26494" s="28"/>
      <c r="F26494" s="28"/>
      <c r="H26494" s="28"/>
    </row>
    <row r="26495" spans="4:8" x14ac:dyDescent="0.25">
      <c r="D26495" s="28"/>
      <c r="F26495" s="28"/>
      <c r="H26495" s="28"/>
    </row>
    <row r="26496" spans="4:8" x14ac:dyDescent="0.25">
      <c r="D26496" s="28"/>
      <c r="F26496" s="28"/>
      <c r="H26496" s="28"/>
    </row>
    <row r="26497" spans="4:8" x14ac:dyDescent="0.25">
      <c r="D26497" s="28"/>
      <c r="F26497" s="28"/>
      <c r="H26497" s="28"/>
    </row>
    <row r="26498" spans="4:8" x14ac:dyDescent="0.25">
      <c r="D26498" s="28"/>
      <c r="F26498" s="28"/>
      <c r="H26498" s="28"/>
    </row>
    <row r="26499" spans="4:8" x14ac:dyDescent="0.25">
      <c r="D26499" s="28"/>
      <c r="F26499" s="28"/>
      <c r="H26499" s="28"/>
    </row>
    <row r="26500" spans="4:8" x14ac:dyDescent="0.25">
      <c r="D26500" s="28"/>
      <c r="F26500" s="28"/>
      <c r="H26500" s="28"/>
    </row>
    <row r="26501" spans="4:8" x14ac:dyDescent="0.25">
      <c r="D26501" s="28"/>
      <c r="F26501" s="28"/>
      <c r="H26501" s="28"/>
    </row>
    <row r="26502" spans="4:8" x14ac:dyDescent="0.25">
      <c r="D26502" s="28"/>
      <c r="F26502" s="28"/>
      <c r="H26502" s="28"/>
    </row>
    <row r="26503" spans="4:8" x14ac:dyDescent="0.25">
      <c r="D26503" s="28"/>
      <c r="F26503" s="28"/>
      <c r="H26503" s="28"/>
    </row>
    <row r="26504" spans="4:8" x14ac:dyDescent="0.25">
      <c r="D26504" s="28"/>
      <c r="F26504" s="28"/>
      <c r="H26504" s="28"/>
    </row>
    <row r="26505" spans="4:8" x14ac:dyDescent="0.25">
      <c r="D26505" s="28"/>
      <c r="F26505" s="28"/>
      <c r="H26505" s="28"/>
    </row>
    <row r="26506" spans="4:8" x14ac:dyDescent="0.25">
      <c r="D26506" s="28"/>
      <c r="F26506" s="28"/>
      <c r="H26506" s="28"/>
    </row>
    <row r="26507" spans="4:8" x14ac:dyDescent="0.25">
      <c r="D26507" s="28"/>
      <c r="F26507" s="28"/>
      <c r="H26507" s="28"/>
    </row>
    <row r="26508" spans="4:8" x14ac:dyDescent="0.25">
      <c r="D26508" s="28"/>
      <c r="F26508" s="28"/>
      <c r="H26508" s="28"/>
    </row>
    <row r="26509" spans="4:8" x14ac:dyDescent="0.25">
      <c r="D26509" s="28"/>
      <c r="F26509" s="28"/>
      <c r="H26509" s="28"/>
    </row>
    <row r="26510" spans="4:8" x14ac:dyDescent="0.25">
      <c r="D26510" s="28"/>
      <c r="F26510" s="28"/>
      <c r="H26510" s="28"/>
    </row>
    <row r="26511" spans="4:8" x14ac:dyDescent="0.25">
      <c r="D26511" s="28"/>
      <c r="F26511" s="28"/>
      <c r="H26511" s="28"/>
    </row>
    <row r="26512" spans="4:8" x14ac:dyDescent="0.25">
      <c r="D26512" s="28"/>
      <c r="F26512" s="28"/>
      <c r="H26512" s="28"/>
    </row>
    <row r="26513" spans="4:8" x14ac:dyDescent="0.25">
      <c r="D26513" s="28"/>
      <c r="F26513" s="28"/>
      <c r="H26513" s="28"/>
    </row>
    <row r="26514" spans="4:8" x14ac:dyDescent="0.25">
      <c r="D26514" s="28"/>
      <c r="F26514" s="28"/>
      <c r="H26514" s="28"/>
    </row>
    <row r="26515" spans="4:8" x14ac:dyDescent="0.25">
      <c r="D26515" s="28"/>
      <c r="F26515" s="28"/>
      <c r="H26515" s="28"/>
    </row>
    <row r="26516" spans="4:8" x14ac:dyDescent="0.25">
      <c r="D26516" s="28"/>
      <c r="F26516" s="28"/>
      <c r="H26516" s="28"/>
    </row>
    <row r="26517" spans="4:8" x14ac:dyDescent="0.25">
      <c r="D26517" s="28"/>
      <c r="F26517" s="28"/>
      <c r="H26517" s="28"/>
    </row>
    <row r="26518" spans="4:8" x14ac:dyDescent="0.25">
      <c r="D26518" s="28"/>
      <c r="F26518" s="28"/>
      <c r="H26518" s="28"/>
    </row>
    <row r="26519" spans="4:8" x14ac:dyDescent="0.25">
      <c r="D26519" s="28"/>
      <c r="F26519" s="28"/>
      <c r="H26519" s="28"/>
    </row>
    <row r="26520" spans="4:8" x14ac:dyDescent="0.25">
      <c r="D26520" s="28"/>
      <c r="F26520" s="28"/>
      <c r="H26520" s="28"/>
    </row>
    <row r="26521" spans="4:8" x14ac:dyDescent="0.25">
      <c r="D26521" s="28"/>
      <c r="F26521" s="28"/>
      <c r="H26521" s="28"/>
    </row>
    <row r="26522" spans="4:8" x14ac:dyDescent="0.25">
      <c r="D26522" s="28"/>
      <c r="F26522" s="28"/>
      <c r="H26522" s="28"/>
    </row>
    <row r="26523" spans="4:8" x14ac:dyDescent="0.25">
      <c r="D26523" s="28"/>
      <c r="F26523" s="28"/>
      <c r="H26523" s="28"/>
    </row>
    <row r="26524" spans="4:8" x14ac:dyDescent="0.25">
      <c r="D26524" s="28"/>
      <c r="F26524" s="28"/>
      <c r="H26524" s="28"/>
    </row>
    <row r="26525" spans="4:8" x14ac:dyDescent="0.25">
      <c r="D26525" s="28"/>
      <c r="F26525" s="28"/>
      <c r="H26525" s="28"/>
    </row>
    <row r="26526" spans="4:8" x14ac:dyDescent="0.25">
      <c r="D26526" s="28"/>
      <c r="F26526" s="28"/>
      <c r="H26526" s="28"/>
    </row>
    <row r="26527" spans="4:8" x14ac:dyDescent="0.25">
      <c r="D26527" s="28"/>
      <c r="F26527" s="28"/>
      <c r="H26527" s="28"/>
    </row>
    <row r="26528" spans="4:8" x14ac:dyDescent="0.25">
      <c r="D26528" s="28"/>
      <c r="F26528" s="28"/>
      <c r="H26528" s="28"/>
    </row>
    <row r="26529" spans="4:8" x14ac:dyDescent="0.25">
      <c r="D26529" s="28"/>
      <c r="F26529" s="28"/>
      <c r="H26529" s="28"/>
    </row>
    <row r="26530" spans="4:8" x14ac:dyDescent="0.25">
      <c r="D26530" s="28"/>
      <c r="F26530" s="28"/>
      <c r="H26530" s="28"/>
    </row>
    <row r="26531" spans="4:8" x14ac:dyDescent="0.25">
      <c r="D26531" s="28"/>
      <c r="F26531" s="28"/>
      <c r="H26531" s="28"/>
    </row>
    <row r="26532" spans="4:8" x14ac:dyDescent="0.25">
      <c r="D26532" s="28"/>
      <c r="F26532" s="28"/>
      <c r="H26532" s="28"/>
    </row>
    <row r="26533" spans="4:8" x14ac:dyDescent="0.25">
      <c r="D26533" s="28"/>
      <c r="F26533" s="28"/>
      <c r="H26533" s="28"/>
    </row>
    <row r="26534" spans="4:8" x14ac:dyDescent="0.25">
      <c r="D26534" s="28"/>
      <c r="F26534" s="28"/>
      <c r="H26534" s="28"/>
    </row>
    <row r="26535" spans="4:8" x14ac:dyDescent="0.25">
      <c r="D26535" s="28"/>
      <c r="F26535" s="28"/>
      <c r="H26535" s="28"/>
    </row>
    <row r="26536" spans="4:8" x14ac:dyDescent="0.25">
      <c r="D26536" s="28"/>
      <c r="F26536" s="28"/>
      <c r="H26536" s="28"/>
    </row>
    <row r="26537" spans="4:8" x14ac:dyDescent="0.25">
      <c r="D26537" s="28"/>
      <c r="F26537" s="28"/>
      <c r="H26537" s="28"/>
    </row>
    <row r="26538" spans="4:8" x14ac:dyDescent="0.25">
      <c r="D26538" s="28"/>
      <c r="F26538" s="28"/>
      <c r="H26538" s="28"/>
    </row>
    <row r="26539" spans="4:8" x14ac:dyDescent="0.25">
      <c r="D26539" s="28"/>
      <c r="F26539" s="28"/>
      <c r="H26539" s="28"/>
    </row>
    <row r="26540" spans="4:8" x14ac:dyDescent="0.25">
      <c r="D26540" s="28"/>
      <c r="F26540" s="28"/>
      <c r="H26540" s="28"/>
    </row>
    <row r="26541" spans="4:8" x14ac:dyDescent="0.25">
      <c r="D26541" s="28"/>
      <c r="F26541" s="28"/>
      <c r="H26541" s="28"/>
    </row>
    <row r="26542" spans="4:8" x14ac:dyDescent="0.25">
      <c r="D26542" s="28"/>
      <c r="F26542" s="28"/>
      <c r="H26542" s="28"/>
    </row>
    <row r="26543" spans="4:8" x14ac:dyDescent="0.25">
      <c r="D26543" s="28"/>
      <c r="F26543" s="28"/>
      <c r="H26543" s="28"/>
    </row>
    <row r="26544" spans="4:8" x14ac:dyDescent="0.25">
      <c r="D26544" s="28"/>
      <c r="F26544" s="28"/>
      <c r="H26544" s="28"/>
    </row>
    <row r="26545" spans="4:8" x14ac:dyDescent="0.25">
      <c r="D26545" s="28"/>
      <c r="F26545" s="28"/>
      <c r="H26545" s="28"/>
    </row>
    <row r="26546" spans="4:8" x14ac:dyDescent="0.25">
      <c r="D26546" s="28"/>
      <c r="F26546" s="28"/>
      <c r="H26546" s="28"/>
    </row>
    <row r="26547" spans="4:8" x14ac:dyDescent="0.25">
      <c r="D26547" s="28"/>
      <c r="F26547" s="28"/>
      <c r="H26547" s="28"/>
    </row>
    <row r="26548" spans="4:8" x14ac:dyDescent="0.25">
      <c r="D26548" s="28"/>
      <c r="F26548" s="28"/>
      <c r="H26548" s="28"/>
    </row>
    <row r="26549" spans="4:8" x14ac:dyDescent="0.25">
      <c r="D26549" s="28"/>
      <c r="F26549" s="28"/>
      <c r="H26549" s="28"/>
    </row>
    <row r="26550" spans="4:8" x14ac:dyDescent="0.25">
      <c r="D26550" s="28"/>
      <c r="F26550" s="28"/>
      <c r="H26550" s="28"/>
    </row>
    <row r="26551" spans="4:8" x14ac:dyDescent="0.25">
      <c r="D26551" s="28"/>
      <c r="F26551" s="28"/>
      <c r="H26551" s="28"/>
    </row>
    <row r="26552" spans="4:8" x14ac:dyDescent="0.25">
      <c r="D26552" s="28"/>
      <c r="F26552" s="28"/>
      <c r="H26552" s="28"/>
    </row>
    <row r="26553" spans="4:8" x14ac:dyDescent="0.25">
      <c r="D26553" s="28"/>
      <c r="F26553" s="28"/>
      <c r="H26553" s="28"/>
    </row>
    <row r="26554" spans="4:8" x14ac:dyDescent="0.25">
      <c r="D26554" s="28"/>
      <c r="F26554" s="28"/>
      <c r="H26554" s="28"/>
    </row>
    <row r="26555" spans="4:8" x14ac:dyDescent="0.25">
      <c r="D26555" s="28"/>
      <c r="F26555" s="28"/>
      <c r="H26555" s="28"/>
    </row>
    <row r="26556" spans="4:8" x14ac:dyDescent="0.25">
      <c r="D26556" s="28"/>
      <c r="F26556" s="28"/>
      <c r="H26556" s="28"/>
    </row>
    <row r="26557" spans="4:8" x14ac:dyDescent="0.25">
      <c r="D26557" s="28"/>
      <c r="F26557" s="28"/>
      <c r="H26557" s="28"/>
    </row>
    <row r="26558" spans="4:8" x14ac:dyDescent="0.25">
      <c r="D26558" s="28"/>
      <c r="F26558" s="28"/>
      <c r="H26558" s="28"/>
    </row>
    <row r="26559" spans="4:8" x14ac:dyDescent="0.25">
      <c r="D26559" s="28"/>
      <c r="F26559" s="28"/>
      <c r="H26559" s="28"/>
    </row>
    <row r="26560" spans="4:8" x14ac:dyDescent="0.25">
      <c r="D26560" s="28"/>
      <c r="F26560" s="28"/>
      <c r="H26560" s="28"/>
    </row>
    <row r="26561" spans="4:8" x14ac:dyDescent="0.25">
      <c r="D26561" s="28"/>
      <c r="F26561" s="28"/>
      <c r="H26561" s="28"/>
    </row>
    <row r="26562" spans="4:8" x14ac:dyDescent="0.25">
      <c r="D26562" s="28"/>
      <c r="F26562" s="28"/>
      <c r="H26562" s="28"/>
    </row>
    <row r="26563" spans="4:8" x14ac:dyDescent="0.25">
      <c r="D26563" s="28"/>
      <c r="F26563" s="28"/>
      <c r="H26563" s="28"/>
    </row>
    <row r="26564" spans="4:8" x14ac:dyDescent="0.25">
      <c r="D26564" s="28"/>
      <c r="F26564" s="28"/>
      <c r="H26564" s="28"/>
    </row>
    <row r="26565" spans="4:8" x14ac:dyDescent="0.25">
      <c r="D26565" s="28"/>
      <c r="F26565" s="28"/>
      <c r="H26565" s="28"/>
    </row>
    <row r="26566" spans="4:8" x14ac:dyDescent="0.25">
      <c r="D26566" s="28"/>
      <c r="F26566" s="28"/>
      <c r="H26566" s="28"/>
    </row>
    <row r="26567" spans="4:8" x14ac:dyDescent="0.25">
      <c r="D26567" s="28"/>
      <c r="F26567" s="28"/>
      <c r="H26567" s="28"/>
    </row>
    <row r="26568" spans="4:8" x14ac:dyDescent="0.25">
      <c r="D26568" s="28"/>
      <c r="F26568" s="28"/>
      <c r="H26568" s="28"/>
    </row>
    <row r="26569" spans="4:8" x14ac:dyDescent="0.25">
      <c r="D26569" s="28"/>
      <c r="F26569" s="28"/>
      <c r="H26569" s="28"/>
    </row>
    <row r="26570" spans="4:8" x14ac:dyDescent="0.25">
      <c r="D26570" s="28"/>
      <c r="F26570" s="28"/>
      <c r="H26570" s="28"/>
    </row>
    <row r="26571" spans="4:8" x14ac:dyDescent="0.25">
      <c r="D26571" s="28"/>
      <c r="F26571" s="28"/>
      <c r="H26571" s="28"/>
    </row>
    <row r="26572" spans="4:8" x14ac:dyDescent="0.25">
      <c r="D26572" s="28"/>
      <c r="F26572" s="28"/>
      <c r="H26572" s="28"/>
    </row>
    <row r="26573" spans="4:8" x14ac:dyDescent="0.25">
      <c r="D26573" s="28"/>
      <c r="F26573" s="28"/>
      <c r="H26573" s="28"/>
    </row>
    <row r="26574" spans="4:8" x14ac:dyDescent="0.25">
      <c r="D26574" s="28"/>
      <c r="F26574" s="28"/>
      <c r="H26574" s="28"/>
    </row>
    <row r="26575" spans="4:8" x14ac:dyDescent="0.25">
      <c r="D26575" s="28"/>
      <c r="F26575" s="28"/>
      <c r="H26575" s="28"/>
    </row>
    <row r="26576" spans="4:8" x14ac:dyDescent="0.25">
      <c r="D26576" s="28"/>
      <c r="F26576" s="28"/>
      <c r="H26576" s="28"/>
    </row>
    <row r="26577" spans="4:8" x14ac:dyDescent="0.25">
      <c r="D26577" s="28"/>
      <c r="F26577" s="28"/>
      <c r="H26577" s="28"/>
    </row>
    <row r="26578" spans="4:8" x14ac:dyDescent="0.25">
      <c r="D26578" s="28"/>
      <c r="F26578" s="28"/>
      <c r="H26578" s="28"/>
    </row>
    <row r="26579" spans="4:8" x14ac:dyDescent="0.25">
      <c r="D26579" s="28"/>
      <c r="F26579" s="28"/>
      <c r="H26579" s="28"/>
    </row>
    <row r="26580" spans="4:8" x14ac:dyDescent="0.25">
      <c r="D26580" s="28"/>
      <c r="F26580" s="28"/>
      <c r="H26580" s="28"/>
    </row>
    <row r="26581" spans="4:8" x14ac:dyDescent="0.25">
      <c r="D26581" s="28"/>
      <c r="F26581" s="28"/>
      <c r="H26581" s="28"/>
    </row>
    <row r="26582" spans="4:8" x14ac:dyDescent="0.25">
      <c r="D26582" s="28"/>
      <c r="F26582" s="28"/>
      <c r="H26582" s="28"/>
    </row>
    <row r="26583" spans="4:8" x14ac:dyDescent="0.25">
      <c r="D26583" s="28"/>
      <c r="F26583" s="28"/>
      <c r="H26583" s="28"/>
    </row>
    <row r="26584" spans="4:8" x14ac:dyDescent="0.25">
      <c r="D26584" s="28"/>
      <c r="F26584" s="28"/>
      <c r="H26584" s="28"/>
    </row>
    <row r="26585" spans="4:8" x14ac:dyDescent="0.25">
      <c r="D26585" s="28"/>
      <c r="F26585" s="28"/>
      <c r="H26585" s="28"/>
    </row>
    <row r="26586" spans="4:8" x14ac:dyDescent="0.25">
      <c r="D26586" s="28"/>
      <c r="F26586" s="28"/>
      <c r="H26586" s="28"/>
    </row>
    <row r="26587" spans="4:8" x14ac:dyDescent="0.25">
      <c r="D26587" s="28"/>
      <c r="F26587" s="28"/>
      <c r="H26587" s="28"/>
    </row>
    <row r="26588" spans="4:8" x14ac:dyDescent="0.25">
      <c r="D26588" s="28"/>
      <c r="F26588" s="28"/>
      <c r="H26588" s="28"/>
    </row>
    <row r="26589" spans="4:8" x14ac:dyDescent="0.25">
      <c r="D26589" s="28"/>
      <c r="F26589" s="28"/>
      <c r="H26589" s="28"/>
    </row>
    <row r="26590" spans="4:8" x14ac:dyDescent="0.25">
      <c r="D26590" s="28"/>
      <c r="F26590" s="28"/>
      <c r="H26590" s="28"/>
    </row>
    <row r="26591" spans="4:8" x14ac:dyDescent="0.25">
      <c r="D26591" s="28"/>
      <c r="F26591" s="28"/>
      <c r="H26591" s="28"/>
    </row>
    <row r="26592" spans="4:8" x14ac:dyDescent="0.25">
      <c r="D26592" s="28"/>
      <c r="F26592" s="28"/>
      <c r="H26592" s="28"/>
    </row>
    <row r="26593" spans="4:8" x14ac:dyDescent="0.25">
      <c r="D26593" s="28"/>
      <c r="F26593" s="28"/>
      <c r="H26593" s="28"/>
    </row>
    <row r="26594" spans="4:8" x14ac:dyDescent="0.25">
      <c r="D26594" s="28"/>
      <c r="F26594" s="28"/>
      <c r="H26594" s="28"/>
    </row>
    <row r="26595" spans="4:8" x14ac:dyDescent="0.25">
      <c r="D26595" s="28"/>
      <c r="F26595" s="28"/>
      <c r="H26595" s="28"/>
    </row>
    <row r="26596" spans="4:8" x14ac:dyDescent="0.25">
      <c r="D26596" s="28"/>
      <c r="F26596" s="28"/>
      <c r="H26596" s="28"/>
    </row>
    <row r="26597" spans="4:8" x14ac:dyDescent="0.25">
      <c r="D26597" s="28"/>
      <c r="F26597" s="28"/>
      <c r="H26597" s="28"/>
    </row>
    <row r="26598" spans="4:8" x14ac:dyDescent="0.25">
      <c r="D26598" s="28"/>
      <c r="F26598" s="28"/>
      <c r="H26598" s="28"/>
    </row>
    <row r="26599" spans="4:8" x14ac:dyDescent="0.25">
      <c r="D26599" s="28"/>
      <c r="F26599" s="28"/>
      <c r="H26599" s="28"/>
    </row>
    <row r="26600" spans="4:8" x14ac:dyDescent="0.25">
      <c r="D26600" s="28"/>
      <c r="F26600" s="28"/>
      <c r="H26600" s="28"/>
    </row>
    <row r="26601" spans="4:8" x14ac:dyDescent="0.25">
      <c r="D26601" s="28"/>
      <c r="F26601" s="28"/>
      <c r="H26601" s="28"/>
    </row>
    <row r="26602" spans="4:8" x14ac:dyDescent="0.25">
      <c r="D26602" s="28"/>
      <c r="F26602" s="28"/>
      <c r="H26602" s="28"/>
    </row>
    <row r="26603" spans="4:8" x14ac:dyDescent="0.25">
      <c r="D26603" s="28"/>
      <c r="F26603" s="28"/>
      <c r="H26603" s="28"/>
    </row>
    <row r="26604" spans="4:8" x14ac:dyDescent="0.25">
      <c r="D26604" s="28"/>
      <c r="F26604" s="28"/>
      <c r="H26604" s="28"/>
    </row>
    <row r="26605" spans="4:8" x14ac:dyDescent="0.25">
      <c r="D26605" s="28"/>
      <c r="F26605" s="28"/>
      <c r="H26605" s="28"/>
    </row>
    <row r="26606" spans="4:8" x14ac:dyDescent="0.25">
      <c r="D26606" s="28"/>
      <c r="F26606" s="28"/>
      <c r="H26606" s="28"/>
    </row>
    <row r="26607" spans="4:8" x14ac:dyDescent="0.25">
      <c r="D26607" s="28"/>
      <c r="F26607" s="28"/>
      <c r="H26607" s="28"/>
    </row>
    <row r="26608" spans="4:8" x14ac:dyDescent="0.25">
      <c r="D26608" s="28"/>
      <c r="F26608" s="28"/>
      <c r="H26608" s="28"/>
    </row>
    <row r="26609" spans="4:8" x14ac:dyDescent="0.25">
      <c r="D26609" s="28"/>
      <c r="F26609" s="28"/>
      <c r="H26609" s="28"/>
    </row>
    <row r="26610" spans="4:8" x14ac:dyDescent="0.25">
      <c r="D26610" s="28"/>
      <c r="F26610" s="28"/>
      <c r="H26610" s="28"/>
    </row>
    <row r="26611" spans="4:8" x14ac:dyDescent="0.25">
      <c r="D26611" s="28"/>
      <c r="F26611" s="28"/>
      <c r="H26611" s="28"/>
    </row>
    <row r="26612" spans="4:8" x14ac:dyDescent="0.25">
      <c r="D26612" s="28"/>
      <c r="F26612" s="28"/>
      <c r="H26612" s="28"/>
    </row>
    <row r="26613" spans="4:8" x14ac:dyDescent="0.25">
      <c r="D26613" s="28"/>
      <c r="F26613" s="28"/>
      <c r="H26613" s="28"/>
    </row>
    <row r="26614" spans="4:8" x14ac:dyDescent="0.25">
      <c r="D26614" s="28"/>
      <c r="F26614" s="28"/>
      <c r="H26614" s="28"/>
    </row>
    <row r="26615" spans="4:8" x14ac:dyDescent="0.25">
      <c r="D26615" s="28"/>
      <c r="F26615" s="28"/>
      <c r="H26615" s="28"/>
    </row>
    <row r="26616" spans="4:8" x14ac:dyDescent="0.25">
      <c r="D26616" s="28"/>
      <c r="F26616" s="28"/>
      <c r="H26616" s="28"/>
    </row>
    <row r="26617" spans="4:8" x14ac:dyDescent="0.25">
      <c r="D26617" s="28"/>
      <c r="F26617" s="28"/>
      <c r="H26617" s="28"/>
    </row>
    <row r="26618" spans="4:8" x14ac:dyDescent="0.25">
      <c r="D26618" s="28"/>
      <c r="F26618" s="28"/>
      <c r="H26618" s="28"/>
    </row>
    <row r="26619" spans="4:8" x14ac:dyDescent="0.25">
      <c r="D26619" s="28"/>
      <c r="F26619" s="28"/>
      <c r="H26619" s="28"/>
    </row>
    <row r="26620" spans="4:8" x14ac:dyDescent="0.25">
      <c r="D26620" s="28"/>
      <c r="F26620" s="28"/>
      <c r="H26620" s="28"/>
    </row>
    <row r="26621" spans="4:8" x14ac:dyDescent="0.25">
      <c r="D26621" s="28"/>
      <c r="F26621" s="28"/>
      <c r="H26621" s="28"/>
    </row>
    <row r="26622" spans="4:8" x14ac:dyDescent="0.25">
      <c r="D26622" s="28"/>
      <c r="F26622" s="28"/>
      <c r="H26622" s="28"/>
    </row>
    <row r="26623" spans="4:8" x14ac:dyDescent="0.25">
      <c r="D26623" s="28"/>
      <c r="F26623" s="28"/>
      <c r="H26623" s="28"/>
    </row>
    <row r="26624" spans="4:8" x14ac:dyDescent="0.25">
      <c r="D26624" s="28"/>
      <c r="F26624" s="28"/>
      <c r="H26624" s="28"/>
    </row>
    <row r="26625" spans="4:8" x14ac:dyDescent="0.25">
      <c r="D26625" s="28"/>
      <c r="F26625" s="28"/>
      <c r="H26625" s="28"/>
    </row>
    <row r="26626" spans="4:8" x14ac:dyDescent="0.25">
      <c r="D26626" s="28"/>
      <c r="F26626" s="28"/>
      <c r="H26626" s="28"/>
    </row>
    <row r="26627" spans="4:8" x14ac:dyDescent="0.25">
      <c r="D26627" s="28"/>
      <c r="F26627" s="28"/>
      <c r="H26627" s="28"/>
    </row>
    <row r="26628" spans="4:8" x14ac:dyDescent="0.25">
      <c r="D26628" s="28"/>
      <c r="F26628" s="28"/>
      <c r="H26628" s="28"/>
    </row>
    <row r="26629" spans="4:8" x14ac:dyDescent="0.25">
      <c r="D26629" s="28"/>
      <c r="F26629" s="28"/>
      <c r="H26629" s="28"/>
    </row>
    <row r="26630" spans="4:8" x14ac:dyDescent="0.25">
      <c r="D26630" s="28"/>
      <c r="F26630" s="28"/>
      <c r="H26630" s="28"/>
    </row>
    <row r="26631" spans="4:8" x14ac:dyDescent="0.25">
      <c r="D26631" s="28"/>
      <c r="F26631" s="28"/>
      <c r="H26631" s="28"/>
    </row>
    <row r="26632" spans="4:8" x14ac:dyDescent="0.25">
      <c r="D26632" s="28"/>
      <c r="F26632" s="28"/>
      <c r="H26632" s="28"/>
    </row>
    <row r="26633" spans="4:8" x14ac:dyDescent="0.25">
      <c r="D26633" s="28"/>
      <c r="F26633" s="28"/>
      <c r="H26633" s="28"/>
    </row>
    <row r="26634" spans="4:8" x14ac:dyDescent="0.25">
      <c r="D26634" s="28"/>
      <c r="F26634" s="28"/>
      <c r="H26634" s="28"/>
    </row>
    <row r="26635" spans="4:8" x14ac:dyDescent="0.25">
      <c r="D26635" s="28"/>
      <c r="F26635" s="28"/>
      <c r="H26635" s="28"/>
    </row>
    <row r="26636" spans="4:8" x14ac:dyDescent="0.25">
      <c r="D26636" s="28"/>
      <c r="F26636" s="28"/>
      <c r="H26636" s="28"/>
    </row>
    <row r="26637" spans="4:8" x14ac:dyDescent="0.25">
      <c r="D26637" s="28"/>
      <c r="F26637" s="28"/>
      <c r="H26637" s="28"/>
    </row>
    <row r="26638" spans="4:8" x14ac:dyDescent="0.25">
      <c r="D26638" s="28"/>
      <c r="F26638" s="28"/>
      <c r="H26638" s="28"/>
    </row>
    <row r="26639" spans="4:8" x14ac:dyDescent="0.25">
      <c r="D26639" s="28"/>
      <c r="F26639" s="28"/>
      <c r="H26639" s="28"/>
    </row>
    <row r="26640" spans="4:8" x14ac:dyDescent="0.25">
      <c r="D26640" s="28"/>
      <c r="F26640" s="28"/>
      <c r="H26640" s="28"/>
    </row>
    <row r="26641" spans="4:8" x14ac:dyDescent="0.25">
      <c r="D26641" s="28"/>
      <c r="F26641" s="28"/>
      <c r="H26641" s="28"/>
    </row>
    <row r="26642" spans="4:8" x14ac:dyDescent="0.25">
      <c r="D26642" s="28"/>
      <c r="F26642" s="28"/>
      <c r="H26642" s="28"/>
    </row>
    <row r="26643" spans="4:8" x14ac:dyDescent="0.25">
      <c r="D26643" s="28"/>
      <c r="F26643" s="28"/>
      <c r="H26643" s="28"/>
    </row>
    <row r="26644" spans="4:8" x14ac:dyDescent="0.25">
      <c r="D26644" s="28"/>
      <c r="F26644" s="28"/>
      <c r="H26644" s="28"/>
    </row>
    <row r="26645" spans="4:8" x14ac:dyDescent="0.25">
      <c r="D26645" s="28"/>
      <c r="F26645" s="28"/>
      <c r="H26645" s="28"/>
    </row>
    <row r="26646" spans="4:8" x14ac:dyDescent="0.25">
      <c r="D26646" s="28"/>
      <c r="F26646" s="28"/>
      <c r="H26646" s="28"/>
    </row>
    <row r="26647" spans="4:8" x14ac:dyDescent="0.25">
      <c r="D26647" s="28"/>
      <c r="F26647" s="28"/>
      <c r="H26647" s="28"/>
    </row>
    <row r="26648" spans="4:8" x14ac:dyDescent="0.25">
      <c r="D26648" s="28"/>
      <c r="F26648" s="28"/>
      <c r="H26648" s="28"/>
    </row>
    <row r="26649" spans="4:8" x14ac:dyDescent="0.25">
      <c r="D26649" s="28"/>
      <c r="F26649" s="28"/>
      <c r="H26649" s="28"/>
    </row>
    <row r="26650" spans="4:8" x14ac:dyDescent="0.25">
      <c r="D26650" s="28"/>
      <c r="F26650" s="28"/>
      <c r="H26650" s="28"/>
    </row>
    <row r="26651" spans="4:8" x14ac:dyDescent="0.25">
      <c r="D26651" s="28"/>
      <c r="F26651" s="28"/>
      <c r="H26651" s="28"/>
    </row>
    <row r="26652" spans="4:8" x14ac:dyDescent="0.25">
      <c r="D26652" s="28"/>
      <c r="F26652" s="28"/>
      <c r="H26652" s="28"/>
    </row>
    <row r="26653" spans="4:8" x14ac:dyDescent="0.25">
      <c r="D26653" s="28"/>
      <c r="F26653" s="28"/>
      <c r="H26653" s="28"/>
    </row>
    <row r="26654" spans="4:8" x14ac:dyDescent="0.25">
      <c r="D26654" s="28"/>
      <c r="F26654" s="28"/>
      <c r="H26654" s="28"/>
    </row>
    <row r="26655" spans="4:8" x14ac:dyDescent="0.25">
      <c r="D26655" s="28"/>
      <c r="F26655" s="28"/>
      <c r="H26655" s="28"/>
    </row>
    <row r="26656" spans="4:8" x14ac:dyDescent="0.25">
      <c r="D26656" s="28"/>
      <c r="F26656" s="28"/>
      <c r="H26656" s="28"/>
    </row>
    <row r="26657" spans="4:8" x14ac:dyDescent="0.25">
      <c r="D26657" s="28"/>
      <c r="F26657" s="28"/>
      <c r="H26657" s="28"/>
    </row>
    <row r="26658" spans="4:8" x14ac:dyDescent="0.25">
      <c r="D26658" s="28"/>
      <c r="F26658" s="28"/>
      <c r="H26658" s="28"/>
    </row>
    <row r="26659" spans="4:8" x14ac:dyDescent="0.25">
      <c r="D26659" s="28"/>
      <c r="F26659" s="28"/>
      <c r="H26659" s="28"/>
    </row>
    <row r="26660" spans="4:8" x14ac:dyDescent="0.25">
      <c r="D26660" s="28"/>
      <c r="F26660" s="28"/>
      <c r="H26660" s="28"/>
    </row>
    <row r="26661" spans="4:8" x14ac:dyDescent="0.25">
      <c r="D26661" s="28"/>
      <c r="F26661" s="28"/>
      <c r="H26661" s="28"/>
    </row>
    <row r="26662" spans="4:8" x14ac:dyDescent="0.25">
      <c r="D26662" s="28"/>
      <c r="F26662" s="28"/>
      <c r="H26662" s="28"/>
    </row>
    <row r="26663" spans="4:8" x14ac:dyDescent="0.25">
      <c r="D26663" s="28"/>
      <c r="F26663" s="28"/>
      <c r="H26663" s="28"/>
    </row>
    <row r="26664" spans="4:8" x14ac:dyDescent="0.25">
      <c r="D26664" s="28"/>
      <c r="F26664" s="28"/>
      <c r="H26664" s="28"/>
    </row>
    <row r="26665" spans="4:8" x14ac:dyDescent="0.25">
      <c r="D26665" s="28"/>
      <c r="F26665" s="28"/>
      <c r="H26665" s="28"/>
    </row>
    <row r="26666" spans="4:8" x14ac:dyDescent="0.25">
      <c r="D26666" s="28"/>
      <c r="F26666" s="28"/>
      <c r="H26666" s="28"/>
    </row>
    <row r="26667" spans="4:8" x14ac:dyDescent="0.25">
      <c r="D26667" s="28"/>
      <c r="F26667" s="28"/>
      <c r="H26667" s="28"/>
    </row>
    <row r="26668" spans="4:8" x14ac:dyDescent="0.25">
      <c r="D26668" s="28"/>
      <c r="F26668" s="28"/>
      <c r="H26668" s="28"/>
    </row>
    <row r="26669" spans="4:8" x14ac:dyDescent="0.25">
      <c r="D26669" s="28"/>
      <c r="F26669" s="28"/>
      <c r="H26669" s="28"/>
    </row>
    <row r="26670" spans="4:8" x14ac:dyDescent="0.25">
      <c r="D26670" s="28"/>
      <c r="F26670" s="28"/>
      <c r="H26670" s="28"/>
    </row>
    <row r="26671" spans="4:8" x14ac:dyDescent="0.25">
      <c r="D26671" s="28"/>
      <c r="F26671" s="28"/>
      <c r="H26671" s="28"/>
    </row>
    <row r="26672" spans="4:8" x14ac:dyDescent="0.25">
      <c r="D26672" s="28"/>
      <c r="F26672" s="28"/>
      <c r="H26672" s="28"/>
    </row>
    <row r="26673" spans="4:8" x14ac:dyDescent="0.25">
      <c r="D26673" s="28"/>
      <c r="F26673" s="28"/>
      <c r="H26673" s="28"/>
    </row>
    <row r="26674" spans="4:8" x14ac:dyDescent="0.25">
      <c r="D26674" s="28"/>
      <c r="F26674" s="28"/>
      <c r="H26674" s="28"/>
    </row>
    <row r="26675" spans="4:8" x14ac:dyDescent="0.25">
      <c r="D26675" s="28"/>
      <c r="F26675" s="28"/>
      <c r="H26675" s="28"/>
    </row>
    <row r="26676" spans="4:8" x14ac:dyDescent="0.25">
      <c r="D26676" s="28"/>
      <c r="F26676" s="28"/>
      <c r="H26676" s="28"/>
    </row>
    <row r="26677" spans="4:8" x14ac:dyDescent="0.25">
      <c r="D26677" s="28"/>
      <c r="F26677" s="28"/>
      <c r="H26677" s="28"/>
    </row>
    <row r="26678" spans="4:8" x14ac:dyDescent="0.25">
      <c r="D26678" s="28"/>
      <c r="F26678" s="28"/>
      <c r="H26678" s="28"/>
    </row>
    <row r="26679" spans="4:8" x14ac:dyDescent="0.25">
      <c r="D26679" s="28"/>
      <c r="F26679" s="28"/>
      <c r="H26679" s="28"/>
    </row>
    <row r="26680" spans="4:8" x14ac:dyDescent="0.25">
      <c r="D26680" s="28"/>
      <c r="F26680" s="28"/>
      <c r="H26680" s="28"/>
    </row>
    <row r="26681" spans="4:8" x14ac:dyDescent="0.25">
      <c r="D26681" s="28"/>
      <c r="F26681" s="28"/>
      <c r="H26681" s="28"/>
    </row>
    <row r="26682" spans="4:8" x14ac:dyDescent="0.25">
      <c r="D26682" s="28"/>
      <c r="F26682" s="28"/>
      <c r="H26682" s="28"/>
    </row>
    <row r="26683" spans="4:8" x14ac:dyDescent="0.25">
      <c r="D26683" s="28"/>
      <c r="F26683" s="28"/>
      <c r="H26683" s="28"/>
    </row>
    <row r="26684" spans="4:8" x14ac:dyDescent="0.25">
      <c r="D26684" s="28"/>
      <c r="F26684" s="28"/>
      <c r="H26684" s="28"/>
    </row>
    <row r="26685" spans="4:8" x14ac:dyDescent="0.25">
      <c r="D26685" s="28"/>
      <c r="F26685" s="28"/>
      <c r="H26685" s="28"/>
    </row>
    <row r="26686" spans="4:8" x14ac:dyDescent="0.25">
      <c r="D26686" s="28"/>
      <c r="F26686" s="28"/>
      <c r="H26686" s="28"/>
    </row>
    <row r="26687" spans="4:8" x14ac:dyDescent="0.25">
      <c r="D26687" s="28"/>
      <c r="F26687" s="28"/>
      <c r="H26687" s="28"/>
    </row>
    <row r="26688" spans="4:8" x14ac:dyDescent="0.25">
      <c r="D26688" s="28"/>
      <c r="F26688" s="28"/>
      <c r="H26688" s="28"/>
    </row>
    <row r="26689" spans="4:8" x14ac:dyDescent="0.25">
      <c r="D26689" s="28"/>
      <c r="F26689" s="28"/>
      <c r="H26689" s="28"/>
    </row>
    <row r="26690" spans="4:8" x14ac:dyDescent="0.25">
      <c r="D26690" s="28"/>
      <c r="F26690" s="28"/>
      <c r="H26690" s="28"/>
    </row>
    <row r="26691" spans="4:8" x14ac:dyDescent="0.25">
      <c r="D26691" s="28"/>
      <c r="F26691" s="28"/>
      <c r="H26691" s="28"/>
    </row>
    <row r="26692" spans="4:8" x14ac:dyDescent="0.25">
      <c r="D26692" s="28"/>
      <c r="F26692" s="28"/>
      <c r="H26692" s="28"/>
    </row>
    <row r="26693" spans="4:8" x14ac:dyDescent="0.25">
      <c r="D26693" s="28"/>
      <c r="F26693" s="28"/>
      <c r="H26693" s="28"/>
    </row>
    <row r="26694" spans="4:8" x14ac:dyDescent="0.25">
      <c r="D26694" s="28"/>
      <c r="F26694" s="28"/>
      <c r="H26694" s="28"/>
    </row>
    <row r="26695" spans="4:8" x14ac:dyDescent="0.25">
      <c r="D26695" s="28"/>
      <c r="F26695" s="28"/>
      <c r="H26695" s="28"/>
    </row>
    <row r="26696" spans="4:8" x14ac:dyDescent="0.25">
      <c r="D26696" s="28"/>
      <c r="F26696" s="28"/>
      <c r="H26696" s="28"/>
    </row>
    <row r="26697" spans="4:8" x14ac:dyDescent="0.25">
      <c r="D26697" s="28"/>
      <c r="F26697" s="28"/>
      <c r="H26697" s="28"/>
    </row>
    <row r="26698" spans="4:8" x14ac:dyDescent="0.25">
      <c r="D26698" s="28"/>
      <c r="F26698" s="28"/>
      <c r="H26698" s="28"/>
    </row>
    <row r="26699" spans="4:8" x14ac:dyDescent="0.25">
      <c r="D26699" s="28"/>
      <c r="F26699" s="28"/>
      <c r="H26699" s="28"/>
    </row>
    <row r="26700" spans="4:8" x14ac:dyDescent="0.25">
      <c r="D26700" s="28"/>
      <c r="F26700" s="28"/>
      <c r="H26700" s="28"/>
    </row>
    <row r="26701" spans="4:8" x14ac:dyDescent="0.25">
      <c r="D26701" s="28"/>
      <c r="F26701" s="28"/>
      <c r="H26701" s="28"/>
    </row>
    <row r="26702" spans="4:8" x14ac:dyDescent="0.25">
      <c r="D26702" s="28"/>
      <c r="F26702" s="28"/>
      <c r="H26702" s="28"/>
    </row>
    <row r="26703" spans="4:8" x14ac:dyDescent="0.25">
      <c r="D26703" s="28"/>
      <c r="F26703" s="28"/>
      <c r="H26703" s="28"/>
    </row>
    <row r="26704" spans="4:8" x14ac:dyDescent="0.25">
      <c r="D26704" s="28"/>
      <c r="F26704" s="28"/>
      <c r="H26704" s="28"/>
    </row>
    <row r="26705" spans="4:8" x14ac:dyDescent="0.25">
      <c r="D26705" s="28"/>
      <c r="F26705" s="28"/>
      <c r="H26705" s="28"/>
    </row>
    <row r="26706" spans="4:8" x14ac:dyDescent="0.25">
      <c r="D26706" s="28"/>
      <c r="F26706" s="28"/>
      <c r="H26706" s="28"/>
    </row>
    <row r="26707" spans="4:8" x14ac:dyDescent="0.25">
      <c r="D26707" s="28"/>
      <c r="F26707" s="28"/>
      <c r="H26707" s="28"/>
    </row>
    <row r="26708" spans="4:8" x14ac:dyDescent="0.25">
      <c r="D26708" s="28"/>
      <c r="F26708" s="28"/>
      <c r="H26708" s="28"/>
    </row>
    <row r="26709" spans="4:8" x14ac:dyDescent="0.25">
      <c r="D26709" s="28"/>
      <c r="F26709" s="28"/>
      <c r="H26709" s="28"/>
    </row>
    <row r="26710" spans="4:8" x14ac:dyDescent="0.25">
      <c r="D26710" s="28"/>
      <c r="F26710" s="28"/>
      <c r="H26710" s="28"/>
    </row>
    <row r="26711" spans="4:8" x14ac:dyDescent="0.25">
      <c r="D26711" s="28"/>
      <c r="F26711" s="28"/>
      <c r="H26711" s="28"/>
    </row>
    <row r="26712" spans="4:8" x14ac:dyDescent="0.25">
      <c r="D26712" s="28"/>
      <c r="F26712" s="28"/>
      <c r="H26712" s="28"/>
    </row>
    <row r="26713" spans="4:8" x14ac:dyDescent="0.25">
      <c r="D26713" s="28"/>
      <c r="F26713" s="28"/>
      <c r="H26713" s="28"/>
    </row>
    <row r="26714" spans="4:8" x14ac:dyDescent="0.25">
      <c r="D26714" s="28"/>
      <c r="F26714" s="28"/>
      <c r="H26714" s="28"/>
    </row>
    <row r="26715" spans="4:8" x14ac:dyDescent="0.25">
      <c r="D26715" s="28"/>
      <c r="F26715" s="28"/>
      <c r="H26715" s="28"/>
    </row>
    <row r="26716" spans="4:8" x14ac:dyDescent="0.25">
      <c r="D26716" s="28"/>
      <c r="F26716" s="28"/>
      <c r="H26716" s="28"/>
    </row>
    <row r="26717" spans="4:8" x14ac:dyDescent="0.25">
      <c r="D26717" s="28"/>
      <c r="F26717" s="28"/>
      <c r="H26717" s="28"/>
    </row>
    <row r="26718" spans="4:8" x14ac:dyDescent="0.25">
      <c r="D26718" s="28"/>
      <c r="F26718" s="28"/>
      <c r="H26718" s="28"/>
    </row>
    <row r="26719" spans="4:8" x14ac:dyDescent="0.25">
      <c r="D26719" s="28"/>
      <c r="F26719" s="28"/>
      <c r="H26719" s="28"/>
    </row>
    <row r="26720" spans="4:8" x14ac:dyDescent="0.25">
      <c r="D26720" s="28"/>
      <c r="F26720" s="28"/>
      <c r="H26720" s="28"/>
    </row>
    <row r="26721" spans="4:8" x14ac:dyDescent="0.25">
      <c r="D26721" s="28"/>
      <c r="F26721" s="28"/>
      <c r="H26721" s="28"/>
    </row>
    <row r="26722" spans="4:8" x14ac:dyDescent="0.25">
      <c r="D26722" s="28"/>
      <c r="F26722" s="28"/>
      <c r="H26722" s="28"/>
    </row>
    <row r="26723" spans="4:8" x14ac:dyDescent="0.25">
      <c r="D26723" s="28"/>
      <c r="F26723" s="28"/>
      <c r="H26723" s="28"/>
    </row>
    <row r="26724" spans="4:8" x14ac:dyDescent="0.25">
      <c r="D26724" s="28"/>
      <c r="F26724" s="28"/>
      <c r="H26724" s="28"/>
    </row>
    <row r="26725" spans="4:8" x14ac:dyDescent="0.25">
      <c r="D26725" s="28"/>
      <c r="F26725" s="28"/>
      <c r="H26725" s="28"/>
    </row>
    <row r="26726" spans="4:8" x14ac:dyDescent="0.25">
      <c r="D26726" s="28"/>
      <c r="F26726" s="28"/>
      <c r="H26726" s="28"/>
    </row>
    <row r="26727" spans="4:8" x14ac:dyDescent="0.25">
      <c r="D26727" s="28"/>
      <c r="F26727" s="28"/>
      <c r="H26727" s="28"/>
    </row>
    <row r="26728" spans="4:8" x14ac:dyDescent="0.25">
      <c r="D26728" s="28"/>
      <c r="F26728" s="28"/>
      <c r="H26728" s="28"/>
    </row>
    <row r="26729" spans="4:8" x14ac:dyDescent="0.25">
      <c r="D26729" s="28"/>
      <c r="F26729" s="28"/>
      <c r="H26729" s="28"/>
    </row>
    <row r="26730" spans="4:8" x14ac:dyDescent="0.25">
      <c r="D26730" s="28"/>
      <c r="F26730" s="28"/>
      <c r="H26730" s="28"/>
    </row>
    <row r="26731" spans="4:8" x14ac:dyDescent="0.25">
      <c r="D26731" s="28"/>
      <c r="F26731" s="28"/>
      <c r="H26731" s="28"/>
    </row>
    <row r="26732" spans="4:8" x14ac:dyDescent="0.25">
      <c r="D26732" s="28"/>
      <c r="F26732" s="28"/>
      <c r="H26732" s="28"/>
    </row>
    <row r="26733" spans="4:8" x14ac:dyDescent="0.25">
      <c r="D26733" s="28"/>
      <c r="F26733" s="28"/>
      <c r="H26733" s="28"/>
    </row>
    <row r="26734" spans="4:8" x14ac:dyDescent="0.25">
      <c r="D26734" s="28"/>
      <c r="F26734" s="28"/>
      <c r="H26734" s="28"/>
    </row>
    <row r="26735" spans="4:8" x14ac:dyDescent="0.25">
      <c r="D26735" s="28"/>
      <c r="F26735" s="28"/>
      <c r="H26735" s="28"/>
    </row>
    <row r="26736" spans="4:8" x14ac:dyDescent="0.25">
      <c r="D26736" s="28"/>
      <c r="F26736" s="28"/>
      <c r="H26736" s="28"/>
    </row>
    <row r="26737" spans="4:8" x14ac:dyDescent="0.25">
      <c r="D26737" s="28"/>
      <c r="F26737" s="28"/>
      <c r="H26737" s="28"/>
    </row>
    <row r="26738" spans="4:8" x14ac:dyDescent="0.25">
      <c r="D26738" s="28"/>
      <c r="F26738" s="28"/>
      <c r="H26738" s="28"/>
    </row>
    <row r="26739" spans="4:8" x14ac:dyDescent="0.25">
      <c r="D26739" s="28"/>
      <c r="F26739" s="28"/>
      <c r="H26739" s="28"/>
    </row>
    <row r="26740" spans="4:8" x14ac:dyDescent="0.25">
      <c r="D26740" s="28"/>
      <c r="F26740" s="28"/>
      <c r="H26740" s="28"/>
    </row>
    <row r="26741" spans="4:8" x14ac:dyDescent="0.25">
      <c r="D26741" s="28"/>
      <c r="F26741" s="28"/>
      <c r="H26741" s="28"/>
    </row>
    <row r="26742" spans="4:8" x14ac:dyDescent="0.25">
      <c r="D26742" s="28"/>
      <c r="F26742" s="28"/>
      <c r="H26742" s="28"/>
    </row>
    <row r="26743" spans="4:8" x14ac:dyDescent="0.25">
      <c r="D26743" s="28"/>
      <c r="F26743" s="28"/>
      <c r="H26743" s="28"/>
    </row>
    <row r="26744" spans="4:8" x14ac:dyDescent="0.25">
      <c r="D26744" s="28"/>
      <c r="F26744" s="28"/>
      <c r="H26744" s="28"/>
    </row>
    <row r="26745" spans="4:8" x14ac:dyDescent="0.25">
      <c r="D26745" s="28"/>
      <c r="F26745" s="28"/>
      <c r="H26745" s="28"/>
    </row>
    <row r="26746" spans="4:8" x14ac:dyDescent="0.25">
      <c r="D26746" s="28"/>
      <c r="F26746" s="28"/>
      <c r="H26746" s="28"/>
    </row>
    <row r="26747" spans="4:8" x14ac:dyDescent="0.25">
      <c r="D26747" s="28"/>
      <c r="F26747" s="28"/>
      <c r="H26747" s="28"/>
    </row>
    <row r="26748" spans="4:8" x14ac:dyDescent="0.25">
      <c r="D26748" s="28"/>
      <c r="F26748" s="28"/>
      <c r="H26748" s="28"/>
    </row>
    <row r="26749" spans="4:8" x14ac:dyDescent="0.25">
      <c r="D26749" s="28"/>
      <c r="F26749" s="28"/>
      <c r="H26749" s="28"/>
    </row>
    <row r="26750" spans="4:8" x14ac:dyDescent="0.25">
      <c r="D26750" s="28"/>
      <c r="F26750" s="28"/>
      <c r="H26750" s="28"/>
    </row>
    <row r="26751" spans="4:8" x14ac:dyDescent="0.25">
      <c r="D26751" s="28"/>
      <c r="F26751" s="28"/>
      <c r="H26751" s="28"/>
    </row>
    <row r="26752" spans="4:8" x14ac:dyDescent="0.25">
      <c r="D26752" s="28"/>
      <c r="F26752" s="28"/>
      <c r="H26752" s="28"/>
    </row>
    <row r="26753" spans="4:8" x14ac:dyDescent="0.25">
      <c r="D26753" s="28"/>
      <c r="F26753" s="28"/>
      <c r="H26753" s="28"/>
    </row>
    <row r="26754" spans="4:8" x14ac:dyDescent="0.25">
      <c r="D26754" s="28"/>
      <c r="F26754" s="28"/>
      <c r="H26754" s="28"/>
    </row>
    <row r="26755" spans="4:8" x14ac:dyDescent="0.25">
      <c r="D26755" s="28"/>
      <c r="F26755" s="28"/>
      <c r="H26755" s="28"/>
    </row>
    <row r="26756" spans="4:8" x14ac:dyDescent="0.25">
      <c r="D26756" s="28"/>
      <c r="F26756" s="28"/>
      <c r="H26756" s="28"/>
    </row>
    <row r="26757" spans="4:8" x14ac:dyDescent="0.25">
      <c r="D26757" s="28"/>
      <c r="F26757" s="28"/>
      <c r="H26757" s="28"/>
    </row>
    <row r="26758" spans="4:8" x14ac:dyDescent="0.25">
      <c r="D26758" s="28"/>
      <c r="F26758" s="28"/>
      <c r="H26758" s="28"/>
    </row>
    <row r="26759" spans="4:8" x14ac:dyDescent="0.25">
      <c r="D26759" s="28"/>
      <c r="F26759" s="28"/>
      <c r="H26759" s="28"/>
    </row>
    <row r="26760" spans="4:8" x14ac:dyDescent="0.25">
      <c r="D26760" s="28"/>
      <c r="F26760" s="28"/>
      <c r="H26760" s="28"/>
    </row>
    <row r="26761" spans="4:8" x14ac:dyDescent="0.25">
      <c r="D26761" s="28"/>
      <c r="F26761" s="28"/>
      <c r="H26761" s="28"/>
    </row>
    <row r="26762" spans="4:8" x14ac:dyDescent="0.25">
      <c r="D26762" s="28"/>
      <c r="F26762" s="28"/>
      <c r="H26762" s="28"/>
    </row>
    <row r="26763" spans="4:8" x14ac:dyDescent="0.25">
      <c r="D26763" s="28"/>
      <c r="F26763" s="28"/>
      <c r="H26763" s="28"/>
    </row>
    <row r="26764" spans="4:8" x14ac:dyDescent="0.25">
      <c r="D26764" s="28"/>
      <c r="F26764" s="28"/>
      <c r="H26764" s="28"/>
    </row>
    <row r="26765" spans="4:8" x14ac:dyDescent="0.25">
      <c r="D26765" s="28"/>
      <c r="F26765" s="28"/>
      <c r="H26765" s="28"/>
    </row>
    <row r="26766" spans="4:8" x14ac:dyDescent="0.25">
      <c r="D26766" s="28"/>
      <c r="F26766" s="28"/>
      <c r="H26766" s="28"/>
    </row>
    <row r="26767" spans="4:8" x14ac:dyDescent="0.25">
      <c r="D26767" s="28"/>
      <c r="F26767" s="28"/>
      <c r="H26767" s="28"/>
    </row>
    <row r="26768" spans="4:8" x14ac:dyDescent="0.25">
      <c r="D26768" s="28"/>
      <c r="F26768" s="28"/>
      <c r="H26768" s="28"/>
    </row>
    <row r="26769" spans="4:8" x14ac:dyDescent="0.25">
      <c r="D26769" s="28"/>
      <c r="F26769" s="28"/>
      <c r="H26769" s="28"/>
    </row>
    <row r="26770" spans="4:8" x14ac:dyDescent="0.25">
      <c r="D26770" s="28"/>
      <c r="F26770" s="28"/>
      <c r="H26770" s="28"/>
    </row>
    <row r="26771" spans="4:8" x14ac:dyDescent="0.25">
      <c r="D26771" s="28"/>
      <c r="F26771" s="28"/>
      <c r="H26771" s="28"/>
    </row>
    <row r="26772" spans="4:8" x14ac:dyDescent="0.25">
      <c r="D26772" s="28"/>
      <c r="F26772" s="28"/>
      <c r="H26772" s="28"/>
    </row>
    <row r="26773" spans="4:8" x14ac:dyDescent="0.25">
      <c r="D26773" s="28"/>
      <c r="F26773" s="28"/>
      <c r="H26773" s="28"/>
    </row>
    <row r="26774" spans="4:8" x14ac:dyDescent="0.25">
      <c r="D26774" s="28"/>
      <c r="F26774" s="28"/>
      <c r="H26774" s="28"/>
    </row>
    <row r="26775" spans="4:8" x14ac:dyDescent="0.25">
      <c r="D26775" s="28"/>
      <c r="F26775" s="28"/>
      <c r="H26775" s="28"/>
    </row>
    <row r="26776" spans="4:8" x14ac:dyDescent="0.25">
      <c r="D26776" s="28"/>
      <c r="F26776" s="28"/>
      <c r="H26776" s="28"/>
    </row>
    <row r="26777" spans="4:8" x14ac:dyDescent="0.25">
      <c r="D26777" s="28"/>
      <c r="F26777" s="28"/>
      <c r="H26777" s="28"/>
    </row>
    <row r="26778" spans="4:8" x14ac:dyDescent="0.25">
      <c r="D26778" s="28"/>
      <c r="F26778" s="28"/>
      <c r="H26778" s="28"/>
    </row>
    <row r="26779" spans="4:8" x14ac:dyDescent="0.25">
      <c r="D26779" s="28"/>
      <c r="F26779" s="28"/>
      <c r="H26779" s="28"/>
    </row>
    <row r="26780" spans="4:8" x14ac:dyDescent="0.25">
      <c r="D26780" s="28"/>
      <c r="F26780" s="28"/>
      <c r="H26780" s="28"/>
    </row>
    <row r="26781" spans="4:8" x14ac:dyDescent="0.25">
      <c r="D26781" s="28"/>
      <c r="F26781" s="28"/>
      <c r="H26781" s="28"/>
    </row>
    <row r="26782" spans="4:8" x14ac:dyDescent="0.25">
      <c r="D26782" s="28"/>
      <c r="F26782" s="28"/>
      <c r="H26782" s="28"/>
    </row>
    <row r="26783" spans="4:8" x14ac:dyDescent="0.25">
      <c r="D26783" s="28"/>
      <c r="F26783" s="28"/>
      <c r="H26783" s="28"/>
    </row>
    <row r="26784" spans="4:8" x14ac:dyDescent="0.25">
      <c r="D26784" s="28"/>
      <c r="F26784" s="28"/>
      <c r="H26784" s="28"/>
    </row>
    <row r="26785" spans="4:8" x14ac:dyDescent="0.25">
      <c r="D26785" s="28"/>
      <c r="F26785" s="28"/>
      <c r="H26785" s="28"/>
    </row>
    <row r="26786" spans="4:8" x14ac:dyDescent="0.25">
      <c r="D26786" s="28"/>
      <c r="F26786" s="28"/>
      <c r="H26786" s="28"/>
    </row>
    <row r="26787" spans="4:8" x14ac:dyDescent="0.25">
      <c r="D26787" s="28"/>
      <c r="F26787" s="28"/>
      <c r="H26787" s="28"/>
    </row>
    <row r="26788" spans="4:8" x14ac:dyDescent="0.25">
      <c r="D26788" s="28"/>
      <c r="F26788" s="28"/>
      <c r="H26788" s="28"/>
    </row>
    <row r="26789" spans="4:8" x14ac:dyDescent="0.25">
      <c r="D26789" s="28"/>
      <c r="F26789" s="28"/>
      <c r="H26789" s="28"/>
    </row>
    <row r="26790" spans="4:8" x14ac:dyDescent="0.25">
      <c r="D26790" s="28"/>
      <c r="F26790" s="28"/>
      <c r="H26790" s="28"/>
    </row>
    <row r="26791" spans="4:8" x14ac:dyDescent="0.25">
      <c r="D26791" s="28"/>
      <c r="F26791" s="28"/>
      <c r="H26791" s="28"/>
    </row>
    <row r="26792" spans="4:8" x14ac:dyDescent="0.25">
      <c r="D26792" s="28"/>
      <c r="F26792" s="28"/>
      <c r="H26792" s="28"/>
    </row>
    <row r="26793" spans="4:8" x14ac:dyDescent="0.25">
      <c r="D26793" s="28"/>
      <c r="F26793" s="28"/>
      <c r="H26793" s="28"/>
    </row>
    <row r="26794" spans="4:8" x14ac:dyDescent="0.25">
      <c r="D26794" s="28"/>
      <c r="F26794" s="28"/>
      <c r="H26794" s="28"/>
    </row>
    <row r="26795" spans="4:8" x14ac:dyDescent="0.25">
      <c r="D26795" s="28"/>
      <c r="F26795" s="28"/>
      <c r="H26795" s="28"/>
    </row>
    <row r="26796" spans="4:8" x14ac:dyDescent="0.25">
      <c r="D26796" s="28"/>
      <c r="F26796" s="28"/>
      <c r="H26796" s="28"/>
    </row>
    <row r="26797" spans="4:8" x14ac:dyDescent="0.25">
      <c r="D26797" s="28"/>
      <c r="F26797" s="28"/>
      <c r="H26797" s="28"/>
    </row>
    <row r="26798" spans="4:8" x14ac:dyDescent="0.25">
      <c r="D26798" s="28"/>
      <c r="F26798" s="28"/>
      <c r="H26798" s="28"/>
    </row>
    <row r="26799" spans="4:8" x14ac:dyDescent="0.25">
      <c r="D26799" s="28"/>
      <c r="F26799" s="28"/>
      <c r="H26799" s="28"/>
    </row>
    <row r="26800" spans="4:8" x14ac:dyDescent="0.25">
      <c r="D26800" s="28"/>
      <c r="F26800" s="28"/>
      <c r="H26800" s="28"/>
    </row>
    <row r="26801" spans="4:8" x14ac:dyDescent="0.25">
      <c r="D26801" s="28"/>
      <c r="F26801" s="28"/>
      <c r="H26801" s="28"/>
    </row>
    <row r="26802" spans="4:8" x14ac:dyDescent="0.25">
      <c r="D26802" s="28"/>
      <c r="F26802" s="28"/>
      <c r="H26802" s="28"/>
    </row>
    <row r="26803" spans="4:8" x14ac:dyDescent="0.25">
      <c r="D26803" s="28"/>
      <c r="F26803" s="28"/>
      <c r="H26803" s="28"/>
    </row>
    <row r="26804" spans="4:8" x14ac:dyDescent="0.25">
      <c r="D26804" s="28"/>
      <c r="F26804" s="28"/>
      <c r="H26804" s="28"/>
    </row>
    <row r="26805" spans="4:8" x14ac:dyDescent="0.25">
      <c r="D26805" s="28"/>
      <c r="F26805" s="28"/>
      <c r="H26805" s="28"/>
    </row>
    <row r="26806" spans="4:8" x14ac:dyDescent="0.25">
      <c r="D26806" s="28"/>
      <c r="F26806" s="28"/>
      <c r="H26806" s="28"/>
    </row>
    <row r="26807" spans="4:8" x14ac:dyDescent="0.25">
      <c r="D26807" s="28"/>
      <c r="F26807" s="28"/>
      <c r="H26807" s="28"/>
    </row>
    <row r="26808" spans="4:8" x14ac:dyDescent="0.25">
      <c r="D26808" s="28"/>
      <c r="F26808" s="28"/>
      <c r="H26808" s="28"/>
    </row>
    <row r="26809" spans="4:8" x14ac:dyDescent="0.25">
      <c r="D26809" s="28"/>
      <c r="F26809" s="28"/>
      <c r="H26809" s="28"/>
    </row>
    <row r="26810" spans="4:8" x14ac:dyDescent="0.25">
      <c r="D26810" s="28"/>
      <c r="F26810" s="28"/>
      <c r="H26810" s="28"/>
    </row>
    <row r="26811" spans="4:8" x14ac:dyDescent="0.25">
      <c r="D26811" s="28"/>
      <c r="F26811" s="28"/>
      <c r="H26811" s="28"/>
    </row>
    <row r="26812" spans="4:8" x14ac:dyDescent="0.25">
      <c r="D26812" s="28"/>
      <c r="F26812" s="28"/>
      <c r="H26812" s="28"/>
    </row>
    <row r="26813" spans="4:8" x14ac:dyDescent="0.25">
      <c r="D26813" s="28"/>
      <c r="F26813" s="28"/>
      <c r="H26813" s="28"/>
    </row>
    <row r="26814" spans="4:8" x14ac:dyDescent="0.25">
      <c r="D26814" s="28"/>
      <c r="F26814" s="28"/>
      <c r="H26814" s="28"/>
    </row>
    <row r="26815" spans="4:8" x14ac:dyDescent="0.25">
      <c r="D26815" s="28"/>
      <c r="F26815" s="28"/>
      <c r="H26815" s="28"/>
    </row>
    <row r="26816" spans="4:8" x14ac:dyDescent="0.25">
      <c r="D26816" s="28"/>
      <c r="F26816" s="28"/>
      <c r="H26816" s="28"/>
    </row>
    <row r="26817" spans="4:8" x14ac:dyDescent="0.25">
      <c r="D26817" s="28"/>
      <c r="F26817" s="28"/>
      <c r="H26817" s="28"/>
    </row>
    <row r="26818" spans="4:8" x14ac:dyDescent="0.25">
      <c r="D26818" s="28"/>
      <c r="F26818" s="28"/>
      <c r="H26818" s="28"/>
    </row>
    <row r="26819" spans="4:8" x14ac:dyDescent="0.25">
      <c r="D26819" s="28"/>
      <c r="F26819" s="28"/>
      <c r="H26819" s="28"/>
    </row>
    <row r="26820" spans="4:8" x14ac:dyDescent="0.25">
      <c r="D26820" s="28"/>
      <c r="F26820" s="28"/>
      <c r="H26820" s="28"/>
    </row>
    <row r="26821" spans="4:8" x14ac:dyDescent="0.25">
      <c r="D26821" s="28"/>
      <c r="F26821" s="28"/>
      <c r="H26821" s="28"/>
    </row>
    <row r="26822" spans="4:8" x14ac:dyDescent="0.25">
      <c r="D26822" s="28"/>
      <c r="F26822" s="28"/>
      <c r="H26822" s="28"/>
    </row>
    <row r="26823" spans="4:8" x14ac:dyDescent="0.25">
      <c r="D26823" s="28"/>
      <c r="F26823" s="28"/>
      <c r="H26823" s="28"/>
    </row>
    <row r="26824" spans="4:8" x14ac:dyDescent="0.25">
      <c r="D26824" s="28"/>
      <c r="F26824" s="28"/>
      <c r="H26824" s="28"/>
    </row>
    <row r="26825" spans="4:8" x14ac:dyDescent="0.25">
      <c r="D26825" s="28"/>
      <c r="F26825" s="28"/>
      <c r="H26825" s="28"/>
    </row>
    <row r="26826" spans="4:8" x14ac:dyDescent="0.25">
      <c r="D26826" s="28"/>
      <c r="F26826" s="28"/>
      <c r="H26826" s="28"/>
    </row>
    <row r="26827" spans="4:8" x14ac:dyDescent="0.25">
      <c r="D26827" s="28"/>
      <c r="F26827" s="28"/>
      <c r="H26827" s="28"/>
    </row>
    <row r="26828" spans="4:8" x14ac:dyDescent="0.25">
      <c r="D26828" s="28"/>
      <c r="F26828" s="28"/>
      <c r="H26828" s="28"/>
    </row>
    <row r="26829" spans="4:8" x14ac:dyDescent="0.25">
      <c r="D26829" s="28"/>
      <c r="F26829" s="28"/>
      <c r="H26829" s="28"/>
    </row>
    <row r="26830" spans="4:8" x14ac:dyDescent="0.25">
      <c r="D26830" s="28"/>
      <c r="F26830" s="28"/>
      <c r="H26830" s="28"/>
    </row>
    <row r="26831" spans="4:8" x14ac:dyDescent="0.25">
      <c r="D26831" s="28"/>
      <c r="F26831" s="28"/>
      <c r="H26831" s="28"/>
    </row>
    <row r="26832" spans="4:8" x14ac:dyDescent="0.25">
      <c r="D26832" s="28"/>
      <c r="F26832" s="28"/>
      <c r="H26832" s="28"/>
    </row>
    <row r="26833" spans="4:8" x14ac:dyDescent="0.25">
      <c r="D26833" s="28"/>
      <c r="F26833" s="28"/>
      <c r="H26833" s="28"/>
    </row>
    <row r="26834" spans="4:8" x14ac:dyDescent="0.25">
      <c r="D26834" s="28"/>
      <c r="F26834" s="28"/>
      <c r="H26834" s="28"/>
    </row>
    <row r="26835" spans="4:8" x14ac:dyDescent="0.25">
      <c r="D26835" s="28"/>
      <c r="F26835" s="28"/>
      <c r="H26835" s="28"/>
    </row>
    <row r="26836" spans="4:8" x14ac:dyDescent="0.25">
      <c r="D26836" s="28"/>
      <c r="F26836" s="28"/>
      <c r="H26836" s="28"/>
    </row>
    <row r="26837" spans="4:8" x14ac:dyDescent="0.25">
      <c r="D26837" s="28"/>
      <c r="F26837" s="28"/>
      <c r="H26837" s="28"/>
    </row>
    <row r="26838" spans="4:8" x14ac:dyDescent="0.25">
      <c r="D26838" s="28"/>
      <c r="F26838" s="28"/>
      <c r="H26838" s="28"/>
    </row>
    <row r="26839" spans="4:8" x14ac:dyDescent="0.25">
      <c r="D26839" s="28"/>
      <c r="F26839" s="28"/>
      <c r="H26839" s="28"/>
    </row>
    <row r="26840" spans="4:8" x14ac:dyDescent="0.25">
      <c r="D26840" s="28"/>
      <c r="F26840" s="28"/>
      <c r="H26840" s="28"/>
    </row>
    <row r="26841" spans="4:8" x14ac:dyDescent="0.25">
      <c r="D26841" s="28"/>
      <c r="F26841" s="28"/>
      <c r="H26841" s="28"/>
    </row>
    <row r="26842" spans="4:8" x14ac:dyDescent="0.25">
      <c r="D26842" s="28"/>
      <c r="F26842" s="28"/>
      <c r="H26842" s="28"/>
    </row>
    <row r="26843" spans="4:8" x14ac:dyDescent="0.25">
      <c r="D26843" s="28"/>
      <c r="F26843" s="28"/>
      <c r="H26843" s="28"/>
    </row>
    <row r="26844" spans="4:8" x14ac:dyDescent="0.25">
      <c r="D26844" s="28"/>
      <c r="F26844" s="28"/>
      <c r="H26844" s="28"/>
    </row>
    <row r="26845" spans="4:8" x14ac:dyDescent="0.25">
      <c r="D26845" s="28"/>
      <c r="F26845" s="28"/>
      <c r="H26845" s="28"/>
    </row>
    <row r="26846" spans="4:8" x14ac:dyDescent="0.25">
      <c r="D26846" s="28"/>
      <c r="F26846" s="28"/>
      <c r="H26846" s="28"/>
    </row>
    <row r="26847" spans="4:8" x14ac:dyDescent="0.25">
      <c r="D26847" s="28"/>
      <c r="F26847" s="28"/>
      <c r="H26847" s="28"/>
    </row>
    <row r="26848" spans="4:8" x14ac:dyDescent="0.25">
      <c r="D26848" s="28"/>
      <c r="F26848" s="28"/>
      <c r="H26848" s="28"/>
    </row>
    <row r="26849" spans="4:8" x14ac:dyDescent="0.25">
      <c r="D26849" s="28"/>
      <c r="F26849" s="28"/>
      <c r="H26849" s="28"/>
    </row>
    <row r="26850" spans="4:8" x14ac:dyDescent="0.25">
      <c r="D26850" s="28"/>
      <c r="F26850" s="28"/>
      <c r="H26850" s="28"/>
    </row>
    <row r="26851" spans="4:8" x14ac:dyDescent="0.25">
      <c r="D26851" s="28"/>
      <c r="F26851" s="28"/>
      <c r="H26851" s="28"/>
    </row>
    <row r="26852" spans="4:8" x14ac:dyDescent="0.25">
      <c r="D26852" s="28"/>
      <c r="F26852" s="28"/>
      <c r="H26852" s="28"/>
    </row>
    <row r="26853" spans="4:8" x14ac:dyDescent="0.25">
      <c r="D26853" s="28"/>
      <c r="F26853" s="28"/>
      <c r="H26853" s="28"/>
    </row>
    <row r="26854" spans="4:8" x14ac:dyDescent="0.25">
      <c r="D26854" s="28"/>
      <c r="F26854" s="28"/>
      <c r="H26854" s="28"/>
    </row>
    <row r="26855" spans="4:8" x14ac:dyDescent="0.25">
      <c r="D26855" s="28"/>
      <c r="F26855" s="28"/>
      <c r="H26855" s="28"/>
    </row>
    <row r="26856" spans="4:8" x14ac:dyDescent="0.25">
      <c r="D26856" s="28"/>
      <c r="F26856" s="28"/>
      <c r="H26856" s="28"/>
    </row>
    <row r="26857" spans="4:8" x14ac:dyDescent="0.25">
      <c r="D26857" s="28"/>
      <c r="F26857" s="28"/>
      <c r="H26857" s="28"/>
    </row>
    <row r="26858" spans="4:8" x14ac:dyDescent="0.25">
      <c r="D26858" s="28"/>
      <c r="F26858" s="28"/>
      <c r="H26858" s="28"/>
    </row>
    <row r="26859" spans="4:8" x14ac:dyDescent="0.25">
      <c r="D26859" s="28"/>
      <c r="F26859" s="28"/>
      <c r="H26859" s="28"/>
    </row>
    <row r="26860" spans="4:8" x14ac:dyDescent="0.25">
      <c r="D26860" s="28"/>
      <c r="F26860" s="28"/>
      <c r="H26860" s="28"/>
    </row>
    <row r="26861" spans="4:8" x14ac:dyDescent="0.25">
      <c r="D26861" s="28"/>
      <c r="F26861" s="28"/>
      <c r="H26861" s="28"/>
    </row>
    <row r="26862" spans="4:8" x14ac:dyDescent="0.25">
      <c r="D26862" s="28"/>
      <c r="F26862" s="28"/>
      <c r="H26862" s="28"/>
    </row>
    <row r="26863" spans="4:8" x14ac:dyDescent="0.25">
      <c r="D26863" s="28"/>
      <c r="F26863" s="28"/>
      <c r="H26863" s="28"/>
    </row>
    <row r="26864" spans="4:8" x14ac:dyDescent="0.25">
      <c r="D26864" s="28"/>
      <c r="F26864" s="28"/>
      <c r="H26864" s="28"/>
    </row>
    <row r="26865" spans="4:8" x14ac:dyDescent="0.25">
      <c r="D26865" s="28"/>
      <c r="F26865" s="28"/>
      <c r="H26865" s="28"/>
    </row>
    <row r="26866" spans="4:8" x14ac:dyDescent="0.25">
      <c r="D26866" s="28"/>
      <c r="F26866" s="28"/>
      <c r="H26866" s="28"/>
    </row>
    <row r="26867" spans="4:8" x14ac:dyDescent="0.25">
      <c r="D26867" s="28"/>
      <c r="F26867" s="28"/>
      <c r="H26867" s="28"/>
    </row>
    <row r="26868" spans="4:8" x14ac:dyDescent="0.25">
      <c r="D26868" s="28"/>
      <c r="F26868" s="28"/>
      <c r="H26868" s="28"/>
    </row>
    <row r="26869" spans="4:8" x14ac:dyDescent="0.25">
      <c r="D26869" s="28"/>
      <c r="F26869" s="28"/>
      <c r="H26869" s="28"/>
    </row>
    <row r="26870" spans="4:8" x14ac:dyDescent="0.25">
      <c r="D26870" s="28"/>
      <c r="F26870" s="28"/>
      <c r="H26870" s="28"/>
    </row>
    <row r="26871" spans="4:8" x14ac:dyDescent="0.25">
      <c r="D26871" s="28"/>
      <c r="F26871" s="28"/>
      <c r="H26871" s="28"/>
    </row>
    <row r="26872" spans="4:8" x14ac:dyDescent="0.25">
      <c r="D26872" s="28"/>
      <c r="F26872" s="28"/>
      <c r="H26872" s="28"/>
    </row>
    <row r="26873" spans="4:8" x14ac:dyDescent="0.25">
      <c r="D26873" s="28"/>
      <c r="F26873" s="28"/>
      <c r="H26873" s="28"/>
    </row>
    <row r="26874" spans="4:8" x14ac:dyDescent="0.25">
      <c r="D26874" s="28"/>
      <c r="F26874" s="28"/>
      <c r="H26874" s="28"/>
    </row>
    <row r="26875" spans="4:8" x14ac:dyDescent="0.25">
      <c r="D26875" s="28"/>
      <c r="F26875" s="28"/>
      <c r="H26875" s="28"/>
    </row>
    <row r="26876" spans="4:8" x14ac:dyDescent="0.25">
      <c r="D26876" s="28"/>
      <c r="F26876" s="28"/>
      <c r="H26876" s="28"/>
    </row>
    <row r="26877" spans="4:8" x14ac:dyDescent="0.25">
      <c r="D26877" s="28"/>
      <c r="F26877" s="28"/>
      <c r="H26877" s="28"/>
    </row>
    <row r="26878" spans="4:8" x14ac:dyDescent="0.25">
      <c r="D26878" s="28"/>
      <c r="F26878" s="28"/>
      <c r="H26878" s="28"/>
    </row>
    <row r="26879" spans="4:8" x14ac:dyDescent="0.25">
      <c r="D26879" s="28"/>
      <c r="F26879" s="28"/>
      <c r="H26879" s="28"/>
    </row>
    <row r="26880" spans="4:8" x14ac:dyDescent="0.25">
      <c r="D26880" s="28"/>
      <c r="F26880" s="28"/>
      <c r="H26880" s="28"/>
    </row>
    <row r="26881" spans="4:8" x14ac:dyDescent="0.25">
      <c r="D26881" s="28"/>
      <c r="F26881" s="28"/>
      <c r="H26881" s="28"/>
    </row>
    <row r="26882" spans="4:8" x14ac:dyDescent="0.25">
      <c r="D26882" s="28"/>
      <c r="F26882" s="28"/>
      <c r="H26882" s="28"/>
    </row>
    <row r="26883" spans="4:8" x14ac:dyDescent="0.25">
      <c r="D26883" s="28"/>
      <c r="F26883" s="28"/>
      <c r="H26883" s="28"/>
    </row>
    <row r="26884" spans="4:8" x14ac:dyDescent="0.25">
      <c r="D26884" s="28"/>
      <c r="F26884" s="28"/>
      <c r="H26884" s="28"/>
    </row>
    <row r="26885" spans="4:8" x14ac:dyDescent="0.25">
      <c r="D26885" s="28"/>
      <c r="F26885" s="28"/>
      <c r="H26885" s="28"/>
    </row>
    <row r="26886" spans="4:8" x14ac:dyDescent="0.25">
      <c r="D26886" s="28"/>
      <c r="F26886" s="28"/>
      <c r="H26886" s="28"/>
    </row>
    <row r="26887" spans="4:8" x14ac:dyDescent="0.25">
      <c r="D26887" s="28"/>
      <c r="F26887" s="28"/>
      <c r="H26887" s="28"/>
    </row>
    <row r="26888" spans="4:8" x14ac:dyDescent="0.25">
      <c r="D26888" s="28"/>
      <c r="F26888" s="28"/>
      <c r="H26888" s="28"/>
    </row>
    <row r="26889" spans="4:8" x14ac:dyDescent="0.25">
      <c r="D26889" s="28"/>
      <c r="F26889" s="28"/>
      <c r="H26889" s="28"/>
    </row>
    <row r="26890" spans="4:8" x14ac:dyDescent="0.25">
      <c r="D26890" s="28"/>
      <c r="F26890" s="28"/>
      <c r="H26890" s="28"/>
    </row>
    <row r="26891" spans="4:8" x14ac:dyDescent="0.25">
      <c r="D26891" s="28"/>
      <c r="F26891" s="28"/>
      <c r="H26891" s="28"/>
    </row>
    <row r="26892" spans="4:8" x14ac:dyDescent="0.25">
      <c r="D26892" s="28"/>
      <c r="F26892" s="28"/>
      <c r="H26892" s="28"/>
    </row>
    <row r="26893" spans="4:8" x14ac:dyDescent="0.25">
      <c r="D26893" s="28"/>
      <c r="F26893" s="28"/>
      <c r="H26893" s="28"/>
    </row>
    <row r="26894" spans="4:8" x14ac:dyDescent="0.25">
      <c r="D26894" s="28"/>
      <c r="F26894" s="28"/>
      <c r="H26894" s="28"/>
    </row>
    <row r="26895" spans="4:8" x14ac:dyDescent="0.25">
      <c r="D26895" s="28"/>
      <c r="F26895" s="28"/>
      <c r="H26895" s="28"/>
    </row>
    <row r="26896" spans="4:8" x14ac:dyDescent="0.25">
      <c r="D26896" s="28"/>
      <c r="F26896" s="28"/>
      <c r="H26896" s="28"/>
    </row>
    <row r="26897" spans="4:8" x14ac:dyDescent="0.25">
      <c r="D26897" s="28"/>
      <c r="F26897" s="28"/>
      <c r="H26897" s="28"/>
    </row>
    <row r="26898" spans="4:8" x14ac:dyDescent="0.25">
      <c r="D26898" s="28"/>
      <c r="F26898" s="28"/>
      <c r="H26898" s="28"/>
    </row>
    <row r="26899" spans="4:8" x14ac:dyDescent="0.25">
      <c r="D26899" s="28"/>
      <c r="F26899" s="28"/>
      <c r="H26899" s="28"/>
    </row>
    <row r="26900" spans="4:8" x14ac:dyDescent="0.25">
      <c r="D26900" s="28"/>
      <c r="F26900" s="28"/>
      <c r="H26900" s="28"/>
    </row>
    <row r="26901" spans="4:8" x14ac:dyDescent="0.25">
      <c r="D26901" s="28"/>
      <c r="F26901" s="28"/>
      <c r="H26901" s="28"/>
    </row>
    <row r="26902" spans="4:8" x14ac:dyDescent="0.25">
      <c r="D26902" s="28"/>
      <c r="F26902" s="28"/>
      <c r="H26902" s="28"/>
    </row>
    <row r="26903" spans="4:8" x14ac:dyDescent="0.25">
      <c r="D26903" s="28"/>
      <c r="F26903" s="28"/>
      <c r="H26903" s="28"/>
    </row>
    <row r="26904" spans="4:8" x14ac:dyDescent="0.25">
      <c r="D26904" s="28"/>
      <c r="F26904" s="28"/>
      <c r="H26904" s="28"/>
    </row>
    <row r="26905" spans="4:8" x14ac:dyDescent="0.25">
      <c r="D26905" s="28"/>
      <c r="F26905" s="28"/>
      <c r="H26905" s="28"/>
    </row>
    <row r="26906" spans="4:8" x14ac:dyDescent="0.25">
      <c r="D26906" s="28"/>
      <c r="F26906" s="28"/>
      <c r="H26906" s="28"/>
    </row>
    <row r="26907" spans="4:8" x14ac:dyDescent="0.25">
      <c r="D26907" s="28"/>
      <c r="F26907" s="28"/>
      <c r="H26907" s="28"/>
    </row>
    <row r="26908" spans="4:8" x14ac:dyDescent="0.25">
      <c r="D26908" s="28"/>
      <c r="F26908" s="28"/>
      <c r="H26908" s="28"/>
    </row>
    <row r="26909" spans="4:8" x14ac:dyDescent="0.25">
      <c r="D26909" s="28"/>
      <c r="F26909" s="28"/>
      <c r="H26909" s="28"/>
    </row>
    <row r="26910" spans="4:8" x14ac:dyDescent="0.25">
      <c r="D26910" s="28"/>
      <c r="F26910" s="28"/>
      <c r="H26910" s="28"/>
    </row>
    <row r="26911" spans="4:8" x14ac:dyDescent="0.25">
      <c r="D26911" s="28"/>
      <c r="F26911" s="28"/>
      <c r="H26911" s="28"/>
    </row>
    <row r="26912" spans="4:8" x14ac:dyDescent="0.25">
      <c r="D26912" s="28"/>
      <c r="F26912" s="28"/>
      <c r="H26912" s="28"/>
    </row>
    <row r="26913" spans="4:8" x14ac:dyDescent="0.25">
      <c r="D26913" s="28"/>
      <c r="F26913" s="28"/>
      <c r="H26913" s="28"/>
    </row>
    <row r="26914" spans="4:8" x14ac:dyDescent="0.25">
      <c r="D26914" s="28"/>
      <c r="F26914" s="28"/>
      <c r="H26914" s="28"/>
    </row>
    <row r="26915" spans="4:8" x14ac:dyDescent="0.25">
      <c r="D26915" s="28"/>
      <c r="F26915" s="28"/>
      <c r="H26915" s="28"/>
    </row>
    <row r="26916" spans="4:8" x14ac:dyDescent="0.25">
      <c r="D26916" s="28"/>
      <c r="F26916" s="28"/>
      <c r="H26916" s="28"/>
    </row>
    <row r="26917" spans="4:8" x14ac:dyDescent="0.25">
      <c r="D26917" s="28"/>
      <c r="F26917" s="28"/>
      <c r="H26917" s="28"/>
    </row>
    <row r="26918" spans="4:8" x14ac:dyDescent="0.25">
      <c r="D26918" s="28"/>
      <c r="F26918" s="28"/>
      <c r="H26918" s="28"/>
    </row>
    <row r="26919" spans="4:8" x14ac:dyDescent="0.25">
      <c r="D26919" s="28"/>
      <c r="F26919" s="28"/>
      <c r="H26919" s="28"/>
    </row>
    <row r="26920" spans="4:8" x14ac:dyDescent="0.25">
      <c r="D26920" s="28"/>
      <c r="F26920" s="28"/>
      <c r="H26920" s="28"/>
    </row>
    <row r="26921" spans="4:8" x14ac:dyDescent="0.25">
      <c r="D26921" s="28"/>
      <c r="F26921" s="28"/>
      <c r="H26921" s="28"/>
    </row>
    <row r="26922" spans="4:8" x14ac:dyDescent="0.25">
      <c r="D26922" s="28"/>
      <c r="F26922" s="28"/>
      <c r="H26922" s="28"/>
    </row>
    <row r="26923" spans="4:8" x14ac:dyDescent="0.25">
      <c r="D26923" s="28"/>
      <c r="F26923" s="28"/>
      <c r="H26923" s="28"/>
    </row>
    <row r="26924" spans="4:8" x14ac:dyDescent="0.25">
      <c r="D26924" s="28"/>
      <c r="F26924" s="28"/>
      <c r="H26924" s="28"/>
    </row>
    <row r="26925" spans="4:8" x14ac:dyDescent="0.25">
      <c r="D26925" s="28"/>
      <c r="F26925" s="28"/>
      <c r="H26925" s="28"/>
    </row>
    <row r="26926" spans="4:8" x14ac:dyDescent="0.25">
      <c r="D26926" s="28"/>
      <c r="F26926" s="28"/>
      <c r="H26926" s="28"/>
    </row>
    <row r="26927" spans="4:8" x14ac:dyDescent="0.25">
      <c r="D26927" s="28"/>
      <c r="F26927" s="28"/>
      <c r="H26927" s="28"/>
    </row>
    <row r="26928" spans="4:8" x14ac:dyDescent="0.25">
      <c r="D26928" s="28"/>
      <c r="F26928" s="28"/>
      <c r="H26928" s="28"/>
    </row>
    <row r="26929" spans="4:8" x14ac:dyDescent="0.25">
      <c r="D26929" s="28"/>
      <c r="F26929" s="28"/>
      <c r="H26929" s="28"/>
    </row>
    <row r="26930" spans="4:8" x14ac:dyDescent="0.25">
      <c r="D26930" s="28"/>
      <c r="F26930" s="28"/>
      <c r="H26930" s="28"/>
    </row>
    <row r="26931" spans="4:8" x14ac:dyDescent="0.25">
      <c r="D26931" s="28"/>
      <c r="F26931" s="28"/>
      <c r="H26931" s="28"/>
    </row>
    <row r="26932" spans="4:8" x14ac:dyDescent="0.25">
      <c r="D26932" s="28"/>
      <c r="F26932" s="28"/>
      <c r="H26932" s="28"/>
    </row>
    <row r="26933" spans="4:8" x14ac:dyDescent="0.25">
      <c r="D26933" s="28"/>
      <c r="F26933" s="28"/>
      <c r="H26933" s="28"/>
    </row>
    <row r="26934" spans="4:8" x14ac:dyDescent="0.25">
      <c r="D26934" s="28"/>
      <c r="F26934" s="28"/>
      <c r="H26934" s="28"/>
    </row>
    <row r="26935" spans="4:8" x14ac:dyDescent="0.25">
      <c r="D26935" s="28"/>
      <c r="F26935" s="28"/>
      <c r="H26935" s="28"/>
    </row>
    <row r="26936" spans="4:8" x14ac:dyDescent="0.25">
      <c r="D26936" s="28"/>
      <c r="F26936" s="28"/>
      <c r="H26936" s="28"/>
    </row>
    <row r="26937" spans="4:8" x14ac:dyDescent="0.25">
      <c r="D26937" s="28"/>
      <c r="F26937" s="28"/>
      <c r="H26937" s="28"/>
    </row>
    <row r="26938" spans="4:8" x14ac:dyDescent="0.25">
      <c r="D26938" s="28"/>
      <c r="F26938" s="28"/>
      <c r="H26938" s="28"/>
    </row>
    <row r="26939" spans="4:8" x14ac:dyDescent="0.25">
      <c r="D26939" s="28"/>
      <c r="F26939" s="28"/>
      <c r="H26939" s="28"/>
    </row>
    <row r="26940" spans="4:8" x14ac:dyDescent="0.25">
      <c r="D26940" s="28"/>
      <c r="F26940" s="28"/>
      <c r="H26940" s="28"/>
    </row>
    <row r="26941" spans="4:8" x14ac:dyDescent="0.25">
      <c r="D26941" s="28"/>
      <c r="F26941" s="28"/>
      <c r="H26941" s="28"/>
    </row>
    <row r="26942" spans="4:8" x14ac:dyDescent="0.25">
      <c r="D26942" s="28"/>
      <c r="F26942" s="28"/>
      <c r="H26942" s="28"/>
    </row>
    <row r="26943" spans="4:8" x14ac:dyDescent="0.25">
      <c r="D26943" s="28"/>
      <c r="F26943" s="28"/>
      <c r="H26943" s="28"/>
    </row>
    <row r="26944" spans="4:8" x14ac:dyDescent="0.25">
      <c r="D26944" s="28"/>
      <c r="F26944" s="28"/>
      <c r="H26944" s="28"/>
    </row>
    <row r="26945" spans="4:8" x14ac:dyDescent="0.25">
      <c r="D26945" s="28"/>
      <c r="F26945" s="28"/>
      <c r="H26945" s="28"/>
    </row>
    <row r="26946" spans="4:8" x14ac:dyDescent="0.25">
      <c r="D26946" s="28"/>
      <c r="F26946" s="28"/>
      <c r="H26946" s="28"/>
    </row>
    <row r="26947" spans="4:8" x14ac:dyDescent="0.25">
      <c r="D26947" s="28"/>
      <c r="F26947" s="28"/>
      <c r="H26947" s="28"/>
    </row>
    <row r="26948" spans="4:8" x14ac:dyDescent="0.25">
      <c r="D26948" s="28"/>
      <c r="F26948" s="28"/>
      <c r="H26948" s="28"/>
    </row>
    <row r="26949" spans="4:8" x14ac:dyDescent="0.25">
      <c r="D26949" s="28"/>
      <c r="F26949" s="28"/>
      <c r="H26949" s="28"/>
    </row>
    <row r="26950" spans="4:8" x14ac:dyDescent="0.25">
      <c r="D26950" s="28"/>
      <c r="F26950" s="28"/>
      <c r="H26950" s="28"/>
    </row>
    <row r="26951" spans="4:8" x14ac:dyDescent="0.25">
      <c r="D26951" s="28"/>
      <c r="F26951" s="28"/>
      <c r="H26951" s="28"/>
    </row>
    <row r="26952" spans="4:8" x14ac:dyDescent="0.25">
      <c r="D26952" s="28"/>
      <c r="F26952" s="28"/>
      <c r="H26952" s="28"/>
    </row>
    <row r="26953" spans="4:8" x14ac:dyDescent="0.25">
      <c r="D26953" s="28"/>
      <c r="F26953" s="28"/>
      <c r="H26953" s="28"/>
    </row>
    <row r="26954" spans="4:8" x14ac:dyDescent="0.25">
      <c r="D26954" s="28"/>
      <c r="F26954" s="28"/>
      <c r="H26954" s="28"/>
    </row>
    <row r="26955" spans="4:8" x14ac:dyDescent="0.25">
      <c r="D26955" s="28"/>
      <c r="F26955" s="28"/>
      <c r="H26955" s="28"/>
    </row>
    <row r="26956" spans="4:8" x14ac:dyDescent="0.25">
      <c r="D26956" s="28"/>
      <c r="F26956" s="28"/>
      <c r="H26956" s="28"/>
    </row>
    <row r="26957" spans="4:8" x14ac:dyDescent="0.25">
      <c r="D26957" s="28"/>
      <c r="F26957" s="28"/>
      <c r="H26957" s="28"/>
    </row>
    <row r="26958" spans="4:8" x14ac:dyDescent="0.25">
      <c r="D26958" s="28"/>
      <c r="F26958" s="28"/>
      <c r="H26958" s="28"/>
    </row>
    <row r="26959" spans="4:8" x14ac:dyDescent="0.25">
      <c r="D26959" s="28"/>
      <c r="F26959" s="28"/>
      <c r="H26959" s="28"/>
    </row>
    <row r="26960" spans="4:8" x14ac:dyDescent="0.25">
      <c r="D26960" s="28"/>
      <c r="F26960" s="28"/>
      <c r="H26960" s="28"/>
    </row>
    <row r="26961" spans="4:8" x14ac:dyDescent="0.25">
      <c r="D26961" s="28"/>
      <c r="F26961" s="28"/>
      <c r="H26961" s="28"/>
    </row>
    <row r="26962" spans="4:8" x14ac:dyDescent="0.25">
      <c r="D26962" s="28"/>
      <c r="F26962" s="28"/>
      <c r="H26962" s="28"/>
    </row>
    <row r="26963" spans="4:8" x14ac:dyDescent="0.25">
      <c r="D26963" s="28"/>
      <c r="F26963" s="28"/>
      <c r="H26963" s="28"/>
    </row>
    <row r="26964" spans="4:8" x14ac:dyDescent="0.25">
      <c r="D26964" s="28"/>
      <c r="F26964" s="28"/>
      <c r="H26964" s="28"/>
    </row>
    <row r="26965" spans="4:8" x14ac:dyDescent="0.25">
      <c r="D26965" s="28"/>
      <c r="F26965" s="28"/>
      <c r="H26965" s="28"/>
    </row>
    <row r="26966" spans="4:8" x14ac:dyDescent="0.25">
      <c r="D26966" s="28"/>
      <c r="F26966" s="28"/>
      <c r="H26966" s="28"/>
    </row>
    <row r="26967" spans="4:8" x14ac:dyDescent="0.25">
      <c r="D26967" s="28"/>
      <c r="F26967" s="28"/>
      <c r="H26967" s="28"/>
    </row>
    <row r="26968" spans="4:8" x14ac:dyDescent="0.25">
      <c r="D26968" s="28"/>
      <c r="F26968" s="28"/>
      <c r="H26968" s="28"/>
    </row>
    <row r="26969" spans="4:8" x14ac:dyDescent="0.25">
      <c r="D26969" s="28"/>
      <c r="F26969" s="28"/>
      <c r="H26969" s="28"/>
    </row>
    <row r="26970" spans="4:8" x14ac:dyDescent="0.25">
      <c r="D26970" s="28"/>
      <c r="F26970" s="28"/>
      <c r="H26970" s="28"/>
    </row>
    <row r="26971" spans="4:8" x14ac:dyDescent="0.25">
      <c r="D26971" s="28"/>
      <c r="F26971" s="28"/>
      <c r="H26971" s="28"/>
    </row>
    <row r="26972" spans="4:8" x14ac:dyDescent="0.25">
      <c r="D26972" s="28"/>
      <c r="F26972" s="28"/>
      <c r="H26972" s="28"/>
    </row>
    <row r="26973" spans="4:8" x14ac:dyDescent="0.25">
      <c r="D26973" s="28"/>
      <c r="F26973" s="28"/>
      <c r="H26973" s="28"/>
    </row>
    <row r="26974" spans="4:8" x14ac:dyDescent="0.25">
      <c r="D26974" s="28"/>
      <c r="F26974" s="28"/>
      <c r="H26974" s="28"/>
    </row>
    <row r="26975" spans="4:8" x14ac:dyDescent="0.25">
      <c r="D26975" s="28"/>
      <c r="F26975" s="28"/>
      <c r="H26975" s="28"/>
    </row>
    <row r="26976" spans="4:8" x14ac:dyDescent="0.25">
      <c r="D26976" s="28"/>
      <c r="F26976" s="28"/>
      <c r="H26976" s="28"/>
    </row>
    <row r="26977" spans="4:8" x14ac:dyDescent="0.25">
      <c r="D26977" s="28"/>
      <c r="F26977" s="28"/>
      <c r="H26977" s="28"/>
    </row>
    <row r="26978" spans="4:8" x14ac:dyDescent="0.25">
      <c r="D26978" s="28"/>
      <c r="F26978" s="28"/>
      <c r="H26978" s="28"/>
    </row>
    <row r="26979" spans="4:8" x14ac:dyDescent="0.25">
      <c r="D26979" s="28"/>
      <c r="F26979" s="28"/>
      <c r="H26979" s="28"/>
    </row>
    <row r="26980" spans="4:8" x14ac:dyDescent="0.25">
      <c r="D26980" s="28"/>
      <c r="F26980" s="28"/>
      <c r="H26980" s="28"/>
    </row>
    <row r="26981" spans="4:8" x14ac:dyDescent="0.25">
      <c r="D26981" s="28"/>
      <c r="F26981" s="28"/>
      <c r="H26981" s="28"/>
    </row>
    <row r="26982" spans="4:8" x14ac:dyDescent="0.25">
      <c r="D26982" s="28"/>
      <c r="F26982" s="28"/>
      <c r="H26982" s="28"/>
    </row>
    <row r="26983" spans="4:8" x14ac:dyDescent="0.25">
      <c r="D26983" s="28"/>
      <c r="F26983" s="28"/>
      <c r="H26983" s="28"/>
    </row>
    <row r="26984" spans="4:8" x14ac:dyDescent="0.25">
      <c r="D26984" s="28"/>
      <c r="F26984" s="28"/>
      <c r="H26984" s="28"/>
    </row>
    <row r="26985" spans="4:8" x14ac:dyDescent="0.25">
      <c r="D26985" s="28"/>
      <c r="F26985" s="28"/>
      <c r="H26985" s="28"/>
    </row>
    <row r="26986" spans="4:8" x14ac:dyDescent="0.25">
      <c r="D26986" s="28"/>
      <c r="F26986" s="28"/>
      <c r="H26986" s="28"/>
    </row>
    <row r="26987" spans="4:8" x14ac:dyDescent="0.25">
      <c r="D26987" s="28"/>
      <c r="F26987" s="28"/>
      <c r="H26987" s="28"/>
    </row>
    <row r="26988" spans="4:8" x14ac:dyDescent="0.25">
      <c r="D26988" s="28"/>
      <c r="F26988" s="28"/>
      <c r="H26988" s="28"/>
    </row>
    <row r="26989" spans="4:8" x14ac:dyDescent="0.25">
      <c r="D26989" s="28"/>
      <c r="F26989" s="28"/>
      <c r="H26989" s="28"/>
    </row>
    <row r="26990" spans="4:8" x14ac:dyDescent="0.25">
      <c r="D26990" s="28"/>
      <c r="F26990" s="28"/>
      <c r="H26990" s="28"/>
    </row>
    <row r="26991" spans="4:8" x14ac:dyDescent="0.25">
      <c r="D26991" s="28"/>
      <c r="F26991" s="28"/>
      <c r="H26991" s="28"/>
    </row>
    <row r="26992" spans="4:8" x14ac:dyDescent="0.25">
      <c r="D26992" s="28"/>
      <c r="F26992" s="28"/>
      <c r="H26992" s="28"/>
    </row>
    <row r="26993" spans="4:8" x14ac:dyDescent="0.25">
      <c r="D26993" s="28"/>
      <c r="F26993" s="28"/>
      <c r="H26993" s="28"/>
    </row>
    <row r="26994" spans="4:8" x14ac:dyDescent="0.25">
      <c r="D26994" s="28"/>
      <c r="F26994" s="28"/>
      <c r="H26994" s="28"/>
    </row>
    <row r="26995" spans="4:8" x14ac:dyDescent="0.25">
      <c r="D26995" s="28"/>
      <c r="F26995" s="28"/>
      <c r="H26995" s="28"/>
    </row>
    <row r="26996" spans="4:8" x14ac:dyDescent="0.25">
      <c r="D26996" s="28"/>
      <c r="F26996" s="28"/>
      <c r="H26996" s="28"/>
    </row>
    <row r="26997" spans="4:8" x14ac:dyDescent="0.25">
      <c r="D26997" s="28"/>
      <c r="F26997" s="28"/>
      <c r="H26997" s="28"/>
    </row>
    <row r="26998" spans="4:8" x14ac:dyDescent="0.25">
      <c r="D26998" s="28"/>
      <c r="F26998" s="28"/>
      <c r="H26998" s="28"/>
    </row>
    <row r="26999" spans="4:8" x14ac:dyDescent="0.25">
      <c r="D26999" s="28"/>
      <c r="F26999" s="28"/>
      <c r="H26999" s="28"/>
    </row>
    <row r="27000" spans="4:8" x14ac:dyDescent="0.25">
      <c r="D27000" s="28"/>
      <c r="F27000" s="28"/>
      <c r="H27000" s="28"/>
    </row>
    <row r="27001" spans="4:8" x14ac:dyDescent="0.25">
      <c r="D27001" s="28"/>
      <c r="F27001" s="28"/>
      <c r="H27001" s="28"/>
    </row>
    <row r="27002" spans="4:8" x14ac:dyDescent="0.25">
      <c r="D27002" s="28"/>
      <c r="F27002" s="28"/>
      <c r="H27002" s="28"/>
    </row>
    <row r="27003" spans="4:8" x14ac:dyDescent="0.25">
      <c r="D27003" s="28"/>
      <c r="F27003" s="28"/>
      <c r="H27003" s="28"/>
    </row>
    <row r="27004" spans="4:8" x14ac:dyDescent="0.25">
      <c r="D27004" s="28"/>
      <c r="F27004" s="28"/>
      <c r="H27004" s="28"/>
    </row>
    <row r="27005" spans="4:8" x14ac:dyDescent="0.25">
      <c r="D27005" s="28"/>
      <c r="F27005" s="28"/>
      <c r="H27005" s="28"/>
    </row>
    <row r="27006" spans="4:8" x14ac:dyDescent="0.25">
      <c r="D27006" s="28"/>
      <c r="F27006" s="28"/>
      <c r="H27006" s="28"/>
    </row>
    <row r="27007" spans="4:8" x14ac:dyDescent="0.25">
      <c r="D27007" s="28"/>
      <c r="F27007" s="28"/>
      <c r="H27007" s="28"/>
    </row>
    <row r="27008" spans="4:8" x14ac:dyDescent="0.25">
      <c r="D27008" s="28"/>
      <c r="F27008" s="28"/>
      <c r="H27008" s="28"/>
    </row>
    <row r="27009" spans="4:8" x14ac:dyDescent="0.25">
      <c r="D27009" s="28"/>
      <c r="F27009" s="28"/>
      <c r="H27009" s="28"/>
    </row>
    <row r="27010" spans="4:8" x14ac:dyDescent="0.25">
      <c r="D27010" s="28"/>
      <c r="F27010" s="28"/>
      <c r="H27010" s="28"/>
    </row>
    <row r="27011" spans="4:8" x14ac:dyDescent="0.25">
      <c r="D27011" s="28"/>
      <c r="F27011" s="28"/>
      <c r="H27011" s="28"/>
    </row>
    <row r="27012" spans="4:8" x14ac:dyDescent="0.25">
      <c r="D27012" s="28"/>
      <c r="F27012" s="28"/>
      <c r="H27012" s="28"/>
    </row>
    <row r="27013" spans="4:8" x14ac:dyDescent="0.25">
      <c r="D27013" s="28"/>
      <c r="F27013" s="28"/>
      <c r="H27013" s="28"/>
    </row>
    <row r="27014" spans="4:8" x14ac:dyDescent="0.25">
      <c r="D27014" s="28"/>
      <c r="F27014" s="28"/>
      <c r="H27014" s="28"/>
    </row>
    <row r="27015" spans="4:8" x14ac:dyDescent="0.25">
      <c r="D27015" s="28"/>
      <c r="F27015" s="28"/>
      <c r="H27015" s="28"/>
    </row>
    <row r="27016" spans="4:8" x14ac:dyDescent="0.25">
      <c r="D27016" s="28"/>
      <c r="F27016" s="28"/>
      <c r="H27016" s="28"/>
    </row>
    <row r="27017" spans="4:8" x14ac:dyDescent="0.25">
      <c r="D27017" s="28"/>
      <c r="F27017" s="28"/>
      <c r="H27017" s="28"/>
    </row>
    <row r="27018" spans="4:8" x14ac:dyDescent="0.25">
      <c r="D27018" s="28"/>
      <c r="F27018" s="28"/>
      <c r="H27018" s="28"/>
    </row>
    <row r="27019" spans="4:8" x14ac:dyDescent="0.25">
      <c r="D27019" s="28"/>
      <c r="F27019" s="28"/>
      <c r="H27019" s="28"/>
    </row>
    <row r="27020" spans="4:8" x14ac:dyDescent="0.25">
      <c r="D27020" s="28"/>
      <c r="F27020" s="28"/>
      <c r="H27020" s="28"/>
    </row>
    <row r="27021" spans="4:8" x14ac:dyDescent="0.25">
      <c r="D27021" s="28"/>
      <c r="F27021" s="28"/>
      <c r="H27021" s="28"/>
    </row>
    <row r="27022" spans="4:8" x14ac:dyDescent="0.25">
      <c r="D27022" s="28"/>
      <c r="F27022" s="28"/>
      <c r="H27022" s="28"/>
    </row>
    <row r="27023" spans="4:8" x14ac:dyDescent="0.25">
      <c r="D27023" s="28"/>
      <c r="F27023" s="28"/>
      <c r="H27023" s="28"/>
    </row>
    <row r="27024" spans="4:8" x14ac:dyDescent="0.25">
      <c r="D27024" s="28"/>
      <c r="F27024" s="28"/>
      <c r="H27024" s="28"/>
    </row>
    <row r="27025" spans="4:8" x14ac:dyDescent="0.25">
      <c r="D27025" s="28"/>
      <c r="F27025" s="28"/>
      <c r="H27025" s="28"/>
    </row>
    <row r="27026" spans="4:8" x14ac:dyDescent="0.25">
      <c r="D27026" s="28"/>
      <c r="F27026" s="28"/>
      <c r="H27026" s="28"/>
    </row>
    <row r="27027" spans="4:8" x14ac:dyDescent="0.25">
      <c r="D27027" s="28"/>
      <c r="F27027" s="28"/>
      <c r="H27027" s="28"/>
    </row>
    <row r="27028" spans="4:8" x14ac:dyDescent="0.25">
      <c r="D27028" s="28"/>
      <c r="F27028" s="28"/>
      <c r="H27028" s="28"/>
    </row>
    <row r="27029" spans="4:8" x14ac:dyDescent="0.25">
      <c r="D27029" s="28"/>
      <c r="F27029" s="28"/>
      <c r="H27029" s="28"/>
    </row>
    <row r="27030" spans="4:8" x14ac:dyDescent="0.25">
      <c r="D27030" s="28"/>
      <c r="F27030" s="28"/>
      <c r="H27030" s="28"/>
    </row>
    <row r="27031" spans="4:8" x14ac:dyDescent="0.25">
      <c r="D27031" s="28"/>
      <c r="F27031" s="28"/>
      <c r="H27031" s="28"/>
    </row>
    <row r="27032" spans="4:8" x14ac:dyDescent="0.25">
      <c r="D27032" s="28"/>
      <c r="F27032" s="28"/>
      <c r="H27032" s="28"/>
    </row>
    <row r="27033" spans="4:8" x14ac:dyDescent="0.25">
      <c r="D27033" s="28"/>
      <c r="F27033" s="28"/>
      <c r="H27033" s="28"/>
    </row>
    <row r="27034" spans="4:8" x14ac:dyDescent="0.25">
      <c r="D27034" s="28"/>
      <c r="F27034" s="28"/>
      <c r="H27034" s="28"/>
    </row>
    <row r="27035" spans="4:8" x14ac:dyDescent="0.25">
      <c r="D27035" s="28"/>
      <c r="F27035" s="28"/>
      <c r="H27035" s="28"/>
    </row>
    <row r="27036" spans="4:8" x14ac:dyDescent="0.25">
      <c r="D27036" s="28"/>
      <c r="F27036" s="28"/>
      <c r="H27036" s="28"/>
    </row>
    <row r="27037" spans="4:8" x14ac:dyDescent="0.25">
      <c r="D27037" s="28"/>
      <c r="F27037" s="28"/>
      <c r="H27037" s="28"/>
    </row>
    <row r="27038" spans="4:8" x14ac:dyDescent="0.25">
      <c r="D27038" s="28"/>
      <c r="F27038" s="28"/>
      <c r="H27038" s="28"/>
    </row>
    <row r="27039" spans="4:8" x14ac:dyDescent="0.25">
      <c r="D27039" s="28"/>
      <c r="F27039" s="28"/>
      <c r="H27039" s="28"/>
    </row>
    <row r="27040" spans="4:8" x14ac:dyDescent="0.25">
      <c r="D27040" s="28"/>
      <c r="F27040" s="28"/>
      <c r="H27040" s="28"/>
    </row>
    <row r="27041" spans="4:8" x14ac:dyDescent="0.25">
      <c r="D27041" s="28"/>
      <c r="F27041" s="28"/>
      <c r="H27041" s="28"/>
    </row>
    <row r="27042" spans="4:8" x14ac:dyDescent="0.25">
      <c r="D27042" s="28"/>
      <c r="F27042" s="28"/>
      <c r="H27042" s="28"/>
    </row>
    <row r="27043" spans="4:8" x14ac:dyDescent="0.25">
      <c r="D27043" s="28"/>
      <c r="F27043" s="28"/>
      <c r="H27043" s="28"/>
    </row>
    <row r="27044" spans="4:8" x14ac:dyDescent="0.25">
      <c r="D27044" s="28"/>
      <c r="F27044" s="28"/>
      <c r="H27044" s="28"/>
    </row>
    <row r="27045" spans="4:8" x14ac:dyDescent="0.25">
      <c r="D27045" s="28"/>
      <c r="F27045" s="28"/>
      <c r="H27045" s="28"/>
    </row>
    <row r="27046" spans="4:8" x14ac:dyDescent="0.25">
      <c r="D27046" s="28"/>
      <c r="F27046" s="28"/>
      <c r="H27046" s="28"/>
    </row>
    <row r="27047" spans="4:8" x14ac:dyDescent="0.25">
      <c r="D27047" s="28"/>
      <c r="F27047" s="28"/>
      <c r="H27047" s="28"/>
    </row>
    <row r="27048" spans="4:8" x14ac:dyDescent="0.25">
      <c r="D27048" s="28"/>
      <c r="F27048" s="28"/>
      <c r="H27048" s="28"/>
    </row>
    <row r="27049" spans="4:8" x14ac:dyDescent="0.25">
      <c r="D27049" s="28"/>
      <c r="F27049" s="28"/>
      <c r="H27049" s="28"/>
    </row>
    <row r="27050" spans="4:8" x14ac:dyDescent="0.25">
      <c r="D27050" s="28"/>
      <c r="F27050" s="28"/>
      <c r="H27050" s="28"/>
    </row>
    <row r="27051" spans="4:8" x14ac:dyDescent="0.25">
      <c r="D27051" s="28"/>
      <c r="F27051" s="28"/>
      <c r="H27051" s="28"/>
    </row>
    <row r="27052" spans="4:8" x14ac:dyDescent="0.25">
      <c r="D27052" s="28"/>
      <c r="F27052" s="28"/>
      <c r="H27052" s="28"/>
    </row>
    <row r="27053" spans="4:8" x14ac:dyDescent="0.25">
      <c r="D27053" s="28"/>
      <c r="F27053" s="28"/>
      <c r="H27053" s="28"/>
    </row>
    <row r="27054" spans="4:8" x14ac:dyDescent="0.25">
      <c r="D27054" s="28"/>
      <c r="F27054" s="28"/>
      <c r="H27054" s="28"/>
    </row>
    <row r="27055" spans="4:8" x14ac:dyDescent="0.25">
      <c r="D27055" s="28"/>
      <c r="F27055" s="28"/>
      <c r="H27055" s="28"/>
    </row>
    <row r="27056" spans="4:8" x14ac:dyDescent="0.25">
      <c r="D27056" s="28"/>
      <c r="F27056" s="28"/>
      <c r="H27056" s="28"/>
    </row>
    <row r="27057" spans="4:8" x14ac:dyDescent="0.25">
      <c r="D27057" s="28"/>
      <c r="F27057" s="28"/>
      <c r="H27057" s="28"/>
    </row>
    <row r="27058" spans="4:8" x14ac:dyDescent="0.25">
      <c r="D27058" s="28"/>
      <c r="F27058" s="28"/>
      <c r="H27058" s="28"/>
    </row>
    <row r="27059" spans="4:8" x14ac:dyDescent="0.25">
      <c r="D27059" s="28"/>
      <c r="F27059" s="28"/>
      <c r="H27059" s="28"/>
    </row>
    <row r="27060" spans="4:8" x14ac:dyDescent="0.25">
      <c r="D27060" s="28"/>
      <c r="F27060" s="28"/>
      <c r="H27060" s="28"/>
    </row>
    <row r="27061" spans="4:8" x14ac:dyDescent="0.25">
      <c r="D27061" s="28"/>
      <c r="F27061" s="28"/>
      <c r="H27061" s="28"/>
    </row>
    <row r="27062" spans="4:8" x14ac:dyDescent="0.25">
      <c r="D27062" s="28"/>
      <c r="F27062" s="28"/>
      <c r="H27062" s="28"/>
    </row>
    <row r="27063" spans="4:8" x14ac:dyDescent="0.25">
      <c r="D27063" s="28"/>
      <c r="F27063" s="28"/>
      <c r="H27063" s="28"/>
    </row>
    <row r="27064" spans="4:8" x14ac:dyDescent="0.25">
      <c r="D27064" s="28"/>
      <c r="F27064" s="28"/>
      <c r="H27064" s="28"/>
    </row>
    <row r="27065" spans="4:8" x14ac:dyDescent="0.25">
      <c r="D27065" s="28"/>
      <c r="F27065" s="28"/>
      <c r="H27065" s="28"/>
    </row>
    <row r="27066" spans="4:8" x14ac:dyDescent="0.25">
      <c r="D27066" s="28"/>
      <c r="F27066" s="28"/>
      <c r="H27066" s="28"/>
    </row>
    <row r="27067" spans="4:8" x14ac:dyDescent="0.25">
      <c r="D27067" s="28"/>
      <c r="F27067" s="28"/>
      <c r="H27067" s="28"/>
    </row>
    <row r="27068" spans="4:8" x14ac:dyDescent="0.25">
      <c r="D27068" s="28"/>
      <c r="F27068" s="28"/>
      <c r="H27068" s="28"/>
    </row>
    <row r="27069" spans="4:8" x14ac:dyDescent="0.25">
      <c r="D27069" s="28"/>
      <c r="F27069" s="28"/>
      <c r="H27069" s="28"/>
    </row>
    <row r="27070" spans="4:8" x14ac:dyDescent="0.25">
      <c r="D27070" s="28"/>
      <c r="F27070" s="28"/>
      <c r="H27070" s="28"/>
    </row>
    <row r="27071" spans="4:8" x14ac:dyDescent="0.25">
      <c r="D27071" s="28"/>
      <c r="F27071" s="28"/>
      <c r="H27071" s="28"/>
    </row>
    <row r="27072" spans="4:8" x14ac:dyDescent="0.25">
      <c r="D27072" s="28"/>
      <c r="F27072" s="28"/>
      <c r="H27072" s="28"/>
    </row>
    <row r="27073" spans="4:8" x14ac:dyDescent="0.25">
      <c r="D27073" s="28"/>
      <c r="F27073" s="28"/>
      <c r="H27073" s="28"/>
    </row>
    <row r="27074" spans="4:8" x14ac:dyDescent="0.25">
      <c r="D27074" s="28"/>
      <c r="F27074" s="28"/>
      <c r="H27074" s="28"/>
    </row>
    <row r="27075" spans="4:8" x14ac:dyDescent="0.25">
      <c r="D27075" s="28"/>
      <c r="F27075" s="28"/>
      <c r="H27075" s="28"/>
    </row>
    <row r="27076" spans="4:8" x14ac:dyDescent="0.25">
      <c r="D27076" s="28"/>
      <c r="F27076" s="28"/>
      <c r="H27076" s="28"/>
    </row>
    <row r="27077" spans="4:8" x14ac:dyDescent="0.25">
      <c r="D27077" s="28"/>
      <c r="F27077" s="28"/>
      <c r="H27077" s="28"/>
    </row>
    <row r="27078" spans="4:8" x14ac:dyDescent="0.25">
      <c r="D27078" s="28"/>
      <c r="F27078" s="28"/>
      <c r="H27078" s="28"/>
    </row>
    <row r="27079" spans="4:8" x14ac:dyDescent="0.25">
      <c r="D27079" s="28"/>
      <c r="F27079" s="28"/>
      <c r="H27079" s="28"/>
    </row>
    <row r="27080" spans="4:8" x14ac:dyDescent="0.25">
      <c r="D27080" s="28"/>
      <c r="F27080" s="28"/>
      <c r="H27080" s="28"/>
    </row>
    <row r="27081" spans="4:8" x14ac:dyDescent="0.25">
      <c r="D27081" s="28"/>
      <c r="F27081" s="28"/>
      <c r="H27081" s="28"/>
    </row>
    <row r="27082" spans="4:8" x14ac:dyDescent="0.25">
      <c r="D27082" s="28"/>
      <c r="F27082" s="28"/>
      <c r="H27082" s="28"/>
    </row>
    <row r="27083" spans="4:8" x14ac:dyDescent="0.25">
      <c r="D27083" s="28"/>
      <c r="F27083" s="28"/>
      <c r="H27083" s="28"/>
    </row>
    <row r="27084" spans="4:8" x14ac:dyDescent="0.25">
      <c r="D27084" s="28"/>
      <c r="F27084" s="28"/>
      <c r="H27084" s="28"/>
    </row>
    <row r="27085" spans="4:8" x14ac:dyDescent="0.25">
      <c r="D27085" s="28"/>
      <c r="F27085" s="28"/>
      <c r="H27085" s="28"/>
    </row>
    <row r="27086" spans="4:8" x14ac:dyDescent="0.25">
      <c r="D27086" s="28"/>
      <c r="F27086" s="28"/>
      <c r="H27086" s="28"/>
    </row>
    <row r="27087" spans="4:8" x14ac:dyDescent="0.25">
      <c r="D27087" s="28"/>
      <c r="F27087" s="28"/>
      <c r="H27087" s="28"/>
    </row>
    <row r="27088" spans="4:8" x14ac:dyDescent="0.25">
      <c r="D27088" s="28"/>
      <c r="F27088" s="28"/>
      <c r="H27088" s="28"/>
    </row>
    <row r="27089" spans="4:8" x14ac:dyDescent="0.25">
      <c r="D27089" s="28"/>
      <c r="F27089" s="28"/>
      <c r="H27089" s="28"/>
    </row>
    <row r="27090" spans="4:8" x14ac:dyDescent="0.25">
      <c r="D27090" s="28"/>
      <c r="F27090" s="28"/>
      <c r="H27090" s="28"/>
    </row>
    <row r="27091" spans="4:8" x14ac:dyDescent="0.25">
      <c r="D27091" s="28"/>
      <c r="F27091" s="28"/>
      <c r="H27091" s="28"/>
    </row>
    <row r="27092" spans="4:8" x14ac:dyDescent="0.25">
      <c r="D27092" s="28"/>
      <c r="F27092" s="28"/>
      <c r="H27092" s="28"/>
    </row>
    <row r="27093" spans="4:8" x14ac:dyDescent="0.25">
      <c r="D27093" s="28"/>
      <c r="F27093" s="28"/>
      <c r="H27093" s="28"/>
    </row>
    <row r="27094" spans="4:8" x14ac:dyDescent="0.25">
      <c r="D27094" s="28"/>
      <c r="F27094" s="28"/>
      <c r="H27094" s="28"/>
    </row>
    <row r="27095" spans="4:8" x14ac:dyDescent="0.25">
      <c r="D27095" s="28"/>
      <c r="F27095" s="28"/>
      <c r="H27095" s="28"/>
    </row>
    <row r="27096" spans="4:8" x14ac:dyDescent="0.25">
      <c r="D27096" s="28"/>
      <c r="F27096" s="28"/>
      <c r="H27096" s="28"/>
    </row>
    <row r="27097" spans="4:8" x14ac:dyDescent="0.25">
      <c r="D27097" s="28"/>
      <c r="F27097" s="28"/>
      <c r="H27097" s="28"/>
    </row>
    <row r="27098" spans="4:8" x14ac:dyDescent="0.25">
      <c r="D27098" s="28"/>
      <c r="F27098" s="28"/>
      <c r="H27098" s="28"/>
    </row>
    <row r="27099" spans="4:8" x14ac:dyDescent="0.25">
      <c r="D27099" s="28"/>
      <c r="F27099" s="28"/>
      <c r="H27099" s="28"/>
    </row>
    <row r="27100" spans="4:8" x14ac:dyDescent="0.25">
      <c r="D27100" s="28"/>
      <c r="F27100" s="28"/>
      <c r="H27100" s="28"/>
    </row>
    <row r="27101" spans="4:8" x14ac:dyDescent="0.25">
      <c r="D27101" s="28"/>
      <c r="F27101" s="28"/>
      <c r="H27101" s="28"/>
    </row>
    <row r="27102" spans="4:8" x14ac:dyDescent="0.25">
      <c r="D27102" s="28"/>
      <c r="F27102" s="28"/>
      <c r="H27102" s="28"/>
    </row>
    <row r="27103" spans="4:8" x14ac:dyDescent="0.25">
      <c r="D27103" s="28"/>
      <c r="F27103" s="28"/>
      <c r="H27103" s="28"/>
    </row>
    <row r="27104" spans="4:8" x14ac:dyDescent="0.25">
      <c r="D27104" s="28"/>
      <c r="F27104" s="28"/>
      <c r="H27104" s="28"/>
    </row>
    <row r="27105" spans="4:8" x14ac:dyDescent="0.25">
      <c r="D27105" s="28"/>
      <c r="F27105" s="28"/>
      <c r="H27105" s="28"/>
    </row>
    <row r="27106" spans="4:8" x14ac:dyDescent="0.25">
      <c r="D27106" s="28"/>
      <c r="F27106" s="28"/>
      <c r="H27106" s="28"/>
    </row>
    <row r="27107" spans="4:8" x14ac:dyDescent="0.25">
      <c r="D27107" s="28"/>
      <c r="F27107" s="28"/>
      <c r="H27107" s="28"/>
    </row>
    <row r="27108" spans="4:8" x14ac:dyDescent="0.25">
      <c r="D27108" s="28"/>
      <c r="F27108" s="28"/>
      <c r="H27108" s="28"/>
    </row>
    <row r="27109" spans="4:8" x14ac:dyDescent="0.25">
      <c r="D27109" s="28"/>
      <c r="F27109" s="28"/>
      <c r="H27109" s="28"/>
    </row>
    <row r="27110" spans="4:8" x14ac:dyDescent="0.25">
      <c r="D27110" s="28"/>
      <c r="F27110" s="28"/>
      <c r="H27110" s="28"/>
    </row>
    <row r="27111" spans="4:8" x14ac:dyDescent="0.25">
      <c r="D27111" s="28"/>
      <c r="F27111" s="28"/>
      <c r="H27111" s="28"/>
    </row>
    <row r="27112" spans="4:8" x14ac:dyDescent="0.25">
      <c r="D27112" s="28"/>
      <c r="F27112" s="28"/>
      <c r="H27112" s="28"/>
    </row>
    <row r="27113" spans="4:8" x14ac:dyDescent="0.25">
      <c r="D27113" s="28"/>
      <c r="F27113" s="28"/>
      <c r="H27113" s="28"/>
    </row>
    <row r="27114" spans="4:8" x14ac:dyDescent="0.25">
      <c r="D27114" s="28"/>
      <c r="F27114" s="28"/>
      <c r="H27114" s="28"/>
    </row>
    <row r="27115" spans="4:8" x14ac:dyDescent="0.25">
      <c r="D27115" s="28"/>
      <c r="F27115" s="28"/>
      <c r="H27115" s="28"/>
    </row>
    <row r="27116" spans="4:8" x14ac:dyDescent="0.25">
      <c r="D27116" s="28"/>
      <c r="F27116" s="28"/>
      <c r="H27116" s="28"/>
    </row>
    <row r="27117" spans="4:8" x14ac:dyDescent="0.25">
      <c r="D27117" s="28"/>
      <c r="F27117" s="28"/>
      <c r="H27117" s="28"/>
    </row>
    <row r="27118" spans="4:8" x14ac:dyDescent="0.25">
      <c r="D27118" s="28"/>
      <c r="F27118" s="28"/>
      <c r="H27118" s="28"/>
    </row>
    <row r="27119" spans="4:8" x14ac:dyDescent="0.25">
      <c r="D27119" s="28"/>
      <c r="F27119" s="28"/>
      <c r="H27119" s="28"/>
    </row>
    <row r="27120" spans="4:8" x14ac:dyDescent="0.25">
      <c r="D27120" s="28"/>
      <c r="F27120" s="28"/>
      <c r="H27120" s="28"/>
    </row>
    <row r="27121" spans="4:8" x14ac:dyDescent="0.25">
      <c r="D27121" s="28"/>
      <c r="F27121" s="28"/>
      <c r="H27121" s="28"/>
    </row>
    <row r="27122" spans="4:8" x14ac:dyDescent="0.25">
      <c r="D27122" s="28"/>
      <c r="F27122" s="28"/>
      <c r="H27122" s="28"/>
    </row>
    <row r="27123" spans="4:8" x14ac:dyDescent="0.25">
      <c r="D27123" s="28"/>
      <c r="F27123" s="28"/>
      <c r="H27123" s="28"/>
    </row>
    <row r="27124" spans="4:8" x14ac:dyDescent="0.25">
      <c r="D27124" s="28"/>
      <c r="F27124" s="28"/>
      <c r="H27124" s="28"/>
    </row>
    <row r="27125" spans="4:8" x14ac:dyDescent="0.25">
      <c r="D27125" s="28"/>
      <c r="F27125" s="28"/>
      <c r="H27125" s="28"/>
    </row>
    <row r="27126" spans="4:8" x14ac:dyDescent="0.25">
      <c r="D27126" s="28"/>
      <c r="F27126" s="28"/>
      <c r="H27126" s="28"/>
    </row>
    <row r="27127" spans="4:8" x14ac:dyDescent="0.25">
      <c r="D27127" s="28"/>
      <c r="F27127" s="28"/>
      <c r="H27127" s="28"/>
    </row>
    <row r="27128" spans="4:8" x14ac:dyDescent="0.25">
      <c r="D27128" s="28"/>
      <c r="F27128" s="28"/>
      <c r="H27128" s="28"/>
    </row>
    <row r="27129" spans="4:8" x14ac:dyDescent="0.25">
      <c r="D27129" s="28"/>
      <c r="F27129" s="28"/>
      <c r="H27129" s="28"/>
    </row>
    <row r="27130" spans="4:8" x14ac:dyDescent="0.25">
      <c r="D27130" s="28"/>
      <c r="F27130" s="28"/>
      <c r="H27130" s="28"/>
    </row>
    <row r="27131" spans="4:8" x14ac:dyDescent="0.25">
      <c r="D27131" s="28"/>
      <c r="F27131" s="28"/>
      <c r="H27131" s="28"/>
    </row>
    <row r="27132" spans="4:8" x14ac:dyDescent="0.25">
      <c r="D27132" s="28"/>
      <c r="F27132" s="28"/>
      <c r="H27132" s="28"/>
    </row>
    <row r="27133" spans="4:8" x14ac:dyDescent="0.25">
      <c r="D27133" s="28"/>
      <c r="F27133" s="28"/>
      <c r="H27133" s="28"/>
    </row>
    <row r="27134" spans="4:8" x14ac:dyDescent="0.25">
      <c r="D27134" s="28"/>
      <c r="F27134" s="28"/>
      <c r="H27134" s="28"/>
    </row>
    <row r="27135" spans="4:8" x14ac:dyDescent="0.25">
      <c r="D27135" s="28"/>
      <c r="F27135" s="28"/>
      <c r="H27135" s="28"/>
    </row>
    <row r="27136" spans="4:8" x14ac:dyDescent="0.25">
      <c r="D27136" s="28"/>
      <c r="F27136" s="28"/>
      <c r="H27136" s="28"/>
    </row>
    <row r="27137" spans="4:8" x14ac:dyDescent="0.25">
      <c r="D27137" s="28"/>
      <c r="F27137" s="28"/>
      <c r="H27137" s="28"/>
    </row>
    <row r="27138" spans="4:8" x14ac:dyDescent="0.25">
      <c r="D27138" s="28"/>
      <c r="F27138" s="28"/>
      <c r="H27138" s="28"/>
    </row>
    <row r="27139" spans="4:8" x14ac:dyDescent="0.25">
      <c r="D27139" s="28"/>
      <c r="F27139" s="28"/>
      <c r="H27139" s="28"/>
    </row>
    <row r="27140" spans="4:8" x14ac:dyDescent="0.25">
      <c r="D27140" s="28"/>
      <c r="F27140" s="28"/>
      <c r="H27140" s="28"/>
    </row>
    <row r="27141" spans="4:8" x14ac:dyDescent="0.25">
      <c r="D27141" s="28"/>
      <c r="F27141" s="28"/>
      <c r="H27141" s="28"/>
    </row>
    <row r="27142" spans="4:8" x14ac:dyDescent="0.25">
      <c r="D27142" s="28"/>
      <c r="F27142" s="28"/>
      <c r="H27142" s="28"/>
    </row>
    <row r="27143" spans="4:8" x14ac:dyDescent="0.25">
      <c r="D27143" s="28"/>
      <c r="F27143" s="28"/>
      <c r="H27143" s="28"/>
    </row>
    <row r="27144" spans="4:8" x14ac:dyDescent="0.25">
      <c r="D27144" s="28"/>
      <c r="F27144" s="28"/>
      <c r="H27144" s="28"/>
    </row>
    <row r="27145" spans="4:8" x14ac:dyDescent="0.25">
      <c r="D27145" s="28"/>
      <c r="F27145" s="28"/>
      <c r="H27145" s="28"/>
    </row>
    <row r="27146" spans="4:8" x14ac:dyDescent="0.25">
      <c r="D27146" s="28"/>
      <c r="F27146" s="28"/>
      <c r="H27146" s="28"/>
    </row>
    <row r="27147" spans="4:8" x14ac:dyDescent="0.25">
      <c r="D27147" s="28"/>
      <c r="F27147" s="28"/>
      <c r="H27147" s="28"/>
    </row>
    <row r="27148" spans="4:8" x14ac:dyDescent="0.25">
      <c r="D27148" s="28"/>
      <c r="F27148" s="28"/>
      <c r="H27148" s="28"/>
    </row>
    <row r="27149" spans="4:8" x14ac:dyDescent="0.25">
      <c r="D27149" s="28"/>
      <c r="F27149" s="28"/>
      <c r="H27149" s="28"/>
    </row>
    <row r="27150" spans="4:8" x14ac:dyDescent="0.25">
      <c r="D27150" s="28"/>
      <c r="F27150" s="28"/>
      <c r="H27150" s="28"/>
    </row>
    <row r="27151" spans="4:8" x14ac:dyDescent="0.25">
      <c r="D27151" s="28"/>
      <c r="F27151" s="28"/>
      <c r="H27151" s="28"/>
    </row>
    <row r="27152" spans="4:8" x14ac:dyDescent="0.25">
      <c r="D27152" s="28"/>
      <c r="F27152" s="28"/>
      <c r="H27152" s="28"/>
    </row>
    <row r="27153" spans="4:8" x14ac:dyDescent="0.25">
      <c r="D27153" s="28"/>
      <c r="F27153" s="28"/>
      <c r="H27153" s="28"/>
    </row>
    <row r="27154" spans="4:8" x14ac:dyDescent="0.25">
      <c r="D27154" s="28"/>
      <c r="F27154" s="28"/>
      <c r="H27154" s="28"/>
    </row>
    <row r="27155" spans="4:8" x14ac:dyDescent="0.25">
      <c r="D27155" s="28"/>
      <c r="F27155" s="28"/>
      <c r="H27155" s="28"/>
    </row>
    <row r="27156" spans="4:8" x14ac:dyDescent="0.25">
      <c r="D27156" s="28"/>
      <c r="F27156" s="28"/>
      <c r="H27156" s="28"/>
    </row>
    <row r="27157" spans="4:8" x14ac:dyDescent="0.25">
      <c r="D27157" s="28"/>
      <c r="F27157" s="28"/>
      <c r="H27157" s="28"/>
    </row>
    <row r="27158" spans="4:8" x14ac:dyDescent="0.25">
      <c r="D27158" s="28"/>
      <c r="F27158" s="28"/>
      <c r="H27158" s="28"/>
    </row>
    <row r="27159" spans="4:8" x14ac:dyDescent="0.25">
      <c r="D27159" s="28"/>
      <c r="F27159" s="28"/>
      <c r="H27159" s="28"/>
    </row>
    <row r="27160" spans="4:8" x14ac:dyDescent="0.25">
      <c r="D27160" s="28"/>
      <c r="F27160" s="28"/>
      <c r="H27160" s="28"/>
    </row>
    <row r="27161" spans="4:8" x14ac:dyDescent="0.25">
      <c r="D27161" s="28"/>
      <c r="F27161" s="28"/>
      <c r="H27161" s="28"/>
    </row>
    <row r="27162" spans="4:8" x14ac:dyDescent="0.25">
      <c r="D27162" s="28"/>
      <c r="F27162" s="28"/>
      <c r="H27162" s="28"/>
    </row>
    <row r="27163" spans="4:8" x14ac:dyDescent="0.25">
      <c r="D27163" s="28"/>
      <c r="F27163" s="28"/>
      <c r="H27163" s="28"/>
    </row>
    <row r="27164" spans="4:8" x14ac:dyDescent="0.25">
      <c r="D27164" s="28"/>
      <c r="F27164" s="28"/>
      <c r="H27164" s="28"/>
    </row>
    <row r="27165" spans="4:8" x14ac:dyDescent="0.25">
      <c r="D27165" s="28"/>
      <c r="F27165" s="28"/>
      <c r="H27165" s="28"/>
    </row>
    <row r="27166" spans="4:8" x14ac:dyDescent="0.25">
      <c r="D27166" s="28"/>
      <c r="F27166" s="28"/>
      <c r="H27166" s="28"/>
    </row>
    <row r="27167" spans="4:8" x14ac:dyDescent="0.25">
      <c r="D27167" s="28"/>
      <c r="F27167" s="28"/>
      <c r="H27167" s="28"/>
    </row>
    <row r="27168" spans="4:8" x14ac:dyDescent="0.25">
      <c r="D27168" s="28"/>
      <c r="F27168" s="28"/>
      <c r="H27168" s="28"/>
    </row>
    <row r="27169" spans="4:8" x14ac:dyDescent="0.25">
      <c r="D27169" s="28"/>
      <c r="F27169" s="28"/>
      <c r="H27169" s="28"/>
    </row>
    <row r="27170" spans="4:8" x14ac:dyDescent="0.25">
      <c r="D27170" s="28"/>
      <c r="F27170" s="28"/>
      <c r="H27170" s="28"/>
    </row>
    <row r="27171" spans="4:8" x14ac:dyDescent="0.25">
      <c r="D27171" s="28"/>
      <c r="F27171" s="28"/>
      <c r="H27171" s="28"/>
    </row>
    <row r="27172" spans="4:8" x14ac:dyDescent="0.25">
      <c r="D27172" s="28"/>
      <c r="F27172" s="28"/>
      <c r="H27172" s="28"/>
    </row>
    <row r="27173" spans="4:8" x14ac:dyDescent="0.25">
      <c r="D27173" s="28"/>
      <c r="F27173" s="28"/>
      <c r="H27173" s="28"/>
    </row>
    <row r="27174" spans="4:8" x14ac:dyDescent="0.25">
      <c r="D27174" s="28"/>
      <c r="F27174" s="28"/>
      <c r="H27174" s="28"/>
    </row>
    <row r="27175" spans="4:8" x14ac:dyDescent="0.25">
      <c r="D27175" s="28"/>
      <c r="F27175" s="28"/>
      <c r="H27175" s="28"/>
    </row>
    <row r="27176" spans="4:8" x14ac:dyDescent="0.25">
      <c r="D27176" s="28"/>
      <c r="F27176" s="28"/>
      <c r="H27176" s="28"/>
    </row>
    <row r="27177" spans="4:8" x14ac:dyDescent="0.25">
      <c r="D27177" s="28"/>
      <c r="F27177" s="28"/>
      <c r="H27177" s="28"/>
    </row>
    <row r="27178" spans="4:8" x14ac:dyDescent="0.25">
      <c r="D27178" s="28"/>
      <c r="F27178" s="28"/>
      <c r="H27178" s="28"/>
    </row>
    <row r="27179" spans="4:8" x14ac:dyDescent="0.25">
      <c r="D27179" s="28"/>
      <c r="F27179" s="28"/>
      <c r="H27179" s="28"/>
    </row>
    <row r="27180" spans="4:8" x14ac:dyDescent="0.25">
      <c r="D27180" s="28"/>
      <c r="F27180" s="28"/>
      <c r="H27180" s="28"/>
    </row>
    <row r="27181" spans="4:8" x14ac:dyDescent="0.25">
      <c r="D27181" s="28"/>
      <c r="F27181" s="28"/>
      <c r="H27181" s="28"/>
    </row>
    <row r="27182" spans="4:8" x14ac:dyDescent="0.25">
      <c r="D27182" s="28"/>
      <c r="F27182" s="28"/>
      <c r="H27182" s="28"/>
    </row>
    <row r="27183" spans="4:8" x14ac:dyDescent="0.25">
      <c r="D27183" s="28"/>
      <c r="F27183" s="28"/>
      <c r="H27183" s="28"/>
    </row>
    <row r="27184" spans="4:8" x14ac:dyDescent="0.25">
      <c r="D27184" s="28"/>
      <c r="F27184" s="28"/>
      <c r="H27184" s="28"/>
    </row>
    <row r="27185" spans="4:8" x14ac:dyDescent="0.25">
      <c r="D27185" s="28"/>
      <c r="F27185" s="28"/>
      <c r="H27185" s="28"/>
    </row>
    <row r="27186" spans="4:8" x14ac:dyDescent="0.25">
      <c r="D27186" s="28"/>
      <c r="F27186" s="28"/>
      <c r="H27186" s="28"/>
    </row>
    <row r="27187" spans="4:8" x14ac:dyDescent="0.25">
      <c r="D27187" s="28"/>
      <c r="F27187" s="28"/>
      <c r="H27187" s="28"/>
    </row>
    <row r="27188" spans="4:8" x14ac:dyDescent="0.25">
      <c r="D27188" s="28"/>
      <c r="F27188" s="28"/>
      <c r="H27188" s="28"/>
    </row>
    <row r="27189" spans="4:8" x14ac:dyDescent="0.25">
      <c r="D27189" s="28"/>
      <c r="F27189" s="28"/>
      <c r="H27189" s="28"/>
    </row>
    <row r="27190" spans="4:8" x14ac:dyDescent="0.25">
      <c r="D27190" s="28"/>
      <c r="F27190" s="28"/>
      <c r="H27190" s="28"/>
    </row>
    <row r="27191" spans="4:8" x14ac:dyDescent="0.25">
      <c r="D27191" s="28"/>
      <c r="F27191" s="28"/>
      <c r="H27191" s="28"/>
    </row>
    <row r="27192" spans="4:8" x14ac:dyDescent="0.25">
      <c r="D27192" s="28"/>
      <c r="F27192" s="28"/>
      <c r="H27192" s="28"/>
    </row>
    <row r="27193" spans="4:8" x14ac:dyDescent="0.25">
      <c r="D27193" s="28"/>
      <c r="F27193" s="28"/>
      <c r="H27193" s="28"/>
    </row>
    <row r="27194" spans="4:8" x14ac:dyDescent="0.25">
      <c r="D27194" s="28"/>
      <c r="F27194" s="28"/>
      <c r="H27194" s="28"/>
    </row>
    <row r="27195" spans="4:8" x14ac:dyDescent="0.25">
      <c r="D27195" s="28"/>
      <c r="F27195" s="28"/>
      <c r="H27195" s="28"/>
    </row>
    <row r="27196" spans="4:8" x14ac:dyDescent="0.25">
      <c r="D27196" s="28"/>
      <c r="F27196" s="28"/>
      <c r="H27196" s="28"/>
    </row>
    <row r="27197" spans="4:8" x14ac:dyDescent="0.25">
      <c r="D27197" s="28"/>
      <c r="F27197" s="28"/>
      <c r="H27197" s="28"/>
    </row>
    <row r="27198" spans="4:8" x14ac:dyDescent="0.25">
      <c r="D27198" s="28"/>
      <c r="F27198" s="28"/>
      <c r="H27198" s="28"/>
    </row>
    <row r="27199" spans="4:8" x14ac:dyDescent="0.25">
      <c r="D27199" s="28"/>
      <c r="F27199" s="28"/>
      <c r="H27199" s="28"/>
    </row>
    <row r="27200" spans="4:8" x14ac:dyDescent="0.25">
      <c r="D27200" s="28"/>
      <c r="F27200" s="28"/>
      <c r="H27200" s="28"/>
    </row>
    <row r="27201" spans="4:8" x14ac:dyDescent="0.25">
      <c r="D27201" s="28"/>
      <c r="F27201" s="28"/>
      <c r="H27201" s="28"/>
    </row>
    <row r="27202" spans="4:8" x14ac:dyDescent="0.25">
      <c r="D27202" s="28"/>
      <c r="F27202" s="28"/>
      <c r="H27202" s="28"/>
    </row>
    <row r="27203" spans="4:8" x14ac:dyDescent="0.25">
      <c r="D27203" s="28"/>
      <c r="F27203" s="28"/>
      <c r="H27203" s="28"/>
    </row>
    <row r="27204" spans="4:8" x14ac:dyDescent="0.25">
      <c r="D27204" s="28"/>
      <c r="F27204" s="28"/>
      <c r="H27204" s="28"/>
    </row>
    <row r="27205" spans="4:8" x14ac:dyDescent="0.25">
      <c r="D27205" s="28"/>
      <c r="F27205" s="28"/>
      <c r="H27205" s="28"/>
    </row>
    <row r="27206" spans="4:8" x14ac:dyDescent="0.25">
      <c r="D27206" s="28"/>
      <c r="F27206" s="28"/>
      <c r="H27206" s="28"/>
    </row>
    <row r="27207" spans="4:8" x14ac:dyDescent="0.25">
      <c r="D27207" s="28"/>
      <c r="F27207" s="28"/>
      <c r="H27207" s="28"/>
    </row>
    <row r="27208" spans="4:8" x14ac:dyDescent="0.25">
      <c r="D27208" s="28"/>
      <c r="F27208" s="28"/>
      <c r="H27208" s="28"/>
    </row>
    <row r="27209" spans="4:8" x14ac:dyDescent="0.25">
      <c r="D27209" s="28"/>
      <c r="F27209" s="28"/>
      <c r="H27209" s="28"/>
    </row>
    <row r="27210" spans="4:8" x14ac:dyDescent="0.25">
      <c r="D27210" s="28"/>
      <c r="F27210" s="28"/>
      <c r="H27210" s="28"/>
    </row>
    <row r="27211" spans="4:8" x14ac:dyDescent="0.25">
      <c r="D27211" s="28"/>
      <c r="F27211" s="28"/>
      <c r="H27211" s="28"/>
    </row>
    <row r="27212" spans="4:8" x14ac:dyDescent="0.25">
      <c r="D27212" s="28"/>
      <c r="F27212" s="28"/>
      <c r="H27212" s="28"/>
    </row>
    <row r="27213" spans="4:8" x14ac:dyDescent="0.25">
      <c r="D27213" s="28"/>
      <c r="F27213" s="28"/>
      <c r="H27213" s="28"/>
    </row>
    <row r="27214" spans="4:8" x14ac:dyDescent="0.25">
      <c r="D27214" s="28"/>
      <c r="F27214" s="28"/>
      <c r="H27214" s="28"/>
    </row>
    <row r="27215" spans="4:8" x14ac:dyDescent="0.25">
      <c r="D27215" s="28"/>
      <c r="F27215" s="28"/>
      <c r="H27215" s="28"/>
    </row>
    <row r="27216" spans="4:8" x14ac:dyDescent="0.25">
      <c r="D27216" s="28"/>
      <c r="F27216" s="28"/>
      <c r="H27216" s="28"/>
    </row>
    <row r="27217" spans="4:8" x14ac:dyDescent="0.25">
      <c r="D27217" s="28"/>
      <c r="F27217" s="28"/>
      <c r="H27217" s="28"/>
    </row>
    <row r="27218" spans="4:8" x14ac:dyDescent="0.25">
      <c r="D27218" s="28"/>
      <c r="F27218" s="28"/>
      <c r="H27218" s="28"/>
    </row>
    <row r="27219" spans="4:8" x14ac:dyDescent="0.25">
      <c r="D27219" s="28"/>
      <c r="F27219" s="28"/>
      <c r="H27219" s="28"/>
    </row>
    <row r="27220" spans="4:8" x14ac:dyDescent="0.25">
      <c r="D27220" s="28"/>
      <c r="F27220" s="28"/>
      <c r="H27220" s="28"/>
    </row>
    <row r="27221" spans="4:8" x14ac:dyDescent="0.25">
      <c r="D27221" s="28"/>
      <c r="F27221" s="28"/>
      <c r="H27221" s="28"/>
    </row>
    <row r="27222" spans="4:8" x14ac:dyDescent="0.25">
      <c r="D27222" s="28"/>
      <c r="F27222" s="28"/>
      <c r="H27222" s="28"/>
    </row>
    <row r="27223" spans="4:8" x14ac:dyDescent="0.25">
      <c r="D27223" s="28"/>
      <c r="F27223" s="28"/>
      <c r="H27223" s="28"/>
    </row>
    <row r="27224" spans="4:8" x14ac:dyDescent="0.25">
      <c r="D27224" s="28"/>
      <c r="F27224" s="28"/>
      <c r="H27224" s="28"/>
    </row>
    <row r="27225" spans="4:8" x14ac:dyDescent="0.25">
      <c r="D27225" s="28"/>
      <c r="F27225" s="28"/>
      <c r="H27225" s="28"/>
    </row>
    <row r="27226" spans="4:8" x14ac:dyDescent="0.25">
      <c r="D27226" s="28"/>
      <c r="F27226" s="28"/>
      <c r="H27226" s="28"/>
    </row>
    <row r="27227" spans="4:8" x14ac:dyDescent="0.25">
      <c r="D27227" s="28"/>
      <c r="F27227" s="28"/>
      <c r="H27227" s="28"/>
    </row>
    <row r="27228" spans="4:8" x14ac:dyDescent="0.25">
      <c r="D27228" s="28"/>
      <c r="F27228" s="28"/>
      <c r="H27228" s="28"/>
    </row>
    <row r="27229" spans="4:8" x14ac:dyDescent="0.25">
      <c r="D27229" s="28"/>
      <c r="F27229" s="28"/>
      <c r="H27229" s="28"/>
    </row>
    <row r="27230" spans="4:8" x14ac:dyDescent="0.25">
      <c r="D27230" s="28"/>
      <c r="F27230" s="28"/>
      <c r="H27230" s="28"/>
    </row>
    <row r="27231" spans="4:8" x14ac:dyDescent="0.25">
      <c r="D27231" s="28"/>
      <c r="F27231" s="28"/>
      <c r="H27231" s="28"/>
    </row>
    <row r="27232" spans="4:8" x14ac:dyDescent="0.25">
      <c r="D27232" s="28"/>
      <c r="F27232" s="28"/>
      <c r="H27232" s="28"/>
    </row>
    <row r="27233" spans="4:8" x14ac:dyDescent="0.25">
      <c r="D27233" s="28"/>
      <c r="F27233" s="28"/>
      <c r="H27233" s="28"/>
    </row>
    <row r="27234" spans="4:8" x14ac:dyDescent="0.25">
      <c r="D27234" s="28"/>
      <c r="F27234" s="28"/>
      <c r="H27234" s="28"/>
    </row>
    <row r="27235" spans="4:8" x14ac:dyDescent="0.25">
      <c r="D27235" s="28"/>
      <c r="F27235" s="28"/>
      <c r="H27235" s="28"/>
    </row>
    <row r="27236" spans="4:8" x14ac:dyDescent="0.25">
      <c r="D27236" s="28"/>
      <c r="F27236" s="28"/>
      <c r="H27236" s="28"/>
    </row>
    <row r="27237" spans="4:8" x14ac:dyDescent="0.25">
      <c r="D27237" s="28"/>
      <c r="F27237" s="28"/>
      <c r="H27237" s="28"/>
    </row>
    <row r="27238" spans="4:8" x14ac:dyDescent="0.25">
      <c r="D27238" s="28"/>
      <c r="F27238" s="28"/>
      <c r="H27238" s="28"/>
    </row>
    <row r="27239" spans="4:8" x14ac:dyDescent="0.25">
      <c r="D27239" s="28"/>
      <c r="F27239" s="28"/>
      <c r="H27239" s="28"/>
    </row>
    <row r="27240" spans="4:8" x14ac:dyDescent="0.25">
      <c r="D27240" s="28"/>
      <c r="F27240" s="28"/>
      <c r="H27240" s="28"/>
    </row>
    <row r="27241" spans="4:8" x14ac:dyDescent="0.25">
      <c r="D27241" s="28"/>
      <c r="F27241" s="28"/>
      <c r="H27241" s="28"/>
    </row>
    <row r="27242" spans="4:8" x14ac:dyDescent="0.25">
      <c r="D27242" s="28"/>
      <c r="F27242" s="28"/>
      <c r="H27242" s="28"/>
    </row>
    <row r="27243" spans="4:8" x14ac:dyDescent="0.25">
      <c r="D27243" s="28"/>
      <c r="F27243" s="28"/>
      <c r="H27243" s="28"/>
    </row>
    <row r="27244" spans="4:8" x14ac:dyDescent="0.25">
      <c r="D27244" s="28"/>
      <c r="F27244" s="28"/>
      <c r="H27244" s="28"/>
    </row>
    <row r="27245" spans="4:8" x14ac:dyDescent="0.25">
      <c r="D27245" s="28"/>
      <c r="F27245" s="28"/>
      <c r="H27245" s="28"/>
    </row>
    <row r="27246" spans="4:8" x14ac:dyDescent="0.25">
      <c r="D27246" s="28"/>
      <c r="F27246" s="28"/>
      <c r="H27246" s="28"/>
    </row>
    <row r="27247" spans="4:8" x14ac:dyDescent="0.25">
      <c r="D27247" s="28"/>
      <c r="F27247" s="28"/>
      <c r="H27247" s="28"/>
    </row>
    <row r="27248" spans="4:8" x14ac:dyDescent="0.25">
      <c r="D27248" s="28"/>
      <c r="F27248" s="28"/>
      <c r="H27248" s="28"/>
    </row>
    <row r="27249" spans="4:8" x14ac:dyDescent="0.25">
      <c r="D27249" s="28"/>
      <c r="F27249" s="28"/>
      <c r="H27249" s="28"/>
    </row>
    <row r="27250" spans="4:8" x14ac:dyDescent="0.25">
      <c r="D27250" s="28"/>
      <c r="F27250" s="28"/>
      <c r="H27250" s="28"/>
    </row>
    <row r="27251" spans="4:8" x14ac:dyDescent="0.25">
      <c r="D27251" s="28"/>
      <c r="F27251" s="28"/>
      <c r="H27251" s="28"/>
    </row>
    <row r="27252" spans="4:8" x14ac:dyDescent="0.25">
      <c r="D27252" s="28"/>
      <c r="F27252" s="28"/>
      <c r="H27252" s="28"/>
    </row>
    <row r="27253" spans="4:8" x14ac:dyDescent="0.25">
      <c r="D27253" s="28"/>
      <c r="F27253" s="28"/>
      <c r="H27253" s="28"/>
    </row>
    <row r="27254" spans="4:8" x14ac:dyDescent="0.25">
      <c r="D27254" s="28"/>
      <c r="F27254" s="28"/>
      <c r="H27254" s="28"/>
    </row>
    <row r="27255" spans="4:8" x14ac:dyDescent="0.25">
      <c r="D27255" s="28"/>
      <c r="F27255" s="28"/>
      <c r="H27255" s="28"/>
    </row>
    <row r="27256" spans="4:8" x14ac:dyDescent="0.25">
      <c r="D27256" s="28"/>
      <c r="F27256" s="28"/>
      <c r="H27256" s="28"/>
    </row>
    <row r="27257" spans="4:8" x14ac:dyDescent="0.25">
      <c r="D27257" s="28"/>
      <c r="F27257" s="28"/>
      <c r="H27257" s="28"/>
    </row>
    <row r="27258" spans="4:8" x14ac:dyDescent="0.25">
      <c r="D27258" s="28"/>
      <c r="F27258" s="28"/>
      <c r="H27258" s="28"/>
    </row>
    <row r="27259" spans="4:8" x14ac:dyDescent="0.25">
      <c r="D27259" s="28"/>
      <c r="F27259" s="28"/>
      <c r="H27259" s="28"/>
    </row>
    <row r="27260" spans="4:8" x14ac:dyDescent="0.25">
      <c r="D27260" s="28"/>
      <c r="F27260" s="28"/>
      <c r="H27260" s="28"/>
    </row>
    <row r="27261" spans="4:8" x14ac:dyDescent="0.25">
      <c r="D27261" s="28"/>
      <c r="F27261" s="28"/>
      <c r="H27261" s="28"/>
    </row>
    <row r="27262" spans="4:8" x14ac:dyDescent="0.25">
      <c r="D27262" s="28"/>
      <c r="F27262" s="28"/>
      <c r="H27262" s="28"/>
    </row>
    <row r="27263" spans="4:8" x14ac:dyDescent="0.25">
      <c r="D27263" s="28"/>
      <c r="F27263" s="28"/>
      <c r="H27263" s="28"/>
    </row>
    <row r="27264" spans="4:8" x14ac:dyDescent="0.25">
      <c r="D27264" s="28"/>
      <c r="F27264" s="28"/>
      <c r="H27264" s="28"/>
    </row>
    <row r="27265" spans="4:8" x14ac:dyDescent="0.25">
      <c r="D27265" s="28"/>
      <c r="F27265" s="28"/>
      <c r="H27265" s="28"/>
    </row>
    <row r="27266" spans="4:8" x14ac:dyDescent="0.25">
      <c r="D27266" s="28"/>
      <c r="F27266" s="28"/>
      <c r="H27266" s="28"/>
    </row>
    <row r="27267" spans="4:8" x14ac:dyDescent="0.25">
      <c r="D27267" s="28"/>
      <c r="F27267" s="28"/>
      <c r="H27267" s="28"/>
    </row>
    <row r="27268" spans="4:8" x14ac:dyDescent="0.25">
      <c r="D27268" s="28"/>
      <c r="F27268" s="28"/>
      <c r="H27268" s="28"/>
    </row>
    <row r="27269" spans="4:8" x14ac:dyDescent="0.25">
      <c r="D27269" s="28"/>
      <c r="F27269" s="28"/>
      <c r="H27269" s="28"/>
    </row>
    <row r="27270" spans="4:8" x14ac:dyDescent="0.25">
      <c r="D27270" s="28"/>
      <c r="F27270" s="28"/>
      <c r="H27270" s="28"/>
    </row>
    <row r="27271" spans="4:8" x14ac:dyDescent="0.25">
      <c r="D27271" s="28"/>
      <c r="F27271" s="28"/>
      <c r="H27271" s="28"/>
    </row>
    <row r="27272" spans="4:8" x14ac:dyDescent="0.25">
      <c r="D27272" s="28"/>
      <c r="F27272" s="28"/>
      <c r="H27272" s="28"/>
    </row>
    <row r="27273" spans="4:8" x14ac:dyDescent="0.25">
      <c r="D27273" s="28"/>
      <c r="F27273" s="28"/>
      <c r="H27273" s="28"/>
    </row>
    <row r="27274" spans="4:8" x14ac:dyDescent="0.25">
      <c r="D27274" s="28"/>
      <c r="F27274" s="28"/>
      <c r="H27274" s="28"/>
    </row>
    <row r="27275" spans="4:8" x14ac:dyDescent="0.25">
      <c r="D27275" s="28"/>
      <c r="F27275" s="28"/>
      <c r="H27275" s="28"/>
    </row>
    <row r="27276" spans="4:8" x14ac:dyDescent="0.25">
      <c r="D27276" s="28"/>
      <c r="F27276" s="28"/>
      <c r="H27276" s="28"/>
    </row>
    <row r="27277" spans="4:8" x14ac:dyDescent="0.25">
      <c r="D27277" s="28"/>
      <c r="F27277" s="28"/>
      <c r="H27277" s="28"/>
    </row>
    <row r="27278" spans="4:8" x14ac:dyDescent="0.25">
      <c r="D27278" s="28"/>
      <c r="F27278" s="28"/>
      <c r="H27278" s="28"/>
    </row>
    <row r="27279" spans="4:8" x14ac:dyDescent="0.25">
      <c r="D27279" s="28"/>
      <c r="F27279" s="28"/>
      <c r="H27279" s="28"/>
    </row>
    <row r="27280" spans="4:8" x14ac:dyDescent="0.25">
      <c r="D27280" s="28"/>
      <c r="F27280" s="28"/>
      <c r="H27280" s="28"/>
    </row>
    <row r="27281" spans="4:8" x14ac:dyDescent="0.25">
      <c r="D27281" s="28"/>
      <c r="F27281" s="28"/>
      <c r="H27281" s="28"/>
    </row>
    <row r="27282" spans="4:8" x14ac:dyDescent="0.25">
      <c r="D27282" s="28"/>
      <c r="F27282" s="28"/>
      <c r="H27282" s="28"/>
    </row>
    <row r="27283" spans="4:8" x14ac:dyDescent="0.25">
      <c r="D27283" s="28"/>
      <c r="F27283" s="28"/>
      <c r="H27283" s="28"/>
    </row>
    <row r="27284" spans="4:8" x14ac:dyDescent="0.25">
      <c r="D27284" s="28"/>
      <c r="F27284" s="28"/>
      <c r="H27284" s="28"/>
    </row>
    <row r="27285" spans="4:8" x14ac:dyDescent="0.25">
      <c r="D27285" s="28"/>
      <c r="F27285" s="28"/>
      <c r="H27285" s="28"/>
    </row>
    <row r="27286" spans="4:8" x14ac:dyDescent="0.25">
      <c r="D27286" s="28"/>
      <c r="F27286" s="28"/>
      <c r="H27286" s="28"/>
    </row>
    <row r="27287" spans="4:8" x14ac:dyDescent="0.25">
      <c r="D27287" s="28"/>
      <c r="F27287" s="28"/>
      <c r="H27287" s="28"/>
    </row>
    <row r="27288" spans="4:8" x14ac:dyDescent="0.25">
      <c r="D27288" s="28"/>
      <c r="F27288" s="28"/>
      <c r="H27288" s="28"/>
    </row>
    <row r="27289" spans="4:8" x14ac:dyDescent="0.25">
      <c r="D27289" s="28"/>
      <c r="F27289" s="28"/>
      <c r="H27289" s="28"/>
    </row>
    <row r="27290" spans="4:8" x14ac:dyDescent="0.25">
      <c r="D27290" s="28"/>
      <c r="F27290" s="28"/>
      <c r="H27290" s="28"/>
    </row>
    <row r="27291" spans="4:8" x14ac:dyDescent="0.25">
      <c r="D27291" s="28"/>
      <c r="F27291" s="28"/>
      <c r="H27291" s="28"/>
    </row>
    <row r="27292" spans="4:8" x14ac:dyDescent="0.25">
      <c r="D27292" s="28"/>
      <c r="F27292" s="28"/>
      <c r="H27292" s="28"/>
    </row>
    <row r="27293" spans="4:8" x14ac:dyDescent="0.25">
      <c r="D27293" s="28"/>
      <c r="F27293" s="28"/>
      <c r="H27293" s="28"/>
    </row>
    <row r="27294" spans="4:8" x14ac:dyDescent="0.25">
      <c r="D27294" s="28"/>
      <c r="F27294" s="28"/>
      <c r="H27294" s="28"/>
    </row>
    <row r="27295" spans="4:8" x14ac:dyDescent="0.25">
      <c r="D27295" s="28"/>
      <c r="F27295" s="28"/>
      <c r="H27295" s="28"/>
    </row>
    <row r="27296" spans="4:8" x14ac:dyDescent="0.25">
      <c r="D27296" s="28"/>
      <c r="F27296" s="28"/>
      <c r="H27296" s="28"/>
    </row>
    <row r="27297" spans="4:8" x14ac:dyDescent="0.25">
      <c r="D27297" s="28"/>
      <c r="F27297" s="28"/>
      <c r="H27297" s="28"/>
    </row>
    <row r="27298" spans="4:8" x14ac:dyDescent="0.25">
      <c r="D27298" s="28"/>
      <c r="F27298" s="28"/>
      <c r="H27298" s="28"/>
    </row>
    <row r="27299" spans="4:8" x14ac:dyDescent="0.25">
      <c r="D27299" s="28"/>
      <c r="F27299" s="28"/>
      <c r="H27299" s="28"/>
    </row>
    <row r="27300" spans="4:8" x14ac:dyDescent="0.25">
      <c r="D27300" s="28"/>
      <c r="F27300" s="28"/>
      <c r="H27300" s="28"/>
    </row>
    <row r="27301" spans="4:8" x14ac:dyDescent="0.25">
      <c r="D27301" s="28"/>
      <c r="F27301" s="28"/>
      <c r="H27301" s="28"/>
    </row>
    <row r="27302" spans="4:8" x14ac:dyDescent="0.25">
      <c r="D27302" s="28"/>
      <c r="F27302" s="28"/>
      <c r="H27302" s="28"/>
    </row>
    <row r="27303" spans="4:8" x14ac:dyDescent="0.25">
      <c r="D27303" s="28"/>
      <c r="F27303" s="28"/>
      <c r="H27303" s="28"/>
    </row>
    <row r="27304" spans="4:8" x14ac:dyDescent="0.25">
      <c r="D27304" s="28"/>
      <c r="F27304" s="28"/>
      <c r="H27304" s="28"/>
    </row>
    <row r="27305" spans="4:8" x14ac:dyDescent="0.25">
      <c r="D27305" s="28"/>
      <c r="F27305" s="28"/>
      <c r="H27305" s="28"/>
    </row>
    <row r="27306" spans="4:8" x14ac:dyDescent="0.25">
      <c r="D27306" s="28"/>
      <c r="F27306" s="28"/>
      <c r="H27306" s="28"/>
    </row>
    <row r="27307" spans="4:8" x14ac:dyDescent="0.25">
      <c r="D27307" s="28"/>
      <c r="F27307" s="28"/>
      <c r="H27307" s="28"/>
    </row>
    <row r="27308" spans="4:8" x14ac:dyDescent="0.25">
      <c r="D27308" s="28"/>
      <c r="F27308" s="28"/>
      <c r="H27308" s="28"/>
    </row>
    <row r="27309" spans="4:8" x14ac:dyDescent="0.25">
      <c r="D27309" s="28"/>
      <c r="F27309" s="28"/>
      <c r="H27309" s="28"/>
    </row>
    <row r="27310" spans="4:8" x14ac:dyDescent="0.25">
      <c r="D27310" s="28"/>
      <c r="F27310" s="28"/>
      <c r="H27310" s="28"/>
    </row>
    <row r="27311" spans="4:8" x14ac:dyDescent="0.25">
      <c r="D27311" s="28"/>
      <c r="F27311" s="28"/>
      <c r="H27311" s="28"/>
    </row>
    <row r="27312" spans="4:8" x14ac:dyDescent="0.25">
      <c r="D27312" s="28"/>
      <c r="F27312" s="28"/>
      <c r="H27312" s="28"/>
    </row>
    <row r="27313" spans="4:8" x14ac:dyDescent="0.25">
      <c r="D27313" s="28"/>
      <c r="F27313" s="28"/>
      <c r="H27313" s="28"/>
    </row>
    <row r="27314" spans="4:8" x14ac:dyDescent="0.25">
      <c r="D27314" s="28"/>
      <c r="F27314" s="28"/>
      <c r="H27314" s="28"/>
    </row>
    <row r="27315" spans="4:8" x14ac:dyDescent="0.25">
      <c r="D27315" s="28"/>
      <c r="F27315" s="28"/>
      <c r="H27315" s="28"/>
    </row>
    <row r="27316" spans="4:8" x14ac:dyDescent="0.25">
      <c r="D27316" s="28"/>
      <c r="F27316" s="28"/>
      <c r="H27316" s="28"/>
    </row>
    <row r="27317" spans="4:8" x14ac:dyDescent="0.25">
      <c r="D27317" s="28"/>
      <c r="F27317" s="28"/>
      <c r="H27317" s="28"/>
    </row>
    <row r="27318" spans="4:8" x14ac:dyDescent="0.25">
      <c r="D27318" s="28"/>
      <c r="F27318" s="28"/>
      <c r="H27318" s="28"/>
    </row>
    <row r="27319" spans="4:8" x14ac:dyDescent="0.25">
      <c r="D27319" s="28"/>
      <c r="F27319" s="28"/>
      <c r="H27319" s="28"/>
    </row>
    <row r="27320" spans="4:8" x14ac:dyDescent="0.25">
      <c r="D27320" s="28"/>
      <c r="F27320" s="28"/>
      <c r="H27320" s="28"/>
    </row>
    <row r="27321" spans="4:8" x14ac:dyDescent="0.25">
      <c r="D27321" s="28"/>
      <c r="F27321" s="28"/>
      <c r="H27321" s="28"/>
    </row>
    <row r="27322" spans="4:8" x14ac:dyDescent="0.25">
      <c r="D27322" s="28"/>
      <c r="F27322" s="28"/>
      <c r="H27322" s="28"/>
    </row>
    <row r="27323" spans="4:8" x14ac:dyDescent="0.25">
      <c r="D27323" s="28"/>
      <c r="F27323" s="28"/>
      <c r="H27323" s="28"/>
    </row>
    <row r="27324" spans="4:8" x14ac:dyDescent="0.25">
      <c r="D27324" s="28"/>
      <c r="F27324" s="28"/>
      <c r="H27324" s="28"/>
    </row>
    <row r="27325" spans="4:8" x14ac:dyDescent="0.25">
      <c r="D27325" s="28"/>
      <c r="F27325" s="28"/>
      <c r="H27325" s="28"/>
    </row>
    <row r="27326" spans="4:8" x14ac:dyDescent="0.25">
      <c r="D27326" s="28"/>
      <c r="F27326" s="28"/>
      <c r="H27326" s="28"/>
    </row>
    <row r="27327" spans="4:8" x14ac:dyDescent="0.25">
      <c r="D27327" s="28"/>
      <c r="F27327" s="28"/>
      <c r="H27327" s="28"/>
    </row>
    <row r="27328" spans="4:8" x14ac:dyDescent="0.25">
      <c r="D27328" s="28"/>
      <c r="F27328" s="28"/>
      <c r="H27328" s="28"/>
    </row>
    <row r="27329" spans="4:8" x14ac:dyDescent="0.25">
      <c r="D27329" s="28"/>
      <c r="F27329" s="28"/>
      <c r="H27329" s="28"/>
    </row>
    <row r="27330" spans="4:8" x14ac:dyDescent="0.25">
      <c r="D27330" s="28"/>
      <c r="F27330" s="28"/>
      <c r="H27330" s="28"/>
    </row>
    <row r="27331" spans="4:8" x14ac:dyDescent="0.25">
      <c r="D27331" s="28"/>
      <c r="F27331" s="28"/>
      <c r="H27331" s="28"/>
    </row>
    <row r="27332" spans="4:8" x14ac:dyDescent="0.25">
      <c r="D27332" s="28"/>
      <c r="F27332" s="28"/>
      <c r="H27332" s="28"/>
    </row>
    <row r="27333" spans="4:8" x14ac:dyDescent="0.25">
      <c r="D27333" s="28"/>
      <c r="F27333" s="28"/>
      <c r="H27333" s="28"/>
    </row>
    <row r="27334" spans="4:8" x14ac:dyDescent="0.25">
      <c r="D27334" s="28"/>
      <c r="F27334" s="28"/>
      <c r="H27334" s="28"/>
    </row>
    <row r="27335" spans="4:8" x14ac:dyDescent="0.25">
      <c r="D27335" s="28"/>
      <c r="F27335" s="28"/>
      <c r="H27335" s="28"/>
    </row>
    <row r="27336" spans="4:8" x14ac:dyDescent="0.25">
      <c r="D27336" s="28"/>
      <c r="F27336" s="28"/>
      <c r="H27336" s="28"/>
    </row>
    <row r="27337" spans="4:8" x14ac:dyDescent="0.25">
      <c r="D27337" s="28"/>
      <c r="F27337" s="28"/>
      <c r="H27337" s="28"/>
    </row>
    <row r="27338" spans="4:8" x14ac:dyDescent="0.25">
      <c r="D27338" s="28"/>
      <c r="F27338" s="28"/>
      <c r="H27338" s="28"/>
    </row>
    <row r="27339" spans="4:8" x14ac:dyDescent="0.25">
      <c r="D27339" s="28"/>
      <c r="F27339" s="28"/>
      <c r="H27339" s="28"/>
    </row>
    <row r="27340" spans="4:8" x14ac:dyDescent="0.25">
      <c r="D27340" s="28"/>
      <c r="F27340" s="28"/>
      <c r="H27340" s="28"/>
    </row>
    <row r="27341" spans="4:8" x14ac:dyDescent="0.25">
      <c r="D27341" s="28"/>
      <c r="F27341" s="28"/>
      <c r="H27341" s="28"/>
    </row>
    <row r="27342" spans="4:8" x14ac:dyDescent="0.25">
      <c r="D27342" s="28"/>
      <c r="F27342" s="28"/>
      <c r="H27342" s="28"/>
    </row>
    <row r="27343" spans="4:8" x14ac:dyDescent="0.25">
      <c r="D27343" s="28"/>
      <c r="F27343" s="28"/>
      <c r="H27343" s="28"/>
    </row>
    <row r="27344" spans="4:8" x14ac:dyDescent="0.25">
      <c r="D27344" s="28"/>
      <c r="F27344" s="28"/>
      <c r="H27344" s="28"/>
    </row>
    <row r="27345" spans="4:8" x14ac:dyDescent="0.25">
      <c r="D27345" s="28"/>
      <c r="F27345" s="28"/>
      <c r="H27345" s="28"/>
    </row>
    <row r="27346" spans="4:8" x14ac:dyDescent="0.25">
      <c r="D27346" s="28"/>
      <c r="F27346" s="28"/>
      <c r="H27346" s="28"/>
    </row>
    <row r="27347" spans="4:8" x14ac:dyDescent="0.25">
      <c r="D27347" s="28"/>
      <c r="F27347" s="28"/>
      <c r="H27347" s="28"/>
    </row>
    <row r="27348" spans="4:8" x14ac:dyDescent="0.25">
      <c r="D27348" s="28"/>
      <c r="F27348" s="28"/>
      <c r="H27348" s="28"/>
    </row>
    <row r="27349" spans="4:8" x14ac:dyDescent="0.25">
      <c r="D27349" s="28"/>
      <c r="F27349" s="28"/>
      <c r="H27349" s="28"/>
    </row>
    <row r="27350" spans="4:8" x14ac:dyDescent="0.25">
      <c r="D27350" s="28"/>
      <c r="F27350" s="28"/>
      <c r="H27350" s="28"/>
    </row>
    <row r="27351" spans="4:8" x14ac:dyDescent="0.25">
      <c r="D27351" s="28"/>
      <c r="F27351" s="28"/>
      <c r="H27351" s="28"/>
    </row>
    <row r="27352" spans="4:8" x14ac:dyDescent="0.25">
      <c r="D27352" s="28"/>
      <c r="F27352" s="28"/>
      <c r="H27352" s="28"/>
    </row>
    <row r="27353" spans="4:8" x14ac:dyDescent="0.25">
      <c r="D27353" s="28"/>
      <c r="F27353" s="28"/>
      <c r="H27353" s="28"/>
    </row>
    <row r="27354" spans="4:8" x14ac:dyDescent="0.25">
      <c r="D27354" s="28"/>
      <c r="F27354" s="28"/>
      <c r="H27354" s="28"/>
    </row>
    <row r="27355" spans="4:8" x14ac:dyDescent="0.25">
      <c r="D27355" s="28"/>
      <c r="F27355" s="28"/>
      <c r="H27355" s="28"/>
    </row>
    <row r="27356" spans="4:8" x14ac:dyDescent="0.25">
      <c r="D27356" s="28"/>
      <c r="F27356" s="28"/>
      <c r="H27356" s="28"/>
    </row>
    <row r="27357" spans="4:8" x14ac:dyDescent="0.25">
      <c r="D27357" s="28"/>
      <c r="F27357" s="28"/>
      <c r="H27357" s="28"/>
    </row>
    <row r="27358" spans="4:8" x14ac:dyDescent="0.25">
      <c r="D27358" s="28"/>
      <c r="F27358" s="28"/>
      <c r="H27358" s="28"/>
    </row>
    <row r="27359" spans="4:8" x14ac:dyDescent="0.25">
      <c r="D27359" s="28"/>
      <c r="F27359" s="28"/>
      <c r="H27359" s="28"/>
    </row>
    <row r="27360" spans="4:8" x14ac:dyDescent="0.25">
      <c r="D27360" s="28"/>
      <c r="F27360" s="28"/>
      <c r="H27360" s="28"/>
    </row>
    <row r="27361" spans="4:8" x14ac:dyDescent="0.25">
      <c r="D27361" s="28"/>
      <c r="F27361" s="28"/>
      <c r="H27361" s="28"/>
    </row>
    <row r="27362" spans="4:8" x14ac:dyDescent="0.25">
      <c r="D27362" s="28"/>
      <c r="F27362" s="28"/>
      <c r="H27362" s="28"/>
    </row>
    <row r="27363" spans="4:8" x14ac:dyDescent="0.25">
      <c r="D27363" s="28"/>
      <c r="F27363" s="28"/>
      <c r="H27363" s="28"/>
    </row>
    <row r="27364" spans="4:8" x14ac:dyDescent="0.25">
      <c r="D27364" s="28"/>
      <c r="F27364" s="28"/>
      <c r="H27364" s="28"/>
    </row>
    <row r="27365" spans="4:8" x14ac:dyDescent="0.25">
      <c r="D27365" s="28"/>
      <c r="F27365" s="28"/>
      <c r="H27365" s="28"/>
    </row>
    <row r="27366" spans="4:8" x14ac:dyDescent="0.25">
      <c r="D27366" s="28"/>
      <c r="F27366" s="28"/>
      <c r="H27366" s="28"/>
    </row>
    <row r="27367" spans="4:8" x14ac:dyDescent="0.25">
      <c r="D27367" s="28"/>
      <c r="F27367" s="28"/>
      <c r="H27367" s="28"/>
    </row>
    <row r="27368" spans="4:8" x14ac:dyDescent="0.25">
      <c r="D27368" s="28"/>
      <c r="F27368" s="28"/>
      <c r="H27368" s="28"/>
    </row>
    <row r="27369" spans="4:8" x14ac:dyDescent="0.25">
      <c r="D27369" s="28"/>
      <c r="F27369" s="28"/>
      <c r="H27369" s="28"/>
    </row>
    <row r="27370" spans="4:8" x14ac:dyDescent="0.25">
      <c r="D27370" s="28"/>
      <c r="F27370" s="28"/>
      <c r="H27370" s="28"/>
    </row>
    <row r="27371" spans="4:8" x14ac:dyDescent="0.25">
      <c r="D27371" s="28"/>
      <c r="F27371" s="28"/>
      <c r="H27371" s="28"/>
    </row>
    <row r="27372" spans="4:8" x14ac:dyDescent="0.25">
      <c r="D27372" s="28"/>
      <c r="F27372" s="28"/>
      <c r="H27372" s="28"/>
    </row>
    <row r="27373" spans="4:8" x14ac:dyDescent="0.25">
      <c r="D27373" s="28"/>
      <c r="F27373" s="28"/>
      <c r="H27373" s="28"/>
    </row>
    <row r="27374" spans="4:8" x14ac:dyDescent="0.25">
      <c r="D27374" s="28"/>
      <c r="F27374" s="28"/>
      <c r="H27374" s="28"/>
    </row>
    <row r="27375" spans="4:8" x14ac:dyDescent="0.25">
      <c r="D27375" s="28"/>
      <c r="F27375" s="28"/>
      <c r="H27375" s="28"/>
    </row>
    <row r="27376" spans="4:8" x14ac:dyDescent="0.25">
      <c r="D27376" s="28"/>
      <c r="F27376" s="28"/>
      <c r="H27376" s="28"/>
    </row>
    <row r="27377" spans="4:8" x14ac:dyDescent="0.25">
      <c r="D27377" s="28"/>
      <c r="F27377" s="28"/>
      <c r="H27377" s="28"/>
    </row>
    <row r="27378" spans="4:8" x14ac:dyDescent="0.25">
      <c r="D27378" s="28"/>
      <c r="F27378" s="28"/>
      <c r="H27378" s="28"/>
    </row>
    <row r="27379" spans="4:8" x14ac:dyDescent="0.25">
      <c r="D27379" s="28"/>
      <c r="F27379" s="28"/>
      <c r="H27379" s="28"/>
    </row>
    <row r="27380" spans="4:8" x14ac:dyDescent="0.25">
      <c r="D27380" s="28"/>
      <c r="F27380" s="28"/>
      <c r="H27380" s="28"/>
    </row>
    <row r="27381" spans="4:8" x14ac:dyDescent="0.25">
      <c r="D27381" s="28"/>
      <c r="F27381" s="28"/>
      <c r="H27381" s="28"/>
    </row>
    <row r="27382" spans="4:8" x14ac:dyDescent="0.25">
      <c r="D27382" s="28"/>
      <c r="F27382" s="28"/>
      <c r="H27382" s="28"/>
    </row>
    <row r="27383" spans="4:8" x14ac:dyDescent="0.25">
      <c r="D27383" s="28"/>
      <c r="F27383" s="28"/>
      <c r="H27383" s="28"/>
    </row>
    <row r="27384" spans="4:8" x14ac:dyDescent="0.25">
      <c r="D27384" s="28"/>
      <c r="F27384" s="28"/>
      <c r="H27384" s="28"/>
    </row>
    <row r="27385" spans="4:8" x14ac:dyDescent="0.25">
      <c r="D27385" s="28"/>
      <c r="F27385" s="28"/>
      <c r="H27385" s="28"/>
    </row>
    <row r="27386" spans="4:8" x14ac:dyDescent="0.25">
      <c r="D27386" s="28"/>
      <c r="F27386" s="28"/>
      <c r="H27386" s="28"/>
    </row>
    <row r="27387" spans="4:8" x14ac:dyDescent="0.25">
      <c r="D27387" s="28"/>
      <c r="F27387" s="28"/>
      <c r="H27387" s="28"/>
    </row>
    <row r="27388" spans="4:8" x14ac:dyDescent="0.25">
      <c r="D27388" s="28"/>
      <c r="F27388" s="28"/>
      <c r="H27388" s="28"/>
    </row>
    <row r="27389" spans="4:8" x14ac:dyDescent="0.25">
      <c r="D27389" s="28"/>
      <c r="F27389" s="28"/>
      <c r="H27389" s="28"/>
    </row>
    <row r="27390" spans="4:8" x14ac:dyDescent="0.25">
      <c r="D27390" s="28"/>
      <c r="F27390" s="28"/>
      <c r="H27390" s="28"/>
    </row>
    <row r="27391" spans="4:8" x14ac:dyDescent="0.25">
      <c r="D27391" s="28"/>
      <c r="F27391" s="28"/>
      <c r="H27391" s="28"/>
    </row>
    <row r="27392" spans="4:8" x14ac:dyDescent="0.25">
      <c r="D27392" s="28"/>
      <c r="F27392" s="28"/>
      <c r="H27392" s="28"/>
    </row>
    <row r="27393" spans="4:8" x14ac:dyDescent="0.25">
      <c r="D27393" s="28"/>
      <c r="F27393" s="28"/>
      <c r="H27393" s="28"/>
    </row>
    <row r="27394" spans="4:8" x14ac:dyDescent="0.25">
      <c r="D27394" s="28"/>
      <c r="F27394" s="28"/>
      <c r="H27394" s="28"/>
    </row>
    <row r="27395" spans="4:8" x14ac:dyDescent="0.25">
      <c r="D27395" s="28"/>
      <c r="F27395" s="28"/>
      <c r="H27395" s="28"/>
    </row>
    <row r="27396" spans="4:8" x14ac:dyDescent="0.25">
      <c r="D27396" s="28"/>
      <c r="F27396" s="28"/>
      <c r="H27396" s="28"/>
    </row>
    <row r="27397" spans="4:8" x14ac:dyDescent="0.25">
      <c r="D27397" s="28"/>
      <c r="F27397" s="28"/>
      <c r="H27397" s="28"/>
    </row>
    <row r="27398" spans="4:8" x14ac:dyDescent="0.25">
      <c r="D27398" s="28"/>
      <c r="F27398" s="28"/>
      <c r="H27398" s="28"/>
    </row>
    <row r="27399" spans="4:8" x14ac:dyDescent="0.25">
      <c r="D27399" s="28"/>
      <c r="F27399" s="28"/>
      <c r="H27399" s="28"/>
    </row>
    <row r="27400" spans="4:8" x14ac:dyDescent="0.25">
      <c r="D27400" s="28"/>
      <c r="F27400" s="28"/>
      <c r="H27400" s="28"/>
    </row>
    <row r="27401" spans="4:8" x14ac:dyDescent="0.25">
      <c r="D27401" s="28"/>
      <c r="F27401" s="28"/>
      <c r="H27401" s="28"/>
    </row>
    <row r="27402" spans="4:8" x14ac:dyDescent="0.25">
      <c r="D27402" s="28"/>
      <c r="F27402" s="28"/>
      <c r="H27402" s="28"/>
    </row>
    <row r="27403" spans="4:8" x14ac:dyDescent="0.25">
      <c r="D27403" s="28"/>
      <c r="F27403" s="28"/>
      <c r="H27403" s="28"/>
    </row>
    <row r="27404" spans="4:8" x14ac:dyDescent="0.25">
      <c r="D27404" s="28"/>
      <c r="F27404" s="28"/>
      <c r="H27404" s="28"/>
    </row>
    <row r="27405" spans="4:8" x14ac:dyDescent="0.25">
      <c r="D27405" s="28"/>
      <c r="F27405" s="28"/>
      <c r="H27405" s="28"/>
    </row>
    <row r="27406" spans="4:8" x14ac:dyDescent="0.25">
      <c r="D27406" s="28"/>
      <c r="F27406" s="28"/>
      <c r="H27406" s="28"/>
    </row>
    <row r="27407" spans="4:8" x14ac:dyDescent="0.25">
      <c r="D27407" s="28"/>
      <c r="F27407" s="28"/>
      <c r="H27407" s="28"/>
    </row>
    <row r="27408" spans="4:8" x14ac:dyDescent="0.25">
      <c r="D27408" s="28"/>
      <c r="F27408" s="28"/>
      <c r="H27408" s="28"/>
    </row>
    <row r="27409" spans="4:8" x14ac:dyDescent="0.25">
      <c r="D27409" s="28"/>
      <c r="F27409" s="28"/>
      <c r="H27409" s="28"/>
    </row>
    <row r="27410" spans="4:8" x14ac:dyDescent="0.25">
      <c r="D27410" s="28"/>
      <c r="F27410" s="28"/>
      <c r="H27410" s="28"/>
    </row>
    <row r="27411" spans="4:8" x14ac:dyDescent="0.25">
      <c r="D27411" s="28"/>
      <c r="F27411" s="28"/>
      <c r="H27411" s="28"/>
    </row>
    <row r="27412" spans="4:8" x14ac:dyDescent="0.25">
      <c r="D27412" s="28"/>
      <c r="F27412" s="28"/>
      <c r="H27412" s="28"/>
    </row>
    <row r="27413" spans="4:8" x14ac:dyDescent="0.25">
      <c r="D27413" s="28"/>
      <c r="F27413" s="28"/>
      <c r="H27413" s="28"/>
    </row>
    <row r="27414" spans="4:8" x14ac:dyDescent="0.25">
      <c r="D27414" s="28"/>
      <c r="F27414" s="28"/>
      <c r="H27414" s="28"/>
    </row>
    <row r="27415" spans="4:8" x14ac:dyDescent="0.25">
      <c r="D27415" s="28"/>
      <c r="F27415" s="28"/>
      <c r="H27415" s="28"/>
    </row>
    <row r="27416" spans="4:8" x14ac:dyDescent="0.25">
      <c r="D27416" s="28"/>
      <c r="F27416" s="28"/>
      <c r="H27416" s="28"/>
    </row>
    <row r="27417" spans="4:8" x14ac:dyDescent="0.25">
      <c r="D27417" s="28"/>
      <c r="F27417" s="28"/>
      <c r="H27417" s="28"/>
    </row>
    <row r="27418" spans="4:8" x14ac:dyDescent="0.25">
      <c r="D27418" s="28"/>
      <c r="F27418" s="28"/>
      <c r="H27418" s="28"/>
    </row>
    <row r="27419" spans="4:8" x14ac:dyDescent="0.25">
      <c r="D27419" s="28"/>
      <c r="F27419" s="28"/>
      <c r="H27419" s="28"/>
    </row>
    <row r="27420" spans="4:8" x14ac:dyDescent="0.25">
      <c r="D27420" s="28"/>
      <c r="F27420" s="28"/>
      <c r="H27420" s="28"/>
    </row>
    <row r="27421" spans="4:8" x14ac:dyDescent="0.25">
      <c r="D27421" s="28"/>
      <c r="F27421" s="28"/>
      <c r="H27421" s="28"/>
    </row>
    <row r="27422" spans="4:8" x14ac:dyDescent="0.25">
      <c r="D27422" s="28"/>
      <c r="F27422" s="28"/>
      <c r="H27422" s="28"/>
    </row>
    <row r="27423" spans="4:8" x14ac:dyDescent="0.25">
      <c r="D27423" s="28"/>
      <c r="F27423" s="28"/>
      <c r="H27423" s="28"/>
    </row>
    <row r="27424" spans="4:8" x14ac:dyDescent="0.25">
      <c r="D27424" s="28"/>
      <c r="F27424" s="28"/>
      <c r="H27424" s="28"/>
    </row>
    <row r="27425" spans="4:8" x14ac:dyDescent="0.25">
      <c r="D27425" s="28"/>
      <c r="F27425" s="28"/>
      <c r="H27425" s="28"/>
    </row>
    <row r="27426" spans="4:8" x14ac:dyDescent="0.25">
      <c r="D27426" s="28"/>
      <c r="F27426" s="28"/>
      <c r="H27426" s="28"/>
    </row>
    <row r="27427" spans="4:8" x14ac:dyDescent="0.25">
      <c r="D27427" s="28"/>
      <c r="F27427" s="28"/>
      <c r="H27427" s="28"/>
    </row>
    <row r="27428" spans="4:8" x14ac:dyDescent="0.25">
      <c r="D27428" s="28"/>
      <c r="F27428" s="28"/>
      <c r="H27428" s="28"/>
    </row>
    <row r="27429" spans="4:8" x14ac:dyDescent="0.25">
      <c r="D27429" s="28"/>
      <c r="F27429" s="28"/>
      <c r="H27429" s="28"/>
    </row>
    <row r="27430" spans="4:8" x14ac:dyDescent="0.25">
      <c r="D27430" s="28"/>
      <c r="F27430" s="28"/>
      <c r="H27430" s="28"/>
    </row>
    <row r="27431" spans="4:8" x14ac:dyDescent="0.25">
      <c r="D27431" s="28"/>
      <c r="F27431" s="28"/>
      <c r="H27431" s="28"/>
    </row>
    <row r="27432" spans="4:8" x14ac:dyDescent="0.25">
      <c r="D27432" s="28"/>
      <c r="F27432" s="28"/>
      <c r="H27432" s="28"/>
    </row>
    <row r="27433" spans="4:8" x14ac:dyDescent="0.25">
      <c r="D27433" s="28"/>
      <c r="F27433" s="28"/>
      <c r="H27433" s="28"/>
    </row>
    <row r="27434" spans="4:8" x14ac:dyDescent="0.25">
      <c r="D27434" s="28"/>
      <c r="F27434" s="28"/>
      <c r="H27434" s="28"/>
    </row>
    <row r="27435" spans="4:8" x14ac:dyDescent="0.25">
      <c r="D27435" s="28"/>
      <c r="F27435" s="28"/>
      <c r="H27435" s="28"/>
    </row>
    <row r="27436" spans="4:8" x14ac:dyDescent="0.25">
      <c r="D27436" s="28"/>
      <c r="F27436" s="28"/>
      <c r="H27436" s="28"/>
    </row>
    <row r="27437" spans="4:8" x14ac:dyDescent="0.25">
      <c r="D27437" s="28"/>
      <c r="F27437" s="28"/>
      <c r="H27437" s="28"/>
    </row>
    <row r="27438" spans="4:8" x14ac:dyDescent="0.25">
      <c r="D27438" s="28"/>
      <c r="F27438" s="28"/>
      <c r="H27438" s="28"/>
    </row>
    <row r="27439" spans="4:8" x14ac:dyDescent="0.25">
      <c r="D27439" s="28"/>
      <c r="F27439" s="28"/>
      <c r="H27439" s="28"/>
    </row>
    <row r="27440" spans="4:8" x14ac:dyDescent="0.25">
      <c r="D27440" s="28"/>
      <c r="F27440" s="28"/>
      <c r="H27440" s="28"/>
    </row>
    <row r="27441" spans="4:8" x14ac:dyDescent="0.25">
      <c r="D27441" s="28"/>
      <c r="F27441" s="28"/>
      <c r="H27441" s="28"/>
    </row>
    <row r="27442" spans="4:8" x14ac:dyDescent="0.25">
      <c r="D27442" s="28"/>
      <c r="F27442" s="28"/>
      <c r="H27442" s="28"/>
    </row>
    <row r="27443" spans="4:8" x14ac:dyDescent="0.25">
      <c r="D27443" s="28"/>
      <c r="F27443" s="28"/>
      <c r="H27443" s="28"/>
    </row>
    <row r="27444" spans="4:8" x14ac:dyDescent="0.25">
      <c r="D27444" s="28"/>
      <c r="F27444" s="28"/>
      <c r="H27444" s="28"/>
    </row>
    <row r="27445" spans="4:8" x14ac:dyDescent="0.25">
      <c r="D27445" s="28"/>
      <c r="F27445" s="28"/>
      <c r="H27445" s="28"/>
    </row>
    <row r="27446" spans="4:8" x14ac:dyDescent="0.25">
      <c r="D27446" s="28"/>
      <c r="F27446" s="28"/>
      <c r="H27446" s="28"/>
    </row>
    <row r="27447" spans="4:8" x14ac:dyDescent="0.25">
      <c r="D27447" s="28"/>
      <c r="F27447" s="28"/>
      <c r="H27447" s="28"/>
    </row>
    <row r="27448" spans="4:8" x14ac:dyDescent="0.25">
      <c r="D27448" s="28"/>
      <c r="F27448" s="28"/>
      <c r="H27448" s="28"/>
    </row>
    <row r="27449" spans="4:8" x14ac:dyDescent="0.25">
      <c r="D27449" s="28"/>
      <c r="F27449" s="28"/>
      <c r="H27449" s="28"/>
    </row>
    <row r="27450" spans="4:8" x14ac:dyDescent="0.25">
      <c r="D27450" s="28"/>
      <c r="F27450" s="28"/>
      <c r="H27450" s="28"/>
    </row>
    <row r="27451" spans="4:8" x14ac:dyDescent="0.25">
      <c r="D27451" s="28"/>
      <c r="F27451" s="28"/>
      <c r="H27451" s="28"/>
    </row>
    <row r="27452" spans="4:8" x14ac:dyDescent="0.25">
      <c r="D27452" s="28"/>
      <c r="F27452" s="28"/>
      <c r="H27452" s="28"/>
    </row>
    <row r="27453" spans="4:8" x14ac:dyDescent="0.25">
      <c r="D27453" s="28"/>
      <c r="F27453" s="28"/>
      <c r="H27453" s="28"/>
    </row>
    <row r="27454" spans="4:8" x14ac:dyDescent="0.25">
      <c r="D27454" s="28"/>
      <c r="F27454" s="28"/>
      <c r="H27454" s="28"/>
    </row>
    <row r="27455" spans="4:8" x14ac:dyDescent="0.25">
      <c r="D27455" s="28"/>
      <c r="F27455" s="28"/>
      <c r="H27455" s="28"/>
    </row>
    <row r="27456" spans="4:8" x14ac:dyDescent="0.25">
      <c r="D27456" s="28"/>
      <c r="F27456" s="28"/>
      <c r="H27456" s="28"/>
    </row>
    <row r="27457" spans="4:8" x14ac:dyDescent="0.25">
      <c r="D27457" s="28"/>
      <c r="F27457" s="28"/>
      <c r="H27457" s="28"/>
    </row>
    <row r="27458" spans="4:8" x14ac:dyDescent="0.25">
      <c r="D27458" s="28"/>
      <c r="F27458" s="28"/>
      <c r="H27458" s="28"/>
    </row>
    <row r="27459" spans="4:8" x14ac:dyDescent="0.25">
      <c r="D27459" s="28"/>
      <c r="F27459" s="28"/>
      <c r="H27459" s="28"/>
    </row>
    <row r="27460" spans="4:8" x14ac:dyDescent="0.25">
      <c r="D27460" s="28"/>
      <c r="F27460" s="28"/>
      <c r="H27460" s="28"/>
    </row>
    <row r="27461" spans="4:8" x14ac:dyDescent="0.25">
      <c r="D27461" s="28"/>
      <c r="F27461" s="28"/>
      <c r="H27461" s="28"/>
    </row>
    <row r="27462" spans="4:8" x14ac:dyDescent="0.25">
      <c r="D27462" s="28"/>
      <c r="F27462" s="28"/>
      <c r="H27462" s="28"/>
    </row>
    <row r="27463" spans="4:8" x14ac:dyDescent="0.25">
      <c r="D27463" s="28"/>
      <c r="F27463" s="28"/>
      <c r="H27463" s="28"/>
    </row>
    <row r="27464" spans="4:8" x14ac:dyDescent="0.25">
      <c r="D27464" s="28"/>
      <c r="F27464" s="28"/>
      <c r="H27464" s="28"/>
    </row>
    <row r="27465" spans="4:8" x14ac:dyDescent="0.25">
      <c r="D27465" s="28"/>
      <c r="F27465" s="28"/>
      <c r="H27465" s="28"/>
    </row>
    <row r="27466" spans="4:8" x14ac:dyDescent="0.25">
      <c r="D27466" s="28"/>
      <c r="F27466" s="28"/>
      <c r="H27466" s="28"/>
    </row>
    <row r="27467" spans="4:8" x14ac:dyDescent="0.25">
      <c r="D27467" s="28"/>
      <c r="F27467" s="28"/>
      <c r="H27467" s="28"/>
    </row>
    <row r="27468" spans="4:8" x14ac:dyDescent="0.25">
      <c r="D27468" s="28"/>
      <c r="F27468" s="28"/>
      <c r="H27468" s="28"/>
    </row>
    <row r="27469" spans="4:8" x14ac:dyDescent="0.25">
      <c r="D27469" s="28"/>
      <c r="F27469" s="28"/>
      <c r="H27469" s="28"/>
    </row>
    <row r="27470" spans="4:8" x14ac:dyDescent="0.25">
      <c r="D27470" s="28"/>
      <c r="F27470" s="28"/>
      <c r="H27470" s="28"/>
    </row>
    <row r="27471" spans="4:8" x14ac:dyDescent="0.25">
      <c r="D27471" s="28"/>
      <c r="F27471" s="28"/>
      <c r="H27471" s="28"/>
    </row>
    <row r="27472" spans="4:8" x14ac:dyDescent="0.25">
      <c r="D27472" s="28"/>
      <c r="F27472" s="28"/>
      <c r="H27472" s="28"/>
    </row>
    <row r="27473" spans="4:8" x14ac:dyDescent="0.25">
      <c r="D27473" s="28"/>
      <c r="F27473" s="28"/>
      <c r="H27473" s="28"/>
    </row>
    <row r="27474" spans="4:8" x14ac:dyDescent="0.25">
      <c r="D27474" s="28"/>
      <c r="F27474" s="28"/>
      <c r="H27474" s="28"/>
    </row>
    <row r="27475" spans="4:8" x14ac:dyDescent="0.25">
      <c r="D27475" s="28"/>
      <c r="F27475" s="28"/>
      <c r="H27475" s="28"/>
    </row>
    <row r="27476" spans="4:8" x14ac:dyDescent="0.25">
      <c r="D27476" s="28"/>
      <c r="F27476" s="28"/>
      <c r="H27476" s="28"/>
    </row>
    <row r="27477" spans="4:8" x14ac:dyDescent="0.25">
      <c r="D27477" s="28"/>
      <c r="F27477" s="28"/>
      <c r="H27477" s="28"/>
    </row>
    <row r="27478" spans="4:8" x14ac:dyDescent="0.25">
      <c r="D27478" s="28"/>
      <c r="F27478" s="28"/>
      <c r="H27478" s="28"/>
    </row>
    <row r="27479" spans="4:8" x14ac:dyDescent="0.25">
      <c r="D27479" s="28"/>
      <c r="F27479" s="28"/>
      <c r="H27479" s="28"/>
    </row>
    <row r="27480" spans="4:8" x14ac:dyDescent="0.25">
      <c r="D27480" s="28"/>
      <c r="F27480" s="28"/>
      <c r="H27480" s="28"/>
    </row>
    <row r="27481" spans="4:8" x14ac:dyDescent="0.25">
      <c r="D27481" s="28"/>
      <c r="F27481" s="28"/>
      <c r="H27481" s="28"/>
    </row>
    <row r="27482" spans="4:8" x14ac:dyDescent="0.25">
      <c r="D27482" s="28"/>
      <c r="F27482" s="28"/>
      <c r="H27482" s="28"/>
    </row>
    <row r="27483" spans="4:8" x14ac:dyDescent="0.25">
      <c r="D27483" s="28"/>
      <c r="F27483" s="28"/>
      <c r="H27483" s="28"/>
    </row>
    <row r="27484" spans="4:8" x14ac:dyDescent="0.25">
      <c r="D27484" s="28"/>
      <c r="F27484" s="28"/>
      <c r="H27484" s="28"/>
    </row>
    <row r="27485" spans="4:8" x14ac:dyDescent="0.25">
      <c r="D27485" s="28"/>
      <c r="F27485" s="28"/>
      <c r="H27485" s="28"/>
    </row>
    <row r="27486" spans="4:8" x14ac:dyDescent="0.25">
      <c r="D27486" s="28"/>
      <c r="F27486" s="28"/>
      <c r="H27486" s="28"/>
    </row>
    <row r="27487" spans="4:8" x14ac:dyDescent="0.25">
      <c r="D27487" s="28"/>
      <c r="F27487" s="28"/>
      <c r="H27487" s="28"/>
    </row>
    <row r="27488" spans="4:8" x14ac:dyDescent="0.25">
      <c r="D27488" s="28"/>
      <c r="F27488" s="28"/>
      <c r="H27488" s="28"/>
    </row>
    <row r="27489" spans="4:8" x14ac:dyDescent="0.25">
      <c r="D27489" s="28"/>
      <c r="F27489" s="28"/>
      <c r="H27489" s="28"/>
    </row>
    <row r="27490" spans="4:8" x14ac:dyDescent="0.25">
      <c r="D27490" s="28"/>
      <c r="F27490" s="28"/>
      <c r="H27490" s="28"/>
    </row>
    <row r="27491" spans="4:8" x14ac:dyDescent="0.25">
      <c r="D27491" s="28"/>
      <c r="F27491" s="28"/>
      <c r="H27491" s="28"/>
    </row>
    <row r="27492" spans="4:8" x14ac:dyDescent="0.25">
      <c r="D27492" s="28"/>
      <c r="F27492" s="28"/>
      <c r="H27492" s="28"/>
    </row>
    <row r="27493" spans="4:8" x14ac:dyDescent="0.25">
      <c r="D27493" s="28"/>
      <c r="F27493" s="28"/>
      <c r="H27493" s="28"/>
    </row>
    <row r="27494" spans="4:8" x14ac:dyDescent="0.25">
      <c r="D27494" s="28"/>
      <c r="F27494" s="28"/>
      <c r="H27494" s="28"/>
    </row>
    <row r="27495" spans="4:8" x14ac:dyDescent="0.25">
      <c r="D27495" s="28"/>
      <c r="F27495" s="28"/>
      <c r="H27495" s="28"/>
    </row>
    <row r="27496" spans="4:8" x14ac:dyDescent="0.25">
      <c r="D27496" s="28"/>
      <c r="F27496" s="28"/>
      <c r="H27496" s="28"/>
    </row>
    <row r="27497" spans="4:8" x14ac:dyDescent="0.25">
      <c r="D27497" s="28"/>
      <c r="F27497" s="28"/>
      <c r="H27497" s="28"/>
    </row>
    <row r="27498" spans="4:8" x14ac:dyDescent="0.25">
      <c r="D27498" s="28"/>
      <c r="F27498" s="28"/>
      <c r="H27498" s="28"/>
    </row>
    <row r="27499" spans="4:8" x14ac:dyDescent="0.25">
      <c r="D27499" s="28"/>
      <c r="F27499" s="28"/>
      <c r="H27499" s="28"/>
    </row>
    <row r="27500" spans="4:8" x14ac:dyDescent="0.25">
      <c r="D27500" s="28"/>
      <c r="F27500" s="28"/>
      <c r="H27500" s="28"/>
    </row>
    <row r="27501" spans="4:8" x14ac:dyDescent="0.25">
      <c r="D27501" s="28"/>
      <c r="F27501" s="28"/>
      <c r="H27501" s="28"/>
    </row>
    <row r="27502" spans="4:8" x14ac:dyDescent="0.25">
      <c r="D27502" s="28"/>
      <c r="F27502" s="28"/>
      <c r="H27502" s="28"/>
    </row>
    <row r="27503" spans="4:8" x14ac:dyDescent="0.25">
      <c r="D27503" s="28"/>
      <c r="F27503" s="28"/>
      <c r="H27503" s="28"/>
    </row>
    <row r="27504" spans="4:8" x14ac:dyDescent="0.25">
      <c r="D27504" s="28"/>
      <c r="F27504" s="28"/>
      <c r="H27504" s="28"/>
    </row>
    <row r="27505" spans="4:8" x14ac:dyDescent="0.25">
      <c r="D27505" s="28"/>
      <c r="F27505" s="28"/>
      <c r="H27505" s="28"/>
    </row>
    <row r="27506" spans="4:8" x14ac:dyDescent="0.25">
      <c r="D27506" s="28"/>
      <c r="F27506" s="28"/>
      <c r="H27506" s="28"/>
    </row>
    <row r="27507" spans="4:8" x14ac:dyDescent="0.25">
      <c r="D27507" s="28"/>
      <c r="F27507" s="28"/>
      <c r="H27507" s="28"/>
    </row>
    <row r="27508" spans="4:8" x14ac:dyDescent="0.25">
      <c r="D27508" s="28"/>
      <c r="F27508" s="28"/>
      <c r="H27508" s="28"/>
    </row>
    <row r="27509" spans="4:8" x14ac:dyDescent="0.25">
      <c r="D27509" s="28"/>
      <c r="F27509" s="28"/>
      <c r="H27509" s="28"/>
    </row>
    <row r="27510" spans="4:8" x14ac:dyDescent="0.25">
      <c r="D27510" s="28"/>
      <c r="F27510" s="28"/>
      <c r="H27510" s="28"/>
    </row>
    <row r="27511" spans="4:8" x14ac:dyDescent="0.25">
      <c r="D27511" s="28"/>
      <c r="F27511" s="28"/>
      <c r="H27511" s="28"/>
    </row>
    <row r="27512" spans="4:8" x14ac:dyDescent="0.25">
      <c r="D27512" s="28"/>
      <c r="F27512" s="28"/>
      <c r="H27512" s="28"/>
    </row>
    <row r="27513" spans="4:8" x14ac:dyDescent="0.25">
      <c r="D27513" s="28"/>
      <c r="F27513" s="28"/>
      <c r="H27513" s="28"/>
    </row>
    <row r="27514" spans="4:8" x14ac:dyDescent="0.25">
      <c r="D27514" s="28"/>
      <c r="F27514" s="28"/>
      <c r="H27514" s="28"/>
    </row>
    <row r="27515" spans="4:8" x14ac:dyDescent="0.25">
      <c r="D27515" s="28"/>
      <c r="F27515" s="28"/>
      <c r="H27515" s="28"/>
    </row>
    <row r="27516" spans="4:8" x14ac:dyDescent="0.25">
      <c r="D27516" s="28"/>
      <c r="F27516" s="28"/>
      <c r="H27516" s="28"/>
    </row>
    <row r="27517" spans="4:8" x14ac:dyDescent="0.25">
      <c r="D27517" s="28"/>
      <c r="F27517" s="28"/>
      <c r="H27517" s="28"/>
    </row>
    <row r="27518" spans="4:8" x14ac:dyDescent="0.25">
      <c r="D27518" s="28"/>
      <c r="F27518" s="28"/>
      <c r="H27518" s="28"/>
    </row>
    <row r="27519" spans="4:8" x14ac:dyDescent="0.25">
      <c r="D27519" s="28"/>
      <c r="F27519" s="28"/>
      <c r="H27519" s="28"/>
    </row>
    <row r="27520" spans="4:8" x14ac:dyDescent="0.25">
      <c r="D27520" s="28"/>
      <c r="F27520" s="28"/>
      <c r="H27520" s="28"/>
    </row>
    <row r="27521" spans="4:8" x14ac:dyDescent="0.25">
      <c r="D27521" s="28"/>
      <c r="F27521" s="28"/>
      <c r="H27521" s="28"/>
    </row>
    <row r="27522" spans="4:8" x14ac:dyDescent="0.25">
      <c r="D27522" s="28"/>
      <c r="F27522" s="28"/>
      <c r="H27522" s="28"/>
    </row>
    <row r="27523" spans="4:8" x14ac:dyDescent="0.25">
      <c r="D27523" s="28"/>
      <c r="F27523" s="28"/>
      <c r="H27523" s="28"/>
    </row>
    <row r="27524" spans="4:8" x14ac:dyDescent="0.25">
      <c r="D27524" s="28"/>
      <c r="F27524" s="28"/>
      <c r="H27524" s="28"/>
    </row>
    <row r="27525" spans="4:8" x14ac:dyDescent="0.25">
      <c r="D27525" s="28"/>
      <c r="F27525" s="28"/>
      <c r="H27525" s="28"/>
    </row>
    <row r="27526" spans="4:8" x14ac:dyDescent="0.25">
      <c r="D27526" s="28"/>
      <c r="F27526" s="28"/>
      <c r="H27526" s="28"/>
    </row>
    <row r="27527" spans="4:8" x14ac:dyDescent="0.25">
      <c r="D27527" s="28"/>
      <c r="F27527" s="28"/>
      <c r="H27527" s="28"/>
    </row>
    <row r="27528" spans="4:8" x14ac:dyDescent="0.25">
      <c r="D27528" s="28"/>
      <c r="F27528" s="28"/>
      <c r="H27528" s="28"/>
    </row>
    <row r="27529" spans="4:8" x14ac:dyDescent="0.25">
      <c r="D27529" s="28"/>
      <c r="F27529" s="28"/>
      <c r="H27529" s="28"/>
    </row>
    <row r="27530" spans="4:8" x14ac:dyDescent="0.25">
      <c r="D27530" s="28"/>
      <c r="F27530" s="28"/>
      <c r="H27530" s="28"/>
    </row>
    <row r="27531" spans="4:8" x14ac:dyDescent="0.25">
      <c r="D27531" s="28"/>
      <c r="F27531" s="28"/>
      <c r="H27531" s="28"/>
    </row>
    <row r="27532" spans="4:8" x14ac:dyDescent="0.25">
      <c r="D27532" s="28"/>
      <c r="F27532" s="28"/>
      <c r="H27532" s="28"/>
    </row>
    <row r="27533" spans="4:8" x14ac:dyDescent="0.25">
      <c r="D27533" s="28"/>
      <c r="F27533" s="28"/>
      <c r="H27533" s="28"/>
    </row>
    <row r="27534" spans="4:8" x14ac:dyDescent="0.25">
      <c r="D27534" s="28"/>
      <c r="F27534" s="28"/>
      <c r="H27534" s="28"/>
    </row>
    <row r="27535" spans="4:8" x14ac:dyDescent="0.25">
      <c r="D27535" s="28"/>
      <c r="F27535" s="28"/>
      <c r="H27535" s="28"/>
    </row>
    <row r="27536" spans="4:8" x14ac:dyDescent="0.25">
      <c r="D27536" s="28"/>
      <c r="F27536" s="28"/>
      <c r="H27536" s="28"/>
    </row>
    <row r="27537" spans="4:8" x14ac:dyDescent="0.25">
      <c r="D27537" s="28"/>
      <c r="F27537" s="28"/>
      <c r="H27537" s="28"/>
    </row>
    <row r="27538" spans="4:8" x14ac:dyDescent="0.25">
      <c r="D27538" s="28"/>
      <c r="F27538" s="28"/>
      <c r="H27538" s="28"/>
    </row>
    <row r="27539" spans="4:8" x14ac:dyDescent="0.25">
      <c r="D27539" s="28"/>
      <c r="F27539" s="28"/>
      <c r="H27539" s="28"/>
    </row>
    <row r="27540" spans="4:8" x14ac:dyDescent="0.25">
      <c r="D27540" s="28"/>
      <c r="F27540" s="28"/>
      <c r="H27540" s="28"/>
    </row>
    <row r="27541" spans="4:8" x14ac:dyDescent="0.25">
      <c r="D27541" s="28"/>
      <c r="F27541" s="28"/>
      <c r="H27541" s="28"/>
    </row>
    <row r="27542" spans="4:8" x14ac:dyDescent="0.25">
      <c r="D27542" s="28"/>
      <c r="F27542" s="28"/>
      <c r="H27542" s="28"/>
    </row>
    <row r="27543" spans="4:8" x14ac:dyDescent="0.25">
      <c r="D27543" s="28"/>
      <c r="F27543" s="28"/>
      <c r="H27543" s="28"/>
    </row>
    <row r="27544" spans="4:8" x14ac:dyDescent="0.25">
      <c r="D27544" s="28"/>
      <c r="F27544" s="28"/>
      <c r="H27544" s="28"/>
    </row>
    <row r="27545" spans="4:8" x14ac:dyDescent="0.25">
      <c r="D27545" s="28"/>
      <c r="F27545" s="28"/>
      <c r="H27545" s="28"/>
    </row>
    <row r="27546" spans="4:8" x14ac:dyDescent="0.25">
      <c r="D27546" s="28"/>
      <c r="F27546" s="28"/>
      <c r="H27546" s="28"/>
    </row>
    <row r="27547" spans="4:8" x14ac:dyDescent="0.25">
      <c r="D27547" s="28"/>
      <c r="F27547" s="28"/>
      <c r="H27547" s="28"/>
    </row>
    <row r="27548" spans="4:8" x14ac:dyDescent="0.25">
      <c r="D27548" s="28"/>
      <c r="F27548" s="28"/>
      <c r="H27548" s="28"/>
    </row>
    <row r="27549" spans="4:8" x14ac:dyDescent="0.25">
      <c r="D27549" s="28"/>
      <c r="F27549" s="28"/>
      <c r="H27549" s="28"/>
    </row>
    <row r="27550" spans="4:8" x14ac:dyDescent="0.25">
      <c r="D27550" s="28"/>
      <c r="F27550" s="28"/>
      <c r="H27550" s="28"/>
    </row>
    <row r="27551" spans="4:8" x14ac:dyDescent="0.25">
      <c r="D27551" s="28"/>
      <c r="F27551" s="28"/>
      <c r="H27551" s="28"/>
    </row>
    <row r="27552" spans="4:8" x14ac:dyDescent="0.25">
      <c r="D27552" s="28"/>
      <c r="F27552" s="28"/>
      <c r="H27552" s="28"/>
    </row>
    <row r="27553" spans="4:8" x14ac:dyDescent="0.25">
      <c r="D27553" s="28"/>
      <c r="F27553" s="28"/>
      <c r="H27553" s="28"/>
    </row>
    <row r="27554" spans="4:8" x14ac:dyDescent="0.25">
      <c r="D27554" s="28"/>
      <c r="F27554" s="28"/>
      <c r="H27554" s="28"/>
    </row>
    <row r="27555" spans="4:8" x14ac:dyDescent="0.25">
      <c r="D27555" s="28"/>
      <c r="F27555" s="28"/>
      <c r="H27555" s="28"/>
    </row>
    <row r="27556" spans="4:8" x14ac:dyDescent="0.25">
      <c r="D27556" s="28"/>
      <c r="F27556" s="28"/>
      <c r="H27556" s="28"/>
    </row>
    <row r="27557" spans="4:8" x14ac:dyDescent="0.25">
      <c r="D27557" s="28"/>
      <c r="F27557" s="28"/>
      <c r="H27557" s="28"/>
    </row>
    <row r="27558" spans="4:8" x14ac:dyDescent="0.25">
      <c r="D27558" s="28"/>
      <c r="F27558" s="28"/>
      <c r="H27558" s="28"/>
    </row>
    <row r="27559" spans="4:8" x14ac:dyDescent="0.25">
      <c r="D27559" s="28"/>
      <c r="F27559" s="28"/>
      <c r="H27559" s="28"/>
    </row>
    <row r="27560" spans="4:8" x14ac:dyDescent="0.25">
      <c r="D27560" s="28"/>
      <c r="F27560" s="28"/>
      <c r="H27560" s="28"/>
    </row>
    <row r="27561" spans="4:8" x14ac:dyDescent="0.25">
      <c r="D27561" s="28"/>
      <c r="F27561" s="28"/>
      <c r="H27561" s="28"/>
    </row>
    <row r="27562" spans="4:8" x14ac:dyDescent="0.25">
      <c r="D27562" s="28"/>
      <c r="F27562" s="28"/>
      <c r="H27562" s="28"/>
    </row>
    <row r="27563" spans="4:8" x14ac:dyDescent="0.25">
      <c r="D27563" s="28"/>
      <c r="F27563" s="28"/>
      <c r="H27563" s="28"/>
    </row>
    <row r="27564" spans="4:8" x14ac:dyDescent="0.25">
      <c r="D27564" s="28"/>
      <c r="F27564" s="28"/>
      <c r="H27564" s="28"/>
    </row>
    <row r="27565" spans="4:8" x14ac:dyDescent="0.25">
      <c r="D27565" s="28"/>
      <c r="F27565" s="28"/>
      <c r="H27565" s="28"/>
    </row>
    <row r="27566" spans="4:8" x14ac:dyDescent="0.25">
      <c r="D27566" s="28"/>
      <c r="F27566" s="28"/>
      <c r="H27566" s="28"/>
    </row>
    <row r="27567" spans="4:8" x14ac:dyDescent="0.25">
      <c r="D27567" s="28"/>
      <c r="F27567" s="28"/>
      <c r="H27567" s="28"/>
    </row>
    <row r="27568" spans="4:8" x14ac:dyDescent="0.25">
      <c r="D27568" s="28"/>
      <c r="F27568" s="28"/>
      <c r="H27568" s="28"/>
    </row>
    <row r="27569" spans="4:8" x14ac:dyDescent="0.25">
      <c r="D27569" s="28"/>
      <c r="F27569" s="28"/>
      <c r="H27569" s="28"/>
    </row>
    <row r="27570" spans="4:8" x14ac:dyDescent="0.25">
      <c r="D27570" s="28"/>
      <c r="F27570" s="28"/>
      <c r="H27570" s="28"/>
    </row>
    <row r="27571" spans="4:8" x14ac:dyDescent="0.25">
      <c r="D27571" s="28"/>
      <c r="F27571" s="28"/>
      <c r="H27571" s="28"/>
    </row>
    <row r="27572" spans="4:8" x14ac:dyDescent="0.25">
      <c r="D27572" s="28"/>
      <c r="F27572" s="28"/>
      <c r="H27572" s="28"/>
    </row>
    <row r="27573" spans="4:8" x14ac:dyDescent="0.25">
      <c r="D27573" s="28"/>
      <c r="F27573" s="28"/>
      <c r="H27573" s="28"/>
    </row>
    <row r="27574" spans="4:8" x14ac:dyDescent="0.25">
      <c r="D27574" s="28"/>
      <c r="F27574" s="28"/>
      <c r="H27574" s="28"/>
    </row>
    <row r="27575" spans="4:8" x14ac:dyDescent="0.25">
      <c r="D27575" s="28"/>
      <c r="F27575" s="28"/>
      <c r="H27575" s="28"/>
    </row>
    <row r="27576" spans="4:8" x14ac:dyDescent="0.25">
      <c r="D27576" s="28"/>
      <c r="F27576" s="28"/>
      <c r="H27576" s="28"/>
    </row>
    <row r="27577" spans="4:8" x14ac:dyDescent="0.25">
      <c r="D27577" s="28"/>
      <c r="F27577" s="28"/>
      <c r="H27577" s="28"/>
    </row>
    <row r="27578" spans="4:8" x14ac:dyDescent="0.25">
      <c r="D27578" s="28"/>
      <c r="F27578" s="28"/>
      <c r="H27578" s="28"/>
    </row>
    <row r="27579" spans="4:8" x14ac:dyDescent="0.25">
      <c r="D27579" s="28"/>
      <c r="F27579" s="28"/>
      <c r="H27579" s="28"/>
    </row>
    <row r="27580" spans="4:8" x14ac:dyDescent="0.25">
      <c r="D27580" s="28"/>
      <c r="F27580" s="28"/>
      <c r="H27580" s="28"/>
    </row>
    <row r="27581" spans="4:8" x14ac:dyDescent="0.25">
      <c r="D27581" s="28"/>
      <c r="F27581" s="28"/>
      <c r="H27581" s="28"/>
    </row>
    <row r="27582" spans="4:8" x14ac:dyDescent="0.25">
      <c r="D27582" s="28"/>
      <c r="F27582" s="28"/>
      <c r="H27582" s="28"/>
    </row>
    <row r="27583" spans="4:8" x14ac:dyDescent="0.25">
      <c r="D27583" s="28"/>
      <c r="F27583" s="28"/>
      <c r="H27583" s="28"/>
    </row>
    <row r="27584" spans="4:8" x14ac:dyDescent="0.25">
      <c r="D27584" s="28"/>
      <c r="F27584" s="28"/>
      <c r="H27584" s="28"/>
    </row>
    <row r="27585" spans="4:8" x14ac:dyDescent="0.25">
      <c r="D27585" s="28"/>
      <c r="F27585" s="28"/>
      <c r="H27585" s="28"/>
    </row>
    <row r="27586" spans="4:8" x14ac:dyDescent="0.25">
      <c r="D27586" s="28"/>
      <c r="F27586" s="28"/>
      <c r="H27586" s="28"/>
    </row>
    <row r="27587" spans="4:8" x14ac:dyDescent="0.25">
      <c r="D27587" s="28"/>
      <c r="F27587" s="28"/>
      <c r="H27587" s="28"/>
    </row>
    <row r="27588" spans="4:8" x14ac:dyDescent="0.25">
      <c r="D27588" s="28"/>
      <c r="F27588" s="28"/>
      <c r="H27588" s="28"/>
    </row>
    <row r="27589" spans="4:8" x14ac:dyDescent="0.25">
      <c r="D27589" s="28"/>
      <c r="F27589" s="28"/>
      <c r="H27589" s="28"/>
    </row>
    <row r="27590" spans="4:8" x14ac:dyDescent="0.25">
      <c r="D27590" s="28"/>
      <c r="F27590" s="28"/>
      <c r="H27590" s="28"/>
    </row>
    <row r="27591" spans="4:8" x14ac:dyDescent="0.25">
      <c r="D27591" s="28"/>
      <c r="F27591" s="28"/>
      <c r="H27591" s="28"/>
    </row>
    <row r="27592" spans="4:8" x14ac:dyDescent="0.25">
      <c r="D27592" s="28"/>
      <c r="F27592" s="28"/>
      <c r="H27592" s="28"/>
    </row>
    <row r="27593" spans="4:8" x14ac:dyDescent="0.25">
      <c r="D27593" s="28"/>
      <c r="F27593" s="28"/>
      <c r="H27593" s="28"/>
    </row>
    <row r="27594" spans="4:8" x14ac:dyDescent="0.25">
      <c r="D27594" s="28"/>
      <c r="F27594" s="28"/>
      <c r="H27594" s="28"/>
    </row>
    <row r="27595" spans="4:8" x14ac:dyDescent="0.25">
      <c r="D27595" s="28"/>
      <c r="F27595" s="28"/>
      <c r="H27595" s="28"/>
    </row>
    <row r="27596" spans="4:8" x14ac:dyDescent="0.25">
      <c r="D27596" s="28"/>
      <c r="F27596" s="28"/>
      <c r="H27596" s="28"/>
    </row>
    <row r="27597" spans="4:8" x14ac:dyDescent="0.25">
      <c r="D27597" s="28"/>
      <c r="F27597" s="28"/>
      <c r="H27597" s="28"/>
    </row>
    <row r="27598" spans="4:8" x14ac:dyDescent="0.25">
      <c r="D27598" s="28"/>
      <c r="F27598" s="28"/>
      <c r="H27598" s="28"/>
    </row>
    <row r="27599" spans="4:8" x14ac:dyDescent="0.25">
      <c r="D27599" s="28"/>
      <c r="F27599" s="28"/>
      <c r="H27599" s="28"/>
    </row>
    <row r="27600" spans="4:8" x14ac:dyDescent="0.25">
      <c r="D27600" s="28"/>
      <c r="F27600" s="28"/>
      <c r="H27600" s="28"/>
    </row>
    <row r="27601" spans="4:8" x14ac:dyDescent="0.25">
      <c r="D27601" s="28"/>
      <c r="F27601" s="28"/>
      <c r="H27601" s="28"/>
    </row>
    <row r="27602" spans="4:8" x14ac:dyDescent="0.25">
      <c r="D27602" s="28"/>
      <c r="F27602" s="28"/>
      <c r="H27602" s="28"/>
    </row>
    <row r="27603" spans="4:8" x14ac:dyDescent="0.25">
      <c r="D27603" s="28"/>
      <c r="F27603" s="28"/>
      <c r="H27603" s="28"/>
    </row>
    <row r="27604" spans="4:8" x14ac:dyDescent="0.25">
      <c r="D27604" s="28"/>
      <c r="F27604" s="28"/>
      <c r="H27604" s="28"/>
    </row>
    <row r="27605" spans="4:8" x14ac:dyDescent="0.25">
      <c r="D27605" s="28"/>
      <c r="F27605" s="28"/>
      <c r="H27605" s="28"/>
    </row>
    <row r="27606" spans="4:8" x14ac:dyDescent="0.25">
      <c r="D27606" s="28"/>
      <c r="F27606" s="28"/>
      <c r="H27606" s="28"/>
    </row>
    <row r="27607" spans="4:8" x14ac:dyDescent="0.25">
      <c r="D27607" s="28"/>
      <c r="F27607" s="28"/>
      <c r="H27607" s="28"/>
    </row>
    <row r="27608" spans="4:8" x14ac:dyDescent="0.25">
      <c r="D27608" s="28"/>
      <c r="F27608" s="28"/>
      <c r="H27608" s="28"/>
    </row>
    <row r="27609" spans="4:8" x14ac:dyDescent="0.25">
      <c r="D27609" s="28"/>
      <c r="F27609" s="28"/>
      <c r="H27609" s="28"/>
    </row>
    <row r="27610" spans="4:8" x14ac:dyDescent="0.25">
      <c r="D27610" s="28"/>
      <c r="F27610" s="28"/>
      <c r="H27610" s="28"/>
    </row>
    <row r="27611" spans="4:8" x14ac:dyDescent="0.25">
      <c r="D27611" s="28"/>
      <c r="F27611" s="28"/>
      <c r="H27611" s="28"/>
    </row>
    <row r="27612" spans="4:8" x14ac:dyDescent="0.25">
      <c r="D27612" s="28"/>
      <c r="F27612" s="28"/>
      <c r="H27612" s="28"/>
    </row>
    <row r="27613" spans="4:8" x14ac:dyDescent="0.25">
      <c r="D27613" s="28"/>
      <c r="F27613" s="28"/>
      <c r="H27613" s="28"/>
    </row>
    <row r="27614" spans="4:8" x14ac:dyDescent="0.25">
      <c r="D27614" s="28"/>
      <c r="F27614" s="28"/>
      <c r="H27614" s="28"/>
    </row>
    <row r="27615" spans="4:8" x14ac:dyDescent="0.25">
      <c r="D27615" s="28"/>
      <c r="F27615" s="28"/>
      <c r="H27615" s="28"/>
    </row>
    <row r="27616" spans="4:8" x14ac:dyDescent="0.25">
      <c r="D27616" s="28"/>
      <c r="F27616" s="28"/>
      <c r="H27616" s="28"/>
    </row>
    <row r="27617" spans="4:8" x14ac:dyDescent="0.25">
      <c r="D27617" s="28"/>
      <c r="F27617" s="28"/>
      <c r="H27617" s="28"/>
    </row>
    <row r="27618" spans="4:8" x14ac:dyDescent="0.25">
      <c r="D27618" s="28"/>
      <c r="F27618" s="28"/>
      <c r="H27618" s="28"/>
    </row>
    <row r="27619" spans="4:8" x14ac:dyDescent="0.25">
      <c r="D27619" s="28"/>
      <c r="F27619" s="28"/>
      <c r="H27619" s="28"/>
    </row>
    <row r="27620" spans="4:8" x14ac:dyDescent="0.25">
      <c r="D27620" s="28"/>
      <c r="F27620" s="28"/>
      <c r="H27620" s="28"/>
    </row>
    <row r="27621" spans="4:8" x14ac:dyDescent="0.25">
      <c r="D27621" s="28"/>
      <c r="F27621" s="28"/>
      <c r="H27621" s="28"/>
    </row>
    <row r="27622" spans="4:8" x14ac:dyDescent="0.25">
      <c r="D27622" s="28"/>
      <c r="F27622" s="28"/>
      <c r="H27622" s="28"/>
    </row>
    <row r="27623" spans="4:8" x14ac:dyDescent="0.25">
      <c r="D27623" s="28"/>
      <c r="F27623" s="28"/>
      <c r="H27623" s="28"/>
    </row>
    <row r="27624" spans="4:8" x14ac:dyDescent="0.25">
      <c r="D27624" s="28"/>
      <c r="F27624" s="28"/>
      <c r="H27624" s="28"/>
    </row>
    <row r="27625" spans="4:8" x14ac:dyDescent="0.25">
      <c r="D27625" s="28"/>
      <c r="F27625" s="28"/>
      <c r="H27625" s="28"/>
    </row>
    <row r="27626" spans="4:8" x14ac:dyDescent="0.25">
      <c r="D27626" s="28"/>
      <c r="F27626" s="28"/>
      <c r="H27626" s="28"/>
    </row>
    <row r="27627" spans="4:8" x14ac:dyDescent="0.25">
      <c r="D27627" s="28"/>
      <c r="F27627" s="28"/>
      <c r="H27627" s="28"/>
    </row>
    <row r="27628" spans="4:8" x14ac:dyDescent="0.25">
      <c r="D27628" s="28"/>
      <c r="F27628" s="28"/>
      <c r="H27628" s="28"/>
    </row>
    <row r="27629" spans="4:8" x14ac:dyDescent="0.25">
      <c r="D27629" s="28"/>
      <c r="F27629" s="28"/>
      <c r="H27629" s="28"/>
    </row>
    <row r="27630" spans="4:8" x14ac:dyDescent="0.25">
      <c r="D27630" s="28"/>
      <c r="F27630" s="28"/>
      <c r="H27630" s="28"/>
    </row>
    <row r="27631" spans="4:8" x14ac:dyDescent="0.25">
      <c r="D27631" s="28"/>
      <c r="F27631" s="28"/>
      <c r="H27631" s="28"/>
    </row>
    <row r="27632" spans="4:8" x14ac:dyDescent="0.25">
      <c r="D27632" s="28"/>
      <c r="F27632" s="28"/>
      <c r="H27632" s="28"/>
    </row>
    <row r="27633" spans="4:8" x14ac:dyDescent="0.25">
      <c r="D27633" s="28"/>
      <c r="F27633" s="28"/>
      <c r="H27633" s="28"/>
    </row>
    <row r="27634" spans="4:8" x14ac:dyDescent="0.25">
      <c r="D27634" s="28"/>
      <c r="F27634" s="28"/>
      <c r="H27634" s="28"/>
    </row>
    <row r="27635" spans="4:8" x14ac:dyDescent="0.25">
      <c r="D27635" s="28"/>
      <c r="F27635" s="28"/>
      <c r="H27635" s="28"/>
    </row>
    <row r="27636" spans="4:8" x14ac:dyDescent="0.25">
      <c r="D27636" s="28"/>
      <c r="F27636" s="28"/>
      <c r="H27636" s="28"/>
    </row>
    <row r="27637" spans="4:8" x14ac:dyDescent="0.25">
      <c r="D27637" s="28"/>
      <c r="F27637" s="28"/>
      <c r="H27637" s="28"/>
    </row>
    <row r="27638" spans="4:8" x14ac:dyDescent="0.25">
      <c r="D27638" s="28"/>
      <c r="F27638" s="28"/>
      <c r="H27638" s="28"/>
    </row>
    <row r="27639" spans="4:8" x14ac:dyDescent="0.25">
      <c r="D27639" s="28"/>
      <c r="F27639" s="28"/>
      <c r="H27639" s="28"/>
    </row>
    <row r="27640" spans="4:8" x14ac:dyDescent="0.25">
      <c r="D27640" s="28"/>
      <c r="F27640" s="28"/>
      <c r="H27640" s="28"/>
    </row>
    <row r="27641" spans="4:8" x14ac:dyDescent="0.25">
      <c r="D27641" s="28"/>
      <c r="F27641" s="28"/>
      <c r="H27641" s="28"/>
    </row>
    <row r="27642" spans="4:8" x14ac:dyDescent="0.25">
      <c r="D27642" s="28"/>
      <c r="F27642" s="28"/>
      <c r="H27642" s="28"/>
    </row>
    <row r="27643" spans="4:8" x14ac:dyDescent="0.25">
      <c r="D27643" s="28"/>
      <c r="F27643" s="28"/>
      <c r="H27643" s="28"/>
    </row>
    <row r="27644" spans="4:8" x14ac:dyDescent="0.25">
      <c r="D27644" s="28"/>
      <c r="F27644" s="28"/>
      <c r="H27644" s="28"/>
    </row>
    <row r="27645" spans="4:8" x14ac:dyDescent="0.25">
      <c r="D27645" s="28"/>
      <c r="F27645" s="28"/>
      <c r="H27645" s="28"/>
    </row>
    <row r="27646" spans="4:8" x14ac:dyDescent="0.25">
      <c r="D27646" s="28"/>
      <c r="F27646" s="28"/>
      <c r="H27646" s="28"/>
    </row>
    <row r="27647" spans="4:8" x14ac:dyDescent="0.25">
      <c r="D27647" s="28"/>
      <c r="F27647" s="28"/>
      <c r="H27647" s="28"/>
    </row>
    <row r="27648" spans="4:8" x14ac:dyDescent="0.25">
      <c r="D27648" s="28"/>
      <c r="F27648" s="28"/>
      <c r="H27648" s="28"/>
    </row>
    <row r="27649" spans="4:8" x14ac:dyDescent="0.25">
      <c r="D27649" s="28"/>
      <c r="F27649" s="28"/>
      <c r="H27649" s="28"/>
    </row>
    <row r="27650" spans="4:8" x14ac:dyDescent="0.25">
      <c r="D27650" s="28"/>
      <c r="F27650" s="28"/>
      <c r="H27650" s="28"/>
    </row>
    <row r="27651" spans="4:8" x14ac:dyDescent="0.25">
      <c r="D27651" s="28"/>
      <c r="F27651" s="28"/>
      <c r="H27651" s="28"/>
    </row>
    <row r="27652" spans="4:8" x14ac:dyDescent="0.25">
      <c r="D27652" s="28"/>
      <c r="F27652" s="28"/>
      <c r="H27652" s="28"/>
    </row>
    <row r="27653" spans="4:8" x14ac:dyDescent="0.25">
      <c r="D27653" s="28"/>
      <c r="F27653" s="28"/>
      <c r="H27653" s="28"/>
    </row>
    <row r="27654" spans="4:8" x14ac:dyDescent="0.25">
      <c r="D27654" s="28"/>
      <c r="F27654" s="28"/>
      <c r="H27654" s="28"/>
    </row>
    <row r="27655" spans="4:8" x14ac:dyDescent="0.25">
      <c r="D27655" s="28"/>
      <c r="F27655" s="28"/>
      <c r="H27655" s="28"/>
    </row>
    <row r="27656" spans="4:8" x14ac:dyDescent="0.25">
      <c r="D27656" s="28"/>
      <c r="F27656" s="28"/>
      <c r="H27656" s="28"/>
    </row>
    <row r="27657" spans="4:8" x14ac:dyDescent="0.25">
      <c r="D27657" s="28"/>
      <c r="F27657" s="28"/>
      <c r="H27657" s="28"/>
    </row>
    <row r="27658" spans="4:8" x14ac:dyDescent="0.25">
      <c r="D27658" s="28"/>
      <c r="F27658" s="28"/>
      <c r="H27658" s="28"/>
    </row>
    <row r="27659" spans="4:8" x14ac:dyDescent="0.25">
      <c r="D27659" s="28"/>
      <c r="F27659" s="28"/>
      <c r="H27659" s="28"/>
    </row>
    <row r="27660" spans="4:8" x14ac:dyDescent="0.25">
      <c r="D27660" s="28"/>
      <c r="F27660" s="28"/>
      <c r="H27660" s="28"/>
    </row>
    <row r="27661" spans="4:8" x14ac:dyDescent="0.25">
      <c r="D27661" s="28"/>
      <c r="F27661" s="28"/>
      <c r="H27661" s="28"/>
    </row>
    <row r="27662" spans="4:8" x14ac:dyDescent="0.25">
      <c r="D27662" s="28"/>
      <c r="F27662" s="28"/>
      <c r="H27662" s="28"/>
    </row>
    <row r="27663" spans="4:8" x14ac:dyDescent="0.25">
      <c r="D27663" s="28"/>
      <c r="F27663" s="28"/>
      <c r="H27663" s="28"/>
    </row>
    <row r="27664" spans="4:8" x14ac:dyDescent="0.25">
      <c r="D27664" s="28"/>
      <c r="F27664" s="28"/>
      <c r="H27664" s="28"/>
    </row>
    <row r="27665" spans="4:8" x14ac:dyDescent="0.25">
      <c r="D27665" s="28"/>
      <c r="F27665" s="28"/>
      <c r="H27665" s="28"/>
    </row>
    <row r="27666" spans="4:8" x14ac:dyDescent="0.25">
      <c r="D27666" s="28"/>
      <c r="F27666" s="28"/>
      <c r="H27666" s="28"/>
    </row>
    <row r="27667" spans="4:8" x14ac:dyDescent="0.25">
      <c r="D27667" s="28"/>
      <c r="F27667" s="28"/>
      <c r="H27667" s="28"/>
    </row>
    <row r="27668" spans="4:8" x14ac:dyDescent="0.25">
      <c r="D27668" s="28"/>
      <c r="F27668" s="28"/>
      <c r="H27668" s="28"/>
    </row>
    <row r="27669" spans="4:8" x14ac:dyDescent="0.25">
      <c r="D27669" s="28"/>
      <c r="F27669" s="28"/>
      <c r="H27669" s="28"/>
    </row>
    <row r="27670" spans="4:8" x14ac:dyDescent="0.25">
      <c r="D27670" s="28"/>
      <c r="F27670" s="28"/>
      <c r="H27670" s="28"/>
    </row>
    <row r="27671" spans="4:8" x14ac:dyDescent="0.25">
      <c r="D27671" s="28"/>
      <c r="F27671" s="28"/>
      <c r="H27671" s="28"/>
    </row>
    <row r="27672" spans="4:8" x14ac:dyDescent="0.25">
      <c r="D27672" s="28"/>
      <c r="F27672" s="28"/>
      <c r="H27672" s="28"/>
    </row>
    <row r="27673" spans="4:8" x14ac:dyDescent="0.25">
      <c r="D27673" s="28"/>
      <c r="F27673" s="28"/>
      <c r="H27673" s="28"/>
    </row>
    <row r="27674" spans="4:8" x14ac:dyDescent="0.25">
      <c r="D27674" s="28"/>
      <c r="F27674" s="28"/>
      <c r="H27674" s="28"/>
    </row>
    <row r="27675" spans="4:8" x14ac:dyDescent="0.25">
      <c r="D27675" s="28"/>
      <c r="F27675" s="28"/>
      <c r="H27675" s="28"/>
    </row>
    <row r="27676" spans="4:8" x14ac:dyDescent="0.25">
      <c r="D27676" s="28"/>
      <c r="F27676" s="28"/>
      <c r="H27676" s="28"/>
    </row>
    <row r="27677" spans="4:8" x14ac:dyDescent="0.25">
      <c r="D27677" s="28"/>
      <c r="F27677" s="28"/>
      <c r="H27677" s="28"/>
    </row>
    <row r="27678" spans="4:8" x14ac:dyDescent="0.25">
      <c r="D27678" s="28"/>
      <c r="F27678" s="28"/>
      <c r="H27678" s="28"/>
    </row>
    <row r="27679" spans="4:8" x14ac:dyDescent="0.25">
      <c r="D27679" s="28"/>
      <c r="F27679" s="28"/>
      <c r="H27679" s="28"/>
    </row>
    <row r="27680" spans="4:8" x14ac:dyDescent="0.25">
      <c r="D27680" s="28"/>
      <c r="F27680" s="28"/>
      <c r="H27680" s="28"/>
    </row>
    <row r="27681" spans="4:8" x14ac:dyDescent="0.25">
      <c r="D27681" s="28"/>
      <c r="F27681" s="28"/>
      <c r="H27681" s="28"/>
    </row>
    <row r="27682" spans="4:8" x14ac:dyDescent="0.25">
      <c r="D27682" s="28"/>
      <c r="F27682" s="28"/>
      <c r="H27682" s="28"/>
    </row>
    <row r="27683" spans="4:8" x14ac:dyDescent="0.25">
      <c r="D27683" s="28"/>
      <c r="F27683" s="28"/>
      <c r="H27683" s="28"/>
    </row>
    <row r="27684" spans="4:8" x14ac:dyDescent="0.25">
      <c r="D27684" s="28"/>
      <c r="F27684" s="28"/>
      <c r="H27684" s="28"/>
    </row>
    <row r="27685" spans="4:8" x14ac:dyDescent="0.25">
      <c r="D27685" s="28"/>
      <c r="F27685" s="28"/>
      <c r="H27685" s="28"/>
    </row>
    <row r="27686" spans="4:8" x14ac:dyDescent="0.25">
      <c r="D27686" s="28"/>
      <c r="F27686" s="28"/>
      <c r="H27686" s="28"/>
    </row>
    <row r="27687" spans="4:8" x14ac:dyDescent="0.25">
      <c r="D27687" s="28"/>
      <c r="F27687" s="28"/>
      <c r="H27687" s="28"/>
    </row>
    <row r="27688" spans="4:8" x14ac:dyDescent="0.25">
      <c r="D27688" s="28"/>
      <c r="F27688" s="28"/>
      <c r="H27688" s="28"/>
    </row>
    <row r="27689" spans="4:8" x14ac:dyDescent="0.25">
      <c r="D27689" s="28"/>
      <c r="F27689" s="28"/>
      <c r="H27689" s="28"/>
    </row>
    <row r="27690" spans="4:8" x14ac:dyDescent="0.25">
      <c r="D27690" s="28"/>
      <c r="F27690" s="28"/>
      <c r="H27690" s="28"/>
    </row>
    <row r="27691" spans="4:8" x14ac:dyDescent="0.25">
      <c r="D27691" s="28"/>
      <c r="F27691" s="28"/>
      <c r="H27691" s="28"/>
    </row>
    <row r="27692" spans="4:8" x14ac:dyDescent="0.25">
      <c r="D27692" s="28"/>
      <c r="F27692" s="28"/>
      <c r="H27692" s="28"/>
    </row>
    <row r="27693" spans="4:8" x14ac:dyDescent="0.25">
      <c r="D27693" s="28"/>
      <c r="F27693" s="28"/>
      <c r="H27693" s="28"/>
    </row>
    <row r="27694" spans="4:8" x14ac:dyDescent="0.25">
      <c r="D27694" s="28"/>
      <c r="F27694" s="28"/>
      <c r="H27694" s="28"/>
    </row>
    <row r="27695" spans="4:8" x14ac:dyDescent="0.25">
      <c r="D27695" s="28"/>
      <c r="F27695" s="28"/>
      <c r="H27695" s="28"/>
    </row>
    <row r="27696" spans="4:8" x14ac:dyDescent="0.25">
      <c r="D27696" s="28"/>
      <c r="F27696" s="28"/>
      <c r="H27696" s="28"/>
    </row>
    <row r="27697" spans="4:8" x14ac:dyDescent="0.25">
      <c r="D27697" s="28"/>
      <c r="F27697" s="28"/>
      <c r="H27697" s="28"/>
    </row>
    <row r="27698" spans="4:8" x14ac:dyDescent="0.25">
      <c r="D27698" s="28"/>
      <c r="F27698" s="28"/>
      <c r="H27698" s="28"/>
    </row>
    <row r="27699" spans="4:8" x14ac:dyDescent="0.25">
      <c r="D27699" s="28"/>
      <c r="F27699" s="28"/>
      <c r="H27699" s="28"/>
    </row>
    <row r="27700" spans="4:8" x14ac:dyDescent="0.25">
      <c r="D27700" s="28"/>
      <c r="F27700" s="28"/>
      <c r="H27700" s="28"/>
    </row>
    <row r="27701" spans="4:8" x14ac:dyDescent="0.25">
      <c r="D27701" s="28"/>
      <c r="F27701" s="28"/>
      <c r="H27701" s="28"/>
    </row>
    <row r="27702" spans="4:8" x14ac:dyDescent="0.25">
      <c r="D27702" s="28"/>
      <c r="F27702" s="28"/>
      <c r="H27702" s="28"/>
    </row>
    <row r="27703" spans="4:8" x14ac:dyDescent="0.25">
      <c r="D27703" s="28"/>
      <c r="F27703" s="28"/>
      <c r="H27703" s="28"/>
    </row>
    <row r="27704" spans="4:8" x14ac:dyDescent="0.25">
      <c r="D27704" s="28"/>
      <c r="F27704" s="28"/>
      <c r="H27704" s="28"/>
    </row>
    <row r="27705" spans="4:8" x14ac:dyDescent="0.25">
      <c r="D27705" s="28"/>
      <c r="F27705" s="28"/>
      <c r="H27705" s="28"/>
    </row>
    <row r="27706" spans="4:8" x14ac:dyDescent="0.25">
      <c r="D27706" s="28"/>
      <c r="F27706" s="28"/>
      <c r="H27706" s="28"/>
    </row>
    <row r="27707" spans="4:8" x14ac:dyDescent="0.25">
      <c r="D27707" s="28"/>
      <c r="F27707" s="28"/>
      <c r="H27707" s="28"/>
    </row>
    <row r="27708" spans="4:8" x14ac:dyDescent="0.25">
      <c r="D27708" s="28"/>
      <c r="F27708" s="28"/>
      <c r="H27708" s="28"/>
    </row>
    <row r="27709" spans="4:8" x14ac:dyDescent="0.25">
      <c r="D27709" s="28"/>
      <c r="F27709" s="28"/>
      <c r="H27709" s="28"/>
    </row>
    <row r="27710" spans="4:8" x14ac:dyDescent="0.25">
      <c r="D27710" s="28"/>
      <c r="F27710" s="28"/>
      <c r="H27710" s="28"/>
    </row>
    <row r="27711" spans="4:8" x14ac:dyDescent="0.25">
      <c r="D27711" s="28"/>
      <c r="F27711" s="28"/>
      <c r="H27711" s="28"/>
    </row>
    <row r="27712" spans="4:8" x14ac:dyDescent="0.25">
      <c r="D27712" s="28"/>
      <c r="F27712" s="28"/>
      <c r="H27712" s="28"/>
    </row>
    <row r="27713" spans="4:8" x14ac:dyDescent="0.25">
      <c r="D27713" s="28"/>
      <c r="F27713" s="28"/>
      <c r="H27713" s="28"/>
    </row>
    <row r="27714" spans="4:8" x14ac:dyDescent="0.25">
      <c r="D27714" s="28"/>
      <c r="F27714" s="28"/>
      <c r="H27714" s="28"/>
    </row>
    <row r="27715" spans="4:8" x14ac:dyDescent="0.25">
      <c r="D27715" s="28"/>
      <c r="F27715" s="28"/>
      <c r="H27715" s="28"/>
    </row>
    <row r="27716" spans="4:8" x14ac:dyDescent="0.25">
      <c r="D27716" s="28"/>
      <c r="F27716" s="28"/>
      <c r="H27716" s="28"/>
    </row>
    <row r="27717" spans="4:8" x14ac:dyDescent="0.25">
      <c r="D27717" s="28"/>
      <c r="F27717" s="28"/>
      <c r="H27717" s="28"/>
    </row>
    <row r="27718" spans="4:8" x14ac:dyDescent="0.25">
      <c r="D27718" s="28"/>
      <c r="F27718" s="28"/>
      <c r="H27718" s="28"/>
    </row>
    <row r="27719" spans="4:8" x14ac:dyDescent="0.25">
      <c r="D27719" s="28"/>
      <c r="F27719" s="28"/>
      <c r="H27719" s="28"/>
    </row>
    <row r="27720" spans="4:8" x14ac:dyDescent="0.25">
      <c r="D27720" s="28"/>
      <c r="F27720" s="28"/>
      <c r="H27720" s="28"/>
    </row>
    <row r="27721" spans="4:8" x14ac:dyDescent="0.25">
      <c r="D27721" s="28"/>
      <c r="F27721" s="28"/>
      <c r="H27721" s="28"/>
    </row>
    <row r="27722" spans="4:8" x14ac:dyDescent="0.25">
      <c r="D27722" s="28"/>
      <c r="F27722" s="28"/>
      <c r="H27722" s="28"/>
    </row>
    <row r="27723" spans="4:8" x14ac:dyDescent="0.25">
      <c r="D27723" s="28"/>
      <c r="F27723" s="28"/>
      <c r="H27723" s="28"/>
    </row>
    <row r="27724" spans="4:8" x14ac:dyDescent="0.25">
      <c r="D27724" s="28"/>
      <c r="F27724" s="28"/>
      <c r="H27724" s="28"/>
    </row>
    <row r="27725" spans="4:8" x14ac:dyDescent="0.25">
      <c r="D27725" s="28"/>
      <c r="F27725" s="28"/>
      <c r="H27725" s="28"/>
    </row>
    <row r="27726" spans="4:8" x14ac:dyDescent="0.25">
      <c r="D27726" s="28"/>
      <c r="F27726" s="28"/>
      <c r="H27726" s="28"/>
    </row>
    <row r="27727" spans="4:8" x14ac:dyDescent="0.25">
      <c r="D27727" s="28"/>
      <c r="F27727" s="28"/>
      <c r="H27727" s="28"/>
    </row>
    <row r="27728" spans="4:8" x14ac:dyDescent="0.25">
      <c r="D27728" s="28"/>
      <c r="F27728" s="28"/>
      <c r="H27728" s="28"/>
    </row>
    <row r="27729" spans="4:8" x14ac:dyDescent="0.25">
      <c r="D27729" s="28"/>
      <c r="F27729" s="28"/>
      <c r="H27729" s="28"/>
    </row>
    <row r="27730" spans="4:8" x14ac:dyDescent="0.25">
      <c r="D27730" s="28"/>
      <c r="F27730" s="28"/>
      <c r="H27730" s="28"/>
    </row>
    <row r="27731" spans="4:8" x14ac:dyDescent="0.25">
      <c r="D27731" s="28"/>
      <c r="F27731" s="28"/>
      <c r="H27731" s="28"/>
    </row>
    <row r="27732" spans="4:8" x14ac:dyDescent="0.25">
      <c r="D27732" s="28"/>
      <c r="F27732" s="28"/>
      <c r="H27732" s="28"/>
    </row>
    <row r="27733" spans="4:8" x14ac:dyDescent="0.25">
      <c r="D27733" s="28"/>
      <c r="F27733" s="28"/>
      <c r="H27733" s="28"/>
    </row>
    <row r="27734" spans="4:8" x14ac:dyDescent="0.25">
      <c r="D27734" s="28"/>
      <c r="F27734" s="28"/>
      <c r="H27734" s="28"/>
    </row>
    <row r="27735" spans="4:8" x14ac:dyDescent="0.25">
      <c r="D27735" s="28"/>
      <c r="F27735" s="28"/>
      <c r="H27735" s="28"/>
    </row>
    <row r="27736" spans="4:8" x14ac:dyDescent="0.25">
      <c r="D27736" s="28"/>
      <c r="F27736" s="28"/>
      <c r="H27736" s="28"/>
    </row>
    <row r="27737" spans="4:8" x14ac:dyDescent="0.25">
      <c r="D27737" s="28"/>
      <c r="F27737" s="28"/>
      <c r="H27737" s="28"/>
    </row>
    <row r="27738" spans="4:8" x14ac:dyDescent="0.25">
      <c r="D27738" s="28"/>
      <c r="F27738" s="28"/>
      <c r="H27738" s="28"/>
    </row>
    <row r="27739" spans="4:8" x14ac:dyDescent="0.25">
      <c r="D27739" s="28"/>
      <c r="F27739" s="28"/>
      <c r="H27739" s="28"/>
    </row>
    <row r="27740" spans="4:8" x14ac:dyDescent="0.25">
      <c r="D27740" s="28"/>
      <c r="F27740" s="28"/>
      <c r="H27740" s="28"/>
    </row>
    <row r="27741" spans="4:8" x14ac:dyDescent="0.25">
      <c r="D27741" s="28"/>
      <c r="F27741" s="28"/>
      <c r="H27741" s="28"/>
    </row>
    <row r="27742" spans="4:8" x14ac:dyDescent="0.25">
      <c r="D27742" s="28"/>
      <c r="F27742" s="28"/>
      <c r="H27742" s="28"/>
    </row>
    <row r="27743" spans="4:8" x14ac:dyDescent="0.25">
      <c r="D27743" s="28"/>
      <c r="F27743" s="28"/>
      <c r="H27743" s="28"/>
    </row>
    <row r="27744" spans="4:8" x14ac:dyDescent="0.25">
      <c r="D27744" s="28"/>
      <c r="F27744" s="28"/>
      <c r="H27744" s="28"/>
    </row>
    <row r="27745" spans="4:8" x14ac:dyDescent="0.25">
      <c r="D27745" s="28"/>
      <c r="F27745" s="28"/>
      <c r="H27745" s="28"/>
    </row>
    <row r="27746" spans="4:8" x14ac:dyDescent="0.25">
      <c r="D27746" s="28"/>
      <c r="F27746" s="28"/>
      <c r="H27746" s="28"/>
    </row>
    <row r="27747" spans="4:8" x14ac:dyDescent="0.25">
      <c r="D27747" s="28"/>
      <c r="F27747" s="28"/>
      <c r="H27747" s="28"/>
    </row>
    <row r="27748" spans="4:8" x14ac:dyDescent="0.25">
      <c r="D27748" s="28"/>
      <c r="F27748" s="28"/>
      <c r="H27748" s="28"/>
    </row>
    <row r="27749" spans="4:8" x14ac:dyDescent="0.25">
      <c r="D27749" s="28"/>
      <c r="F27749" s="28"/>
      <c r="H27749" s="28"/>
    </row>
    <row r="27750" spans="4:8" x14ac:dyDescent="0.25">
      <c r="D27750" s="28"/>
      <c r="F27750" s="28"/>
      <c r="H27750" s="28"/>
    </row>
    <row r="27751" spans="4:8" x14ac:dyDescent="0.25">
      <c r="D27751" s="28"/>
      <c r="F27751" s="28"/>
      <c r="H27751" s="28"/>
    </row>
    <row r="27752" spans="4:8" x14ac:dyDescent="0.25">
      <c r="D27752" s="28"/>
      <c r="F27752" s="28"/>
      <c r="H27752" s="28"/>
    </row>
    <row r="27753" spans="4:8" x14ac:dyDescent="0.25">
      <c r="D27753" s="28"/>
      <c r="F27753" s="28"/>
      <c r="H27753" s="28"/>
    </row>
    <row r="27754" spans="4:8" x14ac:dyDescent="0.25">
      <c r="D27754" s="28"/>
      <c r="F27754" s="28"/>
      <c r="H27754" s="28"/>
    </row>
    <row r="27755" spans="4:8" x14ac:dyDescent="0.25">
      <c r="D27755" s="28"/>
      <c r="F27755" s="28"/>
      <c r="H27755" s="28"/>
    </row>
    <row r="27756" spans="4:8" x14ac:dyDescent="0.25">
      <c r="D27756" s="28"/>
      <c r="F27756" s="28"/>
      <c r="H27756" s="28"/>
    </row>
    <row r="27757" spans="4:8" x14ac:dyDescent="0.25">
      <c r="D27757" s="28"/>
      <c r="F27757" s="28"/>
      <c r="H27757" s="28"/>
    </row>
    <row r="27758" spans="4:8" x14ac:dyDescent="0.25">
      <c r="D27758" s="28"/>
      <c r="F27758" s="28"/>
      <c r="H27758" s="28"/>
    </row>
    <row r="27759" spans="4:8" x14ac:dyDescent="0.25">
      <c r="D27759" s="28"/>
      <c r="F27759" s="28"/>
      <c r="H27759" s="28"/>
    </row>
    <row r="27760" spans="4:8" x14ac:dyDescent="0.25">
      <c r="D27760" s="28"/>
      <c r="F27760" s="28"/>
      <c r="H27760" s="28"/>
    </row>
    <row r="27761" spans="4:8" x14ac:dyDescent="0.25">
      <c r="D27761" s="28"/>
      <c r="F27761" s="28"/>
      <c r="H27761" s="28"/>
    </row>
    <row r="27762" spans="4:8" x14ac:dyDescent="0.25">
      <c r="D27762" s="28"/>
      <c r="F27762" s="28"/>
      <c r="H27762" s="28"/>
    </row>
    <row r="27763" spans="4:8" x14ac:dyDescent="0.25">
      <c r="D27763" s="28"/>
      <c r="F27763" s="28"/>
      <c r="H27763" s="28"/>
    </row>
    <row r="27764" spans="4:8" x14ac:dyDescent="0.25">
      <c r="D27764" s="28"/>
      <c r="F27764" s="28"/>
      <c r="H27764" s="28"/>
    </row>
    <row r="27765" spans="4:8" x14ac:dyDescent="0.25">
      <c r="D27765" s="28"/>
      <c r="F27765" s="28"/>
      <c r="H27765" s="28"/>
    </row>
    <row r="27766" spans="4:8" x14ac:dyDescent="0.25">
      <c r="D27766" s="28"/>
      <c r="F27766" s="28"/>
      <c r="H27766" s="28"/>
    </row>
    <row r="27767" spans="4:8" x14ac:dyDescent="0.25">
      <c r="D27767" s="28"/>
      <c r="F27767" s="28"/>
      <c r="H27767" s="28"/>
    </row>
    <row r="27768" spans="4:8" x14ac:dyDescent="0.25">
      <c r="D27768" s="28"/>
      <c r="F27768" s="28"/>
      <c r="H27768" s="28"/>
    </row>
    <row r="27769" spans="4:8" x14ac:dyDescent="0.25">
      <c r="D27769" s="28"/>
      <c r="F27769" s="28"/>
      <c r="H27769" s="28"/>
    </row>
    <row r="27770" spans="4:8" x14ac:dyDescent="0.25">
      <c r="D27770" s="28"/>
      <c r="F27770" s="28"/>
      <c r="H27770" s="28"/>
    </row>
    <row r="27771" spans="4:8" x14ac:dyDescent="0.25">
      <c r="D27771" s="28"/>
      <c r="F27771" s="28"/>
      <c r="H27771" s="28"/>
    </row>
    <row r="27772" spans="4:8" x14ac:dyDescent="0.25">
      <c r="D27772" s="28"/>
      <c r="F27772" s="28"/>
      <c r="H27772" s="28"/>
    </row>
    <row r="27773" spans="4:8" x14ac:dyDescent="0.25">
      <c r="D27773" s="28"/>
      <c r="F27773" s="28"/>
      <c r="H27773" s="28"/>
    </row>
    <row r="27774" spans="4:8" x14ac:dyDescent="0.25">
      <c r="D27774" s="28"/>
      <c r="F27774" s="28"/>
      <c r="H27774" s="28"/>
    </row>
    <row r="27775" spans="4:8" x14ac:dyDescent="0.25">
      <c r="D27775" s="28"/>
      <c r="F27775" s="28"/>
      <c r="H27775" s="28"/>
    </row>
    <row r="27776" spans="4:8" x14ac:dyDescent="0.25">
      <c r="D27776" s="28"/>
      <c r="F27776" s="28"/>
      <c r="H27776" s="28"/>
    </row>
    <row r="27777" spans="4:8" x14ac:dyDescent="0.25">
      <c r="D27777" s="28"/>
      <c r="F27777" s="28"/>
      <c r="H27777" s="28"/>
    </row>
    <row r="27778" spans="4:8" x14ac:dyDescent="0.25">
      <c r="D27778" s="28"/>
      <c r="F27778" s="28"/>
      <c r="H27778" s="28"/>
    </row>
    <row r="27779" spans="4:8" x14ac:dyDescent="0.25">
      <c r="D27779" s="28"/>
      <c r="F27779" s="28"/>
      <c r="H27779" s="28"/>
    </row>
    <row r="27780" spans="4:8" x14ac:dyDescent="0.25">
      <c r="D27780" s="28"/>
      <c r="F27780" s="28"/>
      <c r="H27780" s="28"/>
    </row>
    <row r="27781" spans="4:8" x14ac:dyDescent="0.25">
      <c r="D27781" s="28"/>
      <c r="F27781" s="28"/>
      <c r="H27781" s="28"/>
    </row>
    <row r="27782" spans="4:8" x14ac:dyDescent="0.25">
      <c r="D27782" s="28"/>
      <c r="F27782" s="28"/>
      <c r="H27782" s="28"/>
    </row>
    <row r="27783" spans="4:8" x14ac:dyDescent="0.25">
      <c r="D27783" s="28"/>
      <c r="F27783" s="28"/>
      <c r="H27783" s="28"/>
    </row>
    <row r="27784" spans="4:8" x14ac:dyDescent="0.25">
      <c r="D27784" s="28"/>
      <c r="F27784" s="28"/>
      <c r="H27784" s="28"/>
    </row>
    <row r="27785" spans="4:8" x14ac:dyDescent="0.25">
      <c r="D27785" s="28"/>
      <c r="F27785" s="28"/>
      <c r="H27785" s="28"/>
    </row>
    <row r="27786" spans="4:8" x14ac:dyDescent="0.25">
      <c r="D27786" s="28"/>
      <c r="F27786" s="28"/>
      <c r="H27786" s="28"/>
    </row>
    <row r="27787" spans="4:8" x14ac:dyDescent="0.25">
      <c r="D27787" s="28"/>
      <c r="F27787" s="28"/>
      <c r="H27787" s="28"/>
    </row>
    <row r="27788" spans="4:8" x14ac:dyDescent="0.25">
      <c r="D27788" s="28"/>
      <c r="F27788" s="28"/>
      <c r="H27788" s="28"/>
    </row>
    <row r="27789" spans="4:8" x14ac:dyDescent="0.25">
      <c r="D27789" s="28"/>
      <c r="F27789" s="28"/>
      <c r="H27789" s="28"/>
    </row>
    <row r="27790" spans="4:8" x14ac:dyDescent="0.25">
      <c r="D27790" s="28"/>
      <c r="F27790" s="28"/>
      <c r="H27790" s="28"/>
    </row>
    <row r="27791" spans="4:8" x14ac:dyDescent="0.25">
      <c r="D27791" s="28"/>
      <c r="F27791" s="28"/>
      <c r="H27791" s="28"/>
    </row>
    <row r="27792" spans="4:8" x14ac:dyDescent="0.25">
      <c r="D27792" s="28"/>
      <c r="F27792" s="28"/>
      <c r="H27792" s="28"/>
    </row>
    <row r="27793" spans="4:8" x14ac:dyDescent="0.25">
      <c r="D27793" s="28"/>
      <c r="F27793" s="28"/>
      <c r="H27793" s="28"/>
    </row>
    <row r="27794" spans="4:8" x14ac:dyDescent="0.25">
      <c r="D27794" s="28"/>
      <c r="F27794" s="28"/>
      <c r="H27794" s="28"/>
    </row>
    <row r="27795" spans="4:8" x14ac:dyDescent="0.25">
      <c r="D27795" s="28"/>
      <c r="F27795" s="28"/>
      <c r="H27795" s="28"/>
    </row>
    <row r="27796" spans="4:8" x14ac:dyDescent="0.25">
      <c r="D27796" s="28"/>
      <c r="F27796" s="28"/>
      <c r="H27796" s="28"/>
    </row>
    <row r="27797" spans="4:8" x14ac:dyDescent="0.25">
      <c r="D27797" s="28"/>
      <c r="F27797" s="28"/>
      <c r="H27797" s="28"/>
    </row>
    <row r="27798" spans="4:8" x14ac:dyDescent="0.25">
      <c r="D27798" s="28"/>
      <c r="F27798" s="28"/>
      <c r="H27798" s="28"/>
    </row>
    <row r="27799" spans="4:8" x14ac:dyDescent="0.25">
      <c r="D27799" s="28"/>
      <c r="F27799" s="28"/>
      <c r="H27799" s="28"/>
    </row>
    <row r="27800" spans="4:8" x14ac:dyDescent="0.25">
      <c r="D27800" s="28"/>
      <c r="F27800" s="28"/>
      <c r="H27800" s="28"/>
    </row>
    <row r="27801" spans="4:8" x14ac:dyDescent="0.25">
      <c r="D27801" s="28"/>
      <c r="F27801" s="28"/>
      <c r="H27801" s="28"/>
    </row>
    <row r="27802" spans="4:8" x14ac:dyDescent="0.25">
      <c r="D27802" s="28"/>
      <c r="F27802" s="28"/>
      <c r="H27802" s="28"/>
    </row>
    <row r="27803" spans="4:8" x14ac:dyDescent="0.25">
      <c r="D27803" s="28"/>
      <c r="F27803" s="28"/>
      <c r="H27803" s="28"/>
    </row>
    <row r="27804" spans="4:8" x14ac:dyDescent="0.25">
      <c r="D27804" s="28"/>
      <c r="F27804" s="28"/>
      <c r="H27804" s="28"/>
    </row>
    <row r="27805" spans="4:8" x14ac:dyDescent="0.25">
      <c r="D27805" s="28"/>
      <c r="F27805" s="28"/>
      <c r="H27805" s="28"/>
    </row>
    <row r="27806" spans="4:8" x14ac:dyDescent="0.25">
      <c r="D27806" s="28"/>
      <c r="F27806" s="28"/>
      <c r="H27806" s="28"/>
    </row>
    <row r="27807" spans="4:8" x14ac:dyDescent="0.25">
      <c r="D27807" s="28"/>
      <c r="F27807" s="28"/>
      <c r="H27807" s="28"/>
    </row>
    <row r="27808" spans="4:8" x14ac:dyDescent="0.25">
      <c r="D27808" s="28"/>
      <c r="F27808" s="28"/>
      <c r="H27808" s="28"/>
    </row>
    <row r="27809" spans="4:8" x14ac:dyDescent="0.25">
      <c r="D27809" s="28"/>
      <c r="F27809" s="28"/>
      <c r="H27809" s="28"/>
    </row>
    <row r="27810" spans="4:8" x14ac:dyDescent="0.25">
      <c r="D27810" s="28"/>
      <c r="F27810" s="28"/>
      <c r="H27810" s="28"/>
    </row>
    <row r="27811" spans="4:8" x14ac:dyDescent="0.25">
      <c r="D27811" s="28"/>
      <c r="F27811" s="28"/>
      <c r="H27811" s="28"/>
    </row>
    <row r="27812" spans="4:8" x14ac:dyDescent="0.25">
      <c r="D27812" s="28"/>
      <c r="F27812" s="28"/>
      <c r="H27812" s="28"/>
    </row>
    <row r="27813" spans="4:8" x14ac:dyDescent="0.25">
      <c r="D27813" s="28"/>
      <c r="F27813" s="28"/>
      <c r="H27813" s="28"/>
    </row>
    <row r="27814" spans="4:8" x14ac:dyDescent="0.25">
      <c r="D27814" s="28"/>
      <c r="F27814" s="28"/>
      <c r="H27814" s="28"/>
    </row>
    <row r="27815" spans="4:8" x14ac:dyDescent="0.25">
      <c r="D27815" s="28"/>
      <c r="F27815" s="28"/>
      <c r="H27815" s="28"/>
    </row>
    <row r="27816" spans="4:8" x14ac:dyDescent="0.25">
      <c r="D27816" s="28"/>
      <c r="F27816" s="28"/>
      <c r="H27816" s="28"/>
    </row>
    <row r="27817" spans="4:8" x14ac:dyDescent="0.25">
      <c r="D27817" s="28"/>
      <c r="F27817" s="28"/>
      <c r="H27817" s="28"/>
    </row>
    <row r="27818" spans="4:8" x14ac:dyDescent="0.25">
      <c r="D27818" s="28"/>
      <c r="F27818" s="28"/>
      <c r="H27818" s="28"/>
    </row>
    <row r="27819" spans="4:8" x14ac:dyDescent="0.25">
      <c r="D27819" s="28"/>
      <c r="F27819" s="28"/>
      <c r="H27819" s="28"/>
    </row>
    <row r="27820" spans="4:8" x14ac:dyDescent="0.25">
      <c r="D27820" s="28"/>
      <c r="F27820" s="28"/>
      <c r="H27820" s="28"/>
    </row>
    <row r="27821" spans="4:8" x14ac:dyDescent="0.25">
      <c r="D27821" s="28"/>
      <c r="F27821" s="28"/>
      <c r="H27821" s="28"/>
    </row>
    <row r="27822" spans="4:8" x14ac:dyDescent="0.25">
      <c r="D27822" s="28"/>
      <c r="F27822" s="28"/>
      <c r="H27822" s="28"/>
    </row>
    <row r="27823" spans="4:8" x14ac:dyDescent="0.25">
      <c r="D27823" s="28"/>
      <c r="F27823" s="28"/>
      <c r="H27823" s="28"/>
    </row>
    <row r="27824" spans="4:8" x14ac:dyDescent="0.25">
      <c r="D27824" s="28"/>
      <c r="F27824" s="28"/>
      <c r="H27824" s="28"/>
    </row>
    <row r="27825" spans="4:8" x14ac:dyDescent="0.25">
      <c r="D27825" s="28"/>
      <c r="F27825" s="28"/>
      <c r="H27825" s="28"/>
    </row>
    <row r="27826" spans="4:8" x14ac:dyDescent="0.25">
      <c r="D27826" s="28"/>
      <c r="F27826" s="28"/>
      <c r="H27826" s="28"/>
    </row>
    <row r="27827" spans="4:8" x14ac:dyDescent="0.25">
      <c r="D27827" s="28"/>
      <c r="F27827" s="28"/>
      <c r="H27827" s="28"/>
    </row>
    <row r="27828" spans="4:8" x14ac:dyDescent="0.25">
      <c r="D27828" s="28"/>
      <c r="F27828" s="28"/>
      <c r="H27828" s="28"/>
    </row>
    <row r="27829" spans="4:8" x14ac:dyDescent="0.25">
      <c r="D27829" s="28"/>
      <c r="F27829" s="28"/>
      <c r="H27829" s="28"/>
    </row>
    <row r="27830" spans="4:8" x14ac:dyDescent="0.25">
      <c r="D27830" s="28"/>
      <c r="F27830" s="28"/>
      <c r="H27830" s="28"/>
    </row>
    <row r="27831" spans="4:8" x14ac:dyDescent="0.25">
      <c r="D27831" s="28"/>
      <c r="F27831" s="28"/>
      <c r="H27831" s="28"/>
    </row>
    <row r="27832" spans="4:8" x14ac:dyDescent="0.25">
      <c r="D27832" s="28"/>
      <c r="F27832" s="28"/>
      <c r="H27832" s="28"/>
    </row>
    <row r="27833" spans="4:8" x14ac:dyDescent="0.25">
      <c r="D27833" s="28"/>
      <c r="F27833" s="28"/>
      <c r="H27833" s="28"/>
    </row>
    <row r="27834" spans="4:8" x14ac:dyDescent="0.25">
      <c r="D27834" s="28"/>
      <c r="F27834" s="28"/>
      <c r="H27834" s="28"/>
    </row>
    <row r="27835" spans="4:8" x14ac:dyDescent="0.25">
      <c r="D27835" s="28"/>
      <c r="F27835" s="28"/>
      <c r="H27835" s="28"/>
    </row>
    <row r="27836" spans="4:8" x14ac:dyDescent="0.25">
      <c r="D27836" s="28"/>
      <c r="F27836" s="28"/>
      <c r="H27836" s="28"/>
    </row>
    <row r="27837" spans="4:8" x14ac:dyDescent="0.25">
      <c r="D27837" s="28"/>
      <c r="F27837" s="28"/>
      <c r="H27837" s="28"/>
    </row>
    <row r="27838" spans="4:8" x14ac:dyDescent="0.25">
      <c r="D27838" s="28"/>
      <c r="F27838" s="28"/>
      <c r="H27838" s="28"/>
    </row>
    <row r="27839" spans="4:8" x14ac:dyDescent="0.25">
      <c r="D27839" s="28"/>
      <c r="F27839" s="28"/>
      <c r="H27839" s="28"/>
    </row>
    <row r="27840" spans="4:8" x14ac:dyDescent="0.25">
      <c r="D27840" s="28"/>
      <c r="F27840" s="28"/>
      <c r="H27840" s="28"/>
    </row>
    <row r="27841" spans="4:8" x14ac:dyDescent="0.25">
      <c r="D27841" s="28"/>
      <c r="F27841" s="28"/>
      <c r="H27841" s="28"/>
    </row>
    <row r="27842" spans="4:8" x14ac:dyDescent="0.25">
      <c r="D27842" s="28"/>
      <c r="F27842" s="28"/>
      <c r="H27842" s="28"/>
    </row>
    <row r="27843" spans="4:8" x14ac:dyDescent="0.25">
      <c r="D27843" s="28"/>
      <c r="F27843" s="28"/>
      <c r="H27843" s="28"/>
    </row>
    <row r="27844" spans="4:8" x14ac:dyDescent="0.25">
      <c r="D27844" s="28"/>
      <c r="F27844" s="28"/>
      <c r="H27844" s="28"/>
    </row>
    <row r="27845" spans="4:8" x14ac:dyDescent="0.25">
      <c r="D27845" s="28"/>
      <c r="F27845" s="28"/>
      <c r="H27845" s="28"/>
    </row>
    <row r="27846" spans="4:8" x14ac:dyDescent="0.25">
      <c r="D27846" s="28"/>
      <c r="F27846" s="28"/>
      <c r="H27846" s="28"/>
    </row>
    <row r="27847" spans="4:8" x14ac:dyDescent="0.25">
      <c r="D27847" s="28"/>
      <c r="F27847" s="28"/>
      <c r="H27847" s="28"/>
    </row>
    <row r="27848" spans="4:8" x14ac:dyDescent="0.25">
      <c r="D27848" s="28"/>
      <c r="F27848" s="28"/>
      <c r="H27848" s="28"/>
    </row>
    <row r="27849" spans="4:8" x14ac:dyDescent="0.25">
      <c r="D27849" s="28"/>
      <c r="F27849" s="28"/>
      <c r="H27849" s="28"/>
    </row>
    <row r="27850" spans="4:8" x14ac:dyDescent="0.25">
      <c r="D27850" s="28"/>
      <c r="F27850" s="28"/>
      <c r="H27850" s="28"/>
    </row>
    <row r="27851" spans="4:8" x14ac:dyDescent="0.25">
      <c r="D27851" s="28"/>
      <c r="F27851" s="28"/>
      <c r="H27851" s="28"/>
    </row>
    <row r="27852" spans="4:8" x14ac:dyDescent="0.25">
      <c r="D27852" s="28"/>
      <c r="F27852" s="28"/>
      <c r="H27852" s="28"/>
    </row>
    <row r="27853" spans="4:8" x14ac:dyDescent="0.25">
      <c r="D27853" s="28"/>
      <c r="F27853" s="28"/>
      <c r="H27853" s="28"/>
    </row>
    <row r="27854" spans="4:8" x14ac:dyDescent="0.25">
      <c r="D27854" s="28"/>
      <c r="F27854" s="28"/>
      <c r="H27854" s="28"/>
    </row>
    <row r="27855" spans="4:8" x14ac:dyDescent="0.25">
      <c r="D27855" s="28"/>
      <c r="F27855" s="28"/>
      <c r="H27855" s="28"/>
    </row>
    <row r="27856" spans="4:8" x14ac:dyDescent="0.25">
      <c r="D27856" s="28"/>
      <c r="F27856" s="28"/>
      <c r="H27856" s="28"/>
    </row>
    <row r="27857" spans="4:8" x14ac:dyDescent="0.25">
      <c r="D27857" s="28"/>
      <c r="F27857" s="28"/>
      <c r="H27857" s="28"/>
    </row>
    <row r="27858" spans="4:8" x14ac:dyDescent="0.25">
      <c r="D27858" s="28"/>
      <c r="F27858" s="28"/>
      <c r="H27858" s="28"/>
    </row>
    <row r="27859" spans="4:8" x14ac:dyDescent="0.25">
      <c r="D27859" s="28"/>
      <c r="F27859" s="28"/>
      <c r="H27859" s="28"/>
    </row>
    <row r="27860" spans="4:8" x14ac:dyDescent="0.25">
      <c r="D27860" s="28"/>
      <c r="F27860" s="28"/>
      <c r="H27860" s="28"/>
    </row>
    <row r="27861" spans="4:8" x14ac:dyDescent="0.25">
      <c r="D27861" s="28"/>
      <c r="F27861" s="28"/>
      <c r="H27861" s="28"/>
    </row>
    <row r="27862" spans="4:8" x14ac:dyDescent="0.25">
      <c r="D27862" s="28"/>
      <c r="F27862" s="28"/>
      <c r="H27862" s="28"/>
    </row>
    <row r="27863" spans="4:8" x14ac:dyDescent="0.25">
      <c r="D27863" s="28"/>
      <c r="F27863" s="28"/>
      <c r="H27863" s="28"/>
    </row>
    <row r="27864" spans="4:8" x14ac:dyDescent="0.25">
      <c r="D27864" s="28"/>
      <c r="F27864" s="28"/>
      <c r="H27864" s="28"/>
    </row>
    <row r="27865" spans="4:8" x14ac:dyDescent="0.25">
      <c r="D27865" s="28"/>
      <c r="F27865" s="28"/>
      <c r="H27865" s="28"/>
    </row>
    <row r="27866" spans="4:8" x14ac:dyDescent="0.25">
      <c r="D27866" s="28"/>
      <c r="F27866" s="28"/>
      <c r="H27866" s="28"/>
    </row>
    <row r="27867" spans="4:8" x14ac:dyDescent="0.25">
      <c r="D27867" s="28"/>
      <c r="F27867" s="28"/>
      <c r="H27867" s="28"/>
    </row>
    <row r="27868" spans="4:8" x14ac:dyDescent="0.25">
      <c r="D27868" s="28"/>
      <c r="F27868" s="28"/>
      <c r="H27868" s="28"/>
    </row>
    <row r="27869" spans="4:8" x14ac:dyDescent="0.25">
      <c r="D27869" s="28"/>
      <c r="F27869" s="28"/>
      <c r="H27869" s="28"/>
    </row>
    <row r="27870" spans="4:8" x14ac:dyDescent="0.25">
      <c r="D27870" s="28"/>
      <c r="F27870" s="28"/>
      <c r="H27870" s="28"/>
    </row>
    <row r="27871" spans="4:8" x14ac:dyDescent="0.25">
      <c r="D27871" s="28"/>
      <c r="F27871" s="28"/>
      <c r="H27871" s="28"/>
    </row>
    <row r="27872" spans="4:8" x14ac:dyDescent="0.25">
      <c r="D27872" s="28"/>
      <c r="F27872" s="28"/>
      <c r="H27872" s="28"/>
    </row>
    <row r="27873" spans="4:8" x14ac:dyDescent="0.25">
      <c r="D27873" s="28"/>
      <c r="F27873" s="28"/>
      <c r="H27873" s="28"/>
    </row>
    <row r="27874" spans="4:8" x14ac:dyDescent="0.25">
      <c r="D27874" s="28"/>
      <c r="F27874" s="28"/>
      <c r="H27874" s="28"/>
    </row>
    <row r="27875" spans="4:8" x14ac:dyDescent="0.25">
      <c r="D27875" s="28"/>
      <c r="F27875" s="28"/>
      <c r="H27875" s="28"/>
    </row>
    <row r="27876" spans="4:8" x14ac:dyDescent="0.25">
      <c r="D27876" s="28"/>
      <c r="F27876" s="28"/>
      <c r="H27876" s="28"/>
    </row>
    <row r="27877" spans="4:8" x14ac:dyDescent="0.25">
      <c r="D27877" s="28"/>
      <c r="F27877" s="28"/>
      <c r="H27877" s="28"/>
    </row>
    <row r="27878" spans="4:8" x14ac:dyDescent="0.25">
      <c r="D27878" s="28"/>
      <c r="F27878" s="28"/>
      <c r="H27878" s="28"/>
    </row>
    <row r="27879" spans="4:8" x14ac:dyDescent="0.25">
      <c r="D27879" s="28"/>
      <c r="F27879" s="28"/>
      <c r="H27879" s="28"/>
    </row>
    <row r="27880" spans="4:8" x14ac:dyDescent="0.25">
      <c r="D27880" s="28"/>
      <c r="F27880" s="28"/>
      <c r="H27880" s="28"/>
    </row>
    <row r="27881" spans="4:8" x14ac:dyDescent="0.25">
      <c r="D27881" s="28"/>
      <c r="F27881" s="28"/>
      <c r="H27881" s="28"/>
    </row>
    <row r="27882" spans="4:8" x14ac:dyDescent="0.25">
      <c r="D27882" s="28"/>
      <c r="F27882" s="28"/>
      <c r="H27882" s="28"/>
    </row>
    <row r="27883" spans="4:8" x14ac:dyDescent="0.25">
      <c r="D27883" s="28"/>
      <c r="F27883" s="28"/>
      <c r="H27883" s="28"/>
    </row>
    <row r="27884" spans="4:8" x14ac:dyDescent="0.25">
      <c r="D27884" s="28"/>
      <c r="F27884" s="28"/>
      <c r="H27884" s="28"/>
    </row>
    <row r="27885" spans="4:8" x14ac:dyDescent="0.25">
      <c r="D27885" s="28"/>
      <c r="F27885" s="28"/>
      <c r="H27885" s="28"/>
    </row>
    <row r="27886" spans="4:8" x14ac:dyDescent="0.25">
      <c r="D27886" s="28"/>
      <c r="F27886" s="28"/>
      <c r="H27886" s="28"/>
    </row>
    <row r="27887" spans="4:8" x14ac:dyDescent="0.25">
      <c r="D27887" s="28"/>
      <c r="F27887" s="28"/>
      <c r="H27887" s="28"/>
    </row>
    <row r="27888" spans="4:8" x14ac:dyDescent="0.25">
      <c r="D27888" s="28"/>
      <c r="F27888" s="28"/>
      <c r="H27888" s="28"/>
    </row>
    <row r="27889" spans="4:8" x14ac:dyDescent="0.25">
      <c r="D27889" s="28"/>
      <c r="F27889" s="28"/>
      <c r="H27889" s="28"/>
    </row>
    <row r="27890" spans="4:8" x14ac:dyDescent="0.25">
      <c r="D27890" s="28"/>
      <c r="F27890" s="28"/>
      <c r="H27890" s="28"/>
    </row>
    <row r="27891" spans="4:8" x14ac:dyDescent="0.25">
      <c r="D27891" s="28"/>
      <c r="F27891" s="28"/>
      <c r="H27891" s="28"/>
    </row>
    <row r="27892" spans="4:8" x14ac:dyDescent="0.25">
      <c r="D27892" s="28"/>
      <c r="F27892" s="28"/>
      <c r="H27892" s="28"/>
    </row>
    <row r="27893" spans="4:8" x14ac:dyDescent="0.25">
      <c r="D27893" s="28"/>
      <c r="F27893" s="28"/>
      <c r="H27893" s="28"/>
    </row>
    <row r="27894" spans="4:8" x14ac:dyDescent="0.25">
      <c r="D27894" s="28"/>
      <c r="F27894" s="28"/>
      <c r="H27894" s="28"/>
    </row>
    <row r="27895" spans="4:8" x14ac:dyDescent="0.25">
      <c r="D27895" s="28"/>
      <c r="F27895" s="28"/>
      <c r="H27895" s="28"/>
    </row>
    <row r="27896" spans="4:8" x14ac:dyDescent="0.25">
      <c r="D27896" s="28"/>
      <c r="F27896" s="28"/>
      <c r="H27896" s="28"/>
    </row>
    <row r="27897" spans="4:8" x14ac:dyDescent="0.25">
      <c r="D27897" s="28"/>
      <c r="F27897" s="28"/>
      <c r="H27897" s="28"/>
    </row>
    <row r="27898" spans="4:8" x14ac:dyDescent="0.25">
      <c r="D27898" s="28"/>
      <c r="F27898" s="28"/>
      <c r="H27898" s="28"/>
    </row>
    <row r="27899" spans="4:8" x14ac:dyDescent="0.25">
      <c r="D27899" s="28"/>
      <c r="F27899" s="28"/>
      <c r="H27899" s="28"/>
    </row>
    <row r="27900" spans="4:8" x14ac:dyDescent="0.25">
      <c r="D27900" s="28"/>
      <c r="F27900" s="28"/>
      <c r="H27900" s="28"/>
    </row>
    <row r="27901" spans="4:8" x14ac:dyDescent="0.25">
      <c r="D27901" s="28"/>
      <c r="F27901" s="28"/>
      <c r="H27901" s="28"/>
    </row>
    <row r="27902" spans="4:8" x14ac:dyDescent="0.25">
      <c r="D27902" s="28"/>
      <c r="F27902" s="28"/>
      <c r="H27902" s="28"/>
    </row>
    <row r="27903" spans="4:8" x14ac:dyDescent="0.25">
      <c r="D27903" s="28"/>
      <c r="F27903" s="28"/>
      <c r="H27903" s="28"/>
    </row>
    <row r="27904" spans="4:8" x14ac:dyDescent="0.25">
      <c r="D27904" s="28"/>
      <c r="F27904" s="28"/>
      <c r="H27904" s="28"/>
    </row>
    <row r="27905" spans="4:8" x14ac:dyDescent="0.25">
      <c r="D27905" s="28"/>
      <c r="F27905" s="28"/>
      <c r="H27905" s="28"/>
    </row>
    <row r="27906" spans="4:8" x14ac:dyDescent="0.25">
      <c r="D27906" s="28"/>
      <c r="F27906" s="28"/>
      <c r="H27906" s="28"/>
    </row>
    <row r="27907" spans="4:8" x14ac:dyDescent="0.25">
      <c r="D27907" s="28"/>
      <c r="F27907" s="28"/>
      <c r="H27907" s="28"/>
    </row>
    <row r="27908" spans="4:8" x14ac:dyDescent="0.25">
      <c r="D27908" s="28"/>
      <c r="F27908" s="28"/>
      <c r="H27908" s="28"/>
    </row>
    <row r="27909" spans="4:8" x14ac:dyDescent="0.25">
      <c r="D27909" s="28"/>
      <c r="F27909" s="28"/>
      <c r="H27909" s="28"/>
    </row>
    <row r="27910" spans="4:8" x14ac:dyDescent="0.25">
      <c r="D27910" s="28"/>
      <c r="F27910" s="28"/>
      <c r="H27910" s="28"/>
    </row>
    <row r="27911" spans="4:8" x14ac:dyDescent="0.25">
      <c r="D27911" s="28"/>
      <c r="F27911" s="28"/>
      <c r="H27911" s="28"/>
    </row>
    <row r="27912" spans="4:8" x14ac:dyDescent="0.25">
      <c r="D27912" s="28"/>
      <c r="F27912" s="28"/>
      <c r="H27912" s="28"/>
    </row>
    <row r="27913" spans="4:8" x14ac:dyDescent="0.25">
      <c r="D27913" s="28"/>
      <c r="F27913" s="28"/>
      <c r="H27913" s="28"/>
    </row>
    <row r="27914" spans="4:8" x14ac:dyDescent="0.25">
      <c r="D27914" s="28"/>
      <c r="F27914" s="28"/>
      <c r="H27914" s="28"/>
    </row>
    <row r="27915" spans="4:8" x14ac:dyDescent="0.25">
      <c r="D27915" s="28"/>
      <c r="F27915" s="28"/>
      <c r="H27915" s="28"/>
    </row>
    <row r="27916" spans="4:8" x14ac:dyDescent="0.25">
      <c r="D27916" s="28"/>
      <c r="F27916" s="28"/>
      <c r="H27916" s="28"/>
    </row>
    <row r="27917" spans="4:8" x14ac:dyDescent="0.25">
      <c r="D27917" s="28"/>
      <c r="F27917" s="28"/>
      <c r="H27917" s="28"/>
    </row>
    <row r="27918" spans="4:8" x14ac:dyDescent="0.25">
      <c r="D27918" s="28"/>
      <c r="F27918" s="28"/>
      <c r="H27918" s="28"/>
    </row>
    <row r="27919" spans="4:8" x14ac:dyDescent="0.25">
      <c r="D27919" s="28"/>
      <c r="F27919" s="28"/>
      <c r="H27919" s="28"/>
    </row>
    <row r="27920" spans="4:8" x14ac:dyDescent="0.25">
      <c r="D27920" s="28"/>
      <c r="F27920" s="28"/>
      <c r="H27920" s="28"/>
    </row>
    <row r="27921" spans="4:8" x14ac:dyDescent="0.25">
      <c r="D27921" s="28"/>
      <c r="F27921" s="28"/>
      <c r="H27921" s="28"/>
    </row>
    <row r="27922" spans="4:8" x14ac:dyDescent="0.25">
      <c r="D27922" s="28"/>
      <c r="F27922" s="28"/>
      <c r="H27922" s="28"/>
    </row>
    <row r="27923" spans="4:8" x14ac:dyDescent="0.25">
      <c r="D27923" s="28"/>
      <c r="F27923" s="28"/>
      <c r="H27923" s="28"/>
    </row>
    <row r="27924" spans="4:8" x14ac:dyDescent="0.25">
      <c r="D27924" s="28"/>
      <c r="F27924" s="28"/>
      <c r="H27924" s="28"/>
    </row>
    <row r="27925" spans="4:8" x14ac:dyDescent="0.25">
      <c r="D27925" s="28"/>
      <c r="F27925" s="28"/>
      <c r="H27925" s="28"/>
    </row>
    <row r="27926" spans="4:8" x14ac:dyDescent="0.25">
      <c r="D27926" s="28"/>
      <c r="F27926" s="28"/>
      <c r="H27926" s="28"/>
    </row>
    <row r="27927" spans="4:8" x14ac:dyDescent="0.25">
      <c r="D27927" s="28"/>
      <c r="F27927" s="28"/>
      <c r="H27927" s="28"/>
    </row>
    <row r="27928" spans="4:8" x14ac:dyDescent="0.25">
      <c r="D27928" s="28"/>
      <c r="F27928" s="28"/>
      <c r="H27928" s="28"/>
    </row>
    <row r="27929" spans="4:8" x14ac:dyDescent="0.25">
      <c r="D27929" s="28"/>
      <c r="F27929" s="28"/>
      <c r="H27929" s="28"/>
    </row>
    <row r="27930" spans="4:8" x14ac:dyDescent="0.25">
      <c r="D27930" s="28"/>
      <c r="F27930" s="28"/>
      <c r="H27930" s="28"/>
    </row>
    <row r="27931" spans="4:8" x14ac:dyDescent="0.25">
      <c r="D27931" s="28"/>
      <c r="F27931" s="28"/>
      <c r="H27931" s="28"/>
    </row>
    <row r="27932" spans="4:8" x14ac:dyDescent="0.25">
      <c r="D27932" s="28"/>
      <c r="F27932" s="28"/>
      <c r="H27932" s="28"/>
    </row>
    <row r="27933" spans="4:8" x14ac:dyDescent="0.25">
      <c r="D27933" s="28"/>
      <c r="F27933" s="28"/>
      <c r="H27933" s="28"/>
    </row>
    <row r="27934" spans="4:8" x14ac:dyDescent="0.25">
      <c r="D27934" s="28"/>
      <c r="F27934" s="28"/>
      <c r="H27934" s="28"/>
    </row>
    <row r="27935" spans="4:8" x14ac:dyDescent="0.25">
      <c r="D27935" s="28"/>
      <c r="F27935" s="28"/>
      <c r="H27935" s="28"/>
    </row>
    <row r="27936" spans="4:8" x14ac:dyDescent="0.25">
      <c r="D27936" s="28"/>
      <c r="F27936" s="28"/>
      <c r="H27936" s="28"/>
    </row>
    <row r="27937" spans="4:8" x14ac:dyDescent="0.25">
      <c r="D27937" s="28"/>
      <c r="F27937" s="28"/>
      <c r="H27937" s="28"/>
    </row>
    <row r="27938" spans="4:8" x14ac:dyDescent="0.25">
      <c r="D27938" s="28"/>
      <c r="F27938" s="28"/>
      <c r="H27938" s="28"/>
    </row>
    <row r="27939" spans="4:8" x14ac:dyDescent="0.25">
      <c r="D27939" s="28"/>
      <c r="F27939" s="28"/>
      <c r="H27939" s="28"/>
    </row>
    <row r="27940" spans="4:8" x14ac:dyDescent="0.25">
      <c r="D27940" s="28"/>
      <c r="F27940" s="28"/>
      <c r="H27940" s="28"/>
    </row>
    <row r="27941" spans="4:8" x14ac:dyDescent="0.25">
      <c r="D27941" s="28"/>
      <c r="F27941" s="28"/>
      <c r="H27941" s="28"/>
    </row>
    <row r="27942" spans="4:8" x14ac:dyDescent="0.25">
      <c r="D27942" s="28"/>
      <c r="F27942" s="28"/>
      <c r="H27942" s="28"/>
    </row>
    <row r="27943" spans="4:8" x14ac:dyDescent="0.25">
      <c r="D27943" s="28"/>
      <c r="F27943" s="28"/>
      <c r="H27943" s="28"/>
    </row>
    <row r="27944" spans="4:8" x14ac:dyDescent="0.25">
      <c r="D27944" s="28"/>
      <c r="F27944" s="28"/>
      <c r="H27944" s="28"/>
    </row>
    <row r="27945" spans="4:8" x14ac:dyDescent="0.25">
      <c r="D27945" s="28"/>
      <c r="F27945" s="28"/>
      <c r="H27945" s="28"/>
    </row>
    <row r="27946" spans="4:8" x14ac:dyDescent="0.25">
      <c r="D27946" s="28"/>
      <c r="F27946" s="28"/>
      <c r="H27946" s="28"/>
    </row>
    <row r="27947" spans="4:8" x14ac:dyDescent="0.25">
      <c r="D27947" s="28"/>
      <c r="F27947" s="28"/>
      <c r="H27947" s="28"/>
    </row>
    <row r="27948" spans="4:8" x14ac:dyDescent="0.25">
      <c r="D27948" s="28"/>
      <c r="F27948" s="28"/>
      <c r="H27948" s="28"/>
    </row>
    <row r="27949" spans="4:8" x14ac:dyDescent="0.25">
      <c r="D27949" s="28"/>
      <c r="F27949" s="28"/>
      <c r="H27949" s="28"/>
    </row>
    <row r="27950" spans="4:8" x14ac:dyDescent="0.25">
      <c r="D27950" s="28"/>
      <c r="F27950" s="28"/>
      <c r="H27950" s="28"/>
    </row>
    <row r="27951" spans="4:8" x14ac:dyDescent="0.25">
      <c r="D27951" s="28"/>
      <c r="F27951" s="28"/>
      <c r="H27951" s="28"/>
    </row>
    <row r="27952" spans="4:8" x14ac:dyDescent="0.25">
      <c r="D27952" s="28"/>
      <c r="F27952" s="28"/>
      <c r="H27952" s="28"/>
    </row>
    <row r="27953" spans="4:8" x14ac:dyDescent="0.25">
      <c r="D27953" s="28"/>
      <c r="F27953" s="28"/>
      <c r="H27953" s="28"/>
    </row>
    <row r="27954" spans="4:8" x14ac:dyDescent="0.25">
      <c r="D27954" s="28"/>
      <c r="F27954" s="28"/>
      <c r="H27954" s="28"/>
    </row>
    <row r="27955" spans="4:8" x14ac:dyDescent="0.25">
      <c r="D27955" s="28"/>
      <c r="F27955" s="28"/>
      <c r="H27955" s="28"/>
    </row>
    <row r="27956" spans="4:8" x14ac:dyDescent="0.25">
      <c r="D27956" s="28"/>
      <c r="F27956" s="28"/>
      <c r="H27956" s="28"/>
    </row>
    <row r="27957" spans="4:8" x14ac:dyDescent="0.25">
      <c r="D27957" s="28"/>
      <c r="F27957" s="28"/>
      <c r="H27957" s="28"/>
    </row>
    <row r="27958" spans="4:8" x14ac:dyDescent="0.25">
      <c r="D27958" s="28"/>
      <c r="F27958" s="28"/>
      <c r="H27958" s="28"/>
    </row>
    <row r="27959" spans="4:8" x14ac:dyDescent="0.25">
      <c r="D27959" s="28"/>
      <c r="F27959" s="28"/>
      <c r="H27959" s="28"/>
    </row>
    <row r="27960" spans="4:8" x14ac:dyDescent="0.25">
      <c r="D27960" s="28"/>
      <c r="F27960" s="28"/>
      <c r="H27960" s="28"/>
    </row>
    <row r="27961" spans="4:8" x14ac:dyDescent="0.25">
      <c r="D27961" s="28"/>
      <c r="F27961" s="28"/>
      <c r="H27961" s="28"/>
    </row>
    <row r="27962" spans="4:8" x14ac:dyDescent="0.25">
      <c r="D27962" s="28"/>
      <c r="F27962" s="28"/>
      <c r="H27962" s="28"/>
    </row>
    <row r="27963" spans="4:8" x14ac:dyDescent="0.25">
      <c r="D27963" s="28"/>
      <c r="F27963" s="28"/>
      <c r="H27963" s="28"/>
    </row>
    <row r="27964" spans="4:8" x14ac:dyDescent="0.25">
      <c r="D27964" s="28"/>
      <c r="F27964" s="28"/>
      <c r="H27964" s="28"/>
    </row>
    <row r="27965" spans="4:8" x14ac:dyDescent="0.25">
      <c r="D27965" s="28"/>
      <c r="F27965" s="28"/>
      <c r="H27965" s="28"/>
    </row>
    <row r="27966" spans="4:8" x14ac:dyDescent="0.25">
      <c r="D27966" s="28"/>
      <c r="F27966" s="28"/>
      <c r="H27966" s="28"/>
    </row>
    <row r="27967" spans="4:8" x14ac:dyDescent="0.25">
      <c r="D27967" s="28"/>
      <c r="F27967" s="28"/>
      <c r="H27967" s="28"/>
    </row>
    <row r="27968" spans="4:8" x14ac:dyDescent="0.25">
      <c r="D27968" s="28"/>
      <c r="F27968" s="28"/>
      <c r="H27968" s="28"/>
    </row>
    <row r="27969" spans="4:8" x14ac:dyDescent="0.25">
      <c r="D27969" s="28"/>
      <c r="F27969" s="28"/>
      <c r="H27969" s="28"/>
    </row>
    <row r="27970" spans="4:8" x14ac:dyDescent="0.25">
      <c r="D27970" s="28"/>
      <c r="F27970" s="28"/>
      <c r="H27970" s="28"/>
    </row>
    <row r="27971" spans="4:8" x14ac:dyDescent="0.25">
      <c r="D27971" s="28"/>
      <c r="F27971" s="28"/>
      <c r="H27971" s="28"/>
    </row>
    <row r="27972" spans="4:8" x14ac:dyDescent="0.25">
      <c r="D27972" s="28"/>
      <c r="F27972" s="28"/>
      <c r="H27972" s="28"/>
    </row>
    <row r="27973" spans="4:8" x14ac:dyDescent="0.25">
      <c r="D27973" s="28"/>
      <c r="F27973" s="28"/>
      <c r="H27973" s="28"/>
    </row>
    <row r="27974" spans="4:8" x14ac:dyDescent="0.25">
      <c r="D27974" s="28"/>
      <c r="F27974" s="28"/>
      <c r="H27974" s="28"/>
    </row>
    <row r="27975" spans="4:8" x14ac:dyDescent="0.25">
      <c r="D27975" s="28"/>
      <c r="F27975" s="28"/>
      <c r="H27975" s="28"/>
    </row>
    <row r="27976" spans="4:8" x14ac:dyDescent="0.25">
      <c r="D27976" s="28"/>
      <c r="F27976" s="28"/>
      <c r="H27976" s="28"/>
    </row>
    <row r="27977" spans="4:8" x14ac:dyDescent="0.25">
      <c r="D27977" s="28"/>
      <c r="F27977" s="28"/>
      <c r="H27977" s="28"/>
    </row>
    <row r="27978" spans="4:8" x14ac:dyDescent="0.25">
      <c r="D27978" s="28"/>
      <c r="F27978" s="28"/>
      <c r="H27978" s="28"/>
    </row>
    <row r="27979" spans="4:8" x14ac:dyDescent="0.25">
      <c r="D27979" s="28"/>
      <c r="F27979" s="28"/>
      <c r="H27979" s="28"/>
    </row>
    <row r="27980" spans="4:8" x14ac:dyDescent="0.25">
      <c r="D27980" s="28"/>
      <c r="F27980" s="28"/>
      <c r="H27980" s="28"/>
    </row>
    <row r="27981" spans="4:8" x14ac:dyDescent="0.25">
      <c r="D27981" s="28"/>
      <c r="F27981" s="28"/>
      <c r="H27981" s="28"/>
    </row>
    <row r="27982" spans="4:8" x14ac:dyDescent="0.25">
      <c r="D27982" s="28"/>
      <c r="F27982" s="28"/>
      <c r="H27982" s="28"/>
    </row>
    <row r="27983" spans="4:8" x14ac:dyDescent="0.25">
      <c r="D27983" s="28"/>
      <c r="F27983" s="28"/>
      <c r="H27983" s="28"/>
    </row>
    <row r="27984" spans="4:8" x14ac:dyDescent="0.25">
      <c r="D27984" s="28"/>
      <c r="F27984" s="28"/>
      <c r="H27984" s="28"/>
    </row>
    <row r="27985" spans="4:8" x14ac:dyDescent="0.25">
      <c r="D27985" s="28"/>
      <c r="F27985" s="28"/>
      <c r="H27985" s="28"/>
    </row>
    <row r="27986" spans="4:8" x14ac:dyDescent="0.25">
      <c r="D27986" s="28"/>
      <c r="F27986" s="28"/>
      <c r="H27986" s="28"/>
    </row>
    <row r="27987" spans="4:8" x14ac:dyDescent="0.25">
      <c r="D27987" s="28"/>
      <c r="F27987" s="28"/>
      <c r="H27987" s="28"/>
    </row>
    <row r="27988" spans="4:8" x14ac:dyDescent="0.25">
      <c r="D27988" s="28"/>
      <c r="F27988" s="28"/>
      <c r="H27988" s="28"/>
    </row>
    <row r="27989" spans="4:8" x14ac:dyDescent="0.25">
      <c r="D27989" s="28"/>
      <c r="F27989" s="28"/>
      <c r="H27989" s="28"/>
    </row>
    <row r="27990" spans="4:8" x14ac:dyDescent="0.25">
      <c r="D27990" s="28"/>
      <c r="F27990" s="28"/>
      <c r="H27990" s="28"/>
    </row>
    <row r="27991" spans="4:8" x14ac:dyDescent="0.25">
      <c r="D27991" s="28"/>
      <c r="F27991" s="28"/>
      <c r="H27991" s="28"/>
    </row>
    <row r="27992" spans="4:8" x14ac:dyDescent="0.25">
      <c r="D27992" s="28"/>
      <c r="F27992" s="28"/>
      <c r="H27992" s="28"/>
    </row>
    <row r="27993" spans="4:8" x14ac:dyDescent="0.25">
      <c r="D27993" s="28"/>
      <c r="F27993" s="28"/>
      <c r="H27993" s="28"/>
    </row>
    <row r="27994" spans="4:8" x14ac:dyDescent="0.25">
      <c r="D27994" s="28"/>
      <c r="F27994" s="28"/>
      <c r="H27994" s="28"/>
    </row>
    <row r="27995" spans="4:8" x14ac:dyDescent="0.25">
      <c r="D27995" s="28"/>
      <c r="F27995" s="28"/>
      <c r="H27995" s="28"/>
    </row>
    <row r="27996" spans="4:8" x14ac:dyDescent="0.25">
      <c r="D27996" s="28"/>
      <c r="F27996" s="28"/>
      <c r="H27996" s="28"/>
    </row>
    <row r="27997" spans="4:8" x14ac:dyDescent="0.25">
      <c r="D27997" s="28"/>
      <c r="F27997" s="28"/>
      <c r="H27997" s="28"/>
    </row>
    <row r="27998" spans="4:8" x14ac:dyDescent="0.25">
      <c r="D27998" s="28"/>
      <c r="F27998" s="28"/>
      <c r="H27998" s="28"/>
    </row>
    <row r="27999" spans="4:8" x14ac:dyDescent="0.25">
      <c r="D27999" s="28"/>
      <c r="F27999" s="28"/>
      <c r="H27999" s="28"/>
    </row>
    <row r="28000" spans="4:8" x14ac:dyDescent="0.25">
      <c r="D28000" s="28"/>
      <c r="F28000" s="28"/>
      <c r="H28000" s="28"/>
    </row>
    <row r="28001" spans="4:8" x14ac:dyDescent="0.25">
      <c r="D28001" s="28"/>
      <c r="F28001" s="28"/>
      <c r="H28001" s="28"/>
    </row>
    <row r="28002" spans="4:8" x14ac:dyDescent="0.25">
      <c r="D28002" s="28"/>
      <c r="F28002" s="28"/>
      <c r="H28002" s="28"/>
    </row>
    <row r="28003" spans="4:8" x14ac:dyDescent="0.25">
      <c r="D28003" s="28"/>
      <c r="F28003" s="28"/>
      <c r="H28003" s="28"/>
    </row>
    <row r="28004" spans="4:8" x14ac:dyDescent="0.25">
      <c r="D28004" s="28"/>
      <c r="F28004" s="28"/>
      <c r="H28004" s="28"/>
    </row>
    <row r="28005" spans="4:8" x14ac:dyDescent="0.25">
      <c r="D28005" s="28"/>
      <c r="F28005" s="28"/>
      <c r="H28005" s="28"/>
    </row>
    <row r="28006" spans="4:8" x14ac:dyDescent="0.25">
      <c r="D28006" s="28"/>
      <c r="F28006" s="28"/>
      <c r="H28006" s="28"/>
    </row>
    <row r="28007" spans="4:8" x14ac:dyDescent="0.25">
      <c r="D28007" s="28"/>
      <c r="F28007" s="28"/>
      <c r="H28007" s="28"/>
    </row>
    <row r="28008" spans="4:8" x14ac:dyDescent="0.25">
      <c r="D28008" s="28"/>
      <c r="F28008" s="28"/>
      <c r="H28008" s="28"/>
    </row>
    <row r="28009" spans="4:8" x14ac:dyDescent="0.25">
      <c r="D28009" s="28"/>
      <c r="F28009" s="28"/>
      <c r="H28009" s="28"/>
    </row>
    <row r="28010" spans="4:8" x14ac:dyDescent="0.25">
      <c r="D28010" s="28"/>
      <c r="F28010" s="28"/>
      <c r="H28010" s="28"/>
    </row>
    <row r="28011" spans="4:8" x14ac:dyDescent="0.25">
      <c r="D28011" s="28"/>
      <c r="F28011" s="28"/>
      <c r="H28011" s="28"/>
    </row>
    <row r="28012" spans="4:8" x14ac:dyDescent="0.25">
      <c r="D28012" s="28"/>
      <c r="F28012" s="28"/>
      <c r="H28012" s="28"/>
    </row>
    <row r="28013" spans="4:8" x14ac:dyDescent="0.25">
      <c r="D28013" s="28"/>
      <c r="F28013" s="28"/>
      <c r="H28013" s="28"/>
    </row>
    <row r="28014" spans="4:8" x14ac:dyDescent="0.25">
      <c r="D28014" s="28"/>
      <c r="F28014" s="28"/>
      <c r="H28014" s="28"/>
    </row>
    <row r="28015" spans="4:8" x14ac:dyDescent="0.25">
      <c r="D28015" s="28"/>
      <c r="F28015" s="28"/>
      <c r="H28015" s="28"/>
    </row>
    <row r="28016" spans="4:8" x14ac:dyDescent="0.25">
      <c r="D28016" s="28"/>
      <c r="F28016" s="28"/>
      <c r="H28016" s="28"/>
    </row>
    <row r="28017" spans="4:8" x14ac:dyDescent="0.25">
      <c r="D28017" s="28"/>
      <c r="F28017" s="28"/>
      <c r="H28017" s="28"/>
    </row>
    <row r="28018" spans="4:8" x14ac:dyDescent="0.25">
      <c r="D28018" s="28"/>
      <c r="F28018" s="28"/>
      <c r="H28018" s="28"/>
    </row>
    <row r="28019" spans="4:8" x14ac:dyDescent="0.25">
      <c r="D28019" s="28"/>
      <c r="F28019" s="28"/>
      <c r="H28019" s="28"/>
    </row>
    <row r="28020" spans="4:8" x14ac:dyDescent="0.25">
      <c r="D28020" s="28"/>
      <c r="F28020" s="28"/>
      <c r="H28020" s="28"/>
    </row>
    <row r="28021" spans="4:8" x14ac:dyDescent="0.25">
      <c r="D28021" s="28"/>
      <c r="F28021" s="28"/>
      <c r="H28021" s="28"/>
    </row>
    <row r="28022" spans="4:8" x14ac:dyDescent="0.25">
      <c r="D28022" s="28"/>
      <c r="F28022" s="28"/>
      <c r="H28022" s="28"/>
    </row>
    <row r="28023" spans="4:8" x14ac:dyDescent="0.25">
      <c r="D28023" s="28"/>
      <c r="F28023" s="28"/>
      <c r="H28023" s="28"/>
    </row>
    <row r="28024" spans="4:8" x14ac:dyDescent="0.25">
      <c r="D28024" s="28"/>
      <c r="F28024" s="28"/>
      <c r="H28024" s="28"/>
    </row>
    <row r="28025" spans="4:8" x14ac:dyDescent="0.25">
      <c r="D28025" s="28"/>
      <c r="F28025" s="28"/>
      <c r="H28025" s="28"/>
    </row>
    <row r="28026" spans="4:8" x14ac:dyDescent="0.25">
      <c r="D28026" s="28"/>
      <c r="F28026" s="28"/>
      <c r="H28026" s="28"/>
    </row>
    <row r="28027" spans="4:8" x14ac:dyDescent="0.25">
      <c r="D28027" s="28"/>
      <c r="F28027" s="28"/>
      <c r="H28027" s="28"/>
    </row>
    <row r="28028" spans="4:8" x14ac:dyDescent="0.25">
      <c r="D28028" s="28"/>
      <c r="F28028" s="28"/>
      <c r="H28028" s="28"/>
    </row>
    <row r="28029" spans="4:8" x14ac:dyDescent="0.25">
      <c r="D28029" s="28"/>
      <c r="F28029" s="28"/>
      <c r="H28029" s="28"/>
    </row>
    <row r="28030" spans="4:8" x14ac:dyDescent="0.25">
      <c r="D28030" s="28"/>
      <c r="F28030" s="28"/>
      <c r="H28030" s="28"/>
    </row>
    <row r="28031" spans="4:8" x14ac:dyDescent="0.25">
      <c r="D28031" s="28"/>
      <c r="F28031" s="28"/>
      <c r="H28031" s="28"/>
    </row>
    <row r="28032" spans="4:8" x14ac:dyDescent="0.25">
      <c r="D28032" s="28"/>
      <c r="F28032" s="28"/>
      <c r="H28032" s="28"/>
    </row>
    <row r="28033" spans="4:8" x14ac:dyDescent="0.25">
      <c r="D28033" s="28"/>
      <c r="F28033" s="28"/>
      <c r="H28033" s="28"/>
    </row>
    <row r="28034" spans="4:8" x14ac:dyDescent="0.25">
      <c r="D28034" s="28"/>
      <c r="F28034" s="28"/>
      <c r="H28034" s="28"/>
    </row>
    <row r="28035" spans="4:8" x14ac:dyDescent="0.25">
      <c r="D28035" s="28"/>
      <c r="F28035" s="28"/>
      <c r="H28035" s="28"/>
    </row>
    <row r="28036" spans="4:8" x14ac:dyDescent="0.25">
      <c r="D28036" s="28"/>
      <c r="F28036" s="28"/>
      <c r="H28036" s="28"/>
    </row>
    <row r="28037" spans="4:8" x14ac:dyDescent="0.25">
      <c r="D28037" s="28"/>
      <c r="F28037" s="28"/>
      <c r="H28037" s="28"/>
    </row>
    <row r="28038" spans="4:8" x14ac:dyDescent="0.25">
      <c r="D28038" s="28"/>
      <c r="F28038" s="28"/>
      <c r="H28038" s="28"/>
    </row>
    <row r="28039" spans="4:8" x14ac:dyDescent="0.25">
      <c r="D28039" s="28"/>
      <c r="F28039" s="28"/>
      <c r="H28039" s="28"/>
    </row>
    <row r="28040" spans="4:8" x14ac:dyDescent="0.25">
      <c r="D28040" s="28"/>
      <c r="F28040" s="28"/>
      <c r="H28040" s="28"/>
    </row>
    <row r="28041" spans="4:8" x14ac:dyDescent="0.25">
      <c r="D28041" s="28"/>
      <c r="F28041" s="28"/>
      <c r="H28041" s="28"/>
    </row>
    <row r="28042" spans="4:8" x14ac:dyDescent="0.25">
      <c r="D28042" s="28"/>
      <c r="F28042" s="28"/>
      <c r="H28042" s="28"/>
    </row>
    <row r="28043" spans="4:8" x14ac:dyDescent="0.25">
      <c r="D28043" s="28"/>
      <c r="F28043" s="28"/>
      <c r="H28043" s="28"/>
    </row>
    <row r="28044" spans="4:8" x14ac:dyDescent="0.25">
      <c r="D28044" s="28"/>
      <c r="F28044" s="28"/>
      <c r="H28044" s="28"/>
    </row>
    <row r="28045" spans="4:8" x14ac:dyDescent="0.25">
      <c r="D28045" s="28"/>
      <c r="F28045" s="28"/>
      <c r="H28045" s="28"/>
    </row>
    <row r="28046" spans="4:8" x14ac:dyDescent="0.25">
      <c r="D28046" s="28"/>
      <c r="F28046" s="28"/>
      <c r="H28046" s="28"/>
    </row>
    <row r="28047" spans="4:8" x14ac:dyDescent="0.25">
      <c r="D28047" s="28"/>
      <c r="F28047" s="28"/>
      <c r="H28047" s="28"/>
    </row>
    <row r="28048" spans="4:8" x14ac:dyDescent="0.25">
      <c r="D28048" s="28"/>
      <c r="F28048" s="28"/>
      <c r="H28048" s="28"/>
    </row>
    <row r="28049" spans="4:8" x14ac:dyDescent="0.25">
      <c r="D28049" s="28"/>
      <c r="F28049" s="28"/>
      <c r="H28049" s="28"/>
    </row>
    <row r="28050" spans="4:8" x14ac:dyDescent="0.25">
      <c r="D28050" s="28"/>
      <c r="F28050" s="28"/>
      <c r="H28050" s="28"/>
    </row>
    <row r="28051" spans="4:8" x14ac:dyDescent="0.25">
      <c r="D28051" s="28"/>
      <c r="F28051" s="28"/>
      <c r="H28051" s="28"/>
    </row>
    <row r="28052" spans="4:8" x14ac:dyDescent="0.25">
      <c r="D28052" s="28"/>
      <c r="F28052" s="28"/>
      <c r="H28052" s="28"/>
    </row>
    <row r="28053" spans="4:8" x14ac:dyDescent="0.25">
      <c r="D28053" s="28"/>
      <c r="F28053" s="28"/>
      <c r="H28053" s="28"/>
    </row>
    <row r="28054" spans="4:8" x14ac:dyDescent="0.25">
      <c r="D28054" s="28"/>
      <c r="F28054" s="28"/>
      <c r="H28054" s="28"/>
    </row>
    <row r="28055" spans="4:8" x14ac:dyDescent="0.25">
      <c r="D28055" s="28"/>
      <c r="F28055" s="28"/>
      <c r="H28055" s="28"/>
    </row>
    <row r="28056" spans="4:8" x14ac:dyDescent="0.25">
      <c r="D28056" s="28"/>
      <c r="F28056" s="28"/>
      <c r="H28056" s="28"/>
    </row>
    <row r="28057" spans="4:8" x14ac:dyDescent="0.25">
      <c r="D28057" s="28"/>
      <c r="F28057" s="28"/>
      <c r="H28057" s="28"/>
    </row>
    <row r="28058" spans="4:8" x14ac:dyDescent="0.25">
      <c r="D28058" s="28"/>
      <c r="F28058" s="28"/>
      <c r="H28058" s="28"/>
    </row>
    <row r="28059" spans="4:8" x14ac:dyDescent="0.25">
      <c r="D28059" s="28"/>
      <c r="F28059" s="28"/>
      <c r="H28059" s="28"/>
    </row>
    <row r="28060" spans="4:8" x14ac:dyDescent="0.25">
      <c r="D28060" s="28"/>
      <c r="F28060" s="28"/>
      <c r="H28060" s="28"/>
    </row>
    <row r="28061" spans="4:8" x14ac:dyDescent="0.25">
      <c r="D28061" s="28"/>
      <c r="F28061" s="28"/>
      <c r="H28061" s="28"/>
    </row>
    <row r="28062" spans="4:8" x14ac:dyDescent="0.25">
      <c r="D28062" s="28"/>
      <c r="F28062" s="28"/>
      <c r="H28062" s="28"/>
    </row>
    <row r="28063" spans="4:8" x14ac:dyDescent="0.25">
      <c r="D28063" s="28"/>
      <c r="F28063" s="28"/>
      <c r="H28063" s="28"/>
    </row>
    <row r="28064" spans="4:8" x14ac:dyDescent="0.25">
      <c r="D28064" s="28"/>
      <c r="F28064" s="28"/>
      <c r="H28064" s="28"/>
    </row>
    <row r="28065" spans="4:8" x14ac:dyDescent="0.25">
      <c r="D28065" s="28"/>
      <c r="F28065" s="28"/>
      <c r="H28065" s="28"/>
    </row>
    <row r="28066" spans="4:8" x14ac:dyDescent="0.25">
      <c r="D28066" s="28"/>
      <c r="F28066" s="28"/>
      <c r="H28066" s="28"/>
    </row>
    <row r="28067" spans="4:8" x14ac:dyDescent="0.25">
      <c r="D28067" s="28"/>
      <c r="F28067" s="28"/>
      <c r="H28067" s="28"/>
    </row>
    <row r="28068" spans="4:8" x14ac:dyDescent="0.25">
      <c r="D28068" s="28"/>
      <c r="F28068" s="28"/>
      <c r="H28068" s="28"/>
    </row>
    <row r="28069" spans="4:8" x14ac:dyDescent="0.25">
      <c r="D28069" s="28"/>
      <c r="F28069" s="28"/>
      <c r="H28069" s="28"/>
    </row>
    <row r="28070" spans="4:8" x14ac:dyDescent="0.25">
      <c r="D28070" s="28"/>
      <c r="F28070" s="28"/>
      <c r="H28070" s="28"/>
    </row>
    <row r="28071" spans="4:8" x14ac:dyDescent="0.25">
      <c r="D28071" s="28"/>
      <c r="F28071" s="28"/>
      <c r="H28071" s="28"/>
    </row>
    <row r="28072" spans="4:8" x14ac:dyDescent="0.25">
      <c r="D28072" s="28"/>
      <c r="F28072" s="28"/>
      <c r="H28072" s="28"/>
    </row>
    <row r="28073" spans="4:8" x14ac:dyDescent="0.25">
      <c r="D28073" s="28"/>
      <c r="F28073" s="28"/>
      <c r="H28073" s="28"/>
    </row>
    <row r="28074" spans="4:8" x14ac:dyDescent="0.25">
      <c r="D28074" s="28"/>
      <c r="F28074" s="28"/>
      <c r="H28074" s="28"/>
    </row>
    <row r="28075" spans="4:8" x14ac:dyDescent="0.25">
      <c r="D28075" s="28"/>
      <c r="F28075" s="28"/>
      <c r="H28075" s="28"/>
    </row>
    <row r="28076" spans="4:8" x14ac:dyDescent="0.25">
      <c r="D28076" s="28"/>
      <c r="F28076" s="28"/>
      <c r="H28076" s="28"/>
    </row>
    <row r="28077" spans="4:8" x14ac:dyDescent="0.25">
      <c r="D28077" s="28"/>
      <c r="F28077" s="28"/>
      <c r="H28077" s="28"/>
    </row>
    <row r="28078" spans="4:8" x14ac:dyDescent="0.25">
      <c r="D28078" s="28"/>
      <c r="F28078" s="28"/>
      <c r="H28078" s="28"/>
    </row>
    <row r="28079" spans="4:8" x14ac:dyDescent="0.25">
      <c r="D28079" s="28"/>
      <c r="F28079" s="28"/>
      <c r="H28079" s="28"/>
    </row>
    <row r="28080" spans="4:8" x14ac:dyDescent="0.25">
      <c r="D28080" s="28"/>
      <c r="F28080" s="28"/>
      <c r="H28080" s="28"/>
    </row>
    <row r="28081" spans="4:8" x14ac:dyDescent="0.25">
      <c r="D28081" s="28"/>
      <c r="F28081" s="28"/>
      <c r="H28081" s="28"/>
    </row>
    <row r="28082" spans="4:8" x14ac:dyDescent="0.25">
      <c r="D28082" s="28"/>
      <c r="F28082" s="28"/>
      <c r="H28082" s="28"/>
    </row>
    <row r="28083" spans="4:8" x14ac:dyDescent="0.25">
      <c r="D28083" s="28"/>
      <c r="F28083" s="28"/>
      <c r="H28083" s="28"/>
    </row>
    <row r="28084" spans="4:8" x14ac:dyDescent="0.25">
      <c r="D28084" s="28"/>
      <c r="F28084" s="28"/>
      <c r="H28084" s="28"/>
    </row>
    <row r="28085" spans="4:8" x14ac:dyDescent="0.25">
      <c r="D28085" s="28"/>
      <c r="F28085" s="28"/>
      <c r="H28085" s="28"/>
    </row>
    <row r="28086" spans="4:8" x14ac:dyDescent="0.25">
      <c r="D28086" s="28"/>
      <c r="F28086" s="28"/>
      <c r="H28086" s="28"/>
    </row>
    <row r="28087" spans="4:8" x14ac:dyDescent="0.25">
      <c r="D28087" s="28"/>
      <c r="F28087" s="28"/>
      <c r="H28087" s="28"/>
    </row>
    <row r="28088" spans="4:8" x14ac:dyDescent="0.25">
      <c r="D28088" s="28"/>
      <c r="F28088" s="28"/>
      <c r="H28088" s="28"/>
    </row>
    <row r="28089" spans="4:8" x14ac:dyDescent="0.25">
      <c r="D28089" s="28"/>
      <c r="F28089" s="28"/>
      <c r="H28089" s="28"/>
    </row>
    <row r="28090" spans="4:8" x14ac:dyDescent="0.25">
      <c r="D28090" s="28"/>
      <c r="F28090" s="28"/>
      <c r="H28090" s="28"/>
    </row>
    <row r="28091" spans="4:8" x14ac:dyDescent="0.25">
      <c r="D28091" s="28"/>
      <c r="F28091" s="28"/>
      <c r="H28091" s="28"/>
    </row>
    <row r="28092" spans="4:8" x14ac:dyDescent="0.25">
      <c r="D28092" s="28"/>
      <c r="F28092" s="28"/>
      <c r="H28092" s="28"/>
    </row>
    <row r="28093" spans="4:8" x14ac:dyDescent="0.25">
      <c r="D28093" s="28"/>
      <c r="F28093" s="28"/>
      <c r="H28093" s="28"/>
    </row>
    <row r="28094" spans="4:8" x14ac:dyDescent="0.25">
      <c r="D28094" s="28"/>
      <c r="F28094" s="28"/>
      <c r="H28094" s="28"/>
    </row>
    <row r="28095" spans="4:8" x14ac:dyDescent="0.25">
      <c r="D28095" s="28"/>
      <c r="F28095" s="28"/>
      <c r="H28095" s="28"/>
    </row>
    <row r="28096" spans="4:8" x14ac:dyDescent="0.25">
      <c r="D28096" s="28"/>
      <c r="F28096" s="28"/>
      <c r="H28096" s="28"/>
    </row>
    <row r="28097" spans="4:8" x14ac:dyDescent="0.25">
      <c r="D28097" s="28"/>
      <c r="F28097" s="28"/>
      <c r="H28097" s="28"/>
    </row>
    <row r="28098" spans="4:8" x14ac:dyDescent="0.25">
      <c r="D28098" s="28"/>
      <c r="F28098" s="28"/>
      <c r="H28098" s="28"/>
    </row>
    <row r="28099" spans="4:8" x14ac:dyDescent="0.25">
      <c r="D28099" s="28"/>
      <c r="F28099" s="28"/>
      <c r="H28099" s="28"/>
    </row>
    <row r="28100" spans="4:8" x14ac:dyDescent="0.25">
      <c r="D28100" s="28"/>
      <c r="F28100" s="28"/>
      <c r="H28100" s="28"/>
    </row>
    <row r="28101" spans="4:8" x14ac:dyDescent="0.25">
      <c r="D28101" s="28"/>
      <c r="F28101" s="28"/>
      <c r="H28101" s="28"/>
    </row>
    <row r="28102" spans="4:8" x14ac:dyDescent="0.25">
      <c r="D28102" s="28"/>
      <c r="F28102" s="28"/>
      <c r="H28102" s="28"/>
    </row>
    <row r="28103" spans="4:8" x14ac:dyDescent="0.25">
      <c r="D28103" s="28"/>
      <c r="F28103" s="28"/>
      <c r="H28103" s="28"/>
    </row>
    <row r="28104" spans="4:8" x14ac:dyDescent="0.25">
      <c r="D28104" s="28"/>
      <c r="F28104" s="28"/>
      <c r="H28104" s="28"/>
    </row>
    <row r="28105" spans="4:8" x14ac:dyDescent="0.25">
      <c r="D28105" s="28"/>
      <c r="F28105" s="28"/>
      <c r="H28105" s="28"/>
    </row>
    <row r="28106" spans="4:8" x14ac:dyDescent="0.25">
      <c r="D28106" s="28"/>
      <c r="F28106" s="28"/>
      <c r="H28106" s="28"/>
    </row>
    <row r="28107" spans="4:8" x14ac:dyDescent="0.25">
      <c r="D28107" s="28"/>
      <c r="F28107" s="28"/>
      <c r="H28107" s="28"/>
    </row>
    <row r="28108" spans="4:8" x14ac:dyDescent="0.25">
      <c r="D28108" s="28"/>
      <c r="F28108" s="28"/>
      <c r="H28108" s="28"/>
    </row>
    <row r="28109" spans="4:8" x14ac:dyDescent="0.25">
      <c r="D28109" s="28"/>
      <c r="F28109" s="28"/>
      <c r="H28109" s="28"/>
    </row>
    <row r="28110" spans="4:8" x14ac:dyDescent="0.25">
      <c r="D28110" s="28"/>
      <c r="F28110" s="28"/>
      <c r="H28110" s="28"/>
    </row>
    <row r="28111" spans="4:8" x14ac:dyDescent="0.25">
      <c r="D28111" s="28"/>
      <c r="F28111" s="28"/>
      <c r="H28111" s="28"/>
    </row>
    <row r="28112" spans="4:8" x14ac:dyDescent="0.25">
      <c r="D28112" s="28"/>
      <c r="F28112" s="28"/>
      <c r="H28112" s="28"/>
    </row>
    <row r="28113" spans="4:8" x14ac:dyDescent="0.25">
      <c r="D28113" s="28"/>
      <c r="F28113" s="28"/>
      <c r="H28113" s="28"/>
    </row>
    <row r="28114" spans="4:8" x14ac:dyDescent="0.25">
      <c r="D28114" s="28"/>
      <c r="F28114" s="28"/>
      <c r="H28114" s="28"/>
    </row>
    <row r="28115" spans="4:8" x14ac:dyDescent="0.25">
      <c r="D28115" s="28"/>
      <c r="F28115" s="28"/>
      <c r="H28115" s="28"/>
    </row>
    <row r="28116" spans="4:8" x14ac:dyDescent="0.25">
      <c r="D28116" s="28"/>
      <c r="F28116" s="28"/>
      <c r="H28116" s="28"/>
    </row>
    <row r="28117" spans="4:8" x14ac:dyDescent="0.25">
      <c r="D28117" s="28"/>
      <c r="F28117" s="28"/>
      <c r="H28117" s="28"/>
    </row>
    <row r="28118" spans="4:8" x14ac:dyDescent="0.25">
      <c r="D28118" s="28"/>
      <c r="F28118" s="28"/>
      <c r="H28118" s="28"/>
    </row>
    <row r="28119" spans="4:8" x14ac:dyDescent="0.25">
      <c r="D28119" s="28"/>
      <c r="F28119" s="28"/>
      <c r="H28119" s="28"/>
    </row>
    <row r="28120" spans="4:8" x14ac:dyDescent="0.25">
      <c r="D28120" s="28"/>
      <c r="F28120" s="28"/>
      <c r="H28120" s="28"/>
    </row>
    <row r="28121" spans="4:8" x14ac:dyDescent="0.25">
      <c r="D28121" s="28"/>
      <c r="F28121" s="28"/>
      <c r="H28121" s="28"/>
    </row>
    <row r="28122" spans="4:8" x14ac:dyDescent="0.25">
      <c r="D28122" s="28"/>
      <c r="F28122" s="28"/>
      <c r="H28122" s="28"/>
    </row>
    <row r="28123" spans="4:8" x14ac:dyDescent="0.25">
      <c r="D28123" s="28"/>
      <c r="F28123" s="28"/>
      <c r="H28123" s="28"/>
    </row>
    <row r="28124" spans="4:8" x14ac:dyDescent="0.25">
      <c r="D28124" s="28"/>
      <c r="F28124" s="28"/>
      <c r="H28124" s="28"/>
    </row>
    <row r="28125" spans="4:8" x14ac:dyDescent="0.25">
      <c r="D28125" s="28"/>
      <c r="F28125" s="28"/>
      <c r="H28125" s="28"/>
    </row>
    <row r="28126" spans="4:8" x14ac:dyDescent="0.25">
      <c r="D28126" s="28"/>
      <c r="F28126" s="28"/>
      <c r="H28126" s="28"/>
    </row>
    <row r="28127" spans="4:8" x14ac:dyDescent="0.25">
      <c r="D28127" s="28"/>
      <c r="F28127" s="28"/>
      <c r="H28127" s="28"/>
    </row>
    <row r="28128" spans="4:8" x14ac:dyDescent="0.25">
      <c r="D28128" s="28"/>
      <c r="F28128" s="28"/>
      <c r="H28128" s="28"/>
    </row>
    <row r="28129" spans="4:8" x14ac:dyDescent="0.25">
      <c r="D28129" s="28"/>
      <c r="F28129" s="28"/>
      <c r="H28129" s="28"/>
    </row>
    <row r="28130" spans="4:8" x14ac:dyDescent="0.25">
      <c r="D28130" s="28"/>
      <c r="F28130" s="28"/>
      <c r="H28130" s="28"/>
    </row>
    <row r="28131" spans="4:8" x14ac:dyDescent="0.25">
      <c r="D28131" s="28"/>
      <c r="F28131" s="28"/>
      <c r="H28131" s="28"/>
    </row>
    <row r="28132" spans="4:8" x14ac:dyDescent="0.25">
      <c r="D28132" s="28"/>
      <c r="F28132" s="28"/>
      <c r="H28132" s="28"/>
    </row>
    <row r="28133" spans="4:8" x14ac:dyDescent="0.25">
      <c r="D28133" s="28"/>
      <c r="F28133" s="28"/>
      <c r="H28133" s="28"/>
    </row>
    <row r="28134" spans="4:8" x14ac:dyDescent="0.25">
      <c r="D28134" s="28"/>
      <c r="F28134" s="28"/>
      <c r="H28134" s="28"/>
    </row>
    <row r="28135" spans="4:8" x14ac:dyDescent="0.25">
      <c r="D28135" s="28"/>
      <c r="F28135" s="28"/>
      <c r="H28135" s="28"/>
    </row>
    <row r="28136" spans="4:8" x14ac:dyDescent="0.25">
      <c r="D28136" s="28"/>
      <c r="F28136" s="28"/>
      <c r="H28136" s="28"/>
    </row>
    <row r="28137" spans="4:8" x14ac:dyDescent="0.25">
      <c r="D28137" s="28"/>
      <c r="F28137" s="28"/>
      <c r="H28137" s="28"/>
    </row>
    <row r="28138" spans="4:8" x14ac:dyDescent="0.25">
      <c r="D28138" s="28"/>
      <c r="F28138" s="28"/>
      <c r="H28138" s="28"/>
    </row>
    <row r="28139" spans="4:8" x14ac:dyDescent="0.25">
      <c r="D28139" s="28"/>
      <c r="F28139" s="28"/>
      <c r="H28139" s="28"/>
    </row>
    <row r="28140" spans="4:8" x14ac:dyDescent="0.25">
      <c r="D28140" s="28"/>
      <c r="F28140" s="28"/>
      <c r="H28140" s="28"/>
    </row>
    <row r="28141" spans="4:8" x14ac:dyDescent="0.25">
      <c r="D28141" s="28"/>
      <c r="F28141" s="28"/>
      <c r="H28141" s="28"/>
    </row>
    <row r="28142" spans="4:8" x14ac:dyDescent="0.25">
      <c r="D28142" s="28"/>
      <c r="F28142" s="28"/>
      <c r="H28142" s="28"/>
    </row>
    <row r="28143" spans="4:8" x14ac:dyDescent="0.25">
      <c r="D28143" s="28"/>
      <c r="F28143" s="28"/>
      <c r="H28143" s="28"/>
    </row>
    <row r="28144" spans="4:8" x14ac:dyDescent="0.25">
      <c r="D28144" s="28"/>
      <c r="F28144" s="28"/>
      <c r="H28144" s="28"/>
    </row>
    <row r="28145" spans="4:8" x14ac:dyDescent="0.25">
      <c r="D28145" s="28"/>
      <c r="F28145" s="28"/>
      <c r="H28145" s="28"/>
    </row>
    <row r="28146" spans="4:8" x14ac:dyDescent="0.25">
      <c r="D28146" s="28"/>
      <c r="F28146" s="28"/>
      <c r="H28146" s="28"/>
    </row>
    <row r="28147" spans="4:8" x14ac:dyDescent="0.25">
      <c r="D28147" s="28"/>
      <c r="F28147" s="28"/>
      <c r="H28147" s="28"/>
    </row>
    <row r="28148" spans="4:8" x14ac:dyDescent="0.25">
      <c r="D28148" s="28"/>
      <c r="F28148" s="28"/>
      <c r="H28148" s="28"/>
    </row>
    <row r="28149" spans="4:8" x14ac:dyDescent="0.25">
      <c r="D28149" s="28"/>
      <c r="F28149" s="28"/>
      <c r="H28149" s="28"/>
    </row>
    <row r="28150" spans="4:8" x14ac:dyDescent="0.25">
      <c r="D28150" s="28"/>
      <c r="F28150" s="28"/>
      <c r="H28150" s="28"/>
    </row>
    <row r="28151" spans="4:8" x14ac:dyDescent="0.25">
      <c r="D28151" s="28"/>
      <c r="F28151" s="28"/>
      <c r="H28151" s="28"/>
    </row>
    <row r="28152" spans="4:8" x14ac:dyDescent="0.25">
      <c r="D28152" s="28"/>
      <c r="F28152" s="28"/>
      <c r="H28152" s="28"/>
    </row>
    <row r="28153" spans="4:8" x14ac:dyDescent="0.25">
      <c r="D28153" s="28"/>
      <c r="F28153" s="28"/>
      <c r="H28153" s="28"/>
    </row>
    <row r="28154" spans="4:8" x14ac:dyDescent="0.25">
      <c r="D28154" s="28"/>
      <c r="F28154" s="28"/>
      <c r="H28154" s="28"/>
    </row>
    <row r="28155" spans="4:8" x14ac:dyDescent="0.25">
      <c r="D28155" s="28"/>
      <c r="F28155" s="28"/>
      <c r="H28155" s="28"/>
    </row>
    <row r="28156" spans="4:8" x14ac:dyDescent="0.25">
      <c r="D28156" s="28"/>
      <c r="F28156" s="28"/>
      <c r="H28156" s="28"/>
    </row>
    <row r="28157" spans="4:8" x14ac:dyDescent="0.25">
      <c r="D28157" s="28"/>
      <c r="F28157" s="28"/>
      <c r="H28157" s="28"/>
    </row>
    <row r="28158" spans="4:8" x14ac:dyDescent="0.25">
      <c r="D28158" s="28"/>
      <c r="F28158" s="28"/>
      <c r="H28158" s="28"/>
    </row>
    <row r="28159" spans="4:8" x14ac:dyDescent="0.25">
      <c r="D28159" s="28"/>
      <c r="F28159" s="28"/>
      <c r="H28159" s="28"/>
    </row>
    <row r="28160" spans="4:8" x14ac:dyDescent="0.25">
      <c r="D28160" s="28"/>
      <c r="F28160" s="28"/>
      <c r="H28160" s="28"/>
    </row>
    <row r="28161" spans="4:8" x14ac:dyDescent="0.25">
      <c r="D28161" s="28"/>
      <c r="F28161" s="28"/>
      <c r="H28161" s="28"/>
    </row>
    <row r="28162" spans="4:8" x14ac:dyDescent="0.25">
      <c r="D28162" s="28"/>
      <c r="F28162" s="28"/>
      <c r="H28162" s="28"/>
    </row>
    <row r="28163" spans="4:8" x14ac:dyDescent="0.25">
      <c r="D28163" s="28"/>
      <c r="F28163" s="28"/>
      <c r="H28163" s="28"/>
    </row>
    <row r="28164" spans="4:8" x14ac:dyDescent="0.25">
      <c r="D28164" s="28"/>
      <c r="F28164" s="28"/>
      <c r="H28164" s="28"/>
    </row>
    <row r="28165" spans="4:8" x14ac:dyDescent="0.25">
      <c r="D28165" s="28"/>
      <c r="F28165" s="28"/>
      <c r="H28165" s="28"/>
    </row>
    <row r="28166" spans="4:8" x14ac:dyDescent="0.25">
      <c r="D28166" s="28"/>
      <c r="F28166" s="28"/>
      <c r="H28166" s="28"/>
    </row>
    <row r="28167" spans="4:8" x14ac:dyDescent="0.25">
      <c r="D28167" s="28"/>
      <c r="F28167" s="28"/>
      <c r="H28167" s="28"/>
    </row>
    <row r="28168" spans="4:8" x14ac:dyDescent="0.25">
      <c r="D28168" s="28"/>
      <c r="F28168" s="28"/>
      <c r="H28168" s="28"/>
    </row>
    <row r="28169" spans="4:8" x14ac:dyDescent="0.25">
      <c r="D28169" s="28"/>
      <c r="F28169" s="28"/>
      <c r="H28169" s="28"/>
    </row>
    <row r="28170" spans="4:8" x14ac:dyDescent="0.25">
      <c r="D28170" s="28"/>
      <c r="F28170" s="28"/>
      <c r="H28170" s="28"/>
    </row>
    <row r="28171" spans="4:8" x14ac:dyDescent="0.25">
      <c r="D28171" s="28"/>
      <c r="F28171" s="28"/>
      <c r="H28171" s="28"/>
    </row>
    <row r="28172" spans="4:8" x14ac:dyDescent="0.25">
      <c r="D28172" s="28"/>
      <c r="F28172" s="28"/>
      <c r="H28172" s="28"/>
    </row>
    <row r="28173" spans="4:8" x14ac:dyDescent="0.25">
      <c r="D28173" s="28"/>
      <c r="F28173" s="28"/>
      <c r="H28173" s="28"/>
    </row>
    <row r="28174" spans="4:8" x14ac:dyDescent="0.25">
      <c r="D28174" s="28"/>
      <c r="F28174" s="28"/>
      <c r="H28174" s="28"/>
    </row>
    <row r="28175" spans="4:8" x14ac:dyDescent="0.25">
      <c r="D28175" s="28"/>
      <c r="F28175" s="28"/>
      <c r="H28175" s="28"/>
    </row>
    <row r="28176" spans="4:8" x14ac:dyDescent="0.25">
      <c r="D28176" s="28"/>
      <c r="F28176" s="28"/>
      <c r="H28176" s="28"/>
    </row>
    <row r="28177" spans="4:8" x14ac:dyDescent="0.25">
      <c r="D28177" s="28"/>
      <c r="F28177" s="28"/>
      <c r="H28177" s="28"/>
    </row>
    <row r="28178" spans="4:8" x14ac:dyDescent="0.25">
      <c r="D28178" s="28"/>
      <c r="F28178" s="28"/>
      <c r="H28178" s="28"/>
    </row>
    <row r="28179" spans="4:8" x14ac:dyDescent="0.25">
      <c r="D28179" s="28"/>
      <c r="F28179" s="28"/>
      <c r="H28179" s="28"/>
    </row>
    <row r="28180" spans="4:8" x14ac:dyDescent="0.25">
      <c r="D28180" s="28"/>
      <c r="F28180" s="28"/>
      <c r="H28180" s="28"/>
    </row>
    <row r="28181" spans="4:8" x14ac:dyDescent="0.25">
      <c r="D28181" s="28"/>
      <c r="F28181" s="28"/>
      <c r="H28181" s="28"/>
    </row>
    <row r="28182" spans="4:8" x14ac:dyDescent="0.25">
      <c r="D28182" s="28"/>
      <c r="F28182" s="28"/>
      <c r="H28182" s="28"/>
    </row>
    <row r="28183" spans="4:8" x14ac:dyDescent="0.25">
      <c r="D28183" s="28"/>
      <c r="F28183" s="28"/>
      <c r="H28183" s="28"/>
    </row>
    <row r="28184" spans="4:8" x14ac:dyDescent="0.25">
      <c r="D28184" s="28"/>
      <c r="F28184" s="28"/>
      <c r="H28184" s="28"/>
    </row>
    <row r="28185" spans="4:8" x14ac:dyDescent="0.25">
      <c r="D28185" s="28"/>
      <c r="F28185" s="28"/>
      <c r="H28185" s="28"/>
    </row>
    <row r="28186" spans="4:8" x14ac:dyDescent="0.25">
      <c r="D28186" s="28"/>
      <c r="F28186" s="28"/>
      <c r="H28186" s="28"/>
    </row>
    <row r="28187" spans="4:8" x14ac:dyDescent="0.25">
      <c r="D28187" s="28"/>
      <c r="F28187" s="28"/>
      <c r="H28187" s="28"/>
    </row>
    <row r="28188" spans="4:8" x14ac:dyDescent="0.25">
      <c r="D28188" s="28"/>
      <c r="F28188" s="28"/>
      <c r="H28188" s="28"/>
    </row>
    <row r="28189" spans="4:8" x14ac:dyDescent="0.25">
      <c r="D28189" s="28"/>
      <c r="F28189" s="28"/>
      <c r="H28189" s="28"/>
    </row>
    <row r="28190" spans="4:8" x14ac:dyDescent="0.25">
      <c r="D28190" s="28"/>
      <c r="F28190" s="28"/>
      <c r="H28190" s="28"/>
    </row>
    <row r="28191" spans="4:8" x14ac:dyDescent="0.25">
      <c r="D28191" s="28"/>
      <c r="F28191" s="28"/>
      <c r="H28191" s="28"/>
    </row>
    <row r="28192" spans="4:8" x14ac:dyDescent="0.25">
      <c r="D28192" s="28"/>
      <c r="F28192" s="28"/>
      <c r="H28192" s="28"/>
    </row>
    <row r="28193" spans="4:8" x14ac:dyDescent="0.25">
      <c r="D28193" s="28"/>
      <c r="F28193" s="28"/>
      <c r="H28193" s="28"/>
    </row>
    <row r="28194" spans="4:8" x14ac:dyDescent="0.25">
      <c r="D28194" s="28"/>
      <c r="F28194" s="28"/>
      <c r="H28194" s="28"/>
    </row>
    <row r="28195" spans="4:8" x14ac:dyDescent="0.25">
      <c r="D28195" s="28"/>
      <c r="F28195" s="28"/>
      <c r="H28195" s="28"/>
    </row>
    <row r="28196" spans="4:8" x14ac:dyDescent="0.25">
      <c r="D28196" s="28"/>
      <c r="F28196" s="28"/>
      <c r="H28196" s="28"/>
    </row>
    <row r="28197" spans="4:8" x14ac:dyDescent="0.25">
      <c r="D28197" s="28"/>
      <c r="F28197" s="28"/>
      <c r="H28197" s="28"/>
    </row>
    <row r="28198" spans="4:8" x14ac:dyDescent="0.25">
      <c r="D28198" s="28"/>
      <c r="F28198" s="28"/>
      <c r="H28198" s="28"/>
    </row>
    <row r="28199" spans="4:8" x14ac:dyDescent="0.25">
      <c r="D28199" s="28"/>
      <c r="F28199" s="28"/>
      <c r="H28199" s="28"/>
    </row>
    <row r="28200" spans="4:8" x14ac:dyDescent="0.25">
      <c r="D28200" s="28"/>
      <c r="F28200" s="28"/>
      <c r="H28200" s="28"/>
    </row>
    <row r="28201" spans="4:8" x14ac:dyDescent="0.25">
      <c r="D28201" s="28"/>
      <c r="F28201" s="28"/>
      <c r="H28201" s="28"/>
    </row>
    <row r="28202" spans="4:8" x14ac:dyDescent="0.25">
      <c r="D28202" s="28"/>
      <c r="F28202" s="28"/>
      <c r="H28202" s="28"/>
    </row>
    <row r="28203" spans="4:8" x14ac:dyDescent="0.25">
      <c r="D28203" s="28"/>
      <c r="F28203" s="28"/>
      <c r="H28203" s="28"/>
    </row>
    <row r="28204" spans="4:8" x14ac:dyDescent="0.25">
      <c r="D28204" s="28"/>
      <c r="F28204" s="28"/>
      <c r="H28204" s="28"/>
    </row>
    <row r="28205" spans="4:8" x14ac:dyDescent="0.25">
      <c r="D28205" s="28"/>
      <c r="F28205" s="28"/>
      <c r="H28205" s="28"/>
    </row>
    <row r="28206" spans="4:8" x14ac:dyDescent="0.25">
      <c r="D28206" s="28"/>
      <c r="F28206" s="28"/>
      <c r="H28206" s="28"/>
    </row>
    <row r="28207" spans="4:8" x14ac:dyDescent="0.25">
      <c r="D28207" s="28"/>
      <c r="F28207" s="28"/>
      <c r="H28207" s="28"/>
    </row>
    <row r="28208" spans="4:8" x14ac:dyDescent="0.25">
      <c r="D28208" s="28"/>
      <c r="F28208" s="28"/>
      <c r="H28208" s="28"/>
    </row>
    <row r="28209" spans="4:8" x14ac:dyDescent="0.25">
      <c r="D28209" s="28"/>
      <c r="F28209" s="28"/>
      <c r="H28209" s="28"/>
    </row>
    <row r="28210" spans="4:8" x14ac:dyDescent="0.25">
      <c r="D28210" s="28"/>
      <c r="F28210" s="28"/>
      <c r="H28210" s="28"/>
    </row>
    <row r="28211" spans="4:8" x14ac:dyDescent="0.25">
      <c r="D28211" s="28"/>
      <c r="F28211" s="28"/>
      <c r="H28211" s="28"/>
    </row>
    <row r="28212" spans="4:8" x14ac:dyDescent="0.25">
      <c r="D28212" s="28"/>
      <c r="F28212" s="28"/>
      <c r="H28212" s="28"/>
    </row>
    <row r="28213" spans="4:8" x14ac:dyDescent="0.25">
      <c r="D28213" s="28"/>
      <c r="F28213" s="28"/>
      <c r="H28213" s="28"/>
    </row>
    <row r="28214" spans="4:8" x14ac:dyDescent="0.25">
      <c r="D28214" s="28"/>
      <c r="F28214" s="28"/>
      <c r="H28214" s="28"/>
    </row>
    <row r="28215" spans="4:8" x14ac:dyDescent="0.25">
      <c r="D28215" s="28"/>
      <c r="F28215" s="28"/>
      <c r="H28215" s="28"/>
    </row>
    <row r="28216" spans="4:8" x14ac:dyDescent="0.25">
      <c r="D28216" s="28"/>
      <c r="F28216" s="28"/>
      <c r="H28216" s="28"/>
    </row>
    <row r="28217" spans="4:8" x14ac:dyDescent="0.25">
      <c r="D28217" s="28"/>
      <c r="F28217" s="28"/>
      <c r="H28217" s="28"/>
    </row>
    <row r="28218" spans="4:8" x14ac:dyDescent="0.25">
      <c r="D28218" s="28"/>
      <c r="F28218" s="28"/>
      <c r="H28218" s="28"/>
    </row>
    <row r="28219" spans="4:8" x14ac:dyDescent="0.25">
      <c r="D28219" s="28"/>
      <c r="F28219" s="28"/>
      <c r="H28219" s="28"/>
    </row>
    <row r="28220" spans="4:8" x14ac:dyDescent="0.25">
      <c r="D28220" s="28"/>
      <c r="F28220" s="28"/>
      <c r="H28220" s="28"/>
    </row>
    <row r="28221" spans="4:8" x14ac:dyDescent="0.25">
      <c r="D28221" s="28"/>
      <c r="F28221" s="28"/>
      <c r="H28221" s="28"/>
    </row>
    <row r="28222" spans="4:8" x14ac:dyDescent="0.25">
      <c r="D28222" s="28"/>
      <c r="F28222" s="28"/>
      <c r="H28222" s="28"/>
    </row>
    <row r="28223" spans="4:8" x14ac:dyDescent="0.25">
      <c r="D28223" s="28"/>
      <c r="F28223" s="28"/>
      <c r="H28223" s="28"/>
    </row>
    <row r="28224" spans="4:8" x14ac:dyDescent="0.25">
      <c r="D28224" s="28"/>
      <c r="F28224" s="28"/>
      <c r="H28224" s="28"/>
    </row>
    <row r="28225" spans="4:8" x14ac:dyDescent="0.25">
      <c r="D28225" s="28"/>
      <c r="F28225" s="28"/>
      <c r="H28225" s="28"/>
    </row>
    <row r="28226" spans="4:8" x14ac:dyDescent="0.25">
      <c r="D28226" s="28"/>
      <c r="F28226" s="28"/>
      <c r="H28226" s="28"/>
    </row>
    <row r="28227" spans="4:8" x14ac:dyDescent="0.25">
      <c r="D28227" s="28"/>
      <c r="F28227" s="28"/>
      <c r="H28227" s="28"/>
    </row>
    <row r="28228" spans="4:8" x14ac:dyDescent="0.25">
      <c r="D28228" s="28"/>
      <c r="F28228" s="28"/>
      <c r="H28228" s="28"/>
    </row>
    <row r="28229" spans="4:8" x14ac:dyDescent="0.25">
      <c r="D28229" s="28"/>
      <c r="F28229" s="28"/>
      <c r="H28229" s="28"/>
    </row>
    <row r="28230" spans="4:8" x14ac:dyDescent="0.25">
      <c r="D28230" s="28"/>
      <c r="F28230" s="28"/>
      <c r="H28230" s="28"/>
    </row>
    <row r="28231" spans="4:8" x14ac:dyDescent="0.25">
      <c r="D28231" s="28"/>
      <c r="F28231" s="28"/>
      <c r="H28231" s="28"/>
    </row>
    <row r="28232" spans="4:8" x14ac:dyDescent="0.25">
      <c r="D28232" s="28"/>
      <c r="F28232" s="28"/>
      <c r="H28232" s="28"/>
    </row>
    <row r="28233" spans="4:8" x14ac:dyDescent="0.25">
      <c r="D28233" s="28"/>
      <c r="F28233" s="28"/>
      <c r="H28233" s="28"/>
    </row>
    <row r="28234" spans="4:8" x14ac:dyDescent="0.25">
      <c r="D28234" s="28"/>
      <c r="F28234" s="28"/>
      <c r="H28234" s="28"/>
    </row>
    <row r="28235" spans="4:8" x14ac:dyDescent="0.25">
      <c r="D28235" s="28"/>
      <c r="F28235" s="28"/>
      <c r="H28235" s="28"/>
    </row>
    <row r="28236" spans="4:8" x14ac:dyDescent="0.25">
      <c r="D28236" s="28"/>
      <c r="F28236" s="28"/>
      <c r="H28236" s="28"/>
    </row>
    <row r="28237" spans="4:8" x14ac:dyDescent="0.25">
      <c r="D28237" s="28"/>
      <c r="F28237" s="28"/>
      <c r="H28237" s="28"/>
    </row>
    <row r="28238" spans="4:8" x14ac:dyDescent="0.25">
      <c r="D28238" s="28"/>
      <c r="F28238" s="28"/>
      <c r="H28238" s="28"/>
    </row>
    <row r="28239" spans="4:8" x14ac:dyDescent="0.25">
      <c r="D28239" s="28"/>
      <c r="F28239" s="28"/>
      <c r="H28239" s="28"/>
    </row>
    <row r="28240" spans="4:8" x14ac:dyDescent="0.25">
      <c r="D28240" s="28"/>
      <c r="F28240" s="28"/>
      <c r="H28240" s="28"/>
    </row>
    <row r="28241" spans="4:8" x14ac:dyDescent="0.25">
      <c r="D28241" s="28"/>
      <c r="F28241" s="28"/>
      <c r="H28241" s="28"/>
    </row>
    <row r="28242" spans="4:8" x14ac:dyDescent="0.25">
      <c r="D28242" s="28"/>
      <c r="F28242" s="28"/>
      <c r="H28242" s="28"/>
    </row>
    <row r="28243" spans="4:8" x14ac:dyDescent="0.25">
      <c r="D28243" s="28"/>
      <c r="F28243" s="28"/>
      <c r="H28243" s="28"/>
    </row>
    <row r="28244" spans="4:8" x14ac:dyDescent="0.25">
      <c r="D28244" s="28"/>
      <c r="F28244" s="28"/>
      <c r="H28244" s="28"/>
    </row>
    <row r="28245" spans="4:8" x14ac:dyDescent="0.25">
      <c r="D28245" s="28"/>
      <c r="F28245" s="28"/>
      <c r="H28245" s="28"/>
    </row>
    <row r="28246" spans="4:8" x14ac:dyDescent="0.25">
      <c r="D28246" s="28"/>
      <c r="F28246" s="28"/>
      <c r="H28246" s="28"/>
    </row>
    <row r="28247" spans="4:8" x14ac:dyDescent="0.25">
      <c r="D28247" s="28"/>
      <c r="F28247" s="28"/>
      <c r="H28247" s="28"/>
    </row>
    <row r="28248" spans="4:8" x14ac:dyDescent="0.25">
      <c r="D28248" s="28"/>
      <c r="F28248" s="28"/>
      <c r="H28248" s="28"/>
    </row>
    <row r="28249" spans="4:8" x14ac:dyDescent="0.25">
      <c r="D28249" s="28"/>
      <c r="F28249" s="28"/>
      <c r="H28249" s="28"/>
    </row>
    <row r="28250" spans="4:8" x14ac:dyDescent="0.25">
      <c r="D28250" s="28"/>
      <c r="F28250" s="28"/>
      <c r="H28250" s="28"/>
    </row>
    <row r="28251" spans="4:8" x14ac:dyDescent="0.25">
      <c r="D28251" s="28"/>
      <c r="F28251" s="28"/>
      <c r="H28251" s="28"/>
    </row>
    <row r="28252" spans="4:8" x14ac:dyDescent="0.25">
      <c r="D28252" s="28"/>
      <c r="F28252" s="28"/>
      <c r="H28252" s="28"/>
    </row>
    <row r="28253" spans="4:8" x14ac:dyDescent="0.25">
      <c r="D28253" s="28"/>
      <c r="F28253" s="28"/>
      <c r="H28253" s="28"/>
    </row>
    <row r="28254" spans="4:8" x14ac:dyDescent="0.25">
      <c r="D28254" s="28"/>
      <c r="F28254" s="28"/>
      <c r="H28254" s="28"/>
    </row>
    <row r="28255" spans="4:8" x14ac:dyDescent="0.25">
      <c r="D28255" s="28"/>
      <c r="F28255" s="28"/>
      <c r="H28255" s="28"/>
    </row>
    <row r="28256" spans="4:8" x14ac:dyDescent="0.25">
      <c r="D28256" s="28"/>
      <c r="F28256" s="28"/>
      <c r="H28256" s="28"/>
    </row>
    <row r="28257" spans="4:8" x14ac:dyDescent="0.25">
      <c r="D28257" s="28"/>
      <c r="F28257" s="28"/>
      <c r="H28257" s="28"/>
    </row>
    <row r="28258" spans="4:8" x14ac:dyDescent="0.25">
      <c r="D28258" s="28"/>
      <c r="F28258" s="28"/>
      <c r="H28258" s="28"/>
    </row>
    <row r="28259" spans="4:8" x14ac:dyDescent="0.25">
      <c r="D28259" s="28"/>
      <c r="F28259" s="28"/>
      <c r="H28259" s="28"/>
    </row>
    <row r="28260" spans="4:8" x14ac:dyDescent="0.25">
      <c r="D28260" s="28"/>
      <c r="F28260" s="28"/>
      <c r="H28260" s="28"/>
    </row>
    <row r="28261" spans="4:8" x14ac:dyDescent="0.25">
      <c r="D28261" s="28"/>
      <c r="F28261" s="28"/>
      <c r="H28261" s="28"/>
    </row>
    <row r="28262" spans="4:8" x14ac:dyDescent="0.25">
      <c r="D28262" s="28"/>
      <c r="F28262" s="28"/>
      <c r="H28262" s="28"/>
    </row>
    <row r="28263" spans="4:8" x14ac:dyDescent="0.25">
      <c r="D28263" s="28"/>
      <c r="F28263" s="28"/>
      <c r="H28263" s="28"/>
    </row>
    <row r="28264" spans="4:8" x14ac:dyDescent="0.25">
      <c r="D28264" s="28"/>
      <c r="F28264" s="28"/>
      <c r="H28264" s="28"/>
    </row>
    <row r="28265" spans="4:8" x14ac:dyDescent="0.25">
      <c r="D28265" s="28"/>
      <c r="F28265" s="28"/>
      <c r="H28265" s="28"/>
    </row>
    <row r="28266" spans="4:8" x14ac:dyDescent="0.25">
      <c r="D28266" s="28"/>
      <c r="F28266" s="28"/>
      <c r="H28266" s="28"/>
    </row>
    <row r="28267" spans="4:8" x14ac:dyDescent="0.25">
      <c r="D28267" s="28"/>
      <c r="F28267" s="28"/>
      <c r="H28267" s="28"/>
    </row>
    <row r="28268" spans="4:8" x14ac:dyDescent="0.25">
      <c r="D28268" s="28"/>
      <c r="F28268" s="28"/>
      <c r="H28268" s="28"/>
    </row>
    <row r="28269" spans="4:8" x14ac:dyDescent="0.25">
      <c r="D28269" s="28"/>
      <c r="F28269" s="28"/>
      <c r="H28269" s="28"/>
    </row>
    <row r="28270" spans="4:8" x14ac:dyDescent="0.25">
      <c r="D28270" s="28"/>
      <c r="F28270" s="28"/>
      <c r="H28270" s="28"/>
    </row>
    <row r="28271" spans="4:8" x14ac:dyDescent="0.25">
      <c r="D28271" s="28"/>
      <c r="F28271" s="28"/>
      <c r="H28271" s="28"/>
    </row>
    <row r="28272" spans="4:8" x14ac:dyDescent="0.25">
      <c r="D28272" s="28"/>
      <c r="F28272" s="28"/>
      <c r="H28272" s="28"/>
    </row>
    <row r="28273" spans="4:8" x14ac:dyDescent="0.25">
      <c r="D28273" s="28"/>
      <c r="F28273" s="28"/>
      <c r="H28273" s="28"/>
    </row>
    <row r="28274" spans="4:8" x14ac:dyDescent="0.25">
      <c r="D28274" s="28"/>
      <c r="F28274" s="28"/>
      <c r="H28274" s="28"/>
    </row>
    <row r="28275" spans="4:8" x14ac:dyDescent="0.25">
      <c r="D28275" s="28"/>
      <c r="F28275" s="28"/>
      <c r="H28275" s="28"/>
    </row>
    <row r="28276" spans="4:8" x14ac:dyDescent="0.25">
      <c r="D28276" s="28"/>
      <c r="F28276" s="28"/>
      <c r="H28276" s="28"/>
    </row>
    <row r="28277" spans="4:8" x14ac:dyDescent="0.25">
      <c r="D28277" s="28"/>
      <c r="F28277" s="28"/>
      <c r="H28277" s="28"/>
    </row>
    <row r="28278" spans="4:8" x14ac:dyDescent="0.25">
      <c r="D28278" s="28"/>
      <c r="F28278" s="28"/>
      <c r="H28278" s="28"/>
    </row>
    <row r="28279" spans="4:8" x14ac:dyDescent="0.25">
      <c r="D28279" s="28"/>
      <c r="F28279" s="28"/>
      <c r="H28279" s="28"/>
    </row>
    <row r="28280" spans="4:8" x14ac:dyDescent="0.25">
      <c r="D28280" s="28"/>
      <c r="F28280" s="28"/>
      <c r="H28280" s="28"/>
    </row>
    <row r="28281" spans="4:8" x14ac:dyDescent="0.25">
      <c r="D28281" s="28"/>
      <c r="F28281" s="28"/>
      <c r="H28281" s="28"/>
    </row>
    <row r="28282" spans="4:8" x14ac:dyDescent="0.25">
      <c r="D28282" s="28"/>
      <c r="F28282" s="28"/>
      <c r="H28282" s="28"/>
    </row>
    <row r="28283" spans="4:8" x14ac:dyDescent="0.25">
      <c r="D28283" s="28"/>
      <c r="F28283" s="28"/>
      <c r="H28283" s="28"/>
    </row>
    <row r="28284" spans="4:8" x14ac:dyDescent="0.25">
      <c r="D28284" s="28"/>
      <c r="F28284" s="28"/>
      <c r="H28284" s="28"/>
    </row>
    <row r="28285" spans="4:8" x14ac:dyDescent="0.25">
      <c r="D28285" s="28"/>
      <c r="F28285" s="28"/>
      <c r="H28285" s="28"/>
    </row>
    <row r="28286" spans="4:8" x14ac:dyDescent="0.25">
      <c r="D28286" s="28"/>
      <c r="F28286" s="28"/>
      <c r="H28286" s="28"/>
    </row>
    <row r="28287" spans="4:8" x14ac:dyDescent="0.25">
      <c r="D28287" s="28"/>
      <c r="F28287" s="28"/>
      <c r="H28287" s="28"/>
    </row>
    <row r="28288" spans="4:8" x14ac:dyDescent="0.25">
      <c r="D28288" s="28"/>
      <c r="F28288" s="28"/>
      <c r="H28288" s="28"/>
    </row>
    <row r="28289" spans="4:8" x14ac:dyDescent="0.25">
      <c r="D28289" s="28"/>
      <c r="F28289" s="28"/>
      <c r="H28289" s="28"/>
    </row>
    <row r="28290" spans="4:8" x14ac:dyDescent="0.25">
      <c r="D28290" s="28"/>
      <c r="F28290" s="28"/>
      <c r="H28290" s="28"/>
    </row>
    <row r="28291" spans="4:8" x14ac:dyDescent="0.25">
      <c r="D28291" s="28"/>
      <c r="F28291" s="28"/>
      <c r="H28291" s="28"/>
    </row>
    <row r="28292" spans="4:8" x14ac:dyDescent="0.25">
      <c r="D28292" s="28"/>
      <c r="F28292" s="28"/>
      <c r="H28292" s="28"/>
    </row>
    <row r="28293" spans="4:8" x14ac:dyDescent="0.25">
      <c r="D28293" s="28"/>
      <c r="F28293" s="28"/>
      <c r="H28293" s="28"/>
    </row>
    <row r="28294" spans="4:8" x14ac:dyDescent="0.25">
      <c r="D28294" s="28"/>
      <c r="F28294" s="28"/>
      <c r="H28294" s="28"/>
    </row>
    <row r="28295" spans="4:8" x14ac:dyDescent="0.25">
      <c r="D28295" s="28"/>
      <c r="F28295" s="28"/>
      <c r="H28295" s="28"/>
    </row>
    <row r="28296" spans="4:8" x14ac:dyDescent="0.25">
      <c r="D28296" s="28"/>
      <c r="F28296" s="28"/>
      <c r="H28296" s="28"/>
    </row>
    <row r="28297" spans="4:8" x14ac:dyDescent="0.25">
      <c r="D28297" s="28"/>
      <c r="F28297" s="28"/>
      <c r="H28297" s="28"/>
    </row>
    <row r="28298" spans="4:8" x14ac:dyDescent="0.25">
      <c r="D28298" s="28"/>
      <c r="F28298" s="28"/>
      <c r="H28298" s="28"/>
    </row>
    <row r="28299" spans="4:8" x14ac:dyDescent="0.25">
      <c r="D28299" s="28"/>
      <c r="F28299" s="28"/>
      <c r="H28299" s="28"/>
    </row>
    <row r="28300" spans="4:8" x14ac:dyDescent="0.25">
      <c r="D28300" s="28"/>
      <c r="F28300" s="28"/>
      <c r="H28300" s="28"/>
    </row>
    <row r="28301" spans="4:8" x14ac:dyDescent="0.25">
      <c r="D28301" s="28"/>
      <c r="F28301" s="28"/>
      <c r="H28301" s="28"/>
    </row>
    <row r="28302" spans="4:8" x14ac:dyDescent="0.25">
      <c r="D28302" s="28"/>
      <c r="F28302" s="28"/>
      <c r="H28302" s="28"/>
    </row>
    <row r="28303" spans="4:8" x14ac:dyDescent="0.25">
      <c r="D28303" s="28"/>
      <c r="F28303" s="28"/>
      <c r="H28303" s="28"/>
    </row>
    <row r="28304" spans="4:8" x14ac:dyDescent="0.25">
      <c r="D28304" s="28"/>
      <c r="F28304" s="28"/>
      <c r="H28304" s="28"/>
    </row>
    <row r="28305" spans="4:8" x14ac:dyDescent="0.25">
      <c r="D28305" s="28"/>
      <c r="F28305" s="28"/>
      <c r="H28305" s="28"/>
    </row>
    <row r="28306" spans="4:8" x14ac:dyDescent="0.25">
      <c r="D28306" s="28"/>
      <c r="F28306" s="28"/>
      <c r="H28306" s="28"/>
    </row>
    <row r="28307" spans="4:8" x14ac:dyDescent="0.25">
      <c r="D28307" s="28"/>
      <c r="F28307" s="28"/>
      <c r="H28307" s="28"/>
    </row>
    <row r="28308" spans="4:8" x14ac:dyDescent="0.25">
      <c r="D28308" s="28"/>
      <c r="F28308" s="28"/>
      <c r="H28308" s="28"/>
    </row>
    <row r="28309" spans="4:8" x14ac:dyDescent="0.25">
      <c r="D28309" s="28"/>
      <c r="F28309" s="28"/>
      <c r="H28309" s="28"/>
    </row>
    <row r="28310" spans="4:8" x14ac:dyDescent="0.25">
      <c r="D28310" s="28"/>
      <c r="F28310" s="28"/>
      <c r="H28310" s="28"/>
    </row>
    <row r="28311" spans="4:8" x14ac:dyDescent="0.25">
      <c r="D28311" s="28"/>
      <c r="F28311" s="28"/>
      <c r="H28311" s="28"/>
    </row>
    <row r="28312" spans="4:8" x14ac:dyDescent="0.25">
      <c r="D28312" s="28"/>
      <c r="F28312" s="28"/>
      <c r="H28312" s="28"/>
    </row>
    <row r="28313" spans="4:8" x14ac:dyDescent="0.25">
      <c r="D28313" s="28"/>
      <c r="F28313" s="28"/>
      <c r="H28313" s="28"/>
    </row>
    <row r="28314" spans="4:8" x14ac:dyDescent="0.25">
      <c r="D28314" s="28"/>
      <c r="F28314" s="28"/>
      <c r="H28314" s="28"/>
    </row>
    <row r="28315" spans="4:8" x14ac:dyDescent="0.25">
      <c r="D28315" s="28"/>
      <c r="F28315" s="28"/>
      <c r="H28315" s="28"/>
    </row>
    <row r="28316" spans="4:8" x14ac:dyDescent="0.25">
      <c r="D28316" s="28"/>
      <c r="F28316" s="28"/>
      <c r="H28316" s="28"/>
    </row>
    <row r="28317" spans="4:8" x14ac:dyDescent="0.25">
      <c r="D28317" s="28"/>
      <c r="F28317" s="28"/>
      <c r="H28317" s="28"/>
    </row>
    <row r="28318" spans="4:8" x14ac:dyDescent="0.25">
      <c r="D28318" s="28"/>
      <c r="F28318" s="28"/>
      <c r="H28318" s="28"/>
    </row>
    <row r="28319" spans="4:8" x14ac:dyDescent="0.25">
      <c r="D28319" s="28"/>
      <c r="F28319" s="28"/>
      <c r="H28319" s="28"/>
    </row>
    <row r="28320" spans="4:8" x14ac:dyDescent="0.25">
      <c r="D28320" s="28"/>
      <c r="F28320" s="28"/>
      <c r="H28320" s="28"/>
    </row>
    <row r="28321" spans="4:8" x14ac:dyDescent="0.25">
      <c r="D28321" s="28"/>
      <c r="F28321" s="28"/>
      <c r="H28321" s="28"/>
    </row>
    <row r="28322" spans="4:8" x14ac:dyDescent="0.25">
      <c r="D28322" s="28"/>
      <c r="F28322" s="28"/>
      <c r="H28322" s="28"/>
    </row>
    <row r="28323" spans="4:8" x14ac:dyDescent="0.25">
      <c r="D28323" s="28"/>
      <c r="F28323" s="28"/>
      <c r="H28323" s="28"/>
    </row>
    <row r="28324" spans="4:8" x14ac:dyDescent="0.25">
      <c r="D28324" s="28"/>
      <c r="F28324" s="28"/>
      <c r="H28324" s="28"/>
    </row>
    <row r="28325" spans="4:8" x14ac:dyDescent="0.25">
      <c r="D28325" s="28"/>
      <c r="F28325" s="28"/>
      <c r="H28325" s="28"/>
    </row>
    <row r="28326" spans="4:8" x14ac:dyDescent="0.25">
      <c r="D28326" s="28"/>
      <c r="F28326" s="28"/>
      <c r="H28326" s="28"/>
    </row>
    <row r="28327" spans="4:8" x14ac:dyDescent="0.25">
      <c r="D28327" s="28"/>
      <c r="F28327" s="28"/>
      <c r="H28327" s="28"/>
    </row>
    <row r="28328" spans="4:8" x14ac:dyDescent="0.25">
      <c r="D28328" s="28"/>
      <c r="F28328" s="28"/>
      <c r="H28328" s="28"/>
    </row>
    <row r="28329" spans="4:8" x14ac:dyDescent="0.25">
      <c r="D28329" s="28"/>
      <c r="F28329" s="28"/>
      <c r="H28329" s="28"/>
    </row>
    <row r="28330" spans="4:8" x14ac:dyDescent="0.25">
      <c r="D28330" s="28"/>
      <c r="F28330" s="28"/>
      <c r="H28330" s="28"/>
    </row>
    <row r="28331" spans="4:8" x14ac:dyDescent="0.25">
      <c r="D28331" s="28"/>
      <c r="F28331" s="28"/>
      <c r="H28331" s="28"/>
    </row>
    <row r="28332" spans="4:8" x14ac:dyDescent="0.25">
      <c r="D28332" s="28"/>
      <c r="F28332" s="28"/>
      <c r="H28332" s="28"/>
    </row>
    <row r="28333" spans="4:8" x14ac:dyDescent="0.25">
      <c r="D28333" s="28"/>
      <c r="F28333" s="28"/>
      <c r="H28333" s="28"/>
    </row>
    <row r="28334" spans="4:8" x14ac:dyDescent="0.25">
      <c r="D28334" s="28"/>
      <c r="F28334" s="28"/>
      <c r="H28334" s="28"/>
    </row>
    <row r="28335" spans="4:8" x14ac:dyDescent="0.25">
      <c r="D28335" s="28"/>
      <c r="F28335" s="28"/>
      <c r="H28335" s="28"/>
    </row>
    <row r="28336" spans="4:8" x14ac:dyDescent="0.25">
      <c r="D28336" s="28"/>
      <c r="F28336" s="28"/>
      <c r="H28336" s="28"/>
    </row>
    <row r="28337" spans="4:8" x14ac:dyDescent="0.25">
      <c r="D28337" s="28"/>
      <c r="F28337" s="28"/>
      <c r="H28337" s="28"/>
    </row>
    <row r="28338" spans="4:8" x14ac:dyDescent="0.25">
      <c r="D28338" s="28"/>
      <c r="F28338" s="28"/>
      <c r="H28338" s="28"/>
    </row>
    <row r="28339" spans="4:8" x14ac:dyDescent="0.25">
      <c r="D28339" s="28"/>
      <c r="F28339" s="28"/>
      <c r="H28339" s="28"/>
    </row>
    <row r="28340" spans="4:8" x14ac:dyDescent="0.25">
      <c r="D28340" s="28"/>
      <c r="F28340" s="28"/>
      <c r="H28340" s="28"/>
    </row>
    <row r="28341" spans="4:8" x14ac:dyDescent="0.25">
      <c r="D28341" s="28"/>
      <c r="F28341" s="28"/>
      <c r="H28341" s="28"/>
    </row>
    <row r="28342" spans="4:8" x14ac:dyDescent="0.25">
      <c r="D28342" s="28"/>
      <c r="F28342" s="28"/>
      <c r="H28342" s="28"/>
    </row>
    <row r="28343" spans="4:8" x14ac:dyDescent="0.25">
      <c r="D28343" s="28"/>
      <c r="F28343" s="28"/>
      <c r="H28343" s="28"/>
    </row>
    <row r="28344" spans="4:8" x14ac:dyDescent="0.25">
      <c r="D28344" s="28"/>
      <c r="F28344" s="28"/>
      <c r="H28344" s="28"/>
    </row>
    <row r="28345" spans="4:8" x14ac:dyDescent="0.25">
      <c r="D28345" s="28"/>
      <c r="F28345" s="28"/>
      <c r="H28345" s="28"/>
    </row>
    <row r="28346" spans="4:8" x14ac:dyDescent="0.25">
      <c r="D28346" s="28"/>
      <c r="F28346" s="28"/>
      <c r="H28346" s="28"/>
    </row>
    <row r="28347" spans="4:8" x14ac:dyDescent="0.25">
      <c r="D28347" s="28"/>
      <c r="F28347" s="28"/>
      <c r="H28347" s="28"/>
    </row>
    <row r="28348" spans="4:8" x14ac:dyDescent="0.25">
      <c r="D28348" s="28"/>
      <c r="F28348" s="28"/>
      <c r="H28348" s="28"/>
    </row>
    <row r="28349" spans="4:8" x14ac:dyDescent="0.25">
      <c r="D28349" s="28"/>
      <c r="F28349" s="28"/>
      <c r="H28349" s="28"/>
    </row>
    <row r="28350" spans="4:8" x14ac:dyDescent="0.25">
      <c r="D28350" s="28"/>
      <c r="F28350" s="28"/>
      <c r="H28350" s="28"/>
    </row>
    <row r="28351" spans="4:8" x14ac:dyDescent="0.25">
      <c r="D28351" s="28"/>
      <c r="F28351" s="28"/>
      <c r="H28351" s="28"/>
    </row>
    <row r="28352" spans="4:8" x14ac:dyDescent="0.25">
      <c r="D28352" s="28"/>
      <c r="F28352" s="28"/>
      <c r="H28352" s="28"/>
    </row>
    <row r="28353" spans="4:8" x14ac:dyDescent="0.25">
      <c r="D28353" s="28"/>
      <c r="F28353" s="28"/>
      <c r="H28353" s="28"/>
    </row>
    <row r="28354" spans="4:8" x14ac:dyDescent="0.25">
      <c r="D28354" s="28"/>
      <c r="F28354" s="28"/>
      <c r="H28354" s="28"/>
    </row>
    <row r="28355" spans="4:8" x14ac:dyDescent="0.25">
      <c r="D28355" s="28"/>
      <c r="F28355" s="28"/>
      <c r="H28355" s="28"/>
    </row>
    <row r="28356" spans="4:8" x14ac:dyDescent="0.25">
      <c r="D28356" s="28"/>
      <c r="F28356" s="28"/>
      <c r="H28356" s="28"/>
    </row>
    <row r="28357" spans="4:8" x14ac:dyDescent="0.25">
      <c r="D28357" s="28"/>
      <c r="F28357" s="28"/>
      <c r="H28357" s="28"/>
    </row>
    <row r="28358" spans="4:8" x14ac:dyDescent="0.25">
      <c r="D28358" s="28"/>
      <c r="F28358" s="28"/>
      <c r="H28358" s="28"/>
    </row>
    <row r="28359" spans="4:8" x14ac:dyDescent="0.25">
      <c r="D28359" s="28"/>
      <c r="F28359" s="28"/>
      <c r="H28359" s="28"/>
    </row>
    <row r="28360" spans="4:8" x14ac:dyDescent="0.25">
      <c r="D28360" s="28"/>
      <c r="F28360" s="28"/>
      <c r="H28360" s="28"/>
    </row>
    <row r="28361" spans="4:8" x14ac:dyDescent="0.25">
      <c r="D28361" s="28"/>
      <c r="F28361" s="28"/>
      <c r="H28361" s="28"/>
    </row>
    <row r="28362" spans="4:8" x14ac:dyDescent="0.25">
      <c r="D28362" s="28"/>
      <c r="F28362" s="28"/>
      <c r="H28362" s="28"/>
    </row>
    <row r="28363" spans="4:8" x14ac:dyDescent="0.25">
      <c r="D28363" s="28"/>
      <c r="F28363" s="28"/>
      <c r="H28363" s="28"/>
    </row>
    <row r="28364" spans="4:8" x14ac:dyDescent="0.25">
      <c r="D28364" s="28"/>
      <c r="F28364" s="28"/>
      <c r="H28364" s="28"/>
    </row>
    <row r="28365" spans="4:8" x14ac:dyDescent="0.25">
      <c r="D28365" s="28"/>
      <c r="F28365" s="28"/>
      <c r="H28365" s="28"/>
    </row>
    <row r="28366" spans="4:8" x14ac:dyDescent="0.25">
      <c r="D28366" s="28"/>
      <c r="F28366" s="28"/>
      <c r="H28366" s="28"/>
    </row>
    <row r="28367" spans="4:8" x14ac:dyDescent="0.25">
      <c r="D28367" s="28"/>
      <c r="F28367" s="28"/>
      <c r="H28367" s="28"/>
    </row>
    <row r="28368" spans="4:8" x14ac:dyDescent="0.25">
      <c r="D28368" s="28"/>
      <c r="F28368" s="28"/>
      <c r="H28368" s="28"/>
    </row>
    <row r="28369" spans="4:8" x14ac:dyDescent="0.25">
      <c r="D28369" s="28"/>
      <c r="F28369" s="28"/>
      <c r="H28369" s="28"/>
    </row>
    <row r="28370" spans="4:8" x14ac:dyDescent="0.25">
      <c r="D28370" s="28"/>
      <c r="F28370" s="28"/>
      <c r="H28370" s="28"/>
    </row>
    <row r="28371" spans="4:8" x14ac:dyDescent="0.25">
      <c r="D28371" s="28"/>
      <c r="F28371" s="28"/>
      <c r="H28371" s="28"/>
    </row>
    <row r="28372" spans="4:8" x14ac:dyDescent="0.25">
      <c r="D28372" s="28"/>
      <c r="F28372" s="28"/>
      <c r="H28372" s="28"/>
    </row>
    <row r="28373" spans="4:8" x14ac:dyDescent="0.25">
      <c r="D28373" s="28"/>
      <c r="F28373" s="28"/>
      <c r="H28373" s="28"/>
    </row>
    <row r="28374" spans="4:8" x14ac:dyDescent="0.25">
      <c r="D28374" s="28"/>
      <c r="F28374" s="28"/>
      <c r="H28374" s="28"/>
    </row>
    <row r="28375" spans="4:8" x14ac:dyDescent="0.25">
      <c r="D28375" s="28"/>
      <c r="F28375" s="28"/>
      <c r="H28375" s="28"/>
    </row>
    <row r="28376" spans="4:8" x14ac:dyDescent="0.25">
      <c r="D28376" s="28"/>
      <c r="F28376" s="28"/>
      <c r="H28376" s="28"/>
    </row>
    <row r="28377" spans="4:8" x14ac:dyDescent="0.25">
      <c r="D28377" s="28"/>
      <c r="F28377" s="28"/>
      <c r="H28377" s="28"/>
    </row>
    <row r="28378" spans="4:8" x14ac:dyDescent="0.25">
      <c r="D28378" s="28"/>
      <c r="F28378" s="28"/>
      <c r="H28378" s="28"/>
    </row>
    <row r="28379" spans="4:8" x14ac:dyDescent="0.25">
      <c r="D28379" s="28"/>
      <c r="F28379" s="28"/>
      <c r="H28379" s="28"/>
    </row>
    <row r="28380" spans="4:8" x14ac:dyDescent="0.25">
      <c r="D28380" s="28"/>
      <c r="F28380" s="28"/>
      <c r="H28380" s="28"/>
    </row>
    <row r="28381" spans="4:8" x14ac:dyDescent="0.25">
      <c r="D28381" s="28"/>
      <c r="F28381" s="28"/>
      <c r="H28381" s="28"/>
    </row>
    <row r="28382" spans="4:8" x14ac:dyDescent="0.25">
      <c r="D28382" s="28"/>
      <c r="F28382" s="28"/>
      <c r="H28382" s="28"/>
    </row>
    <row r="28383" spans="4:8" x14ac:dyDescent="0.25">
      <c r="D28383" s="28"/>
      <c r="F28383" s="28"/>
      <c r="H28383" s="28"/>
    </row>
    <row r="28384" spans="4:8" x14ac:dyDescent="0.25">
      <c r="D28384" s="28"/>
      <c r="F28384" s="28"/>
      <c r="H28384" s="28"/>
    </row>
    <row r="28385" spans="4:8" x14ac:dyDescent="0.25">
      <c r="D28385" s="28"/>
      <c r="F28385" s="28"/>
      <c r="H28385" s="28"/>
    </row>
    <row r="28386" spans="4:8" x14ac:dyDescent="0.25">
      <c r="D28386" s="28"/>
      <c r="F28386" s="28"/>
      <c r="H28386" s="28"/>
    </row>
    <row r="28387" spans="4:8" x14ac:dyDescent="0.25">
      <c r="D28387" s="28"/>
      <c r="F28387" s="28"/>
      <c r="H28387" s="28"/>
    </row>
    <row r="28388" spans="4:8" x14ac:dyDescent="0.25">
      <c r="D28388" s="28"/>
      <c r="F28388" s="28"/>
      <c r="H28388" s="28"/>
    </row>
    <row r="28389" spans="4:8" x14ac:dyDescent="0.25">
      <c r="D28389" s="28"/>
      <c r="F28389" s="28"/>
      <c r="H28389" s="28"/>
    </row>
    <row r="28390" spans="4:8" x14ac:dyDescent="0.25">
      <c r="D28390" s="28"/>
      <c r="F28390" s="28"/>
      <c r="H28390" s="28"/>
    </row>
    <row r="28391" spans="4:8" x14ac:dyDescent="0.25">
      <c r="D28391" s="28"/>
      <c r="F28391" s="28"/>
      <c r="H28391" s="28"/>
    </row>
    <row r="28392" spans="4:8" x14ac:dyDescent="0.25">
      <c r="D28392" s="28"/>
      <c r="F28392" s="28"/>
      <c r="H28392" s="28"/>
    </row>
    <row r="28393" spans="4:8" x14ac:dyDescent="0.25">
      <c r="D28393" s="28"/>
      <c r="F28393" s="28"/>
      <c r="H28393" s="28"/>
    </row>
    <row r="28394" spans="4:8" x14ac:dyDescent="0.25">
      <c r="D28394" s="28"/>
      <c r="F28394" s="28"/>
      <c r="H28394" s="28"/>
    </row>
    <row r="28395" spans="4:8" x14ac:dyDescent="0.25">
      <c r="D28395" s="28"/>
      <c r="F28395" s="28"/>
      <c r="H28395" s="28"/>
    </row>
    <row r="28396" spans="4:8" x14ac:dyDescent="0.25">
      <c r="D28396" s="28"/>
      <c r="F28396" s="28"/>
      <c r="H28396" s="28"/>
    </row>
    <row r="28397" spans="4:8" x14ac:dyDescent="0.25">
      <c r="D28397" s="28"/>
      <c r="F28397" s="28"/>
      <c r="H28397" s="28"/>
    </row>
    <row r="28398" spans="4:8" x14ac:dyDescent="0.25">
      <c r="D28398" s="28"/>
      <c r="F28398" s="28"/>
      <c r="H28398" s="28"/>
    </row>
    <row r="28399" spans="4:8" x14ac:dyDescent="0.25">
      <c r="D28399" s="28"/>
      <c r="F28399" s="28"/>
      <c r="H28399" s="28"/>
    </row>
    <row r="28400" spans="4:8" x14ac:dyDescent="0.25">
      <c r="D28400" s="28"/>
      <c r="F28400" s="28"/>
      <c r="H28400" s="28"/>
    </row>
    <row r="28401" spans="4:8" x14ac:dyDescent="0.25">
      <c r="D28401" s="28"/>
      <c r="F28401" s="28"/>
      <c r="H28401" s="28"/>
    </row>
    <row r="28402" spans="4:8" x14ac:dyDescent="0.25">
      <c r="D28402" s="28"/>
      <c r="F28402" s="28"/>
      <c r="H28402" s="28"/>
    </row>
    <row r="28403" spans="4:8" x14ac:dyDescent="0.25">
      <c r="D28403" s="28"/>
      <c r="F28403" s="28"/>
      <c r="H28403" s="28"/>
    </row>
    <row r="28404" spans="4:8" x14ac:dyDescent="0.25">
      <c r="D28404" s="28"/>
      <c r="F28404" s="28"/>
      <c r="H28404" s="28"/>
    </row>
    <row r="28405" spans="4:8" x14ac:dyDescent="0.25">
      <c r="D28405" s="28"/>
      <c r="F28405" s="28"/>
      <c r="H28405" s="28"/>
    </row>
    <row r="28406" spans="4:8" x14ac:dyDescent="0.25">
      <c r="D28406" s="28"/>
      <c r="F28406" s="28"/>
      <c r="H28406" s="28"/>
    </row>
    <row r="28407" spans="4:8" x14ac:dyDescent="0.25">
      <c r="D28407" s="28"/>
      <c r="F28407" s="28"/>
      <c r="H28407" s="28"/>
    </row>
    <row r="28408" spans="4:8" x14ac:dyDescent="0.25">
      <c r="D28408" s="28"/>
      <c r="F28408" s="28"/>
      <c r="H28408" s="28"/>
    </row>
    <row r="28409" spans="4:8" x14ac:dyDescent="0.25">
      <c r="D28409" s="28"/>
      <c r="F28409" s="28"/>
      <c r="H28409" s="28"/>
    </row>
    <row r="28410" spans="4:8" x14ac:dyDescent="0.25">
      <c r="D28410" s="28"/>
      <c r="F28410" s="28"/>
      <c r="H28410" s="28"/>
    </row>
    <row r="28411" spans="4:8" x14ac:dyDescent="0.25">
      <c r="D28411" s="28"/>
      <c r="F28411" s="28"/>
      <c r="H28411" s="28"/>
    </row>
    <row r="28412" spans="4:8" x14ac:dyDescent="0.25">
      <c r="D28412" s="28"/>
      <c r="F28412" s="28"/>
      <c r="H28412" s="28"/>
    </row>
    <row r="28413" spans="4:8" x14ac:dyDescent="0.25">
      <c r="D28413" s="28"/>
      <c r="F28413" s="28"/>
      <c r="H28413" s="28"/>
    </row>
    <row r="28414" spans="4:8" x14ac:dyDescent="0.25">
      <c r="D28414" s="28"/>
      <c r="F28414" s="28"/>
      <c r="H28414" s="28"/>
    </row>
    <row r="28415" spans="4:8" x14ac:dyDescent="0.25">
      <c r="D28415" s="28"/>
      <c r="F28415" s="28"/>
      <c r="H28415" s="28"/>
    </row>
    <row r="28416" spans="4:8" x14ac:dyDescent="0.25">
      <c r="D28416" s="28"/>
      <c r="F28416" s="28"/>
      <c r="H28416" s="28"/>
    </row>
    <row r="28417" spans="4:8" x14ac:dyDescent="0.25">
      <c r="D28417" s="28"/>
      <c r="F28417" s="28"/>
      <c r="H28417" s="28"/>
    </row>
    <row r="28418" spans="4:8" x14ac:dyDescent="0.25">
      <c r="D28418" s="28"/>
      <c r="F28418" s="28"/>
      <c r="H28418" s="28"/>
    </row>
    <row r="28419" spans="4:8" x14ac:dyDescent="0.25">
      <c r="D28419" s="28"/>
      <c r="F28419" s="28"/>
      <c r="H28419" s="28"/>
    </row>
    <row r="28420" spans="4:8" x14ac:dyDescent="0.25">
      <c r="D28420" s="28"/>
      <c r="F28420" s="28"/>
      <c r="H28420" s="28"/>
    </row>
    <row r="28421" spans="4:8" x14ac:dyDescent="0.25">
      <c r="D28421" s="28"/>
      <c r="F28421" s="28"/>
      <c r="H28421" s="28"/>
    </row>
    <row r="28422" spans="4:8" x14ac:dyDescent="0.25">
      <c r="D28422" s="28"/>
      <c r="F28422" s="28"/>
      <c r="H28422" s="28"/>
    </row>
    <row r="28423" spans="4:8" x14ac:dyDescent="0.25">
      <c r="D28423" s="28"/>
      <c r="F28423" s="28"/>
      <c r="H28423" s="28"/>
    </row>
    <row r="28424" spans="4:8" x14ac:dyDescent="0.25">
      <c r="D28424" s="28"/>
      <c r="F28424" s="28"/>
      <c r="H28424" s="28"/>
    </row>
    <row r="28425" spans="4:8" x14ac:dyDescent="0.25">
      <c r="D28425" s="28"/>
      <c r="F28425" s="28"/>
      <c r="H28425" s="28"/>
    </row>
    <row r="28426" spans="4:8" x14ac:dyDescent="0.25">
      <c r="D28426" s="28"/>
      <c r="F28426" s="28"/>
      <c r="H28426" s="28"/>
    </row>
    <row r="28427" spans="4:8" x14ac:dyDescent="0.25">
      <c r="D28427" s="28"/>
      <c r="F28427" s="28"/>
      <c r="H28427" s="28"/>
    </row>
    <row r="28428" spans="4:8" x14ac:dyDescent="0.25">
      <c r="D28428" s="28"/>
      <c r="F28428" s="28"/>
      <c r="H28428" s="28"/>
    </row>
    <row r="28429" spans="4:8" x14ac:dyDescent="0.25">
      <c r="D28429" s="28"/>
      <c r="F28429" s="28"/>
      <c r="H28429" s="28"/>
    </row>
    <row r="28430" spans="4:8" x14ac:dyDescent="0.25">
      <c r="D28430" s="28"/>
      <c r="F28430" s="28"/>
      <c r="H28430" s="28"/>
    </row>
    <row r="28431" spans="4:8" x14ac:dyDescent="0.25">
      <c r="D28431" s="28"/>
      <c r="F28431" s="28"/>
      <c r="H28431" s="28"/>
    </row>
    <row r="28432" spans="4:8" x14ac:dyDescent="0.25">
      <c r="D28432" s="28"/>
      <c r="F28432" s="28"/>
      <c r="H28432" s="28"/>
    </row>
    <row r="28433" spans="4:8" x14ac:dyDescent="0.25">
      <c r="D28433" s="28"/>
      <c r="F28433" s="28"/>
      <c r="H28433" s="28"/>
    </row>
    <row r="28434" spans="4:8" x14ac:dyDescent="0.25">
      <c r="D28434" s="28"/>
      <c r="F28434" s="28"/>
      <c r="H28434" s="28"/>
    </row>
    <row r="28435" spans="4:8" x14ac:dyDescent="0.25">
      <c r="D28435" s="28"/>
      <c r="F28435" s="28"/>
      <c r="H28435" s="28"/>
    </row>
    <row r="28436" spans="4:8" x14ac:dyDescent="0.25">
      <c r="D28436" s="28"/>
      <c r="F28436" s="28"/>
      <c r="H28436" s="28"/>
    </row>
    <row r="28437" spans="4:8" x14ac:dyDescent="0.25">
      <c r="D28437" s="28"/>
      <c r="F28437" s="28"/>
      <c r="H28437" s="28"/>
    </row>
    <row r="28438" spans="4:8" x14ac:dyDescent="0.25">
      <c r="D28438" s="28"/>
      <c r="F28438" s="28"/>
      <c r="H28438" s="28"/>
    </row>
    <row r="28439" spans="4:8" x14ac:dyDescent="0.25">
      <c r="D28439" s="28"/>
      <c r="F28439" s="28"/>
      <c r="H28439" s="28"/>
    </row>
    <row r="28440" spans="4:8" x14ac:dyDescent="0.25">
      <c r="D28440" s="28"/>
      <c r="F28440" s="28"/>
      <c r="H28440" s="28"/>
    </row>
    <row r="28441" spans="4:8" x14ac:dyDescent="0.25">
      <c r="D28441" s="28"/>
      <c r="F28441" s="28"/>
      <c r="H28441" s="28"/>
    </row>
    <row r="28442" spans="4:8" x14ac:dyDescent="0.25">
      <c r="D28442" s="28"/>
      <c r="F28442" s="28"/>
      <c r="H28442" s="28"/>
    </row>
    <row r="28443" spans="4:8" x14ac:dyDescent="0.25">
      <c r="D28443" s="28"/>
      <c r="F28443" s="28"/>
      <c r="H28443" s="28"/>
    </row>
    <row r="28444" spans="4:8" x14ac:dyDescent="0.25">
      <c r="D28444" s="28"/>
      <c r="F28444" s="28"/>
      <c r="H28444" s="28"/>
    </row>
    <row r="28445" spans="4:8" x14ac:dyDescent="0.25">
      <c r="D28445" s="28"/>
      <c r="F28445" s="28"/>
      <c r="H28445" s="28"/>
    </row>
    <row r="28446" spans="4:8" x14ac:dyDescent="0.25">
      <c r="D28446" s="28"/>
      <c r="F28446" s="28"/>
      <c r="H28446" s="28"/>
    </row>
    <row r="28447" spans="4:8" x14ac:dyDescent="0.25">
      <c r="D28447" s="28"/>
      <c r="F28447" s="28"/>
      <c r="H28447" s="28"/>
    </row>
    <row r="28448" spans="4:8" x14ac:dyDescent="0.25">
      <c r="D28448" s="28"/>
      <c r="F28448" s="28"/>
      <c r="H28448" s="28"/>
    </row>
    <row r="28449" spans="4:8" x14ac:dyDescent="0.25">
      <c r="D28449" s="28"/>
      <c r="F28449" s="28"/>
      <c r="H28449" s="28"/>
    </row>
    <row r="28450" spans="4:8" x14ac:dyDescent="0.25">
      <c r="D28450" s="28"/>
      <c r="F28450" s="28"/>
      <c r="H28450" s="28"/>
    </row>
    <row r="28451" spans="4:8" x14ac:dyDescent="0.25">
      <c r="D28451" s="28"/>
      <c r="F28451" s="28"/>
      <c r="H28451" s="28"/>
    </row>
    <row r="28452" spans="4:8" x14ac:dyDescent="0.25">
      <c r="D28452" s="28"/>
      <c r="F28452" s="28"/>
      <c r="H28452" s="28"/>
    </row>
    <row r="28453" spans="4:8" x14ac:dyDescent="0.25">
      <c r="D28453" s="28"/>
      <c r="F28453" s="28"/>
      <c r="H28453" s="28"/>
    </row>
    <row r="28454" spans="4:8" x14ac:dyDescent="0.25">
      <c r="D28454" s="28"/>
      <c r="F28454" s="28"/>
      <c r="H28454" s="28"/>
    </row>
    <row r="28455" spans="4:8" x14ac:dyDescent="0.25">
      <c r="D28455" s="28"/>
      <c r="F28455" s="28"/>
      <c r="H28455" s="28"/>
    </row>
    <row r="28456" spans="4:8" x14ac:dyDescent="0.25">
      <c r="D28456" s="28"/>
      <c r="F28456" s="28"/>
      <c r="H28456" s="28"/>
    </row>
    <row r="28457" spans="4:8" x14ac:dyDescent="0.25">
      <c r="D28457" s="28"/>
      <c r="F28457" s="28"/>
      <c r="H28457" s="28"/>
    </row>
    <row r="28458" spans="4:8" x14ac:dyDescent="0.25">
      <c r="D28458" s="28"/>
      <c r="F28458" s="28"/>
      <c r="H28458" s="28"/>
    </row>
    <row r="28459" spans="4:8" x14ac:dyDescent="0.25">
      <c r="D28459" s="28"/>
      <c r="F28459" s="28"/>
      <c r="H28459" s="28"/>
    </row>
    <row r="28460" spans="4:8" x14ac:dyDescent="0.25">
      <c r="D28460" s="28"/>
      <c r="F28460" s="28"/>
      <c r="H28460" s="28"/>
    </row>
    <row r="28461" spans="4:8" x14ac:dyDescent="0.25">
      <c r="D28461" s="28"/>
      <c r="F28461" s="28"/>
      <c r="H28461" s="28"/>
    </row>
    <row r="28462" spans="4:8" x14ac:dyDescent="0.25">
      <c r="D28462" s="28"/>
      <c r="F28462" s="28"/>
      <c r="H28462" s="28"/>
    </row>
    <row r="28463" spans="4:8" x14ac:dyDescent="0.25">
      <c r="D28463" s="28"/>
      <c r="F28463" s="28"/>
      <c r="H28463" s="28"/>
    </row>
    <row r="28464" spans="4:8" x14ac:dyDescent="0.25">
      <c r="D28464" s="28"/>
      <c r="F28464" s="28"/>
      <c r="H28464" s="28"/>
    </row>
    <row r="28465" spans="4:8" x14ac:dyDescent="0.25">
      <c r="D28465" s="28"/>
      <c r="F28465" s="28"/>
      <c r="H28465" s="28"/>
    </row>
    <row r="28466" spans="4:8" x14ac:dyDescent="0.25">
      <c r="D28466" s="28"/>
      <c r="F28466" s="28"/>
      <c r="H28466" s="28"/>
    </row>
    <row r="28467" spans="4:8" x14ac:dyDescent="0.25">
      <c r="D28467" s="28"/>
      <c r="F28467" s="28"/>
      <c r="H28467" s="28"/>
    </row>
    <row r="28468" spans="4:8" x14ac:dyDescent="0.25">
      <c r="D28468" s="28"/>
      <c r="F28468" s="28"/>
      <c r="H28468" s="28"/>
    </row>
    <row r="28469" spans="4:8" x14ac:dyDescent="0.25">
      <c r="D28469" s="28"/>
      <c r="F28469" s="28"/>
      <c r="H28469" s="28"/>
    </row>
    <row r="28470" spans="4:8" x14ac:dyDescent="0.25">
      <c r="D28470" s="28"/>
      <c r="F28470" s="28"/>
      <c r="H28470" s="28"/>
    </row>
    <row r="28471" spans="4:8" x14ac:dyDescent="0.25">
      <c r="D28471" s="28"/>
      <c r="F28471" s="28"/>
      <c r="H28471" s="28"/>
    </row>
    <row r="28472" spans="4:8" x14ac:dyDescent="0.25">
      <c r="D28472" s="28"/>
      <c r="F28472" s="28"/>
      <c r="H28472" s="28"/>
    </row>
    <row r="28473" spans="4:8" x14ac:dyDescent="0.25">
      <c r="D28473" s="28"/>
      <c r="F28473" s="28"/>
      <c r="H28473" s="28"/>
    </row>
    <row r="28474" spans="4:8" x14ac:dyDescent="0.25">
      <c r="D28474" s="28"/>
      <c r="F28474" s="28"/>
      <c r="H28474" s="28"/>
    </row>
    <row r="28475" spans="4:8" x14ac:dyDescent="0.25">
      <c r="D28475" s="28"/>
      <c r="F28475" s="28"/>
      <c r="H28475" s="28"/>
    </row>
    <row r="28476" spans="4:8" x14ac:dyDescent="0.25">
      <c r="D28476" s="28"/>
      <c r="F28476" s="28"/>
      <c r="H28476" s="28"/>
    </row>
    <row r="28477" spans="4:8" x14ac:dyDescent="0.25">
      <c r="D28477" s="28"/>
      <c r="F28477" s="28"/>
      <c r="H28477" s="28"/>
    </row>
    <row r="28478" spans="4:8" x14ac:dyDescent="0.25">
      <c r="D28478" s="28"/>
      <c r="F28478" s="28"/>
      <c r="H28478" s="28"/>
    </row>
    <row r="28479" spans="4:8" x14ac:dyDescent="0.25">
      <c r="D28479" s="28"/>
      <c r="F28479" s="28"/>
      <c r="H28479" s="28"/>
    </row>
    <row r="28480" spans="4:8" x14ac:dyDescent="0.25">
      <c r="D28480" s="28"/>
      <c r="F28480" s="28"/>
      <c r="H28480" s="28"/>
    </row>
    <row r="28481" spans="4:8" x14ac:dyDescent="0.25">
      <c r="D28481" s="28"/>
      <c r="F28481" s="28"/>
      <c r="H28481" s="28"/>
    </row>
    <row r="28482" spans="4:8" x14ac:dyDescent="0.25">
      <c r="D28482" s="28"/>
      <c r="F28482" s="28"/>
      <c r="H28482" s="28"/>
    </row>
    <row r="28483" spans="4:8" x14ac:dyDescent="0.25">
      <c r="D28483" s="28"/>
      <c r="F28483" s="28"/>
      <c r="H28483" s="28"/>
    </row>
    <row r="28484" spans="4:8" x14ac:dyDescent="0.25">
      <c r="D28484" s="28"/>
      <c r="F28484" s="28"/>
      <c r="H28484" s="28"/>
    </row>
    <row r="28485" spans="4:8" x14ac:dyDescent="0.25">
      <c r="D28485" s="28"/>
      <c r="F28485" s="28"/>
      <c r="H28485" s="28"/>
    </row>
    <row r="28486" spans="4:8" x14ac:dyDescent="0.25">
      <c r="D28486" s="28"/>
      <c r="F28486" s="28"/>
      <c r="H28486" s="28"/>
    </row>
    <row r="28487" spans="4:8" x14ac:dyDescent="0.25">
      <c r="D28487" s="28"/>
      <c r="F28487" s="28"/>
      <c r="H28487" s="28"/>
    </row>
    <row r="28488" spans="4:8" x14ac:dyDescent="0.25">
      <c r="D28488" s="28"/>
      <c r="F28488" s="28"/>
      <c r="H28488" s="28"/>
    </row>
    <row r="28489" spans="4:8" x14ac:dyDescent="0.25">
      <c r="D28489" s="28"/>
      <c r="F28489" s="28"/>
      <c r="H28489" s="28"/>
    </row>
    <row r="28490" spans="4:8" x14ac:dyDescent="0.25">
      <c r="D28490" s="28"/>
      <c r="F28490" s="28"/>
      <c r="H28490" s="28"/>
    </row>
    <row r="28491" spans="4:8" x14ac:dyDescent="0.25">
      <c r="D28491" s="28"/>
      <c r="F28491" s="28"/>
      <c r="H28491" s="28"/>
    </row>
    <row r="28492" spans="4:8" x14ac:dyDescent="0.25">
      <c r="D28492" s="28"/>
      <c r="F28492" s="28"/>
      <c r="H28492" s="28"/>
    </row>
    <row r="28493" spans="4:8" x14ac:dyDescent="0.25">
      <c r="D28493" s="28"/>
      <c r="F28493" s="28"/>
      <c r="H28493" s="28"/>
    </row>
    <row r="28494" spans="4:8" x14ac:dyDescent="0.25">
      <c r="D28494" s="28"/>
      <c r="F28494" s="28"/>
      <c r="H28494" s="28"/>
    </row>
    <row r="28495" spans="4:8" x14ac:dyDescent="0.25">
      <c r="D28495" s="28"/>
      <c r="F28495" s="28"/>
      <c r="H28495" s="28"/>
    </row>
    <row r="28496" spans="4:8" x14ac:dyDescent="0.25">
      <c r="D28496" s="28"/>
      <c r="F28496" s="28"/>
      <c r="H28496" s="28"/>
    </row>
    <row r="28497" spans="4:8" x14ac:dyDescent="0.25">
      <c r="D28497" s="28"/>
      <c r="F28497" s="28"/>
      <c r="H28497" s="28"/>
    </row>
    <row r="28498" spans="4:8" x14ac:dyDescent="0.25">
      <c r="D28498" s="28"/>
      <c r="F28498" s="28"/>
      <c r="H28498" s="28"/>
    </row>
    <row r="28499" spans="4:8" x14ac:dyDescent="0.25">
      <c r="D28499" s="28"/>
      <c r="F28499" s="28"/>
      <c r="H28499" s="28"/>
    </row>
    <row r="28500" spans="4:8" x14ac:dyDescent="0.25">
      <c r="D28500" s="28"/>
      <c r="F28500" s="28"/>
      <c r="H28500" s="28"/>
    </row>
    <row r="28501" spans="4:8" x14ac:dyDescent="0.25">
      <c r="D28501" s="28"/>
      <c r="F28501" s="28"/>
      <c r="H28501" s="28"/>
    </row>
    <row r="28502" spans="4:8" x14ac:dyDescent="0.25">
      <c r="D28502" s="28"/>
      <c r="F28502" s="28"/>
      <c r="H28502" s="28"/>
    </row>
    <row r="28503" spans="4:8" x14ac:dyDescent="0.25">
      <c r="D28503" s="28"/>
      <c r="F28503" s="28"/>
      <c r="H28503" s="28"/>
    </row>
    <row r="28504" spans="4:8" x14ac:dyDescent="0.25">
      <c r="D28504" s="28"/>
      <c r="F28504" s="28"/>
      <c r="H28504" s="28"/>
    </row>
    <row r="28505" spans="4:8" x14ac:dyDescent="0.25">
      <c r="D28505" s="28"/>
      <c r="F28505" s="28"/>
      <c r="H28505" s="28"/>
    </row>
    <row r="28506" spans="4:8" x14ac:dyDescent="0.25">
      <c r="D28506" s="28"/>
      <c r="F28506" s="28"/>
      <c r="H28506" s="28"/>
    </row>
    <row r="28507" spans="4:8" x14ac:dyDescent="0.25">
      <c r="D28507" s="28"/>
      <c r="F28507" s="28"/>
      <c r="H28507" s="28"/>
    </row>
    <row r="28508" spans="4:8" x14ac:dyDescent="0.25">
      <c r="D28508" s="28"/>
      <c r="F28508" s="28"/>
      <c r="H28508" s="28"/>
    </row>
    <row r="28509" spans="4:8" x14ac:dyDescent="0.25">
      <c r="D28509" s="28"/>
      <c r="F28509" s="28"/>
      <c r="H28509" s="28"/>
    </row>
    <row r="28510" spans="4:8" x14ac:dyDescent="0.25">
      <c r="D28510" s="28"/>
      <c r="F28510" s="28"/>
      <c r="H28510" s="28"/>
    </row>
    <row r="28511" spans="4:8" x14ac:dyDescent="0.25">
      <c r="D28511" s="28"/>
      <c r="F28511" s="28"/>
      <c r="H28511" s="28"/>
    </row>
    <row r="28512" spans="4:8" x14ac:dyDescent="0.25">
      <c r="D28512" s="28"/>
      <c r="F28512" s="28"/>
      <c r="H28512" s="28"/>
    </row>
    <row r="28513" spans="4:8" x14ac:dyDescent="0.25">
      <c r="D28513" s="28"/>
      <c r="F28513" s="28"/>
      <c r="H28513" s="28"/>
    </row>
    <row r="28514" spans="4:8" x14ac:dyDescent="0.25">
      <c r="D28514" s="28"/>
      <c r="F28514" s="28"/>
      <c r="H28514" s="28"/>
    </row>
    <row r="28515" spans="4:8" x14ac:dyDescent="0.25">
      <c r="D28515" s="28"/>
      <c r="F28515" s="28"/>
      <c r="H28515" s="28"/>
    </row>
    <row r="28516" spans="4:8" x14ac:dyDescent="0.25">
      <c r="D28516" s="28"/>
      <c r="F28516" s="28"/>
      <c r="H28516" s="28"/>
    </row>
    <row r="28517" spans="4:8" x14ac:dyDescent="0.25">
      <c r="D28517" s="28"/>
      <c r="F28517" s="28"/>
      <c r="H28517" s="28"/>
    </row>
    <row r="28518" spans="4:8" x14ac:dyDescent="0.25">
      <c r="D28518" s="28"/>
      <c r="F28518" s="28"/>
      <c r="H28518" s="28"/>
    </row>
    <row r="28519" spans="4:8" x14ac:dyDescent="0.25">
      <c r="D28519" s="28"/>
      <c r="F28519" s="28"/>
      <c r="H28519" s="28"/>
    </row>
    <row r="28520" spans="4:8" x14ac:dyDescent="0.25">
      <c r="D28520" s="28"/>
      <c r="F28520" s="28"/>
      <c r="H28520" s="28"/>
    </row>
    <row r="28521" spans="4:8" x14ac:dyDescent="0.25">
      <c r="D28521" s="28"/>
      <c r="F28521" s="28"/>
      <c r="H28521" s="28"/>
    </row>
    <row r="28522" spans="4:8" x14ac:dyDescent="0.25">
      <c r="D28522" s="28"/>
      <c r="F28522" s="28"/>
      <c r="H28522" s="28"/>
    </row>
    <row r="28523" spans="4:8" x14ac:dyDescent="0.25">
      <c r="D28523" s="28"/>
      <c r="F28523" s="28"/>
      <c r="H28523" s="28"/>
    </row>
    <row r="28524" spans="4:8" x14ac:dyDescent="0.25">
      <c r="D28524" s="28"/>
      <c r="F28524" s="28"/>
      <c r="H28524" s="28"/>
    </row>
    <row r="28525" spans="4:8" x14ac:dyDescent="0.25">
      <c r="D28525" s="28"/>
      <c r="F28525" s="28"/>
      <c r="H28525" s="28"/>
    </row>
    <row r="28526" spans="4:8" x14ac:dyDescent="0.25">
      <c r="D28526" s="28"/>
      <c r="F28526" s="28"/>
      <c r="H28526" s="28"/>
    </row>
    <row r="28527" spans="4:8" x14ac:dyDescent="0.25">
      <c r="D28527" s="28"/>
      <c r="F28527" s="28"/>
      <c r="H28527" s="28"/>
    </row>
    <row r="28528" spans="4:8" x14ac:dyDescent="0.25">
      <c r="D28528" s="28"/>
      <c r="F28528" s="28"/>
      <c r="H28528" s="28"/>
    </row>
    <row r="28529" spans="4:8" x14ac:dyDescent="0.25">
      <c r="D28529" s="28"/>
      <c r="F28529" s="28"/>
      <c r="H28529" s="28"/>
    </row>
    <row r="28530" spans="4:8" x14ac:dyDescent="0.25">
      <c r="D28530" s="28"/>
      <c r="F28530" s="28"/>
      <c r="H28530" s="28"/>
    </row>
    <row r="28531" spans="4:8" x14ac:dyDescent="0.25">
      <c r="D28531" s="28"/>
      <c r="F28531" s="28"/>
      <c r="H28531" s="28"/>
    </row>
    <row r="28532" spans="4:8" x14ac:dyDescent="0.25">
      <c r="D28532" s="28"/>
      <c r="F28532" s="28"/>
      <c r="H28532" s="28"/>
    </row>
    <row r="28533" spans="4:8" x14ac:dyDescent="0.25">
      <c r="D28533" s="28"/>
      <c r="F28533" s="28"/>
      <c r="H28533" s="28"/>
    </row>
    <row r="28534" spans="4:8" x14ac:dyDescent="0.25">
      <c r="D28534" s="28"/>
      <c r="F28534" s="28"/>
      <c r="H28534" s="28"/>
    </row>
    <row r="28535" spans="4:8" x14ac:dyDescent="0.25">
      <c r="D28535" s="28"/>
      <c r="F28535" s="28"/>
      <c r="H28535" s="28"/>
    </row>
    <row r="28536" spans="4:8" x14ac:dyDescent="0.25">
      <c r="D28536" s="28"/>
      <c r="F28536" s="28"/>
      <c r="H28536" s="28"/>
    </row>
    <row r="28537" spans="4:8" x14ac:dyDescent="0.25">
      <c r="D28537" s="28"/>
      <c r="F28537" s="28"/>
      <c r="H28537" s="28"/>
    </row>
    <row r="28538" spans="4:8" x14ac:dyDescent="0.25">
      <c r="D28538" s="28"/>
      <c r="F28538" s="28"/>
      <c r="H28538" s="28"/>
    </row>
    <row r="28539" spans="4:8" x14ac:dyDescent="0.25">
      <c r="D28539" s="28"/>
      <c r="F28539" s="28"/>
      <c r="H28539" s="28"/>
    </row>
    <row r="28540" spans="4:8" x14ac:dyDescent="0.25">
      <c r="D28540" s="28"/>
      <c r="F28540" s="28"/>
      <c r="H28540" s="28"/>
    </row>
    <row r="28541" spans="4:8" x14ac:dyDescent="0.25">
      <c r="D28541" s="28"/>
      <c r="F28541" s="28"/>
      <c r="H28541" s="28"/>
    </row>
    <row r="28542" spans="4:8" x14ac:dyDescent="0.25">
      <c r="D28542" s="28"/>
      <c r="F28542" s="28"/>
      <c r="H28542" s="28"/>
    </row>
    <row r="28543" spans="4:8" x14ac:dyDescent="0.25">
      <c r="D28543" s="28"/>
      <c r="F28543" s="28"/>
      <c r="H28543" s="28"/>
    </row>
    <row r="28544" spans="4:8" x14ac:dyDescent="0.25">
      <c r="D28544" s="28"/>
      <c r="F28544" s="28"/>
      <c r="H28544" s="28"/>
    </row>
    <row r="28545" spans="4:8" x14ac:dyDescent="0.25">
      <c r="D28545" s="28"/>
      <c r="F28545" s="28"/>
      <c r="H28545" s="28"/>
    </row>
    <row r="28546" spans="4:8" x14ac:dyDescent="0.25">
      <c r="D28546" s="28"/>
      <c r="F28546" s="28"/>
      <c r="H28546" s="28"/>
    </row>
    <row r="28547" spans="4:8" x14ac:dyDescent="0.25">
      <c r="D28547" s="28"/>
      <c r="F28547" s="28"/>
      <c r="H28547" s="28"/>
    </row>
    <row r="28548" spans="4:8" x14ac:dyDescent="0.25">
      <c r="D28548" s="28"/>
      <c r="F28548" s="28"/>
      <c r="H28548" s="28"/>
    </row>
    <row r="28549" spans="4:8" x14ac:dyDescent="0.25">
      <c r="D28549" s="28"/>
      <c r="F28549" s="28"/>
      <c r="H28549" s="28"/>
    </row>
    <row r="28550" spans="4:8" x14ac:dyDescent="0.25">
      <c r="D28550" s="28"/>
      <c r="F28550" s="28"/>
      <c r="H28550" s="28"/>
    </row>
    <row r="28551" spans="4:8" x14ac:dyDescent="0.25">
      <c r="D28551" s="28"/>
      <c r="F28551" s="28"/>
      <c r="H28551" s="28"/>
    </row>
    <row r="28552" spans="4:8" x14ac:dyDescent="0.25">
      <c r="D28552" s="28"/>
      <c r="F28552" s="28"/>
      <c r="H28552" s="28"/>
    </row>
    <row r="28553" spans="4:8" x14ac:dyDescent="0.25">
      <c r="D28553" s="28"/>
      <c r="F28553" s="28"/>
      <c r="H28553" s="28"/>
    </row>
    <row r="28554" spans="4:8" x14ac:dyDescent="0.25">
      <c r="D28554" s="28"/>
      <c r="F28554" s="28"/>
      <c r="H28554" s="28"/>
    </row>
    <row r="28555" spans="4:8" x14ac:dyDescent="0.25">
      <c r="D28555" s="28"/>
      <c r="F28555" s="28"/>
      <c r="H28555" s="28"/>
    </row>
    <row r="28556" spans="4:8" x14ac:dyDescent="0.25">
      <c r="D28556" s="28"/>
      <c r="F28556" s="28"/>
      <c r="H28556" s="28"/>
    </row>
    <row r="28557" spans="4:8" x14ac:dyDescent="0.25">
      <c r="D28557" s="28"/>
      <c r="F28557" s="28"/>
      <c r="H28557" s="28"/>
    </row>
    <row r="28558" spans="4:8" x14ac:dyDescent="0.25">
      <c r="D28558" s="28"/>
      <c r="F28558" s="28"/>
      <c r="H28558" s="28"/>
    </row>
    <row r="28559" spans="4:8" x14ac:dyDescent="0.25">
      <c r="D28559" s="28"/>
      <c r="F28559" s="28"/>
      <c r="H28559" s="28"/>
    </row>
    <row r="28560" spans="4:8" x14ac:dyDescent="0.25">
      <c r="D28560" s="28"/>
      <c r="F28560" s="28"/>
      <c r="H28560" s="28"/>
    </row>
    <row r="28561" spans="4:8" x14ac:dyDescent="0.25">
      <c r="D28561" s="28"/>
      <c r="F28561" s="28"/>
      <c r="H28561" s="28"/>
    </row>
    <row r="28562" spans="4:8" x14ac:dyDescent="0.25">
      <c r="D28562" s="28"/>
      <c r="F28562" s="28"/>
      <c r="H28562" s="28"/>
    </row>
    <row r="28563" spans="4:8" x14ac:dyDescent="0.25">
      <c r="D28563" s="28"/>
      <c r="F28563" s="28"/>
      <c r="H28563" s="28"/>
    </row>
    <row r="28564" spans="4:8" x14ac:dyDescent="0.25">
      <c r="D28564" s="28"/>
      <c r="F28564" s="28"/>
      <c r="H28564" s="28"/>
    </row>
    <row r="28565" spans="4:8" x14ac:dyDescent="0.25">
      <c r="D28565" s="28"/>
      <c r="F28565" s="28"/>
      <c r="H28565" s="28"/>
    </row>
    <row r="28566" spans="4:8" x14ac:dyDescent="0.25">
      <c r="D28566" s="28"/>
      <c r="F28566" s="28"/>
      <c r="H28566" s="28"/>
    </row>
    <row r="28567" spans="4:8" x14ac:dyDescent="0.25">
      <c r="D28567" s="28"/>
      <c r="F28567" s="28"/>
      <c r="H28567" s="28"/>
    </row>
    <row r="28568" spans="4:8" x14ac:dyDescent="0.25">
      <c r="D28568" s="28"/>
      <c r="F28568" s="28"/>
      <c r="H28568" s="28"/>
    </row>
    <row r="28569" spans="4:8" x14ac:dyDescent="0.25">
      <c r="D28569" s="28"/>
      <c r="F28569" s="28"/>
      <c r="H28569" s="28"/>
    </row>
    <row r="28570" spans="4:8" x14ac:dyDescent="0.25">
      <c r="D28570" s="28"/>
      <c r="F28570" s="28"/>
      <c r="H28570" s="28"/>
    </row>
    <row r="28571" spans="4:8" x14ac:dyDescent="0.25">
      <c r="D28571" s="28"/>
      <c r="F28571" s="28"/>
      <c r="H28571" s="28"/>
    </row>
    <row r="28572" spans="4:8" x14ac:dyDescent="0.25">
      <c r="D28572" s="28"/>
      <c r="F28572" s="28"/>
      <c r="H28572" s="28"/>
    </row>
    <row r="28573" spans="4:8" x14ac:dyDescent="0.25">
      <c r="D28573" s="28"/>
      <c r="F28573" s="28"/>
      <c r="H28573" s="28"/>
    </row>
    <row r="28574" spans="4:8" x14ac:dyDescent="0.25">
      <c r="D28574" s="28"/>
      <c r="F28574" s="28"/>
      <c r="H28574" s="28"/>
    </row>
    <row r="28575" spans="4:8" x14ac:dyDescent="0.25">
      <c r="D28575" s="28"/>
      <c r="F28575" s="28"/>
      <c r="H28575" s="28"/>
    </row>
    <row r="28576" spans="4:8" x14ac:dyDescent="0.25">
      <c r="D28576" s="28"/>
      <c r="F28576" s="28"/>
      <c r="H28576" s="28"/>
    </row>
    <row r="28577" spans="4:8" x14ac:dyDescent="0.25">
      <c r="D28577" s="28"/>
      <c r="F28577" s="28"/>
      <c r="H28577" s="28"/>
    </row>
    <row r="28578" spans="4:8" x14ac:dyDescent="0.25">
      <c r="D28578" s="28"/>
      <c r="F28578" s="28"/>
      <c r="H28578" s="28"/>
    </row>
    <row r="28579" spans="4:8" x14ac:dyDescent="0.25">
      <c r="D28579" s="28"/>
      <c r="F28579" s="28"/>
      <c r="H28579" s="28"/>
    </row>
    <row r="28580" spans="4:8" x14ac:dyDescent="0.25">
      <c r="D28580" s="28"/>
      <c r="F28580" s="28"/>
      <c r="H28580" s="28"/>
    </row>
    <row r="28581" spans="4:8" x14ac:dyDescent="0.25">
      <c r="D28581" s="28"/>
      <c r="F28581" s="28"/>
      <c r="H28581" s="28"/>
    </row>
    <row r="28582" spans="4:8" x14ac:dyDescent="0.25">
      <c r="D28582" s="28"/>
      <c r="F28582" s="28"/>
      <c r="H28582" s="28"/>
    </row>
    <row r="28583" spans="4:8" x14ac:dyDescent="0.25">
      <c r="D28583" s="28"/>
      <c r="F28583" s="28"/>
      <c r="H28583" s="28"/>
    </row>
    <row r="28584" spans="4:8" x14ac:dyDescent="0.25">
      <c r="D28584" s="28"/>
      <c r="F28584" s="28"/>
      <c r="H28584" s="28"/>
    </row>
    <row r="28585" spans="4:8" x14ac:dyDescent="0.25">
      <c r="D28585" s="28"/>
      <c r="F28585" s="28"/>
      <c r="H28585" s="28"/>
    </row>
    <row r="28586" spans="4:8" x14ac:dyDescent="0.25">
      <c r="D28586" s="28"/>
      <c r="F28586" s="28"/>
      <c r="H28586" s="28"/>
    </row>
    <row r="28587" spans="4:8" x14ac:dyDescent="0.25">
      <c r="D28587" s="28"/>
      <c r="F28587" s="28"/>
      <c r="H28587" s="28"/>
    </row>
    <row r="28588" spans="4:8" x14ac:dyDescent="0.25">
      <c r="D28588" s="28"/>
      <c r="F28588" s="28"/>
      <c r="H28588" s="28"/>
    </row>
    <row r="28589" spans="4:8" x14ac:dyDescent="0.25">
      <c r="D28589" s="28"/>
      <c r="F28589" s="28"/>
      <c r="H28589" s="28"/>
    </row>
    <row r="28590" spans="4:8" x14ac:dyDescent="0.25">
      <c r="D28590" s="28"/>
      <c r="F28590" s="28"/>
      <c r="H28590" s="28"/>
    </row>
    <row r="28591" spans="4:8" x14ac:dyDescent="0.25">
      <c r="D28591" s="28"/>
      <c r="F28591" s="28"/>
      <c r="H28591" s="28"/>
    </row>
    <row r="28592" spans="4:8" x14ac:dyDescent="0.25">
      <c r="D28592" s="28"/>
      <c r="F28592" s="28"/>
      <c r="H28592" s="28"/>
    </row>
    <row r="28593" spans="4:8" x14ac:dyDescent="0.25">
      <c r="D28593" s="28"/>
      <c r="F28593" s="28"/>
      <c r="H28593" s="28"/>
    </row>
    <row r="28594" spans="4:8" x14ac:dyDescent="0.25">
      <c r="D28594" s="28"/>
      <c r="F28594" s="28"/>
      <c r="H28594" s="28"/>
    </row>
    <row r="28595" spans="4:8" x14ac:dyDescent="0.25">
      <c r="D28595" s="28"/>
      <c r="F28595" s="28"/>
      <c r="H28595" s="28"/>
    </row>
    <row r="28596" spans="4:8" x14ac:dyDescent="0.25">
      <c r="D28596" s="28"/>
      <c r="F28596" s="28"/>
      <c r="H28596" s="28"/>
    </row>
    <row r="28597" spans="4:8" x14ac:dyDescent="0.25">
      <c r="D28597" s="28"/>
      <c r="F28597" s="28"/>
      <c r="H28597" s="28"/>
    </row>
    <row r="28598" spans="4:8" x14ac:dyDescent="0.25">
      <c r="D28598" s="28"/>
      <c r="F28598" s="28"/>
      <c r="H28598" s="28"/>
    </row>
    <row r="28599" spans="4:8" x14ac:dyDescent="0.25">
      <c r="D28599" s="28"/>
      <c r="F28599" s="28"/>
      <c r="H28599" s="28"/>
    </row>
    <row r="28600" spans="4:8" x14ac:dyDescent="0.25">
      <c r="D28600" s="28"/>
      <c r="F28600" s="28"/>
      <c r="H28600" s="28"/>
    </row>
    <row r="28601" spans="4:8" x14ac:dyDescent="0.25">
      <c r="D28601" s="28"/>
      <c r="F28601" s="28"/>
      <c r="H28601" s="28"/>
    </row>
    <row r="28602" spans="4:8" x14ac:dyDescent="0.25">
      <c r="D28602" s="28"/>
      <c r="F28602" s="28"/>
      <c r="H28602" s="28"/>
    </row>
    <row r="28603" spans="4:8" x14ac:dyDescent="0.25">
      <c r="D28603" s="28"/>
      <c r="F28603" s="28"/>
      <c r="H28603" s="28"/>
    </row>
    <row r="28604" spans="4:8" x14ac:dyDescent="0.25">
      <c r="D28604" s="28"/>
      <c r="F28604" s="28"/>
      <c r="H28604" s="28"/>
    </row>
    <row r="28605" spans="4:8" x14ac:dyDescent="0.25">
      <c r="D28605" s="28"/>
      <c r="F28605" s="28"/>
      <c r="H28605" s="28"/>
    </row>
    <row r="28606" spans="4:8" x14ac:dyDescent="0.25">
      <c r="D28606" s="28"/>
      <c r="F28606" s="28"/>
      <c r="H28606" s="28"/>
    </row>
    <row r="28607" spans="4:8" x14ac:dyDescent="0.25">
      <c r="D28607" s="28"/>
      <c r="F28607" s="28"/>
      <c r="H28607" s="28"/>
    </row>
    <row r="28608" spans="4:8" x14ac:dyDescent="0.25">
      <c r="D28608" s="28"/>
      <c r="F28608" s="28"/>
      <c r="H28608" s="28"/>
    </row>
    <row r="28609" spans="4:8" x14ac:dyDescent="0.25">
      <c r="D28609" s="28"/>
      <c r="F28609" s="28"/>
      <c r="H28609" s="28"/>
    </row>
    <row r="28610" spans="4:8" x14ac:dyDescent="0.25">
      <c r="D28610" s="28"/>
      <c r="F28610" s="28"/>
      <c r="H28610" s="28"/>
    </row>
    <row r="28611" spans="4:8" x14ac:dyDescent="0.25">
      <c r="D28611" s="28"/>
      <c r="F28611" s="28"/>
      <c r="H28611" s="28"/>
    </row>
    <row r="28612" spans="4:8" x14ac:dyDescent="0.25">
      <c r="D28612" s="28"/>
      <c r="F28612" s="28"/>
      <c r="H28612" s="28"/>
    </row>
    <row r="28613" spans="4:8" x14ac:dyDescent="0.25">
      <c r="D28613" s="28"/>
      <c r="F28613" s="28"/>
      <c r="H28613" s="28"/>
    </row>
    <row r="28614" spans="4:8" x14ac:dyDescent="0.25">
      <c r="D28614" s="28"/>
      <c r="F28614" s="28"/>
      <c r="H28614" s="28"/>
    </row>
    <row r="28615" spans="4:8" x14ac:dyDescent="0.25">
      <c r="D28615" s="28"/>
      <c r="F28615" s="28"/>
      <c r="H28615" s="28"/>
    </row>
    <row r="28616" spans="4:8" x14ac:dyDescent="0.25">
      <c r="D28616" s="28"/>
      <c r="F28616" s="28"/>
      <c r="H28616" s="28"/>
    </row>
    <row r="28617" spans="4:8" x14ac:dyDescent="0.25">
      <c r="D28617" s="28"/>
      <c r="F28617" s="28"/>
      <c r="H28617" s="28"/>
    </row>
    <row r="28618" spans="4:8" x14ac:dyDescent="0.25">
      <c r="D28618" s="28"/>
      <c r="F28618" s="28"/>
      <c r="H28618" s="28"/>
    </row>
    <row r="28619" spans="4:8" x14ac:dyDescent="0.25">
      <c r="D28619" s="28"/>
      <c r="F28619" s="28"/>
      <c r="H28619" s="28"/>
    </row>
    <row r="28620" spans="4:8" x14ac:dyDescent="0.25">
      <c r="D28620" s="28"/>
      <c r="F28620" s="28"/>
      <c r="H28620" s="28"/>
    </row>
    <row r="28621" spans="4:8" x14ac:dyDescent="0.25">
      <c r="D28621" s="28"/>
      <c r="F28621" s="28"/>
      <c r="H28621" s="28"/>
    </row>
    <row r="28622" spans="4:8" x14ac:dyDescent="0.25">
      <c r="D28622" s="28"/>
      <c r="F28622" s="28"/>
      <c r="H28622" s="28"/>
    </row>
    <row r="28623" spans="4:8" x14ac:dyDescent="0.25">
      <c r="D28623" s="28"/>
      <c r="F28623" s="28"/>
      <c r="H28623" s="28"/>
    </row>
    <row r="28624" spans="4:8" x14ac:dyDescent="0.25">
      <c r="D28624" s="28"/>
      <c r="F28624" s="28"/>
      <c r="H28624" s="28"/>
    </row>
    <row r="28625" spans="4:8" x14ac:dyDescent="0.25">
      <c r="D28625" s="28"/>
      <c r="F28625" s="28"/>
      <c r="H28625" s="28"/>
    </row>
    <row r="28626" spans="4:8" x14ac:dyDescent="0.25">
      <c r="D28626" s="28"/>
      <c r="F28626" s="28"/>
      <c r="H28626" s="28"/>
    </row>
    <row r="28627" spans="4:8" x14ac:dyDescent="0.25">
      <c r="D28627" s="28"/>
      <c r="F28627" s="28"/>
      <c r="H28627" s="28"/>
    </row>
    <row r="28628" spans="4:8" x14ac:dyDescent="0.25">
      <c r="D28628" s="28"/>
      <c r="F28628" s="28"/>
      <c r="H28628" s="28"/>
    </row>
    <row r="28629" spans="4:8" x14ac:dyDescent="0.25">
      <c r="D28629" s="28"/>
      <c r="F28629" s="28"/>
      <c r="H28629" s="28"/>
    </row>
    <row r="28630" spans="4:8" x14ac:dyDescent="0.25">
      <c r="D28630" s="28"/>
      <c r="F28630" s="28"/>
      <c r="H28630" s="28"/>
    </row>
    <row r="28631" spans="4:8" x14ac:dyDescent="0.25">
      <c r="D28631" s="28"/>
      <c r="F28631" s="28"/>
      <c r="H28631" s="28"/>
    </row>
    <row r="28632" spans="4:8" x14ac:dyDescent="0.25">
      <c r="D28632" s="28"/>
      <c r="F28632" s="28"/>
      <c r="H28632" s="28"/>
    </row>
    <row r="28633" spans="4:8" x14ac:dyDescent="0.25">
      <c r="D28633" s="28"/>
      <c r="F28633" s="28"/>
      <c r="H28633" s="28"/>
    </row>
    <row r="28634" spans="4:8" x14ac:dyDescent="0.25">
      <c r="D28634" s="28"/>
      <c r="F28634" s="28"/>
      <c r="H28634" s="28"/>
    </row>
    <row r="28635" spans="4:8" x14ac:dyDescent="0.25">
      <c r="D28635" s="28"/>
      <c r="F28635" s="28"/>
      <c r="H28635" s="28"/>
    </row>
    <row r="28636" spans="4:8" x14ac:dyDescent="0.25">
      <c r="D28636" s="28"/>
      <c r="F28636" s="28"/>
      <c r="H28636" s="28"/>
    </row>
    <row r="28637" spans="4:8" x14ac:dyDescent="0.25">
      <c r="D28637" s="28"/>
      <c r="F28637" s="28"/>
      <c r="H28637" s="28"/>
    </row>
    <row r="28638" spans="4:8" x14ac:dyDescent="0.25">
      <c r="D28638" s="28"/>
      <c r="F28638" s="28"/>
      <c r="H28638" s="28"/>
    </row>
    <row r="28639" spans="4:8" x14ac:dyDescent="0.25">
      <c r="D28639" s="28"/>
      <c r="F28639" s="28"/>
      <c r="H28639" s="28"/>
    </row>
    <row r="28640" spans="4:8" x14ac:dyDescent="0.25">
      <c r="D28640" s="28"/>
      <c r="F28640" s="28"/>
      <c r="H28640" s="28"/>
    </row>
    <row r="28641" spans="4:8" x14ac:dyDescent="0.25">
      <c r="D28641" s="28"/>
      <c r="F28641" s="28"/>
      <c r="H28641" s="28"/>
    </row>
    <row r="28642" spans="4:8" x14ac:dyDescent="0.25">
      <c r="D28642" s="28"/>
      <c r="F28642" s="28"/>
      <c r="H28642" s="28"/>
    </row>
    <row r="28643" spans="4:8" x14ac:dyDescent="0.25">
      <c r="D28643" s="28"/>
      <c r="F28643" s="28"/>
      <c r="H28643" s="28"/>
    </row>
    <row r="28644" spans="4:8" x14ac:dyDescent="0.25">
      <c r="D28644" s="28"/>
      <c r="F28644" s="28"/>
      <c r="H28644" s="28"/>
    </row>
    <row r="28645" spans="4:8" x14ac:dyDescent="0.25">
      <c r="D28645" s="28"/>
      <c r="F28645" s="28"/>
      <c r="H28645" s="28"/>
    </row>
    <row r="28646" spans="4:8" x14ac:dyDescent="0.25">
      <c r="D28646" s="28"/>
      <c r="F28646" s="28"/>
      <c r="H28646" s="28"/>
    </row>
    <row r="28647" spans="4:8" x14ac:dyDescent="0.25">
      <c r="D28647" s="28"/>
      <c r="F28647" s="28"/>
      <c r="H28647" s="28"/>
    </row>
    <row r="28648" spans="4:8" x14ac:dyDescent="0.25">
      <c r="D28648" s="28"/>
      <c r="F28648" s="28"/>
      <c r="H28648" s="28"/>
    </row>
    <row r="28649" spans="4:8" x14ac:dyDescent="0.25">
      <c r="D28649" s="28"/>
      <c r="F28649" s="28"/>
      <c r="H28649" s="28"/>
    </row>
    <row r="28650" spans="4:8" x14ac:dyDescent="0.25">
      <c r="D28650" s="28"/>
      <c r="F28650" s="28"/>
      <c r="H28650" s="28"/>
    </row>
    <row r="28651" spans="4:8" x14ac:dyDescent="0.25">
      <c r="D28651" s="28"/>
      <c r="F28651" s="28"/>
      <c r="H28651" s="28"/>
    </row>
    <row r="28652" spans="4:8" x14ac:dyDescent="0.25">
      <c r="D28652" s="28"/>
      <c r="F28652" s="28"/>
      <c r="H28652" s="28"/>
    </row>
    <row r="28653" spans="4:8" x14ac:dyDescent="0.25">
      <c r="D28653" s="28"/>
      <c r="F28653" s="28"/>
      <c r="H28653" s="28"/>
    </row>
    <row r="28654" spans="4:8" x14ac:dyDescent="0.25">
      <c r="D28654" s="28"/>
      <c r="F28654" s="28"/>
      <c r="H28654" s="28"/>
    </row>
    <row r="28655" spans="4:8" x14ac:dyDescent="0.25">
      <c r="D28655" s="28"/>
      <c r="F28655" s="28"/>
      <c r="H28655" s="28"/>
    </row>
    <row r="28656" spans="4:8" x14ac:dyDescent="0.25">
      <c r="D28656" s="28"/>
      <c r="F28656" s="28"/>
      <c r="H28656" s="28"/>
    </row>
    <row r="28657" spans="4:8" x14ac:dyDescent="0.25">
      <c r="D28657" s="28"/>
      <c r="F28657" s="28"/>
      <c r="H28657" s="28"/>
    </row>
    <row r="28658" spans="4:8" x14ac:dyDescent="0.25">
      <c r="D28658" s="28"/>
      <c r="F28658" s="28"/>
      <c r="H28658" s="28"/>
    </row>
    <row r="28659" spans="4:8" x14ac:dyDescent="0.25">
      <c r="D28659" s="28"/>
      <c r="F28659" s="28"/>
      <c r="H28659" s="28"/>
    </row>
    <row r="28660" spans="4:8" x14ac:dyDescent="0.25">
      <c r="D28660" s="28"/>
      <c r="F28660" s="28"/>
      <c r="H28660" s="28"/>
    </row>
    <row r="28661" spans="4:8" x14ac:dyDescent="0.25">
      <c r="D28661" s="28"/>
      <c r="F28661" s="28"/>
      <c r="H28661" s="28"/>
    </row>
    <row r="28662" spans="4:8" x14ac:dyDescent="0.25">
      <c r="D28662" s="28"/>
      <c r="F28662" s="28"/>
      <c r="H28662" s="28"/>
    </row>
    <row r="28663" spans="4:8" x14ac:dyDescent="0.25">
      <c r="D28663" s="28"/>
      <c r="F28663" s="28"/>
      <c r="H28663" s="28"/>
    </row>
    <row r="28664" spans="4:8" x14ac:dyDescent="0.25">
      <c r="D28664" s="28"/>
      <c r="F28664" s="28"/>
      <c r="H28664" s="28"/>
    </row>
    <row r="28665" spans="4:8" x14ac:dyDescent="0.25">
      <c r="D28665" s="28"/>
      <c r="F28665" s="28"/>
      <c r="H28665" s="28"/>
    </row>
    <row r="28666" spans="4:8" x14ac:dyDescent="0.25">
      <c r="D28666" s="28"/>
      <c r="F28666" s="28"/>
      <c r="H28666" s="28"/>
    </row>
    <row r="28667" spans="4:8" x14ac:dyDescent="0.25">
      <c r="D28667" s="28"/>
      <c r="F28667" s="28"/>
      <c r="H28667" s="28"/>
    </row>
    <row r="28668" spans="4:8" x14ac:dyDescent="0.25">
      <c r="D28668" s="28"/>
      <c r="F28668" s="28"/>
      <c r="H28668" s="28"/>
    </row>
    <row r="28669" spans="4:8" x14ac:dyDescent="0.25">
      <c r="D28669" s="28"/>
      <c r="F28669" s="28"/>
      <c r="H28669" s="28"/>
    </row>
    <row r="28670" spans="4:8" x14ac:dyDescent="0.25">
      <c r="D28670" s="28"/>
      <c r="F28670" s="28"/>
      <c r="H28670" s="28"/>
    </row>
    <row r="28671" spans="4:8" x14ac:dyDescent="0.25">
      <c r="D28671" s="28"/>
      <c r="F28671" s="28"/>
      <c r="H28671" s="28"/>
    </row>
    <row r="28672" spans="4:8" x14ac:dyDescent="0.25">
      <c r="D28672" s="28"/>
      <c r="F28672" s="28"/>
      <c r="H28672" s="28"/>
    </row>
    <row r="28673" spans="4:8" x14ac:dyDescent="0.25">
      <c r="D28673" s="28"/>
      <c r="F28673" s="28"/>
      <c r="H28673" s="28"/>
    </row>
    <row r="28674" spans="4:8" x14ac:dyDescent="0.25">
      <c r="D28674" s="28"/>
      <c r="F28674" s="28"/>
      <c r="H28674" s="28"/>
    </row>
    <row r="28675" spans="4:8" x14ac:dyDescent="0.25">
      <c r="D28675" s="28"/>
      <c r="F28675" s="28"/>
      <c r="H28675" s="28"/>
    </row>
    <row r="28676" spans="4:8" x14ac:dyDescent="0.25">
      <c r="D28676" s="28"/>
      <c r="F28676" s="28"/>
      <c r="H28676" s="28"/>
    </row>
    <row r="28677" spans="4:8" x14ac:dyDescent="0.25">
      <c r="D28677" s="28"/>
      <c r="F28677" s="28"/>
      <c r="H28677" s="28"/>
    </row>
    <row r="28678" spans="4:8" x14ac:dyDescent="0.25">
      <c r="D28678" s="28"/>
      <c r="F28678" s="28"/>
      <c r="H28678" s="28"/>
    </row>
    <row r="28679" spans="4:8" x14ac:dyDescent="0.25">
      <c r="D28679" s="28"/>
      <c r="F28679" s="28"/>
      <c r="H28679" s="28"/>
    </row>
    <row r="28680" spans="4:8" x14ac:dyDescent="0.25">
      <c r="D28680" s="28"/>
      <c r="F28680" s="28"/>
      <c r="H28680" s="28"/>
    </row>
    <row r="28681" spans="4:8" x14ac:dyDescent="0.25">
      <c r="D28681" s="28"/>
      <c r="F28681" s="28"/>
      <c r="H28681" s="28"/>
    </row>
    <row r="28682" spans="4:8" x14ac:dyDescent="0.25">
      <c r="D28682" s="28"/>
      <c r="F28682" s="28"/>
      <c r="H28682" s="28"/>
    </row>
    <row r="28683" spans="4:8" x14ac:dyDescent="0.25">
      <c r="D28683" s="28"/>
      <c r="F28683" s="28"/>
      <c r="H28683" s="28"/>
    </row>
    <row r="28684" spans="4:8" x14ac:dyDescent="0.25">
      <c r="D28684" s="28"/>
      <c r="F28684" s="28"/>
      <c r="H28684" s="28"/>
    </row>
    <row r="28685" spans="4:8" x14ac:dyDescent="0.25">
      <c r="D28685" s="28"/>
      <c r="F28685" s="28"/>
      <c r="H28685" s="28"/>
    </row>
    <row r="28686" spans="4:8" x14ac:dyDescent="0.25">
      <c r="D28686" s="28"/>
      <c r="F28686" s="28"/>
      <c r="H28686" s="28"/>
    </row>
    <row r="28687" spans="4:8" x14ac:dyDescent="0.25">
      <c r="D28687" s="28"/>
      <c r="F28687" s="28"/>
      <c r="H28687" s="28"/>
    </row>
    <row r="28688" spans="4:8" x14ac:dyDescent="0.25">
      <c r="D28688" s="28"/>
      <c r="F28688" s="28"/>
      <c r="H28688" s="28"/>
    </row>
    <row r="28689" spans="4:8" x14ac:dyDescent="0.25">
      <c r="D28689" s="28"/>
      <c r="F28689" s="28"/>
      <c r="H28689" s="28"/>
    </row>
    <row r="28690" spans="4:8" x14ac:dyDescent="0.25">
      <c r="D28690" s="28"/>
      <c r="F28690" s="28"/>
      <c r="H28690" s="28"/>
    </row>
    <row r="28691" spans="4:8" x14ac:dyDescent="0.25">
      <c r="D28691" s="28"/>
      <c r="F28691" s="28"/>
      <c r="H28691" s="28"/>
    </row>
    <row r="28692" spans="4:8" x14ac:dyDescent="0.25">
      <c r="D28692" s="28"/>
      <c r="F28692" s="28"/>
      <c r="H28692" s="28"/>
    </row>
    <row r="28693" spans="4:8" x14ac:dyDescent="0.25">
      <c r="D28693" s="28"/>
      <c r="F28693" s="28"/>
      <c r="H28693" s="28"/>
    </row>
    <row r="28694" spans="4:8" x14ac:dyDescent="0.25">
      <c r="D28694" s="28"/>
      <c r="F28694" s="28"/>
      <c r="H28694" s="28"/>
    </row>
    <row r="28695" spans="4:8" x14ac:dyDescent="0.25">
      <c r="D28695" s="28"/>
      <c r="F28695" s="28"/>
      <c r="H28695" s="28"/>
    </row>
    <row r="28696" spans="4:8" x14ac:dyDescent="0.25">
      <c r="D28696" s="28"/>
      <c r="F28696" s="28"/>
      <c r="H28696" s="28"/>
    </row>
    <row r="28697" spans="4:8" x14ac:dyDescent="0.25">
      <c r="D28697" s="28"/>
      <c r="F28697" s="28"/>
      <c r="H28697" s="28"/>
    </row>
    <row r="28698" spans="4:8" x14ac:dyDescent="0.25">
      <c r="D28698" s="28"/>
      <c r="F28698" s="28"/>
      <c r="H28698" s="28"/>
    </row>
    <row r="28699" spans="4:8" x14ac:dyDescent="0.25">
      <c r="D28699" s="28"/>
      <c r="F28699" s="28"/>
      <c r="H28699" s="28"/>
    </row>
    <row r="28700" spans="4:8" x14ac:dyDescent="0.25">
      <c r="D28700" s="28"/>
      <c r="F28700" s="28"/>
      <c r="H28700" s="28"/>
    </row>
    <row r="28701" spans="4:8" x14ac:dyDescent="0.25">
      <c r="D28701" s="28"/>
      <c r="F28701" s="28"/>
      <c r="H28701" s="28"/>
    </row>
    <row r="28702" spans="4:8" x14ac:dyDescent="0.25">
      <c r="D28702" s="28"/>
      <c r="F28702" s="28"/>
      <c r="H28702" s="28"/>
    </row>
    <row r="28703" spans="4:8" x14ac:dyDescent="0.25">
      <c r="D28703" s="28"/>
      <c r="F28703" s="28"/>
      <c r="H28703" s="28"/>
    </row>
    <row r="28704" spans="4:8" x14ac:dyDescent="0.25">
      <c r="D28704" s="28"/>
      <c r="F28704" s="28"/>
      <c r="H28704" s="28"/>
    </row>
    <row r="28705" spans="4:8" x14ac:dyDescent="0.25">
      <c r="D28705" s="28"/>
      <c r="F28705" s="28"/>
      <c r="H28705" s="28"/>
    </row>
    <row r="28706" spans="4:8" x14ac:dyDescent="0.25">
      <c r="D28706" s="28"/>
      <c r="F28706" s="28"/>
      <c r="H28706" s="28"/>
    </row>
    <row r="28707" spans="4:8" x14ac:dyDescent="0.25">
      <c r="D28707" s="28"/>
      <c r="F28707" s="28"/>
      <c r="H28707" s="28"/>
    </row>
    <row r="28708" spans="4:8" x14ac:dyDescent="0.25">
      <c r="D28708" s="28"/>
      <c r="F28708" s="28"/>
      <c r="H28708" s="28"/>
    </row>
    <row r="28709" spans="4:8" x14ac:dyDescent="0.25">
      <c r="D28709" s="28"/>
      <c r="F28709" s="28"/>
      <c r="H28709" s="28"/>
    </row>
    <row r="28710" spans="4:8" x14ac:dyDescent="0.25">
      <c r="D28710" s="28"/>
      <c r="F28710" s="28"/>
      <c r="H28710" s="28"/>
    </row>
    <row r="28711" spans="4:8" x14ac:dyDescent="0.25">
      <c r="D28711" s="28"/>
      <c r="F28711" s="28"/>
      <c r="H28711" s="28"/>
    </row>
    <row r="28712" spans="4:8" x14ac:dyDescent="0.25">
      <c r="D28712" s="28"/>
      <c r="F28712" s="28"/>
      <c r="H28712" s="28"/>
    </row>
    <row r="28713" spans="4:8" x14ac:dyDescent="0.25">
      <c r="D28713" s="28"/>
      <c r="F28713" s="28"/>
      <c r="H28713" s="28"/>
    </row>
    <row r="28714" spans="4:8" x14ac:dyDescent="0.25">
      <c r="D28714" s="28"/>
      <c r="F28714" s="28"/>
      <c r="H28714" s="28"/>
    </row>
    <row r="28715" spans="4:8" x14ac:dyDescent="0.25">
      <c r="D28715" s="28"/>
      <c r="F28715" s="28"/>
      <c r="H28715" s="28"/>
    </row>
    <row r="28716" spans="4:8" x14ac:dyDescent="0.25">
      <c r="D28716" s="28"/>
      <c r="F28716" s="28"/>
      <c r="H28716" s="28"/>
    </row>
    <row r="28717" spans="4:8" x14ac:dyDescent="0.25">
      <c r="D28717" s="28"/>
      <c r="F28717" s="28"/>
      <c r="H28717" s="28"/>
    </row>
    <row r="28718" spans="4:8" x14ac:dyDescent="0.25">
      <c r="D28718" s="28"/>
      <c r="F28718" s="28"/>
      <c r="H28718" s="28"/>
    </row>
    <row r="28719" spans="4:8" x14ac:dyDescent="0.25">
      <c r="D28719" s="28"/>
      <c r="F28719" s="28"/>
      <c r="H28719" s="28"/>
    </row>
    <row r="28720" spans="4:8" x14ac:dyDescent="0.25">
      <c r="D28720" s="28"/>
      <c r="F28720" s="28"/>
      <c r="H28720" s="28"/>
    </row>
    <row r="28721" spans="4:8" x14ac:dyDescent="0.25">
      <c r="D28721" s="28"/>
      <c r="F28721" s="28"/>
      <c r="H28721" s="28"/>
    </row>
    <row r="28722" spans="4:8" x14ac:dyDescent="0.25">
      <c r="D28722" s="28"/>
      <c r="F28722" s="28"/>
      <c r="H28722" s="28"/>
    </row>
    <row r="28723" spans="4:8" x14ac:dyDescent="0.25">
      <c r="D28723" s="28"/>
      <c r="F28723" s="28"/>
      <c r="H28723" s="28"/>
    </row>
    <row r="28724" spans="4:8" x14ac:dyDescent="0.25">
      <c r="D28724" s="28"/>
      <c r="F28724" s="28"/>
      <c r="H28724" s="28"/>
    </row>
    <row r="28725" spans="4:8" x14ac:dyDescent="0.25">
      <c r="D28725" s="28"/>
      <c r="F28725" s="28"/>
      <c r="H28725" s="28"/>
    </row>
    <row r="28726" spans="4:8" x14ac:dyDescent="0.25">
      <c r="D28726" s="28"/>
      <c r="F28726" s="28"/>
      <c r="H28726" s="28"/>
    </row>
    <row r="28727" spans="4:8" x14ac:dyDescent="0.25">
      <c r="D28727" s="28"/>
      <c r="F28727" s="28"/>
      <c r="H28727" s="28"/>
    </row>
    <row r="28728" spans="4:8" x14ac:dyDescent="0.25">
      <c r="D28728" s="28"/>
      <c r="F28728" s="28"/>
      <c r="H28728" s="28"/>
    </row>
    <row r="28729" spans="4:8" x14ac:dyDescent="0.25">
      <c r="D28729" s="28"/>
      <c r="F28729" s="28"/>
      <c r="H28729" s="28"/>
    </row>
    <row r="28730" spans="4:8" x14ac:dyDescent="0.25">
      <c r="D28730" s="28"/>
      <c r="F28730" s="28"/>
      <c r="H28730" s="28"/>
    </row>
    <row r="28731" spans="4:8" x14ac:dyDescent="0.25">
      <c r="D28731" s="28"/>
      <c r="F28731" s="28"/>
      <c r="H28731" s="28"/>
    </row>
    <row r="28732" spans="4:8" x14ac:dyDescent="0.25">
      <c r="D28732" s="28"/>
      <c r="F28732" s="28"/>
      <c r="H28732" s="28"/>
    </row>
    <row r="28733" spans="4:8" x14ac:dyDescent="0.25">
      <c r="D28733" s="28"/>
      <c r="F28733" s="28"/>
      <c r="H28733" s="28"/>
    </row>
    <row r="28734" spans="4:8" x14ac:dyDescent="0.25">
      <c r="D28734" s="28"/>
      <c r="F28734" s="28"/>
      <c r="H28734" s="28"/>
    </row>
    <row r="28735" spans="4:8" x14ac:dyDescent="0.25">
      <c r="D28735" s="28"/>
      <c r="F28735" s="28"/>
      <c r="H28735" s="28"/>
    </row>
    <row r="28736" spans="4:8" x14ac:dyDescent="0.25">
      <c r="D28736" s="28"/>
      <c r="F28736" s="28"/>
      <c r="H28736" s="28"/>
    </row>
    <row r="28737" spans="4:8" x14ac:dyDescent="0.25">
      <c r="D28737" s="28"/>
      <c r="F28737" s="28"/>
      <c r="H28737" s="28"/>
    </row>
    <row r="28738" spans="4:8" x14ac:dyDescent="0.25">
      <c r="D28738" s="28"/>
      <c r="F28738" s="28"/>
      <c r="H28738" s="28"/>
    </row>
    <row r="28739" spans="4:8" x14ac:dyDescent="0.25">
      <c r="D28739" s="28"/>
      <c r="F28739" s="28"/>
      <c r="H28739" s="28"/>
    </row>
    <row r="28740" spans="4:8" x14ac:dyDescent="0.25">
      <c r="D28740" s="28"/>
      <c r="F28740" s="28"/>
      <c r="H28740" s="28"/>
    </row>
    <row r="28741" spans="4:8" x14ac:dyDescent="0.25">
      <c r="D28741" s="28"/>
      <c r="F28741" s="28"/>
      <c r="H28741" s="28"/>
    </row>
    <row r="28742" spans="4:8" x14ac:dyDescent="0.25">
      <c r="D28742" s="28"/>
      <c r="F28742" s="28"/>
      <c r="H28742" s="28"/>
    </row>
    <row r="28743" spans="4:8" x14ac:dyDescent="0.25">
      <c r="D28743" s="28"/>
      <c r="F28743" s="28"/>
      <c r="H28743" s="28"/>
    </row>
    <row r="28744" spans="4:8" x14ac:dyDescent="0.25">
      <c r="D28744" s="28"/>
      <c r="F28744" s="28"/>
      <c r="H28744" s="28"/>
    </row>
    <row r="28745" spans="4:8" x14ac:dyDescent="0.25">
      <c r="D28745" s="28"/>
      <c r="F28745" s="28"/>
      <c r="H28745" s="28"/>
    </row>
    <row r="28746" spans="4:8" x14ac:dyDescent="0.25">
      <c r="D28746" s="28"/>
      <c r="F28746" s="28"/>
      <c r="H28746" s="28"/>
    </row>
    <row r="28747" spans="4:8" x14ac:dyDescent="0.25">
      <c r="D28747" s="28"/>
      <c r="F28747" s="28"/>
      <c r="H28747" s="28"/>
    </row>
    <row r="28748" spans="4:8" x14ac:dyDescent="0.25">
      <c r="D28748" s="28"/>
      <c r="F28748" s="28"/>
      <c r="H28748" s="28"/>
    </row>
    <row r="28749" spans="4:8" x14ac:dyDescent="0.25">
      <c r="D28749" s="28"/>
      <c r="F28749" s="28"/>
      <c r="H28749" s="28"/>
    </row>
    <row r="28750" spans="4:8" x14ac:dyDescent="0.25">
      <c r="D28750" s="28"/>
      <c r="F28750" s="28"/>
      <c r="H28750" s="28"/>
    </row>
    <row r="28751" spans="4:8" x14ac:dyDescent="0.25">
      <c r="D28751" s="28"/>
      <c r="F28751" s="28"/>
      <c r="H28751" s="28"/>
    </row>
    <row r="28752" spans="4:8" x14ac:dyDescent="0.25">
      <c r="D28752" s="28"/>
      <c r="F28752" s="28"/>
      <c r="H28752" s="28"/>
    </row>
    <row r="28753" spans="4:8" x14ac:dyDescent="0.25">
      <c r="D28753" s="28"/>
      <c r="F28753" s="28"/>
      <c r="H28753" s="28"/>
    </row>
    <row r="28754" spans="4:8" x14ac:dyDescent="0.25">
      <c r="D28754" s="28"/>
      <c r="F28754" s="28"/>
      <c r="H28754" s="28"/>
    </row>
    <row r="28755" spans="4:8" x14ac:dyDescent="0.25">
      <c r="D28755" s="28"/>
      <c r="F28755" s="28"/>
      <c r="H28755" s="28"/>
    </row>
    <row r="28756" spans="4:8" x14ac:dyDescent="0.25">
      <c r="D28756" s="28"/>
      <c r="F28756" s="28"/>
      <c r="H28756" s="28"/>
    </row>
    <row r="28757" spans="4:8" x14ac:dyDescent="0.25">
      <c r="D28757" s="28"/>
      <c r="F28757" s="28"/>
      <c r="H28757" s="28"/>
    </row>
    <row r="28758" spans="4:8" x14ac:dyDescent="0.25">
      <c r="D28758" s="28"/>
      <c r="F28758" s="28"/>
      <c r="H28758" s="28"/>
    </row>
    <row r="28759" spans="4:8" x14ac:dyDescent="0.25">
      <c r="D28759" s="28"/>
      <c r="F28759" s="28"/>
      <c r="H28759" s="28"/>
    </row>
    <row r="28760" spans="4:8" x14ac:dyDescent="0.25">
      <c r="D28760" s="28"/>
      <c r="F28760" s="28"/>
      <c r="H28760" s="28"/>
    </row>
    <row r="28761" spans="4:8" x14ac:dyDescent="0.25">
      <c r="D28761" s="28"/>
      <c r="F28761" s="28"/>
      <c r="H28761" s="28"/>
    </row>
    <row r="28762" spans="4:8" x14ac:dyDescent="0.25">
      <c r="D28762" s="28"/>
      <c r="F28762" s="28"/>
      <c r="H28762" s="28"/>
    </row>
    <row r="28763" spans="4:8" x14ac:dyDescent="0.25">
      <c r="D28763" s="28"/>
      <c r="F28763" s="28"/>
      <c r="H28763" s="28"/>
    </row>
    <row r="28764" spans="4:8" x14ac:dyDescent="0.25">
      <c r="D28764" s="28"/>
      <c r="F28764" s="28"/>
      <c r="H28764" s="28"/>
    </row>
    <row r="28765" spans="4:8" x14ac:dyDescent="0.25">
      <c r="D28765" s="28"/>
      <c r="F28765" s="28"/>
      <c r="H28765" s="28"/>
    </row>
    <row r="28766" spans="4:8" x14ac:dyDescent="0.25">
      <c r="D28766" s="28"/>
      <c r="F28766" s="28"/>
      <c r="H28766" s="28"/>
    </row>
    <row r="28767" spans="4:8" x14ac:dyDescent="0.25">
      <c r="D28767" s="28"/>
      <c r="F28767" s="28"/>
      <c r="H28767" s="28"/>
    </row>
    <row r="28768" spans="4:8" x14ac:dyDescent="0.25">
      <c r="D28768" s="28"/>
      <c r="F28768" s="28"/>
      <c r="H28768" s="28"/>
    </row>
    <row r="28769" spans="4:8" x14ac:dyDescent="0.25">
      <c r="D28769" s="28"/>
      <c r="F28769" s="28"/>
      <c r="H28769" s="28"/>
    </row>
    <row r="28770" spans="4:8" x14ac:dyDescent="0.25">
      <c r="D28770" s="28"/>
      <c r="F28770" s="28"/>
      <c r="H28770" s="28"/>
    </row>
    <row r="28771" spans="4:8" x14ac:dyDescent="0.25">
      <c r="D28771" s="28"/>
      <c r="F28771" s="28"/>
      <c r="H28771" s="28"/>
    </row>
    <row r="28772" spans="4:8" x14ac:dyDescent="0.25">
      <c r="D28772" s="28"/>
      <c r="F28772" s="28"/>
      <c r="H28772" s="28"/>
    </row>
    <row r="28773" spans="4:8" x14ac:dyDescent="0.25">
      <c r="D28773" s="28"/>
      <c r="F28773" s="28"/>
      <c r="H28773" s="28"/>
    </row>
    <row r="28774" spans="4:8" x14ac:dyDescent="0.25">
      <c r="D28774" s="28"/>
      <c r="F28774" s="28"/>
      <c r="H28774" s="28"/>
    </row>
    <row r="28775" spans="4:8" x14ac:dyDescent="0.25">
      <c r="D28775" s="28"/>
      <c r="F28775" s="28"/>
      <c r="H28775" s="28"/>
    </row>
    <row r="28776" spans="4:8" x14ac:dyDescent="0.25">
      <c r="D28776" s="28"/>
      <c r="F28776" s="28"/>
      <c r="H28776" s="28"/>
    </row>
    <row r="28777" spans="4:8" x14ac:dyDescent="0.25">
      <c r="D28777" s="28"/>
      <c r="F28777" s="28"/>
      <c r="H28777" s="28"/>
    </row>
    <row r="28778" spans="4:8" x14ac:dyDescent="0.25">
      <c r="D28778" s="28"/>
      <c r="F28778" s="28"/>
      <c r="H28778" s="28"/>
    </row>
    <row r="28779" spans="4:8" x14ac:dyDescent="0.25">
      <c r="D28779" s="28"/>
      <c r="F28779" s="28"/>
      <c r="H28779" s="28"/>
    </row>
    <row r="28780" spans="4:8" x14ac:dyDescent="0.25">
      <c r="D28780" s="28"/>
      <c r="F28780" s="28"/>
      <c r="H28780" s="28"/>
    </row>
    <row r="28781" spans="4:8" x14ac:dyDescent="0.25">
      <c r="D28781" s="28"/>
      <c r="F28781" s="28"/>
      <c r="H28781" s="28"/>
    </row>
    <row r="28782" spans="4:8" x14ac:dyDescent="0.25">
      <c r="D28782" s="28"/>
      <c r="F28782" s="28"/>
      <c r="H28782" s="28"/>
    </row>
    <row r="28783" spans="4:8" x14ac:dyDescent="0.25">
      <c r="D28783" s="28"/>
      <c r="F28783" s="28"/>
      <c r="H28783" s="28"/>
    </row>
    <row r="28784" spans="4:8" x14ac:dyDescent="0.25">
      <c r="D28784" s="28"/>
      <c r="F28784" s="28"/>
      <c r="H28784" s="28"/>
    </row>
    <row r="28785" spans="4:8" x14ac:dyDescent="0.25">
      <c r="D28785" s="28"/>
      <c r="F28785" s="28"/>
      <c r="H28785" s="28"/>
    </row>
    <row r="28786" spans="4:8" x14ac:dyDescent="0.25">
      <c r="D28786" s="28"/>
      <c r="F28786" s="28"/>
      <c r="H28786" s="28"/>
    </row>
    <row r="28787" spans="4:8" x14ac:dyDescent="0.25">
      <c r="D28787" s="28"/>
      <c r="F28787" s="28"/>
      <c r="H28787" s="28"/>
    </row>
    <row r="28788" spans="4:8" x14ac:dyDescent="0.25">
      <c r="D28788" s="28"/>
      <c r="F28788" s="28"/>
      <c r="H28788" s="28"/>
    </row>
    <row r="28789" spans="4:8" x14ac:dyDescent="0.25">
      <c r="D28789" s="28"/>
      <c r="F28789" s="28"/>
      <c r="H28789" s="28"/>
    </row>
    <row r="28790" spans="4:8" x14ac:dyDescent="0.25">
      <c r="D28790" s="28"/>
      <c r="F28790" s="28"/>
      <c r="H28790" s="28"/>
    </row>
    <row r="28791" spans="4:8" x14ac:dyDescent="0.25">
      <c r="D28791" s="28"/>
      <c r="F28791" s="28"/>
      <c r="H28791" s="28"/>
    </row>
    <row r="28792" spans="4:8" x14ac:dyDescent="0.25">
      <c r="D28792" s="28"/>
      <c r="F28792" s="28"/>
      <c r="H28792" s="28"/>
    </row>
    <row r="28793" spans="4:8" x14ac:dyDescent="0.25">
      <c r="D28793" s="28"/>
      <c r="F28793" s="28"/>
      <c r="H28793" s="28"/>
    </row>
    <row r="28794" spans="4:8" x14ac:dyDescent="0.25">
      <c r="D28794" s="28"/>
      <c r="F28794" s="28"/>
      <c r="H28794" s="28"/>
    </row>
    <row r="28795" spans="4:8" x14ac:dyDescent="0.25">
      <c r="D28795" s="28"/>
      <c r="F28795" s="28"/>
      <c r="H28795" s="28"/>
    </row>
    <row r="28796" spans="4:8" x14ac:dyDescent="0.25">
      <c r="D28796" s="28"/>
      <c r="F28796" s="28"/>
      <c r="H28796" s="28"/>
    </row>
    <row r="28797" spans="4:8" x14ac:dyDescent="0.25">
      <c r="D28797" s="28"/>
      <c r="F28797" s="28"/>
      <c r="H28797" s="28"/>
    </row>
    <row r="28798" spans="4:8" x14ac:dyDescent="0.25">
      <c r="D28798" s="28"/>
      <c r="F28798" s="28"/>
      <c r="H28798" s="28"/>
    </row>
    <row r="28799" spans="4:8" x14ac:dyDescent="0.25">
      <c r="D28799" s="28"/>
      <c r="F28799" s="28"/>
      <c r="H28799" s="28"/>
    </row>
    <row r="28800" spans="4:8" x14ac:dyDescent="0.25">
      <c r="D28800" s="28"/>
      <c r="F28800" s="28"/>
      <c r="H28800" s="28"/>
    </row>
    <row r="28801" spans="4:8" x14ac:dyDescent="0.25">
      <c r="D28801" s="28"/>
      <c r="F28801" s="28"/>
      <c r="H28801" s="28"/>
    </row>
    <row r="28802" spans="4:8" x14ac:dyDescent="0.25">
      <c r="D28802" s="28"/>
      <c r="F28802" s="28"/>
      <c r="H28802" s="28"/>
    </row>
    <row r="28803" spans="4:8" x14ac:dyDescent="0.25">
      <c r="D28803" s="28"/>
      <c r="F28803" s="28"/>
      <c r="H28803" s="28"/>
    </row>
    <row r="28804" spans="4:8" x14ac:dyDescent="0.25">
      <c r="D28804" s="28"/>
      <c r="F28804" s="28"/>
      <c r="H28804" s="28"/>
    </row>
    <row r="28805" spans="4:8" x14ac:dyDescent="0.25">
      <c r="D28805" s="28"/>
      <c r="F28805" s="28"/>
      <c r="H28805" s="28"/>
    </row>
    <row r="28806" spans="4:8" x14ac:dyDescent="0.25">
      <c r="D28806" s="28"/>
      <c r="F28806" s="28"/>
      <c r="H28806" s="28"/>
    </row>
    <row r="28807" spans="4:8" x14ac:dyDescent="0.25">
      <c r="D28807" s="28"/>
      <c r="F28807" s="28"/>
      <c r="H28807" s="28"/>
    </row>
    <row r="28808" spans="4:8" x14ac:dyDescent="0.25">
      <c r="D28808" s="28"/>
      <c r="F28808" s="28"/>
      <c r="H28808" s="28"/>
    </row>
    <row r="28809" spans="4:8" x14ac:dyDescent="0.25">
      <c r="D28809" s="28"/>
      <c r="F28809" s="28"/>
      <c r="H28809" s="28"/>
    </row>
    <row r="28810" spans="4:8" x14ac:dyDescent="0.25">
      <c r="D28810" s="28"/>
      <c r="F28810" s="28"/>
      <c r="H28810" s="28"/>
    </row>
    <row r="28811" spans="4:8" x14ac:dyDescent="0.25">
      <c r="D28811" s="28"/>
      <c r="F28811" s="28"/>
      <c r="H28811" s="28"/>
    </row>
    <row r="28812" spans="4:8" x14ac:dyDescent="0.25">
      <c r="D28812" s="28"/>
      <c r="F28812" s="28"/>
      <c r="H28812" s="28"/>
    </row>
    <row r="28813" spans="4:8" x14ac:dyDescent="0.25">
      <c r="D28813" s="28"/>
      <c r="F28813" s="28"/>
      <c r="H28813" s="28"/>
    </row>
    <row r="28814" spans="4:8" x14ac:dyDescent="0.25">
      <c r="D28814" s="28"/>
      <c r="F28814" s="28"/>
      <c r="H28814" s="28"/>
    </row>
    <row r="28815" spans="4:8" x14ac:dyDescent="0.25">
      <c r="D28815" s="28"/>
      <c r="F28815" s="28"/>
      <c r="H28815" s="28"/>
    </row>
    <row r="28816" spans="4:8" x14ac:dyDescent="0.25">
      <c r="D28816" s="28"/>
      <c r="F28816" s="28"/>
      <c r="H28816" s="28"/>
    </row>
    <row r="28817" spans="4:8" x14ac:dyDescent="0.25">
      <c r="D28817" s="28"/>
      <c r="F28817" s="28"/>
      <c r="H28817" s="28"/>
    </row>
    <row r="28818" spans="4:8" x14ac:dyDescent="0.25">
      <c r="D28818" s="28"/>
      <c r="F28818" s="28"/>
      <c r="H28818" s="28"/>
    </row>
    <row r="28819" spans="4:8" x14ac:dyDescent="0.25">
      <c r="D28819" s="28"/>
      <c r="F28819" s="28"/>
      <c r="H28819" s="28"/>
    </row>
    <row r="28820" spans="4:8" x14ac:dyDescent="0.25">
      <c r="D28820" s="28"/>
      <c r="F28820" s="28"/>
      <c r="H28820" s="28"/>
    </row>
    <row r="28821" spans="4:8" x14ac:dyDescent="0.25">
      <c r="D28821" s="28"/>
      <c r="F28821" s="28"/>
      <c r="H28821" s="28"/>
    </row>
    <row r="28822" spans="4:8" x14ac:dyDescent="0.25">
      <c r="D28822" s="28"/>
      <c r="F28822" s="28"/>
      <c r="H28822" s="28"/>
    </row>
    <row r="28823" spans="4:8" x14ac:dyDescent="0.25">
      <c r="D28823" s="28"/>
      <c r="F28823" s="28"/>
      <c r="H28823" s="28"/>
    </row>
    <row r="28824" spans="4:8" x14ac:dyDescent="0.25">
      <c r="D28824" s="28"/>
      <c r="F28824" s="28"/>
      <c r="H28824" s="28"/>
    </row>
    <row r="28825" spans="4:8" x14ac:dyDescent="0.25">
      <c r="D28825" s="28"/>
      <c r="F28825" s="28"/>
      <c r="H28825" s="28"/>
    </row>
    <row r="28826" spans="4:8" x14ac:dyDescent="0.25">
      <c r="D28826" s="28"/>
      <c r="F28826" s="28"/>
      <c r="H28826" s="28"/>
    </row>
    <row r="28827" spans="4:8" x14ac:dyDescent="0.25">
      <c r="D28827" s="28"/>
      <c r="F28827" s="28"/>
      <c r="H28827" s="28"/>
    </row>
    <row r="28828" spans="4:8" x14ac:dyDescent="0.25">
      <c r="D28828" s="28"/>
      <c r="F28828" s="28"/>
      <c r="H28828" s="28"/>
    </row>
    <row r="28829" spans="4:8" x14ac:dyDescent="0.25">
      <c r="D28829" s="28"/>
      <c r="F28829" s="28"/>
      <c r="H28829" s="28"/>
    </row>
    <row r="28830" spans="4:8" x14ac:dyDescent="0.25">
      <c r="D28830" s="28"/>
      <c r="F28830" s="28"/>
      <c r="H28830" s="28"/>
    </row>
    <row r="28831" spans="4:8" x14ac:dyDescent="0.25">
      <c r="D28831" s="28"/>
      <c r="F28831" s="28"/>
      <c r="H28831" s="28"/>
    </row>
    <row r="28832" spans="4:8" x14ac:dyDescent="0.25">
      <c r="D28832" s="28"/>
      <c r="F28832" s="28"/>
      <c r="H28832" s="28"/>
    </row>
    <row r="28833" spans="4:8" x14ac:dyDescent="0.25">
      <c r="D28833" s="28"/>
      <c r="F28833" s="28"/>
      <c r="H28833" s="28"/>
    </row>
    <row r="28834" spans="4:8" x14ac:dyDescent="0.25">
      <c r="D28834" s="28"/>
      <c r="F28834" s="28"/>
      <c r="H28834" s="28"/>
    </row>
    <row r="28835" spans="4:8" x14ac:dyDescent="0.25">
      <c r="D28835" s="28"/>
      <c r="F28835" s="28"/>
      <c r="H28835" s="28"/>
    </row>
    <row r="28836" spans="4:8" x14ac:dyDescent="0.25">
      <c r="D28836" s="28"/>
      <c r="F28836" s="28"/>
      <c r="H28836" s="28"/>
    </row>
    <row r="28837" spans="4:8" x14ac:dyDescent="0.25">
      <c r="D28837" s="28"/>
      <c r="F28837" s="28"/>
      <c r="H28837" s="28"/>
    </row>
    <row r="28838" spans="4:8" x14ac:dyDescent="0.25">
      <c r="D28838" s="28"/>
      <c r="F28838" s="28"/>
      <c r="H28838" s="28"/>
    </row>
    <row r="28839" spans="4:8" x14ac:dyDescent="0.25">
      <c r="D28839" s="28"/>
      <c r="F28839" s="28"/>
      <c r="H28839" s="28"/>
    </row>
    <row r="28840" spans="4:8" x14ac:dyDescent="0.25">
      <c r="D28840" s="28"/>
      <c r="F28840" s="28"/>
      <c r="H28840" s="28"/>
    </row>
    <row r="28841" spans="4:8" x14ac:dyDescent="0.25">
      <c r="D28841" s="28"/>
      <c r="F28841" s="28"/>
      <c r="H28841" s="28"/>
    </row>
    <row r="28842" spans="4:8" x14ac:dyDescent="0.25">
      <c r="D28842" s="28"/>
      <c r="F28842" s="28"/>
      <c r="H28842" s="28"/>
    </row>
    <row r="28843" spans="4:8" x14ac:dyDescent="0.25">
      <c r="D28843" s="28"/>
      <c r="F28843" s="28"/>
      <c r="H28843" s="28"/>
    </row>
    <row r="28844" spans="4:8" x14ac:dyDescent="0.25">
      <c r="D28844" s="28"/>
      <c r="F28844" s="28"/>
      <c r="H28844" s="28"/>
    </row>
    <row r="28845" spans="4:8" x14ac:dyDescent="0.25">
      <c r="D28845" s="28"/>
      <c r="F28845" s="28"/>
      <c r="H28845" s="28"/>
    </row>
    <row r="28846" spans="4:8" x14ac:dyDescent="0.25">
      <c r="D28846" s="28"/>
      <c r="F28846" s="28"/>
      <c r="H28846" s="28"/>
    </row>
    <row r="28847" spans="4:8" x14ac:dyDescent="0.25">
      <c r="D28847" s="28"/>
      <c r="F28847" s="28"/>
      <c r="H28847" s="28"/>
    </row>
    <row r="28848" spans="4:8" x14ac:dyDescent="0.25">
      <c r="D28848" s="28"/>
      <c r="F28848" s="28"/>
      <c r="H28848" s="28"/>
    </row>
    <row r="28849" spans="4:8" x14ac:dyDescent="0.25">
      <c r="D28849" s="28"/>
      <c r="F28849" s="28"/>
      <c r="H28849" s="28"/>
    </row>
    <row r="28850" spans="4:8" x14ac:dyDescent="0.25">
      <c r="D28850" s="28"/>
      <c r="F28850" s="28"/>
      <c r="H28850" s="28"/>
    </row>
    <row r="28851" spans="4:8" x14ac:dyDescent="0.25">
      <c r="D28851" s="28"/>
      <c r="F28851" s="28"/>
      <c r="H28851" s="28"/>
    </row>
    <row r="28852" spans="4:8" x14ac:dyDescent="0.25">
      <c r="D28852" s="28"/>
      <c r="F28852" s="28"/>
      <c r="H28852" s="28"/>
    </row>
    <row r="28853" spans="4:8" x14ac:dyDescent="0.25">
      <c r="D28853" s="28"/>
      <c r="F28853" s="28"/>
      <c r="H28853" s="28"/>
    </row>
    <row r="28854" spans="4:8" x14ac:dyDescent="0.25">
      <c r="D28854" s="28"/>
      <c r="F28854" s="28"/>
      <c r="H28854" s="28"/>
    </row>
    <row r="28855" spans="4:8" x14ac:dyDescent="0.25">
      <c r="D28855" s="28"/>
      <c r="F28855" s="28"/>
      <c r="H28855" s="28"/>
    </row>
    <row r="28856" spans="4:8" x14ac:dyDescent="0.25">
      <c r="D28856" s="28"/>
      <c r="F28856" s="28"/>
      <c r="H28856" s="28"/>
    </row>
    <row r="28857" spans="4:8" x14ac:dyDescent="0.25">
      <c r="D28857" s="28"/>
      <c r="F28857" s="28"/>
      <c r="H28857" s="28"/>
    </row>
    <row r="28858" spans="4:8" x14ac:dyDescent="0.25">
      <c r="D28858" s="28"/>
      <c r="F28858" s="28"/>
      <c r="H28858" s="28"/>
    </row>
    <row r="28859" spans="4:8" x14ac:dyDescent="0.25">
      <c r="D28859" s="28"/>
      <c r="F28859" s="28"/>
      <c r="H28859" s="28"/>
    </row>
    <row r="28860" spans="4:8" x14ac:dyDescent="0.25">
      <c r="D28860" s="28"/>
      <c r="F28860" s="28"/>
      <c r="H28860" s="28"/>
    </row>
    <row r="28861" spans="4:8" x14ac:dyDescent="0.25">
      <c r="D28861" s="28"/>
      <c r="F28861" s="28"/>
      <c r="H28861" s="28"/>
    </row>
    <row r="28862" spans="4:8" x14ac:dyDescent="0.25">
      <c r="D28862" s="28"/>
      <c r="F28862" s="28"/>
      <c r="H28862" s="28"/>
    </row>
    <row r="28863" spans="4:8" x14ac:dyDescent="0.25">
      <c r="D28863" s="28"/>
      <c r="F28863" s="28"/>
      <c r="H28863" s="28"/>
    </row>
    <row r="28864" spans="4:8" x14ac:dyDescent="0.25">
      <c r="D28864" s="28"/>
      <c r="F28864" s="28"/>
      <c r="H28864" s="28"/>
    </row>
    <row r="28865" spans="4:8" x14ac:dyDescent="0.25">
      <c r="D28865" s="28"/>
      <c r="F28865" s="28"/>
      <c r="H28865" s="28"/>
    </row>
    <row r="28866" spans="4:8" x14ac:dyDescent="0.25">
      <c r="D28866" s="28"/>
      <c r="F28866" s="28"/>
      <c r="H28866" s="28"/>
    </row>
    <row r="28867" spans="4:8" x14ac:dyDescent="0.25">
      <c r="D28867" s="28"/>
      <c r="F28867" s="28"/>
      <c r="H28867" s="28"/>
    </row>
    <row r="28868" spans="4:8" x14ac:dyDescent="0.25">
      <c r="D28868" s="28"/>
      <c r="F28868" s="28"/>
      <c r="H28868" s="28"/>
    </row>
    <row r="28869" spans="4:8" x14ac:dyDescent="0.25">
      <c r="D28869" s="28"/>
      <c r="F28869" s="28"/>
      <c r="H28869" s="28"/>
    </row>
    <row r="28870" spans="4:8" x14ac:dyDescent="0.25">
      <c r="D28870" s="28"/>
      <c r="F28870" s="28"/>
      <c r="H28870" s="28"/>
    </row>
    <row r="28871" spans="4:8" x14ac:dyDescent="0.25">
      <c r="D28871" s="28"/>
      <c r="F28871" s="28"/>
      <c r="H28871" s="28"/>
    </row>
    <row r="28872" spans="4:8" x14ac:dyDescent="0.25">
      <c r="D28872" s="28"/>
      <c r="F28872" s="28"/>
      <c r="H28872" s="28"/>
    </row>
    <row r="28873" spans="4:8" x14ac:dyDescent="0.25">
      <c r="D28873" s="28"/>
      <c r="F28873" s="28"/>
      <c r="H28873" s="28"/>
    </row>
    <row r="28874" spans="4:8" x14ac:dyDescent="0.25">
      <c r="D28874" s="28"/>
      <c r="F28874" s="28"/>
      <c r="H28874" s="28"/>
    </row>
    <row r="28875" spans="4:8" x14ac:dyDescent="0.25">
      <c r="D28875" s="28"/>
      <c r="F28875" s="28"/>
      <c r="H28875" s="28"/>
    </row>
    <row r="28876" spans="4:8" x14ac:dyDescent="0.25">
      <c r="D28876" s="28"/>
      <c r="F28876" s="28"/>
      <c r="H28876" s="28"/>
    </row>
    <row r="28877" spans="4:8" x14ac:dyDescent="0.25">
      <c r="D28877" s="28"/>
      <c r="F28877" s="28"/>
      <c r="H28877" s="28"/>
    </row>
    <row r="28878" spans="4:8" x14ac:dyDescent="0.25">
      <c r="D28878" s="28"/>
      <c r="F28878" s="28"/>
      <c r="H28878" s="28"/>
    </row>
    <row r="28879" spans="4:8" x14ac:dyDescent="0.25">
      <c r="D28879" s="28"/>
      <c r="F28879" s="28"/>
      <c r="H28879" s="28"/>
    </row>
    <row r="28880" spans="4:8" x14ac:dyDescent="0.25">
      <c r="D28880" s="28"/>
      <c r="F28880" s="28"/>
      <c r="H28880" s="28"/>
    </row>
    <row r="28881" spans="4:8" x14ac:dyDescent="0.25">
      <c r="D28881" s="28"/>
      <c r="F28881" s="28"/>
      <c r="H28881" s="28"/>
    </row>
    <row r="28882" spans="4:8" x14ac:dyDescent="0.25">
      <c r="D28882" s="28"/>
      <c r="F28882" s="28"/>
      <c r="H28882" s="28"/>
    </row>
    <row r="28883" spans="4:8" x14ac:dyDescent="0.25">
      <c r="D28883" s="28"/>
      <c r="F28883" s="28"/>
      <c r="H28883" s="28"/>
    </row>
    <row r="28884" spans="4:8" x14ac:dyDescent="0.25">
      <c r="D28884" s="28"/>
      <c r="F28884" s="28"/>
      <c r="H28884" s="28"/>
    </row>
    <row r="28885" spans="4:8" x14ac:dyDescent="0.25">
      <c r="D28885" s="28"/>
      <c r="F28885" s="28"/>
      <c r="H28885" s="28"/>
    </row>
    <row r="28886" spans="4:8" x14ac:dyDescent="0.25">
      <c r="D28886" s="28"/>
      <c r="F28886" s="28"/>
      <c r="H28886" s="28"/>
    </row>
    <row r="28887" spans="4:8" x14ac:dyDescent="0.25">
      <c r="D28887" s="28"/>
      <c r="F28887" s="28"/>
      <c r="H28887" s="28"/>
    </row>
    <row r="28888" spans="4:8" x14ac:dyDescent="0.25">
      <c r="D28888" s="28"/>
      <c r="F28888" s="28"/>
      <c r="H28888" s="28"/>
    </row>
    <row r="28889" spans="4:8" x14ac:dyDescent="0.25">
      <c r="D28889" s="28"/>
      <c r="F28889" s="28"/>
      <c r="H28889" s="28"/>
    </row>
    <row r="28890" spans="4:8" x14ac:dyDescent="0.25">
      <c r="D28890" s="28"/>
      <c r="F28890" s="28"/>
      <c r="H28890" s="28"/>
    </row>
    <row r="28891" spans="4:8" x14ac:dyDescent="0.25">
      <c r="D28891" s="28"/>
      <c r="F28891" s="28"/>
      <c r="H28891" s="28"/>
    </row>
    <row r="28892" spans="4:8" x14ac:dyDescent="0.25">
      <c r="D28892" s="28"/>
      <c r="F28892" s="28"/>
      <c r="H28892" s="28"/>
    </row>
    <row r="28893" spans="4:8" x14ac:dyDescent="0.25">
      <c r="D28893" s="28"/>
      <c r="F28893" s="28"/>
      <c r="H28893" s="28"/>
    </row>
    <row r="28894" spans="4:8" x14ac:dyDescent="0.25">
      <c r="D28894" s="28"/>
      <c r="F28894" s="28"/>
      <c r="H28894" s="28"/>
    </row>
    <row r="28895" spans="4:8" x14ac:dyDescent="0.25">
      <c r="D28895" s="28"/>
      <c r="F28895" s="28"/>
      <c r="H28895" s="28"/>
    </row>
    <row r="28896" spans="4:8" x14ac:dyDescent="0.25">
      <c r="D28896" s="28"/>
      <c r="F28896" s="28"/>
      <c r="H28896" s="28"/>
    </row>
    <row r="28897" spans="4:8" x14ac:dyDescent="0.25">
      <c r="D28897" s="28"/>
      <c r="F28897" s="28"/>
      <c r="H28897" s="28"/>
    </row>
    <row r="28898" spans="4:8" x14ac:dyDescent="0.25">
      <c r="D28898" s="28"/>
      <c r="F28898" s="28"/>
      <c r="H28898" s="28"/>
    </row>
    <row r="28899" spans="4:8" x14ac:dyDescent="0.25">
      <c r="D28899" s="28"/>
      <c r="F28899" s="28"/>
      <c r="H28899" s="28"/>
    </row>
    <row r="28900" spans="4:8" x14ac:dyDescent="0.25">
      <c r="D28900" s="28"/>
      <c r="F28900" s="28"/>
      <c r="H28900" s="28"/>
    </row>
    <row r="28901" spans="4:8" x14ac:dyDescent="0.25">
      <c r="D28901" s="28"/>
      <c r="F28901" s="28"/>
      <c r="H28901" s="28"/>
    </row>
    <row r="28902" spans="4:8" x14ac:dyDescent="0.25">
      <c r="D28902" s="28"/>
      <c r="F28902" s="28"/>
      <c r="H28902" s="28"/>
    </row>
    <row r="28903" spans="4:8" x14ac:dyDescent="0.25">
      <c r="D28903" s="28"/>
      <c r="F28903" s="28"/>
      <c r="H28903" s="28"/>
    </row>
    <row r="28904" spans="4:8" x14ac:dyDescent="0.25">
      <c r="D28904" s="28"/>
      <c r="F28904" s="28"/>
      <c r="H28904" s="28"/>
    </row>
    <row r="28905" spans="4:8" x14ac:dyDescent="0.25">
      <c r="D28905" s="28"/>
      <c r="F28905" s="28"/>
      <c r="H28905" s="28"/>
    </row>
    <row r="28906" spans="4:8" x14ac:dyDescent="0.25">
      <c r="D28906" s="28"/>
      <c r="F28906" s="28"/>
      <c r="H28906" s="28"/>
    </row>
    <row r="28907" spans="4:8" x14ac:dyDescent="0.25">
      <c r="D28907" s="28"/>
      <c r="F28907" s="28"/>
      <c r="H28907" s="28"/>
    </row>
    <row r="28908" spans="4:8" x14ac:dyDescent="0.25">
      <c r="D28908" s="28"/>
      <c r="F28908" s="28"/>
      <c r="H28908" s="28"/>
    </row>
    <row r="28909" spans="4:8" x14ac:dyDescent="0.25">
      <c r="D28909" s="28"/>
      <c r="F28909" s="28"/>
      <c r="H28909" s="28"/>
    </row>
    <row r="28910" spans="4:8" x14ac:dyDescent="0.25">
      <c r="D28910" s="28"/>
      <c r="F28910" s="28"/>
      <c r="H28910" s="28"/>
    </row>
    <row r="28911" spans="4:8" x14ac:dyDescent="0.25">
      <c r="D28911" s="28"/>
      <c r="F28911" s="28"/>
      <c r="H28911" s="28"/>
    </row>
    <row r="28912" spans="4:8" x14ac:dyDescent="0.25">
      <c r="D28912" s="28"/>
      <c r="F28912" s="28"/>
      <c r="H28912" s="28"/>
    </row>
    <row r="28913" spans="4:8" x14ac:dyDescent="0.25">
      <c r="D28913" s="28"/>
      <c r="F28913" s="28"/>
      <c r="H28913" s="28"/>
    </row>
    <row r="28914" spans="4:8" x14ac:dyDescent="0.25">
      <c r="D28914" s="28"/>
      <c r="F28914" s="28"/>
      <c r="H28914" s="28"/>
    </row>
    <row r="28915" spans="4:8" x14ac:dyDescent="0.25">
      <c r="D28915" s="28"/>
      <c r="F28915" s="28"/>
      <c r="H28915" s="28"/>
    </row>
    <row r="28916" spans="4:8" x14ac:dyDescent="0.25">
      <c r="D28916" s="28"/>
      <c r="F28916" s="28"/>
      <c r="H28916" s="28"/>
    </row>
    <row r="28917" spans="4:8" x14ac:dyDescent="0.25">
      <c r="D28917" s="28"/>
      <c r="F28917" s="28"/>
      <c r="H28917" s="28"/>
    </row>
    <row r="28918" spans="4:8" x14ac:dyDescent="0.25">
      <c r="D28918" s="28"/>
      <c r="F28918" s="28"/>
      <c r="H28918" s="28"/>
    </row>
    <row r="28919" spans="4:8" x14ac:dyDescent="0.25">
      <c r="D28919" s="28"/>
      <c r="F28919" s="28"/>
      <c r="H28919" s="28"/>
    </row>
    <row r="28920" spans="4:8" x14ac:dyDescent="0.25">
      <c r="D28920" s="28"/>
      <c r="F28920" s="28"/>
      <c r="H28920" s="28"/>
    </row>
    <row r="28921" spans="4:8" x14ac:dyDescent="0.25">
      <c r="D28921" s="28"/>
      <c r="F28921" s="28"/>
      <c r="H28921" s="28"/>
    </row>
    <row r="28922" spans="4:8" x14ac:dyDescent="0.25">
      <c r="D28922" s="28"/>
      <c r="F28922" s="28"/>
      <c r="H28922" s="28"/>
    </row>
    <row r="28923" spans="4:8" x14ac:dyDescent="0.25">
      <c r="D28923" s="28"/>
      <c r="F28923" s="28"/>
      <c r="H28923" s="28"/>
    </row>
    <row r="28924" spans="4:8" x14ac:dyDescent="0.25">
      <c r="D28924" s="28"/>
      <c r="F28924" s="28"/>
      <c r="H28924" s="28"/>
    </row>
    <row r="28925" spans="4:8" x14ac:dyDescent="0.25">
      <c r="D28925" s="28"/>
      <c r="F28925" s="28"/>
      <c r="H28925" s="28"/>
    </row>
    <row r="28926" spans="4:8" x14ac:dyDescent="0.25">
      <c r="D28926" s="28"/>
      <c r="F28926" s="28"/>
      <c r="H28926" s="28"/>
    </row>
    <row r="28927" spans="4:8" x14ac:dyDescent="0.25">
      <c r="D28927" s="28"/>
      <c r="F28927" s="28"/>
      <c r="H28927" s="28"/>
    </row>
    <row r="28928" spans="4:8" x14ac:dyDescent="0.25">
      <c r="D28928" s="28"/>
      <c r="F28928" s="28"/>
      <c r="H28928" s="28"/>
    </row>
    <row r="28929" spans="4:8" x14ac:dyDescent="0.25">
      <c r="D28929" s="28"/>
      <c r="F28929" s="28"/>
      <c r="H28929" s="28"/>
    </row>
    <row r="28930" spans="4:8" x14ac:dyDescent="0.25">
      <c r="D28930" s="28"/>
      <c r="F28930" s="28"/>
      <c r="H28930" s="28"/>
    </row>
    <row r="28931" spans="4:8" x14ac:dyDescent="0.25">
      <c r="D28931" s="28"/>
      <c r="F28931" s="28"/>
      <c r="H28931" s="28"/>
    </row>
    <row r="28932" spans="4:8" x14ac:dyDescent="0.25">
      <c r="D28932" s="28"/>
      <c r="F28932" s="28"/>
      <c r="H28932" s="28"/>
    </row>
    <row r="28933" spans="4:8" x14ac:dyDescent="0.25">
      <c r="D28933" s="28"/>
      <c r="F28933" s="28"/>
      <c r="H28933" s="28"/>
    </row>
    <row r="28934" spans="4:8" x14ac:dyDescent="0.25">
      <c r="D28934" s="28"/>
      <c r="F28934" s="28"/>
      <c r="H28934" s="28"/>
    </row>
    <row r="28935" spans="4:8" x14ac:dyDescent="0.25">
      <c r="D28935" s="28"/>
      <c r="F28935" s="28"/>
      <c r="H28935" s="28"/>
    </row>
    <row r="28936" spans="4:8" x14ac:dyDescent="0.25">
      <c r="D28936" s="28"/>
      <c r="F28936" s="28"/>
      <c r="H28936" s="28"/>
    </row>
    <row r="28937" spans="4:8" x14ac:dyDescent="0.25">
      <c r="D28937" s="28"/>
      <c r="F28937" s="28"/>
      <c r="H28937" s="28"/>
    </row>
    <row r="28938" spans="4:8" x14ac:dyDescent="0.25">
      <c r="D28938" s="28"/>
      <c r="F28938" s="28"/>
      <c r="H28938" s="28"/>
    </row>
    <row r="28939" spans="4:8" x14ac:dyDescent="0.25">
      <c r="D28939" s="28"/>
      <c r="F28939" s="28"/>
      <c r="H28939" s="28"/>
    </row>
    <row r="28940" spans="4:8" x14ac:dyDescent="0.25">
      <c r="D28940" s="28"/>
      <c r="F28940" s="28"/>
      <c r="H28940" s="28"/>
    </row>
    <row r="28941" spans="4:8" x14ac:dyDescent="0.25">
      <c r="D28941" s="28"/>
      <c r="F28941" s="28"/>
      <c r="H28941" s="28"/>
    </row>
    <row r="28942" spans="4:8" x14ac:dyDescent="0.25">
      <c r="D28942" s="28"/>
      <c r="F28942" s="28"/>
      <c r="H28942" s="28"/>
    </row>
    <row r="28943" spans="4:8" x14ac:dyDescent="0.25">
      <c r="D28943" s="28"/>
      <c r="F28943" s="28"/>
      <c r="H28943" s="28"/>
    </row>
    <row r="28944" spans="4:8" x14ac:dyDescent="0.25">
      <c r="D28944" s="28"/>
      <c r="F28944" s="28"/>
      <c r="H28944" s="28"/>
    </row>
    <row r="28945" spans="4:8" x14ac:dyDescent="0.25">
      <c r="D28945" s="28"/>
      <c r="F28945" s="28"/>
      <c r="H28945" s="28"/>
    </row>
    <row r="28946" spans="4:8" x14ac:dyDescent="0.25">
      <c r="D28946" s="28"/>
      <c r="F28946" s="28"/>
      <c r="H28946" s="28"/>
    </row>
    <row r="28947" spans="4:8" x14ac:dyDescent="0.25">
      <c r="D28947" s="28"/>
      <c r="F28947" s="28"/>
      <c r="H28947" s="28"/>
    </row>
    <row r="28948" spans="4:8" x14ac:dyDescent="0.25">
      <c r="D28948" s="28"/>
      <c r="F28948" s="28"/>
      <c r="H28948" s="28"/>
    </row>
    <row r="28949" spans="4:8" x14ac:dyDescent="0.25">
      <c r="D28949" s="28"/>
      <c r="F28949" s="28"/>
      <c r="H28949" s="28"/>
    </row>
    <row r="28950" spans="4:8" x14ac:dyDescent="0.25">
      <c r="D28950" s="28"/>
      <c r="F28950" s="28"/>
      <c r="H28950" s="28"/>
    </row>
    <row r="28951" spans="4:8" x14ac:dyDescent="0.25">
      <c r="D28951" s="28"/>
      <c r="F28951" s="28"/>
      <c r="H28951" s="28"/>
    </row>
    <row r="28952" spans="4:8" x14ac:dyDescent="0.25">
      <c r="D28952" s="28"/>
      <c r="F28952" s="28"/>
      <c r="H28952" s="28"/>
    </row>
    <row r="28953" spans="4:8" x14ac:dyDescent="0.25">
      <c r="D28953" s="28"/>
      <c r="F28953" s="28"/>
      <c r="H28953" s="28"/>
    </row>
    <row r="28954" spans="4:8" x14ac:dyDescent="0.25">
      <c r="D28954" s="28"/>
      <c r="F28954" s="28"/>
      <c r="H28954" s="28"/>
    </row>
    <row r="28955" spans="4:8" x14ac:dyDescent="0.25">
      <c r="D28955" s="28"/>
      <c r="F28955" s="28"/>
      <c r="H28955" s="28"/>
    </row>
    <row r="28956" spans="4:8" x14ac:dyDescent="0.25">
      <c r="D28956" s="28"/>
      <c r="F28956" s="28"/>
      <c r="H28956" s="28"/>
    </row>
    <row r="28957" spans="4:8" x14ac:dyDescent="0.25">
      <c r="D28957" s="28"/>
      <c r="F28957" s="28"/>
      <c r="H28957" s="28"/>
    </row>
    <row r="28958" spans="4:8" x14ac:dyDescent="0.25">
      <c r="D28958" s="28"/>
      <c r="F28958" s="28"/>
      <c r="H28958" s="28"/>
    </row>
    <row r="28959" spans="4:8" x14ac:dyDescent="0.25">
      <c r="D28959" s="28"/>
      <c r="F28959" s="28"/>
      <c r="H28959" s="28"/>
    </row>
    <row r="28960" spans="4:8" x14ac:dyDescent="0.25">
      <c r="D28960" s="28"/>
      <c r="F28960" s="28"/>
      <c r="H28960" s="28"/>
    </row>
    <row r="28961" spans="4:8" x14ac:dyDescent="0.25">
      <c r="D28961" s="28"/>
      <c r="F28961" s="28"/>
      <c r="H28961" s="28"/>
    </row>
    <row r="28962" spans="4:8" x14ac:dyDescent="0.25">
      <c r="D28962" s="28"/>
      <c r="F28962" s="28"/>
      <c r="H28962" s="28"/>
    </row>
    <row r="28963" spans="4:8" x14ac:dyDescent="0.25">
      <c r="D28963" s="28"/>
      <c r="F28963" s="28"/>
      <c r="H28963" s="28"/>
    </row>
    <row r="28964" spans="4:8" x14ac:dyDescent="0.25">
      <c r="D28964" s="28"/>
      <c r="F28964" s="28"/>
      <c r="H28964" s="28"/>
    </row>
    <row r="28965" spans="4:8" x14ac:dyDescent="0.25">
      <c r="D28965" s="28"/>
      <c r="F28965" s="28"/>
      <c r="H28965" s="28"/>
    </row>
    <row r="28966" spans="4:8" x14ac:dyDescent="0.25">
      <c r="D28966" s="28"/>
      <c r="F28966" s="28"/>
      <c r="H28966" s="28"/>
    </row>
    <row r="28967" spans="4:8" x14ac:dyDescent="0.25">
      <c r="D28967" s="28"/>
      <c r="F28967" s="28"/>
      <c r="H28967" s="28"/>
    </row>
    <row r="28968" spans="4:8" x14ac:dyDescent="0.25">
      <c r="D28968" s="28"/>
      <c r="F28968" s="28"/>
      <c r="H28968" s="28"/>
    </row>
    <row r="28969" spans="4:8" x14ac:dyDescent="0.25">
      <c r="D28969" s="28"/>
      <c r="F28969" s="28"/>
      <c r="H28969" s="28"/>
    </row>
    <row r="28970" spans="4:8" x14ac:dyDescent="0.25">
      <c r="D28970" s="28"/>
      <c r="F28970" s="28"/>
      <c r="H28970" s="28"/>
    </row>
    <row r="28971" spans="4:8" x14ac:dyDescent="0.25">
      <c r="D28971" s="28"/>
      <c r="F28971" s="28"/>
      <c r="H28971" s="28"/>
    </row>
    <row r="28972" spans="4:8" x14ac:dyDescent="0.25">
      <c r="D28972" s="28"/>
      <c r="F28972" s="28"/>
      <c r="H28972" s="28"/>
    </row>
    <row r="28973" spans="4:8" x14ac:dyDescent="0.25">
      <c r="D28973" s="28"/>
      <c r="F28973" s="28"/>
      <c r="H28973" s="28"/>
    </row>
    <row r="28974" spans="4:8" x14ac:dyDescent="0.25">
      <c r="D28974" s="28"/>
      <c r="F28974" s="28"/>
      <c r="H28974" s="28"/>
    </row>
    <row r="28975" spans="4:8" x14ac:dyDescent="0.25">
      <c r="D28975" s="28"/>
      <c r="F28975" s="28"/>
      <c r="H28975" s="28"/>
    </row>
    <row r="28976" spans="4:8" x14ac:dyDescent="0.25">
      <c r="D28976" s="28"/>
      <c r="F28976" s="28"/>
      <c r="H28976" s="28"/>
    </row>
    <row r="28977" spans="4:8" x14ac:dyDescent="0.25">
      <c r="D28977" s="28"/>
      <c r="F28977" s="28"/>
      <c r="H28977" s="28"/>
    </row>
    <row r="28978" spans="4:8" x14ac:dyDescent="0.25">
      <c r="D28978" s="28"/>
      <c r="F28978" s="28"/>
      <c r="H28978" s="28"/>
    </row>
    <row r="28979" spans="4:8" x14ac:dyDescent="0.25">
      <c r="D28979" s="28"/>
      <c r="F28979" s="28"/>
      <c r="H28979" s="28"/>
    </row>
    <row r="28980" spans="4:8" x14ac:dyDescent="0.25">
      <c r="D28980" s="28"/>
      <c r="F28980" s="28"/>
      <c r="H28980" s="28"/>
    </row>
    <row r="28981" spans="4:8" x14ac:dyDescent="0.25">
      <c r="D28981" s="28"/>
      <c r="F28981" s="28"/>
      <c r="H28981" s="28"/>
    </row>
    <row r="28982" spans="4:8" x14ac:dyDescent="0.25">
      <c r="D28982" s="28"/>
      <c r="F28982" s="28"/>
      <c r="H28982" s="28"/>
    </row>
    <row r="28983" spans="4:8" x14ac:dyDescent="0.25">
      <c r="D28983" s="28"/>
      <c r="F28983" s="28"/>
      <c r="H28983" s="28"/>
    </row>
    <row r="28984" spans="4:8" x14ac:dyDescent="0.25">
      <c r="D28984" s="28"/>
      <c r="F28984" s="28"/>
      <c r="H28984" s="28"/>
    </row>
    <row r="28985" spans="4:8" x14ac:dyDescent="0.25">
      <c r="D28985" s="28"/>
      <c r="F28985" s="28"/>
      <c r="H28985" s="28"/>
    </row>
    <row r="28986" spans="4:8" x14ac:dyDescent="0.25">
      <c r="D28986" s="28"/>
      <c r="F28986" s="28"/>
      <c r="H28986" s="28"/>
    </row>
    <row r="28987" spans="4:8" x14ac:dyDescent="0.25">
      <c r="D28987" s="28"/>
      <c r="F28987" s="28"/>
      <c r="H28987" s="28"/>
    </row>
    <row r="28988" spans="4:8" x14ac:dyDescent="0.25">
      <c r="D28988" s="28"/>
      <c r="F28988" s="28"/>
      <c r="H28988" s="28"/>
    </row>
    <row r="28989" spans="4:8" x14ac:dyDescent="0.25">
      <c r="D28989" s="28"/>
      <c r="F28989" s="28"/>
      <c r="H28989" s="28"/>
    </row>
    <row r="28990" spans="4:8" x14ac:dyDescent="0.25">
      <c r="D28990" s="28"/>
      <c r="F28990" s="28"/>
      <c r="H28990" s="28"/>
    </row>
    <row r="28991" spans="4:8" x14ac:dyDescent="0.25">
      <c r="D28991" s="28"/>
      <c r="F28991" s="28"/>
      <c r="H28991" s="28"/>
    </row>
    <row r="28992" spans="4:8" x14ac:dyDescent="0.25">
      <c r="D28992" s="28"/>
      <c r="F28992" s="28"/>
      <c r="H28992" s="28"/>
    </row>
    <row r="28993" spans="4:8" x14ac:dyDescent="0.25">
      <c r="D28993" s="28"/>
      <c r="F28993" s="28"/>
      <c r="H28993" s="28"/>
    </row>
    <row r="28994" spans="4:8" x14ac:dyDescent="0.25">
      <c r="D28994" s="28"/>
      <c r="F28994" s="28"/>
      <c r="H28994" s="28"/>
    </row>
    <row r="28995" spans="4:8" x14ac:dyDescent="0.25">
      <c r="D28995" s="28"/>
      <c r="F28995" s="28"/>
      <c r="H28995" s="28"/>
    </row>
    <row r="28996" spans="4:8" x14ac:dyDescent="0.25">
      <c r="D28996" s="28"/>
      <c r="F28996" s="28"/>
      <c r="H28996" s="28"/>
    </row>
    <row r="28997" spans="4:8" x14ac:dyDescent="0.25">
      <c r="D28997" s="28"/>
      <c r="F28997" s="28"/>
      <c r="H28997" s="28"/>
    </row>
    <row r="28998" spans="4:8" x14ac:dyDescent="0.25">
      <c r="D28998" s="28"/>
      <c r="F28998" s="28"/>
      <c r="H28998" s="28"/>
    </row>
    <row r="28999" spans="4:8" x14ac:dyDescent="0.25">
      <c r="D28999" s="28"/>
      <c r="F28999" s="28"/>
      <c r="H28999" s="28"/>
    </row>
    <row r="29000" spans="4:8" x14ac:dyDescent="0.25">
      <c r="D29000" s="28"/>
      <c r="F29000" s="28"/>
      <c r="H29000" s="28"/>
    </row>
    <row r="29001" spans="4:8" x14ac:dyDescent="0.25">
      <c r="D29001" s="28"/>
      <c r="F29001" s="28"/>
      <c r="H29001" s="28"/>
    </row>
    <row r="29002" spans="4:8" x14ac:dyDescent="0.25">
      <c r="D29002" s="28"/>
      <c r="F29002" s="28"/>
      <c r="H29002" s="28"/>
    </row>
    <row r="29003" spans="4:8" x14ac:dyDescent="0.25">
      <c r="D29003" s="28"/>
      <c r="F29003" s="28"/>
      <c r="H29003" s="28"/>
    </row>
    <row r="29004" spans="4:8" x14ac:dyDescent="0.25">
      <c r="D29004" s="28"/>
      <c r="F29004" s="28"/>
      <c r="H29004" s="28"/>
    </row>
    <row r="29005" spans="4:8" x14ac:dyDescent="0.25">
      <c r="D29005" s="28"/>
      <c r="F29005" s="28"/>
      <c r="H29005" s="28"/>
    </row>
    <row r="29006" spans="4:8" x14ac:dyDescent="0.25">
      <c r="D29006" s="28"/>
      <c r="F29006" s="28"/>
      <c r="H29006" s="28"/>
    </row>
    <row r="29007" spans="4:8" x14ac:dyDescent="0.25">
      <c r="D29007" s="28"/>
      <c r="F29007" s="28"/>
      <c r="H29007" s="28"/>
    </row>
    <row r="29008" spans="4:8" x14ac:dyDescent="0.25">
      <c r="D29008" s="28"/>
      <c r="F29008" s="28"/>
      <c r="H29008" s="28"/>
    </row>
    <row r="29009" spans="4:8" x14ac:dyDescent="0.25">
      <c r="D29009" s="28"/>
      <c r="F29009" s="28"/>
      <c r="H29009" s="28"/>
    </row>
    <row r="29010" spans="4:8" x14ac:dyDescent="0.25">
      <c r="D29010" s="28"/>
      <c r="F29010" s="28"/>
      <c r="H29010" s="28"/>
    </row>
    <row r="29011" spans="4:8" x14ac:dyDescent="0.25">
      <c r="D29011" s="28"/>
      <c r="F29011" s="28"/>
      <c r="H29011" s="28"/>
    </row>
    <row r="29012" spans="4:8" x14ac:dyDescent="0.25">
      <c r="D29012" s="28"/>
      <c r="F29012" s="28"/>
      <c r="H29012" s="28"/>
    </row>
    <row r="29013" spans="4:8" x14ac:dyDescent="0.25">
      <c r="D29013" s="28"/>
      <c r="F29013" s="28"/>
      <c r="H29013" s="28"/>
    </row>
    <row r="29014" spans="4:8" x14ac:dyDescent="0.25">
      <c r="D29014" s="28"/>
      <c r="F29014" s="28"/>
      <c r="H29014" s="28"/>
    </row>
    <row r="29015" spans="4:8" x14ac:dyDescent="0.25">
      <c r="D29015" s="28"/>
      <c r="F29015" s="28"/>
      <c r="H29015" s="28"/>
    </row>
    <row r="29016" spans="4:8" x14ac:dyDescent="0.25">
      <c r="D29016" s="28"/>
      <c r="F29016" s="28"/>
      <c r="H29016" s="28"/>
    </row>
    <row r="29017" spans="4:8" x14ac:dyDescent="0.25">
      <c r="D29017" s="28"/>
      <c r="F29017" s="28"/>
      <c r="H29017" s="28"/>
    </row>
    <row r="29018" spans="4:8" x14ac:dyDescent="0.25">
      <c r="D29018" s="28"/>
      <c r="F29018" s="28"/>
      <c r="H29018" s="28"/>
    </row>
    <row r="29019" spans="4:8" x14ac:dyDescent="0.25">
      <c r="D29019" s="28"/>
      <c r="F29019" s="28"/>
      <c r="H29019" s="28"/>
    </row>
    <row r="29020" spans="4:8" x14ac:dyDescent="0.25">
      <c r="D29020" s="28"/>
      <c r="F29020" s="28"/>
      <c r="H29020" s="28"/>
    </row>
    <row r="29021" spans="4:8" x14ac:dyDescent="0.25">
      <c r="D29021" s="28"/>
      <c r="F29021" s="28"/>
      <c r="H29021" s="28"/>
    </row>
    <row r="29022" spans="4:8" x14ac:dyDescent="0.25">
      <c r="D29022" s="28"/>
      <c r="F29022" s="28"/>
      <c r="H29022" s="28"/>
    </row>
    <row r="29023" spans="4:8" x14ac:dyDescent="0.25">
      <c r="D29023" s="28"/>
      <c r="F29023" s="28"/>
      <c r="H29023" s="28"/>
    </row>
    <row r="29024" spans="4:8" x14ac:dyDescent="0.25">
      <c r="D29024" s="28"/>
      <c r="F29024" s="28"/>
      <c r="H29024" s="28"/>
    </row>
    <row r="29025" spans="4:8" x14ac:dyDescent="0.25">
      <c r="D29025" s="28"/>
      <c r="F29025" s="28"/>
      <c r="H29025" s="28"/>
    </row>
    <row r="29026" spans="4:8" x14ac:dyDescent="0.25">
      <c r="D29026" s="28"/>
      <c r="F29026" s="28"/>
      <c r="H29026" s="28"/>
    </row>
    <row r="29027" spans="4:8" x14ac:dyDescent="0.25">
      <c r="D29027" s="28"/>
      <c r="F29027" s="28"/>
      <c r="H29027" s="28"/>
    </row>
    <row r="29028" spans="4:8" x14ac:dyDescent="0.25">
      <c r="D29028" s="28"/>
      <c r="F29028" s="28"/>
      <c r="H29028" s="28"/>
    </row>
    <row r="29029" spans="4:8" x14ac:dyDescent="0.25">
      <c r="D29029" s="28"/>
      <c r="F29029" s="28"/>
      <c r="H29029" s="28"/>
    </row>
    <row r="29030" spans="4:8" x14ac:dyDescent="0.25">
      <c r="D29030" s="28"/>
      <c r="F29030" s="28"/>
      <c r="H29030" s="28"/>
    </row>
    <row r="29031" spans="4:8" x14ac:dyDescent="0.25">
      <c r="D29031" s="28"/>
      <c r="F29031" s="28"/>
      <c r="H29031" s="28"/>
    </row>
    <row r="29032" spans="4:8" x14ac:dyDescent="0.25">
      <c r="D29032" s="28"/>
      <c r="F29032" s="28"/>
      <c r="H29032" s="28"/>
    </row>
    <row r="29033" spans="4:8" x14ac:dyDescent="0.25">
      <c r="D29033" s="28"/>
      <c r="F29033" s="28"/>
      <c r="H29033" s="28"/>
    </row>
    <row r="29034" spans="4:8" x14ac:dyDescent="0.25">
      <c r="D29034" s="28"/>
      <c r="F29034" s="28"/>
      <c r="H29034" s="28"/>
    </row>
    <row r="29035" spans="4:8" x14ac:dyDescent="0.25">
      <c r="D29035" s="28"/>
      <c r="F29035" s="28"/>
      <c r="H29035" s="28"/>
    </row>
    <row r="29036" spans="4:8" x14ac:dyDescent="0.25">
      <c r="D29036" s="28"/>
      <c r="F29036" s="28"/>
      <c r="H29036" s="28"/>
    </row>
    <row r="29037" spans="4:8" x14ac:dyDescent="0.25">
      <c r="D29037" s="28"/>
      <c r="F29037" s="28"/>
      <c r="H29037" s="28"/>
    </row>
    <row r="29038" spans="4:8" x14ac:dyDescent="0.25">
      <c r="D29038" s="28"/>
      <c r="F29038" s="28"/>
      <c r="H29038" s="28"/>
    </row>
    <row r="29039" spans="4:8" x14ac:dyDescent="0.25">
      <c r="D29039" s="28"/>
      <c r="F29039" s="28"/>
      <c r="H29039" s="28"/>
    </row>
    <row r="29040" spans="4:8" x14ac:dyDescent="0.25">
      <c r="D29040" s="28"/>
      <c r="F29040" s="28"/>
      <c r="H29040" s="28"/>
    </row>
    <row r="29041" spans="4:8" x14ac:dyDescent="0.25">
      <c r="D29041" s="28"/>
      <c r="F29041" s="28"/>
      <c r="H29041" s="28"/>
    </row>
    <row r="29042" spans="4:8" x14ac:dyDescent="0.25">
      <c r="D29042" s="28"/>
      <c r="F29042" s="28"/>
      <c r="H29042" s="28"/>
    </row>
    <row r="29043" spans="4:8" x14ac:dyDescent="0.25">
      <c r="D29043" s="28"/>
      <c r="F29043" s="28"/>
      <c r="H29043" s="28"/>
    </row>
    <row r="29044" spans="4:8" x14ac:dyDescent="0.25">
      <c r="D29044" s="28"/>
      <c r="F29044" s="28"/>
      <c r="H29044" s="28"/>
    </row>
    <row r="29045" spans="4:8" x14ac:dyDescent="0.25">
      <c r="D29045" s="28"/>
      <c r="F29045" s="28"/>
      <c r="H29045" s="28"/>
    </row>
    <row r="29046" spans="4:8" x14ac:dyDescent="0.25">
      <c r="D29046" s="28"/>
      <c r="F29046" s="28"/>
      <c r="H29046" s="28"/>
    </row>
    <row r="29047" spans="4:8" x14ac:dyDescent="0.25">
      <c r="D29047" s="28"/>
      <c r="F29047" s="28"/>
      <c r="H29047" s="28"/>
    </row>
    <row r="29048" spans="4:8" x14ac:dyDescent="0.25">
      <c r="D29048" s="28"/>
      <c r="F29048" s="28"/>
      <c r="H29048" s="28"/>
    </row>
    <row r="29049" spans="4:8" x14ac:dyDescent="0.25">
      <c r="D29049" s="28"/>
      <c r="F29049" s="28"/>
      <c r="H29049" s="28"/>
    </row>
    <row r="29050" spans="4:8" x14ac:dyDescent="0.25">
      <c r="D29050" s="28"/>
      <c r="F29050" s="28"/>
      <c r="H29050" s="28"/>
    </row>
    <row r="29051" spans="4:8" x14ac:dyDescent="0.25">
      <c r="D29051" s="28"/>
      <c r="F29051" s="28"/>
      <c r="H29051" s="28"/>
    </row>
    <row r="29052" spans="4:8" x14ac:dyDescent="0.25">
      <c r="D29052" s="28"/>
      <c r="F29052" s="28"/>
      <c r="H29052" s="28"/>
    </row>
    <row r="29053" spans="4:8" x14ac:dyDescent="0.25">
      <c r="D29053" s="28"/>
      <c r="F29053" s="28"/>
      <c r="H29053" s="28"/>
    </row>
    <row r="29054" spans="4:8" x14ac:dyDescent="0.25">
      <c r="D29054" s="28"/>
      <c r="F29054" s="28"/>
      <c r="H29054" s="28"/>
    </row>
    <row r="29055" spans="4:8" x14ac:dyDescent="0.25">
      <c r="D29055" s="28"/>
      <c r="F29055" s="28"/>
      <c r="H29055" s="28"/>
    </row>
    <row r="29056" spans="4:8" x14ac:dyDescent="0.25">
      <c r="D29056" s="28"/>
      <c r="F29056" s="28"/>
      <c r="H29056" s="28"/>
    </row>
    <row r="29057" spans="4:8" x14ac:dyDescent="0.25">
      <c r="D29057" s="28"/>
      <c r="F29057" s="28"/>
      <c r="H29057" s="28"/>
    </row>
    <row r="29058" spans="4:8" x14ac:dyDescent="0.25">
      <c r="D29058" s="28"/>
      <c r="F29058" s="28"/>
      <c r="H29058" s="28"/>
    </row>
    <row r="29059" spans="4:8" x14ac:dyDescent="0.25">
      <c r="D29059" s="28"/>
      <c r="F29059" s="28"/>
      <c r="H29059" s="28"/>
    </row>
    <row r="29060" spans="4:8" x14ac:dyDescent="0.25">
      <c r="D29060" s="28"/>
      <c r="F29060" s="28"/>
      <c r="H29060" s="28"/>
    </row>
    <row r="29061" spans="4:8" x14ac:dyDescent="0.25">
      <c r="D29061" s="28"/>
      <c r="F29061" s="28"/>
      <c r="H29061" s="28"/>
    </row>
    <row r="29062" spans="4:8" x14ac:dyDescent="0.25">
      <c r="D29062" s="28"/>
      <c r="F29062" s="28"/>
      <c r="H29062" s="28"/>
    </row>
    <row r="29063" spans="4:8" x14ac:dyDescent="0.25">
      <c r="D29063" s="28"/>
      <c r="F29063" s="28"/>
      <c r="H29063" s="28"/>
    </row>
    <row r="29064" spans="4:8" x14ac:dyDescent="0.25">
      <c r="D29064" s="28"/>
      <c r="F29064" s="28"/>
      <c r="H29064" s="28"/>
    </row>
    <row r="29065" spans="4:8" x14ac:dyDescent="0.25">
      <c r="D29065" s="28"/>
      <c r="F29065" s="28"/>
      <c r="H29065" s="28"/>
    </row>
    <row r="29066" spans="4:8" x14ac:dyDescent="0.25">
      <c r="D29066" s="28"/>
      <c r="F29066" s="28"/>
      <c r="H29066" s="28"/>
    </row>
    <row r="29067" spans="4:8" x14ac:dyDescent="0.25">
      <c r="D29067" s="28"/>
      <c r="F29067" s="28"/>
      <c r="H29067" s="28"/>
    </row>
    <row r="29068" spans="4:8" x14ac:dyDescent="0.25">
      <c r="D29068" s="28"/>
      <c r="F29068" s="28"/>
      <c r="H29068" s="28"/>
    </row>
    <row r="29069" spans="4:8" x14ac:dyDescent="0.25">
      <c r="D29069" s="28"/>
      <c r="F29069" s="28"/>
      <c r="H29069" s="28"/>
    </row>
    <row r="29070" spans="4:8" x14ac:dyDescent="0.25">
      <c r="D29070" s="28"/>
      <c r="F29070" s="28"/>
      <c r="H29070" s="28"/>
    </row>
    <row r="29071" spans="4:8" x14ac:dyDescent="0.25">
      <c r="D29071" s="28"/>
      <c r="F29071" s="28"/>
      <c r="H29071" s="28"/>
    </row>
    <row r="29072" spans="4:8" x14ac:dyDescent="0.25">
      <c r="D29072" s="28"/>
      <c r="F29072" s="28"/>
      <c r="H29072" s="28"/>
    </row>
    <row r="29073" spans="4:8" x14ac:dyDescent="0.25">
      <c r="D29073" s="28"/>
      <c r="F29073" s="28"/>
      <c r="H29073" s="28"/>
    </row>
    <row r="29074" spans="4:8" x14ac:dyDescent="0.25">
      <c r="D29074" s="28"/>
      <c r="F29074" s="28"/>
      <c r="H29074" s="28"/>
    </row>
    <row r="29075" spans="4:8" x14ac:dyDescent="0.25">
      <c r="D29075" s="28"/>
      <c r="F29075" s="28"/>
      <c r="H29075" s="28"/>
    </row>
    <row r="29076" spans="4:8" x14ac:dyDescent="0.25">
      <c r="D29076" s="28"/>
      <c r="F29076" s="28"/>
      <c r="H29076" s="28"/>
    </row>
    <row r="29077" spans="4:8" x14ac:dyDescent="0.25">
      <c r="D29077" s="28"/>
      <c r="F29077" s="28"/>
      <c r="H29077" s="28"/>
    </row>
    <row r="29078" spans="4:8" x14ac:dyDescent="0.25">
      <c r="D29078" s="28"/>
      <c r="F29078" s="28"/>
      <c r="H29078" s="28"/>
    </row>
    <row r="29079" spans="4:8" x14ac:dyDescent="0.25">
      <c r="D29079" s="28"/>
      <c r="F29079" s="28"/>
      <c r="H29079" s="28"/>
    </row>
    <row r="29080" spans="4:8" x14ac:dyDescent="0.25">
      <c r="D29080" s="28"/>
      <c r="F29080" s="28"/>
      <c r="H29080" s="28"/>
    </row>
    <row r="29081" spans="4:8" x14ac:dyDescent="0.25">
      <c r="D29081" s="28"/>
      <c r="F29081" s="28"/>
      <c r="H29081" s="28"/>
    </row>
    <row r="29082" spans="4:8" x14ac:dyDescent="0.25">
      <c r="D29082" s="28"/>
      <c r="F29082" s="28"/>
      <c r="H29082" s="28"/>
    </row>
    <row r="29083" spans="4:8" x14ac:dyDescent="0.25">
      <c r="D29083" s="28"/>
      <c r="F29083" s="28"/>
      <c r="H29083" s="28"/>
    </row>
    <row r="29084" spans="4:8" x14ac:dyDescent="0.25">
      <c r="D29084" s="28"/>
      <c r="F29084" s="28"/>
      <c r="H29084" s="28"/>
    </row>
    <row r="29085" spans="4:8" x14ac:dyDescent="0.25">
      <c r="D29085" s="28"/>
      <c r="F29085" s="28"/>
      <c r="H29085" s="28"/>
    </row>
    <row r="29086" spans="4:8" x14ac:dyDescent="0.25">
      <c r="D29086" s="28"/>
      <c r="F29086" s="28"/>
      <c r="H29086" s="28"/>
    </row>
    <row r="29087" spans="4:8" x14ac:dyDescent="0.25">
      <c r="D29087" s="28"/>
      <c r="F29087" s="28"/>
      <c r="H29087" s="28"/>
    </row>
    <row r="29088" spans="4:8" x14ac:dyDescent="0.25">
      <c r="D29088" s="28"/>
      <c r="F29088" s="28"/>
      <c r="H29088" s="28"/>
    </row>
    <row r="29089" spans="4:8" x14ac:dyDescent="0.25">
      <c r="D29089" s="28"/>
      <c r="F29089" s="28"/>
      <c r="H29089" s="28"/>
    </row>
    <row r="29090" spans="4:8" x14ac:dyDescent="0.25">
      <c r="D29090" s="28"/>
      <c r="F29090" s="28"/>
      <c r="H29090" s="28"/>
    </row>
    <row r="29091" spans="4:8" x14ac:dyDescent="0.25">
      <c r="D29091" s="28"/>
      <c r="F29091" s="28"/>
      <c r="H29091" s="28"/>
    </row>
    <row r="29092" spans="4:8" x14ac:dyDescent="0.25">
      <c r="D29092" s="28"/>
      <c r="F29092" s="28"/>
      <c r="H29092" s="28"/>
    </row>
    <row r="29093" spans="4:8" x14ac:dyDescent="0.25">
      <c r="D29093" s="28"/>
      <c r="F29093" s="28"/>
      <c r="H29093" s="28"/>
    </row>
    <row r="29094" spans="4:8" x14ac:dyDescent="0.25">
      <c r="D29094" s="28"/>
      <c r="F29094" s="28"/>
      <c r="H29094" s="28"/>
    </row>
    <row r="29095" spans="4:8" x14ac:dyDescent="0.25">
      <c r="D29095" s="28"/>
      <c r="F29095" s="28"/>
      <c r="H29095" s="28"/>
    </row>
    <row r="29096" spans="4:8" x14ac:dyDescent="0.25">
      <c r="D29096" s="28"/>
      <c r="F29096" s="28"/>
      <c r="H29096" s="28"/>
    </row>
    <row r="29097" spans="4:8" x14ac:dyDescent="0.25">
      <c r="D29097" s="28"/>
      <c r="F29097" s="28"/>
      <c r="H29097" s="28"/>
    </row>
    <row r="29098" spans="4:8" x14ac:dyDescent="0.25">
      <c r="D29098" s="28"/>
      <c r="F29098" s="28"/>
      <c r="H29098" s="28"/>
    </row>
    <row r="29099" spans="4:8" x14ac:dyDescent="0.25">
      <c r="D29099" s="28"/>
      <c r="F29099" s="28"/>
      <c r="H29099" s="28"/>
    </row>
    <row r="29100" spans="4:8" x14ac:dyDescent="0.25">
      <c r="D29100" s="28"/>
      <c r="F29100" s="28"/>
      <c r="H29100" s="28"/>
    </row>
    <row r="29101" spans="4:8" x14ac:dyDescent="0.25">
      <c r="D29101" s="28"/>
      <c r="F29101" s="28"/>
      <c r="H29101" s="28"/>
    </row>
    <row r="29102" spans="4:8" x14ac:dyDescent="0.25">
      <c r="D29102" s="28"/>
      <c r="F29102" s="28"/>
      <c r="H29102" s="28"/>
    </row>
    <row r="29103" spans="4:8" x14ac:dyDescent="0.25">
      <c r="D29103" s="28"/>
      <c r="F29103" s="28"/>
      <c r="H29103" s="28"/>
    </row>
    <row r="29104" spans="4:8" x14ac:dyDescent="0.25">
      <c r="D29104" s="28"/>
      <c r="F29104" s="28"/>
      <c r="H29104" s="28"/>
    </row>
    <row r="29105" spans="4:8" x14ac:dyDescent="0.25">
      <c r="D29105" s="28"/>
      <c r="F29105" s="28"/>
      <c r="H29105" s="28"/>
    </row>
    <row r="29106" spans="4:8" x14ac:dyDescent="0.25">
      <c r="D29106" s="28"/>
      <c r="F29106" s="28"/>
      <c r="H29106" s="28"/>
    </row>
    <row r="29107" spans="4:8" x14ac:dyDescent="0.25">
      <c r="D29107" s="28"/>
      <c r="F29107" s="28"/>
      <c r="H29107" s="28"/>
    </row>
    <row r="29108" spans="4:8" x14ac:dyDescent="0.25">
      <c r="D29108" s="28"/>
      <c r="F29108" s="28"/>
      <c r="H29108" s="28"/>
    </row>
    <row r="29109" spans="4:8" x14ac:dyDescent="0.25">
      <c r="D29109" s="28"/>
      <c r="F29109" s="28"/>
      <c r="H29109" s="28"/>
    </row>
    <row r="29110" spans="4:8" x14ac:dyDescent="0.25">
      <c r="D29110" s="28"/>
      <c r="F29110" s="28"/>
      <c r="H29110" s="28"/>
    </row>
    <row r="29111" spans="4:8" x14ac:dyDescent="0.25">
      <c r="D29111" s="28"/>
      <c r="F29111" s="28"/>
      <c r="H29111" s="28"/>
    </row>
    <row r="29112" spans="4:8" x14ac:dyDescent="0.25">
      <c r="D29112" s="28"/>
      <c r="F29112" s="28"/>
      <c r="H29112" s="28"/>
    </row>
    <row r="29113" spans="4:8" x14ac:dyDescent="0.25">
      <c r="D29113" s="28"/>
      <c r="F29113" s="28"/>
      <c r="H29113" s="28"/>
    </row>
    <row r="29114" spans="4:8" x14ac:dyDescent="0.25">
      <c r="D29114" s="28"/>
      <c r="F29114" s="28"/>
      <c r="H29114" s="28"/>
    </row>
    <row r="29115" spans="4:8" x14ac:dyDescent="0.25">
      <c r="D29115" s="28"/>
      <c r="F29115" s="28"/>
      <c r="H29115" s="28"/>
    </row>
    <row r="29116" spans="4:8" x14ac:dyDescent="0.25">
      <c r="D29116" s="28"/>
      <c r="F29116" s="28"/>
      <c r="H29116" s="28"/>
    </row>
    <row r="29117" spans="4:8" x14ac:dyDescent="0.25">
      <c r="D29117" s="28"/>
      <c r="F29117" s="28"/>
      <c r="H29117" s="28"/>
    </row>
    <row r="29118" spans="4:8" x14ac:dyDescent="0.25">
      <c r="D29118" s="28"/>
      <c r="F29118" s="28"/>
      <c r="H29118" s="28"/>
    </row>
    <row r="29119" spans="4:8" x14ac:dyDescent="0.25">
      <c r="D29119" s="28"/>
      <c r="F29119" s="28"/>
      <c r="H29119" s="28"/>
    </row>
    <row r="29120" spans="4:8" x14ac:dyDescent="0.25">
      <c r="D29120" s="28"/>
      <c r="F29120" s="28"/>
      <c r="H29120" s="28"/>
    </row>
    <row r="29121" spans="4:8" x14ac:dyDescent="0.25">
      <c r="D29121" s="28"/>
      <c r="F29121" s="28"/>
      <c r="H29121" s="28"/>
    </row>
    <row r="29122" spans="4:8" x14ac:dyDescent="0.25">
      <c r="D29122" s="28"/>
      <c r="F29122" s="28"/>
      <c r="H29122" s="28"/>
    </row>
    <row r="29123" spans="4:8" x14ac:dyDescent="0.25">
      <c r="D29123" s="28"/>
      <c r="F29123" s="28"/>
      <c r="H29123" s="28"/>
    </row>
    <row r="29124" spans="4:8" x14ac:dyDescent="0.25">
      <c r="D29124" s="28"/>
      <c r="F29124" s="28"/>
      <c r="H29124" s="28"/>
    </row>
    <row r="29125" spans="4:8" x14ac:dyDescent="0.25">
      <c r="D29125" s="28"/>
      <c r="F29125" s="28"/>
      <c r="H29125" s="28"/>
    </row>
    <row r="29126" spans="4:8" x14ac:dyDescent="0.25">
      <c r="D29126" s="28"/>
      <c r="F29126" s="28"/>
      <c r="H29126" s="28"/>
    </row>
    <row r="29127" spans="4:8" x14ac:dyDescent="0.25">
      <c r="D29127" s="28"/>
      <c r="F29127" s="28"/>
      <c r="H29127" s="28"/>
    </row>
    <row r="29128" spans="4:8" x14ac:dyDescent="0.25">
      <c r="D29128" s="28"/>
      <c r="F29128" s="28"/>
      <c r="H29128" s="28"/>
    </row>
    <row r="29129" spans="4:8" x14ac:dyDescent="0.25">
      <c r="D29129" s="28"/>
      <c r="F29129" s="28"/>
      <c r="H29129" s="28"/>
    </row>
    <row r="29130" spans="4:8" x14ac:dyDescent="0.25">
      <c r="D29130" s="28"/>
      <c r="F29130" s="28"/>
      <c r="H29130" s="28"/>
    </row>
    <row r="29131" spans="4:8" x14ac:dyDescent="0.25">
      <c r="D29131" s="28"/>
      <c r="F29131" s="28"/>
      <c r="H29131" s="28"/>
    </row>
    <row r="29132" spans="4:8" x14ac:dyDescent="0.25">
      <c r="D29132" s="28"/>
      <c r="F29132" s="28"/>
      <c r="H29132" s="28"/>
    </row>
    <row r="29133" spans="4:8" x14ac:dyDescent="0.25">
      <c r="D29133" s="28"/>
      <c r="F29133" s="28"/>
      <c r="H29133" s="28"/>
    </row>
    <row r="29134" spans="4:8" x14ac:dyDescent="0.25">
      <c r="D29134" s="28"/>
      <c r="F29134" s="28"/>
      <c r="H29134" s="28"/>
    </row>
    <row r="29135" spans="4:8" x14ac:dyDescent="0.25">
      <c r="D29135" s="28"/>
      <c r="F29135" s="28"/>
      <c r="H29135" s="28"/>
    </row>
    <row r="29136" spans="4:8" x14ac:dyDescent="0.25">
      <c r="D29136" s="28"/>
      <c r="F29136" s="28"/>
      <c r="H29136" s="28"/>
    </row>
    <row r="29137" spans="4:8" x14ac:dyDescent="0.25">
      <c r="D29137" s="28"/>
      <c r="F29137" s="28"/>
      <c r="H29137" s="28"/>
    </row>
    <row r="29138" spans="4:8" x14ac:dyDescent="0.25">
      <c r="D29138" s="28"/>
      <c r="F29138" s="28"/>
      <c r="H29138" s="28"/>
    </row>
    <row r="29139" spans="4:8" x14ac:dyDescent="0.25">
      <c r="D29139" s="28"/>
      <c r="F29139" s="28"/>
      <c r="H29139" s="28"/>
    </row>
    <row r="29140" spans="4:8" x14ac:dyDescent="0.25">
      <c r="D29140" s="28"/>
      <c r="F29140" s="28"/>
      <c r="H29140" s="28"/>
    </row>
    <row r="29141" spans="4:8" x14ac:dyDescent="0.25">
      <c r="D29141" s="28"/>
      <c r="F29141" s="28"/>
      <c r="H29141" s="28"/>
    </row>
    <row r="29142" spans="4:8" x14ac:dyDescent="0.25">
      <c r="D29142" s="28"/>
      <c r="F29142" s="28"/>
      <c r="H29142" s="28"/>
    </row>
    <row r="29143" spans="4:8" x14ac:dyDescent="0.25">
      <c r="D29143" s="28"/>
      <c r="F29143" s="28"/>
      <c r="H29143" s="28"/>
    </row>
    <row r="29144" spans="4:8" x14ac:dyDescent="0.25">
      <c r="D29144" s="28"/>
      <c r="F29144" s="28"/>
      <c r="H29144" s="28"/>
    </row>
    <row r="29145" spans="4:8" x14ac:dyDescent="0.25">
      <c r="D29145" s="28"/>
      <c r="F29145" s="28"/>
      <c r="H29145" s="28"/>
    </row>
    <row r="29146" spans="4:8" x14ac:dyDescent="0.25">
      <c r="D29146" s="28"/>
      <c r="F29146" s="28"/>
      <c r="H29146" s="28"/>
    </row>
    <row r="29147" spans="4:8" x14ac:dyDescent="0.25">
      <c r="D29147" s="28"/>
      <c r="F29147" s="28"/>
      <c r="H29147" s="28"/>
    </row>
    <row r="29148" spans="4:8" x14ac:dyDescent="0.25">
      <c r="D29148" s="28"/>
      <c r="F29148" s="28"/>
      <c r="H29148" s="28"/>
    </row>
    <row r="29149" spans="4:8" x14ac:dyDescent="0.25">
      <c r="D29149" s="28"/>
      <c r="F29149" s="28"/>
      <c r="H29149" s="28"/>
    </row>
    <row r="29150" spans="4:8" x14ac:dyDescent="0.25">
      <c r="D29150" s="28"/>
      <c r="F29150" s="28"/>
      <c r="H29150" s="28"/>
    </row>
    <row r="29151" spans="4:8" x14ac:dyDescent="0.25">
      <c r="D29151" s="28"/>
      <c r="F29151" s="28"/>
      <c r="H29151" s="28"/>
    </row>
    <row r="29152" spans="4:8" x14ac:dyDescent="0.25">
      <c r="D29152" s="28"/>
      <c r="F29152" s="28"/>
      <c r="H29152" s="28"/>
    </row>
    <row r="29153" spans="4:8" x14ac:dyDescent="0.25">
      <c r="D29153" s="28"/>
      <c r="F29153" s="28"/>
      <c r="H29153" s="28"/>
    </row>
    <row r="29154" spans="4:8" x14ac:dyDescent="0.25">
      <c r="D29154" s="28"/>
      <c r="F29154" s="28"/>
      <c r="H29154" s="28"/>
    </row>
    <row r="29155" spans="4:8" x14ac:dyDescent="0.25">
      <c r="D29155" s="28"/>
      <c r="F29155" s="28"/>
      <c r="H29155" s="28"/>
    </row>
    <row r="29156" spans="4:8" x14ac:dyDescent="0.25">
      <c r="D29156" s="28"/>
      <c r="F29156" s="28"/>
      <c r="H29156" s="28"/>
    </row>
    <row r="29157" spans="4:8" x14ac:dyDescent="0.25">
      <c r="D29157" s="28"/>
      <c r="F29157" s="28"/>
      <c r="H29157" s="28"/>
    </row>
    <row r="29158" spans="4:8" x14ac:dyDescent="0.25">
      <c r="D29158" s="28"/>
      <c r="F29158" s="28"/>
      <c r="H29158" s="28"/>
    </row>
    <row r="29159" spans="4:8" x14ac:dyDescent="0.25">
      <c r="D29159" s="28"/>
      <c r="F29159" s="28"/>
      <c r="H29159" s="28"/>
    </row>
    <row r="29160" spans="4:8" x14ac:dyDescent="0.25">
      <c r="D29160" s="28"/>
      <c r="F29160" s="28"/>
      <c r="H29160" s="28"/>
    </row>
    <row r="29161" spans="4:8" x14ac:dyDescent="0.25">
      <c r="D29161" s="28"/>
      <c r="F29161" s="28"/>
      <c r="H29161" s="28"/>
    </row>
    <row r="29162" spans="4:8" x14ac:dyDescent="0.25">
      <c r="D29162" s="28"/>
      <c r="F29162" s="28"/>
      <c r="H29162" s="28"/>
    </row>
    <row r="29163" spans="4:8" x14ac:dyDescent="0.25">
      <c r="D29163" s="28"/>
      <c r="F29163" s="28"/>
      <c r="H29163" s="28"/>
    </row>
    <row r="29164" spans="4:8" x14ac:dyDescent="0.25">
      <c r="D29164" s="28"/>
      <c r="F29164" s="28"/>
      <c r="H29164" s="28"/>
    </row>
    <row r="29165" spans="4:8" x14ac:dyDescent="0.25">
      <c r="D29165" s="28"/>
      <c r="F29165" s="28"/>
      <c r="H29165" s="28"/>
    </row>
    <row r="29166" spans="4:8" x14ac:dyDescent="0.25">
      <c r="D29166" s="28"/>
      <c r="F29166" s="28"/>
      <c r="H29166" s="28"/>
    </row>
    <row r="29167" spans="4:8" x14ac:dyDescent="0.25">
      <c r="D29167" s="28"/>
      <c r="F29167" s="28"/>
      <c r="H29167" s="28"/>
    </row>
    <row r="29168" spans="4:8" x14ac:dyDescent="0.25">
      <c r="D29168" s="28"/>
      <c r="F29168" s="28"/>
      <c r="H29168" s="28"/>
    </row>
    <row r="29169" spans="4:8" x14ac:dyDescent="0.25">
      <c r="D29169" s="28"/>
      <c r="F29169" s="28"/>
      <c r="H29169" s="28"/>
    </row>
    <row r="29170" spans="4:8" x14ac:dyDescent="0.25">
      <c r="D29170" s="28"/>
      <c r="F29170" s="28"/>
      <c r="H29170" s="28"/>
    </row>
    <row r="29171" spans="4:8" x14ac:dyDescent="0.25">
      <c r="D29171" s="28"/>
      <c r="F29171" s="28"/>
      <c r="H29171" s="28"/>
    </row>
    <row r="29172" spans="4:8" x14ac:dyDescent="0.25">
      <c r="D29172" s="28"/>
      <c r="F29172" s="28"/>
      <c r="H29172" s="28"/>
    </row>
    <row r="29173" spans="4:8" x14ac:dyDescent="0.25">
      <c r="D29173" s="28"/>
      <c r="F29173" s="28"/>
      <c r="H29173" s="28"/>
    </row>
    <row r="29174" spans="4:8" x14ac:dyDescent="0.25">
      <c r="D29174" s="28"/>
      <c r="F29174" s="28"/>
      <c r="H29174" s="28"/>
    </row>
    <row r="29175" spans="4:8" x14ac:dyDescent="0.25">
      <c r="D29175" s="28"/>
      <c r="F29175" s="28"/>
      <c r="H29175" s="28"/>
    </row>
    <row r="29176" spans="4:8" x14ac:dyDescent="0.25">
      <c r="D29176" s="28"/>
      <c r="F29176" s="28"/>
      <c r="H29176" s="28"/>
    </row>
    <row r="29177" spans="4:8" x14ac:dyDescent="0.25">
      <c r="D29177" s="28"/>
      <c r="F29177" s="28"/>
      <c r="H29177" s="28"/>
    </row>
    <row r="29178" spans="4:8" x14ac:dyDescent="0.25">
      <c r="D29178" s="28"/>
      <c r="F29178" s="28"/>
      <c r="H29178" s="28"/>
    </row>
    <row r="29179" spans="4:8" x14ac:dyDescent="0.25">
      <c r="D29179" s="28"/>
      <c r="F29179" s="28"/>
      <c r="H29179" s="28"/>
    </row>
    <row r="29180" spans="4:8" x14ac:dyDescent="0.25">
      <c r="D29180" s="28"/>
      <c r="F29180" s="28"/>
      <c r="H29180" s="28"/>
    </row>
    <row r="29181" spans="4:8" x14ac:dyDescent="0.25">
      <c r="D29181" s="28"/>
      <c r="F29181" s="28"/>
      <c r="H29181" s="28"/>
    </row>
    <row r="29182" spans="4:8" x14ac:dyDescent="0.25">
      <c r="D29182" s="28"/>
      <c r="F29182" s="28"/>
      <c r="H29182" s="28"/>
    </row>
    <row r="29183" spans="4:8" x14ac:dyDescent="0.25">
      <c r="D29183" s="28"/>
      <c r="F29183" s="28"/>
      <c r="H29183" s="28"/>
    </row>
    <row r="29184" spans="4:8" x14ac:dyDescent="0.25">
      <c r="D29184" s="28"/>
      <c r="F29184" s="28"/>
      <c r="H29184" s="28"/>
    </row>
    <row r="29185" spans="4:8" x14ac:dyDescent="0.25">
      <c r="D29185" s="28"/>
      <c r="F29185" s="28"/>
      <c r="H29185" s="28"/>
    </row>
    <row r="29186" spans="4:8" x14ac:dyDescent="0.25">
      <c r="D29186" s="28"/>
      <c r="F29186" s="28"/>
      <c r="H29186" s="28"/>
    </row>
    <row r="29187" spans="4:8" x14ac:dyDescent="0.25">
      <c r="D29187" s="28"/>
      <c r="F29187" s="28"/>
      <c r="H29187" s="28"/>
    </row>
    <row r="29188" spans="4:8" x14ac:dyDescent="0.25">
      <c r="D29188" s="28"/>
      <c r="F29188" s="28"/>
      <c r="H29188" s="28"/>
    </row>
    <row r="29189" spans="4:8" x14ac:dyDescent="0.25">
      <c r="D29189" s="28"/>
      <c r="F29189" s="28"/>
      <c r="H29189" s="28"/>
    </row>
    <row r="29190" spans="4:8" x14ac:dyDescent="0.25">
      <c r="D29190" s="28"/>
      <c r="F29190" s="28"/>
      <c r="H29190" s="28"/>
    </row>
    <row r="29191" spans="4:8" x14ac:dyDescent="0.25">
      <c r="D29191" s="28"/>
      <c r="F29191" s="28"/>
      <c r="H29191" s="28"/>
    </row>
    <row r="29192" spans="4:8" x14ac:dyDescent="0.25">
      <c r="D29192" s="28"/>
      <c r="F29192" s="28"/>
      <c r="H29192" s="28"/>
    </row>
    <row r="29193" spans="4:8" x14ac:dyDescent="0.25">
      <c r="D29193" s="28"/>
      <c r="F29193" s="28"/>
      <c r="H29193" s="28"/>
    </row>
    <row r="29194" spans="4:8" x14ac:dyDescent="0.25">
      <c r="D29194" s="28"/>
      <c r="F29194" s="28"/>
      <c r="H29194" s="28"/>
    </row>
    <row r="29195" spans="4:8" x14ac:dyDescent="0.25">
      <c r="D29195" s="28"/>
      <c r="F29195" s="28"/>
      <c r="H29195" s="28"/>
    </row>
    <row r="29196" spans="4:8" x14ac:dyDescent="0.25">
      <c r="D29196" s="28"/>
      <c r="F29196" s="28"/>
      <c r="H29196" s="28"/>
    </row>
    <row r="29197" spans="4:8" x14ac:dyDescent="0.25">
      <c r="D29197" s="28"/>
      <c r="F29197" s="28"/>
      <c r="H29197" s="28"/>
    </row>
    <row r="29198" spans="4:8" x14ac:dyDescent="0.25">
      <c r="D29198" s="28"/>
      <c r="F29198" s="28"/>
      <c r="H29198" s="28"/>
    </row>
    <row r="29199" spans="4:8" x14ac:dyDescent="0.25">
      <c r="D29199" s="28"/>
      <c r="F29199" s="28"/>
      <c r="H29199" s="28"/>
    </row>
    <row r="29200" spans="4:8" x14ac:dyDescent="0.25">
      <c r="D29200" s="28"/>
      <c r="F29200" s="28"/>
      <c r="H29200" s="28"/>
    </row>
    <row r="29201" spans="4:8" x14ac:dyDescent="0.25">
      <c r="D29201" s="28"/>
      <c r="F29201" s="28"/>
      <c r="H29201" s="28"/>
    </row>
    <row r="29202" spans="4:8" x14ac:dyDescent="0.25">
      <c r="D29202" s="28"/>
      <c r="F29202" s="28"/>
      <c r="H29202" s="28"/>
    </row>
    <row r="29203" spans="4:8" x14ac:dyDescent="0.25">
      <c r="D29203" s="28"/>
      <c r="F29203" s="28"/>
      <c r="H29203" s="28"/>
    </row>
    <row r="29204" spans="4:8" x14ac:dyDescent="0.25">
      <c r="D29204" s="28"/>
      <c r="F29204" s="28"/>
      <c r="H29204" s="28"/>
    </row>
    <row r="29205" spans="4:8" x14ac:dyDescent="0.25">
      <c r="D29205" s="28"/>
      <c r="F29205" s="28"/>
      <c r="H29205" s="28"/>
    </row>
    <row r="29206" spans="4:8" x14ac:dyDescent="0.25">
      <c r="D29206" s="28"/>
      <c r="F29206" s="28"/>
      <c r="H29206" s="28"/>
    </row>
    <row r="29207" spans="4:8" x14ac:dyDescent="0.25">
      <c r="D29207" s="28"/>
      <c r="F29207" s="28"/>
      <c r="H29207" s="28"/>
    </row>
    <row r="29208" spans="4:8" x14ac:dyDescent="0.25">
      <c r="D29208" s="28"/>
      <c r="F29208" s="28"/>
      <c r="H29208" s="28"/>
    </row>
    <row r="29209" spans="4:8" x14ac:dyDescent="0.25">
      <c r="D29209" s="28"/>
      <c r="F29209" s="28"/>
      <c r="H29209" s="28"/>
    </row>
    <row r="29210" spans="4:8" x14ac:dyDescent="0.25">
      <c r="D29210" s="28"/>
      <c r="F29210" s="28"/>
      <c r="H29210" s="28"/>
    </row>
    <row r="29211" spans="4:8" x14ac:dyDescent="0.25">
      <c r="D29211" s="28"/>
      <c r="F29211" s="28"/>
      <c r="H29211" s="28"/>
    </row>
    <row r="29212" spans="4:8" x14ac:dyDescent="0.25">
      <c r="D29212" s="28"/>
      <c r="F29212" s="28"/>
      <c r="H29212" s="28"/>
    </row>
    <row r="29213" spans="4:8" x14ac:dyDescent="0.25">
      <c r="D29213" s="28"/>
      <c r="F29213" s="28"/>
      <c r="H29213" s="28"/>
    </row>
    <row r="29214" spans="4:8" x14ac:dyDescent="0.25">
      <c r="D29214" s="28"/>
      <c r="F29214" s="28"/>
      <c r="H29214" s="28"/>
    </row>
    <row r="29215" spans="4:8" x14ac:dyDescent="0.25">
      <c r="D29215" s="28"/>
      <c r="F29215" s="28"/>
      <c r="H29215" s="28"/>
    </row>
    <row r="29216" spans="4:8" x14ac:dyDescent="0.25">
      <c r="D29216" s="28"/>
      <c r="F29216" s="28"/>
      <c r="H29216" s="28"/>
    </row>
    <row r="29217" spans="4:8" x14ac:dyDescent="0.25">
      <c r="D29217" s="28"/>
      <c r="F29217" s="28"/>
      <c r="H29217" s="28"/>
    </row>
    <row r="29218" spans="4:8" x14ac:dyDescent="0.25">
      <c r="D29218" s="28"/>
      <c r="F29218" s="28"/>
      <c r="H29218" s="28"/>
    </row>
    <row r="29219" spans="4:8" x14ac:dyDescent="0.25">
      <c r="D29219" s="28"/>
      <c r="F29219" s="28"/>
      <c r="H29219" s="28"/>
    </row>
    <row r="29220" spans="4:8" x14ac:dyDescent="0.25">
      <c r="D29220" s="28"/>
      <c r="F29220" s="28"/>
      <c r="H29220" s="28"/>
    </row>
    <row r="29221" spans="4:8" x14ac:dyDescent="0.25">
      <c r="D29221" s="28"/>
      <c r="F29221" s="28"/>
      <c r="H29221" s="28"/>
    </row>
    <row r="29222" spans="4:8" x14ac:dyDescent="0.25">
      <c r="D29222" s="28"/>
      <c r="F29222" s="28"/>
      <c r="H29222" s="28"/>
    </row>
    <row r="29223" spans="4:8" x14ac:dyDescent="0.25">
      <c r="D29223" s="28"/>
      <c r="F29223" s="28"/>
      <c r="H29223" s="28"/>
    </row>
    <row r="29224" spans="4:8" x14ac:dyDescent="0.25">
      <c r="D29224" s="28"/>
      <c r="F29224" s="28"/>
      <c r="H29224" s="28"/>
    </row>
    <row r="29225" spans="4:8" x14ac:dyDescent="0.25">
      <c r="D29225" s="28"/>
      <c r="F29225" s="28"/>
      <c r="H29225" s="28"/>
    </row>
    <row r="29226" spans="4:8" x14ac:dyDescent="0.25">
      <c r="D29226" s="28"/>
      <c r="F29226" s="28"/>
      <c r="H29226" s="28"/>
    </row>
    <row r="29227" spans="4:8" x14ac:dyDescent="0.25">
      <c r="D29227" s="28"/>
      <c r="F29227" s="28"/>
      <c r="H29227" s="28"/>
    </row>
    <row r="29228" spans="4:8" x14ac:dyDescent="0.25">
      <c r="D29228" s="28"/>
      <c r="F29228" s="28"/>
      <c r="H29228" s="28"/>
    </row>
    <row r="29229" spans="4:8" x14ac:dyDescent="0.25">
      <c r="D29229" s="28"/>
      <c r="F29229" s="28"/>
      <c r="H29229" s="28"/>
    </row>
    <row r="29230" spans="4:8" x14ac:dyDescent="0.25">
      <c r="D29230" s="28"/>
      <c r="F29230" s="28"/>
      <c r="H29230" s="28"/>
    </row>
    <row r="29231" spans="4:8" x14ac:dyDescent="0.25">
      <c r="D29231" s="28"/>
      <c r="F29231" s="28"/>
      <c r="H29231" s="28"/>
    </row>
    <row r="29232" spans="4:8" x14ac:dyDescent="0.25">
      <c r="D29232" s="28"/>
      <c r="F29232" s="28"/>
      <c r="H29232" s="28"/>
    </row>
    <row r="29233" spans="4:8" x14ac:dyDescent="0.25">
      <c r="D29233" s="28"/>
      <c r="F29233" s="28"/>
      <c r="H29233" s="28"/>
    </row>
    <row r="29234" spans="4:8" x14ac:dyDescent="0.25">
      <c r="D29234" s="28"/>
      <c r="F29234" s="28"/>
      <c r="H29234" s="28"/>
    </row>
    <row r="29235" spans="4:8" x14ac:dyDescent="0.25">
      <c r="D29235" s="28"/>
      <c r="F29235" s="28"/>
      <c r="H29235" s="28"/>
    </row>
    <row r="29236" spans="4:8" x14ac:dyDescent="0.25">
      <c r="D29236" s="28"/>
      <c r="F29236" s="28"/>
      <c r="H29236" s="28"/>
    </row>
    <row r="29237" spans="4:8" x14ac:dyDescent="0.25">
      <c r="D29237" s="28"/>
      <c r="F29237" s="28"/>
      <c r="H29237" s="28"/>
    </row>
    <row r="29238" spans="4:8" x14ac:dyDescent="0.25">
      <c r="D29238" s="28"/>
      <c r="F29238" s="28"/>
      <c r="H29238" s="28"/>
    </row>
    <row r="29239" spans="4:8" x14ac:dyDescent="0.25">
      <c r="D29239" s="28"/>
      <c r="F29239" s="28"/>
      <c r="H29239" s="28"/>
    </row>
    <row r="29240" spans="4:8" x14ac:dyDescent="0.25">
      <c r="D29240" s="28"/>
      <c r="F29240" s="28"/>
      <c r="H29240" s="28"/>
    </row>
    <row r="29241" spans="4:8" x14ac:dyDescent="0.25">
      <c r="D29241" s="28"/>
      <c r="F29241" s="28"/>
      <c r="H29241" s="28"/>
    </row>
    <row r="29242" spans="4:8" x14ac:dyDescent="0.25">
      <c r="D29242" s="28"/>
      <c r="F29242" s="28"/>
      <c r="H29242" s="28"/>
    </row>
    <row r="29243" spans="4:8" x14ac:dyDescent="0.25">
      <c r="D29243" s="28"/>
      <c r="F29243" s="28"/>
      <c r="H29243" s="28"/>
    </row>
    <row r="29244" spans="4:8" x14ac:dyDescent="0.25">
      <c r="D29244" s="28"/>
      <c r="F29244" s="28"/>
      <c r="H29244" s="28"/>
    </row>
    <row r="29245" spans="4:8" x14ac:dyDescent="0.25">
      <c r="D29245" s="28"/>
      <c r="F29245" s="28"/>
      <c r="H29245" s="28"/>
    </row>
    <row r="29246" spans="4:8" x14ac:dyDescent="0.25">
      <c r="D29246" s="28"/>
      <c r="F29246" s="28"/>
      <c r="H29246" s="28"/>
    </row>
    <row r="29247" spans="4:8" x14ac:dyDescent="0.25">
      <c r="D29247" s="28"/>
      <c r="F29247" s="28"/>
      <c r="H29247" s="28"/>
    </row>
    <row r="29248" spans="4:8" x14ac:dyDescent="0.25">
      <c r="D29248" s="28"/>
      <c r="F29248" s="28"/>
      <c r="H29248" s="28"/>
    </row>
    <row r="29249" spans="4:8" x14ac:dyDescent="0.25">
      <c r="D29249" s="28"/>
      <c r="F29249" s="28"/>
      <c r="H29249" s="28"/>
    </row>
    <row r="29250" spans="4:8" x14ac:dyDescent="0.25">
      <c r="D29250" s="28"/>
      <c r="F29250" s="28"/>
      <c r="H29250" s="28"/>
    </row>
    <row r="29251" spans="4:8" x14ac:dyDescent="0.25">
      <c r="D29251" s="28"/>
      <c r="F29251" s="28"/>
      <c r="H29251" s="28"/>
    </row>
    <row r="29252" spans="4:8" x14ac:dyDescent="0.25">
      <c r="D29252" s="28"/>
      <c r="F29252" s="28"/>
      <c r="H29252" s="28"/>
    </row>
    <row r="29253" spans="4:8" x14ac:dyDescent="0.25">
      <c r="D29253" s="28"/>
      <c r="F29253" s="28"/>
      <c r="H29253" s="28"/>
    </row>
    <row r="29254" spans="4:8" x14ac:dyDescent="0.25">
      <c r="D29254" s="28"/>
      <c r="F29254" s="28"/>
      <c r="H29254" s="28"/>
    </row>
    <row r="29255" spans="4:8" x14ac:dyDescent="0.25">
      <c r="D29255" s="28"/>
      <c r="F29255" s="28"/>
      <c r="H29255" s="28"/>
    </row>
    <row r="29256" spans="4:8" x14ac:dyDescent="0.25">
      <c r="D29256" s="28"/>
      <c r="F29256" s="28"/>
      <c r="H29256" s="28"/>
    </row>
    <row r="29257" spans="4:8" x14ac:dyDescent="0.25">
      <c r="D29257" s="28"/>
      <c r="F29257" s="28"/>
      <c r="H29257" s="28"/>
    </row>
    <row r="29258" spans="4:8" x14ac:dyDescent="0.25">
      <c r="D29258" s="28"/>
      <c r="F29258" s="28"/>
      <c r="H29258" s="28"/>
    </row>
    <row r="29259" spans="4:8" x14ac:dyDescent="0.25">
      <c r="D29259" s="28"/>
      <c r="F29259" s="28"/>
      <c r="H29259" s="28"/>
    </row>
    <row r="29260" spans="4:8" x14ac:dyDescent="0.25">
      <c r="D29260" s="28"/>
      <c r="F29260" s="28"/>
      <c r="H29260" s="28"/>
    </row>
    <row r="29261" spans="4:8" x14ac:dyDescent="0.25">
      <c r="D29261" s="28"/>
      <c r="F29261" s="28"/>
      <c r="H29261" s="28"/>
    </row>
    <row r="29262" spans="4:8" x14ac:dyDescent="0.25">
      <c r="D29262" s="28"/>
      <c r="F29262" s="28"/>
      <c r="H29262" s="28"/>
    </row>
    <row r="29263" spans="4:8" x14ac:dyDescent="0.25">
      <c r="D29263" s="28"/>
      <c r="F29263" s="28"/>
      <c r="H29263" s="28"/>
    </row>
    <row r="29264" spans="4:8" x14ac:dyDescent="0.25">
      <c r="D29264" s="28"/>
      <c r="F29264" s="28"/>
      <c r="H29264" s="28"/>
    </row>
    <row r="29265" spans="4:8" x14ac:dyDescent="0.25">
      <c r="D29265" s="28"/>
      <c r="F29265" s="28"/>
      <c r="H29265" s="28"/>
    </row>
    <row r="29266" spans="4:8" x14ac:dyDescent="0.25">
      <c r="D29266" s="28"/>
      <c r="F29266" s="28"/>
      <c r="H29266" s="28"/>
    </row>
    <row r="29267" spans="4:8" x14ac:dyDescent="0.25">
      <c r="D29267" s="28"/>
      <c r="F29267" s="28"/>
      <c r="H29267" s="28"/>
    </row>
    <row r="29268" spans="4:8" x14ac:dyDescent="0.25">
      <c r="D29268" s="28"/>
      <c r="F29268" s="28"/>
      <c r="H29268" s="28"/>
    </row>
    <row r="29269" spans="4:8" x14ac:dyDescent="0.25">
      <c r="D29269" s="28"/>
      <c r="F29269" s="28"/>
      <c r="H29269" s="28"/>
    </row>
    <row r="29270" spans="4:8" x14ac:dyDescent="0.25">
      <c r="D29270" s="28"/>
      <c r="F29270" s="28"/>
      <c r="H29270" s="28"/>
    </row>
    <row r="29271" spans="4:8" x14ac:dyDescent="0.25">
      <c r="D29271" s="28"/>
      <c r="F29271" s="28"/>
      <c r="H29271" s="28"/>
    </row>
    <row r="29272" spans="4:8" x14ac:dyDescent="0.25">
      <c r="D29272" s="28"/>
      <c r="F29272" s="28"/>
      <c r="H29272" s="28"/>
    </row>
    <row r="29273" spans="4:8" x14ac:dyDescent="0.25">
      <c r="D29273" s="28"/>
      <c r="F29273" s="28"/>
      <c r="H29273" s="28"/>
    </row>
    <row r="29274" spans="4:8" x14ac:dyDescent="0.25">
      <c r="D29274" s="28"/>
      <c r="F29274" s="28"/>
      <c r="H29274" s="28"/>
    </row>
    <row r="29275" spans="4:8" x14ac:dyDescent="0.25">
      <c r="D29275" s="28"/>
      <c r="F29275" s="28"/>
      <c r="H29275" s="28"/>
    </row>
    <row r="29276" spans="4:8" x14ac:dyDescent="0.25">
      <c r="D29276" s="28"/>
      <c r="F29276" s="28"/>
      <c r="H29276" s="28"/>
    </row>
    <row r="29277" spans="4:8" x14ac:dyDescent="0.25">
      <c r="D29277" s="28"/>
      <c r="F29277" s="28"/>
      <c r="H29277" s="28"/>
    </row>
    <row r="29278" spans="4:8" x14ac:dyDescent="0.25">
      <c r="D29278" s="28"/>
      <c r="F29278" s="28"/>
      <c r="H29278" s="28"/>
    </row>
    <row r="29279" spans="4:8" x14ac:dyDescent="0.25">
      <c r="D29279" s="28"/>
      <c r="F29279" s="28"/>
      <c r="H29279" s="28"/>
    </row>
    <row r="29280" spans="4:8" x14ac:dyDescent="0.25">
      <c r="D29280" s="28"/>
      <c r="F29280" s="28"/>
      <c r="H29280" s="28"/>
    </row>
    <row r="29281" spans="4:8" x14ac:dyDescent="0.25">
      <c r="D29281" s="28"/>
      <c r="F29281" s="28"/>
      <c r="H29281" s="28"/>
    </row>
    <row r="29282" spans="4:8" x14ac:dyDescent="0.25">
      <c r="D29282" s="28"/>
      <c r="F29282" s="28"/>
      <c r="H29282" s="28"/>
    </row>
    <row r="29283" spans="4:8" x14ac:dyDescent="0.25">
      <c r="D29283" s="28"/>
      <c r="F29283" s="28"/>
      <c r="H29283" s="28"/>
    </row>
    <row r="29284" spans="4:8" x14ac:dyDescent="0.25">
      <c r="D29284" s="28"/>
      <c r="F29284" s="28"/>
      <c r="H29284" s="28"/>
    </row>
    <row r="29285" spans="4:8" x14ac:dyDescent="0.25">
      <c r="D29285" s="28"/>
      <c r="F29285" s="28"/>
      <c r="H29285" s="28"/>
    </row>
    <row r="29286" spans="4:8" x14ac:dyDescent="0.25">
      <c r="D29286" s="28"/>
      <c r="F29286" s="28"/>
      <c r="H29286" s="28"/>
    </row>
    <row r="29287" spans="4:8" x14ac:dyDescent="0.25">
      <c r="D29287" s="28"/>
      <c r="F29287" s="28"/>
      <c r="H29287" s="28"/>
    </row>
    <row r="29288" spans="4:8" x14ac:dyDescent="0.25">
      <c r="D29288" s="28"/>
      <c r="F29288" s="28"/>
      <c r="H29288" s="28"/>
    </row>
    <row r="29289" spans="4:8" x14ac:dyDescent="0.25">
      <c r="D29289" s="28"/>
      <c r="F29289" s="28"/>
      <c r="H29289" s="28"/>
    </row>
    <row r="29290" spans="4:8" x14ac:dyDescent="0.25">
      <c r="D29290" s="28"/>
      <c r="F29290" s="28"/>
      <c r="H29290" s="28"/>
    </row>
    <row r="29291" spans="4:8" x14ac:dyDescent="0.25">
      <c r="D29291" s="28"/>
      <c r="F29291" s="28"/>
      <c r="H29291" s="28"/>
    </row>
    <row r="29292" spans="4:8" x14ac:dyDescent="0.25">
      <c r="D29292" s="28"/>
      <c r="F29292" s="28"/>
      <c r="H29292" s="28"/>
    </row>
    <row r="29293" spans="4:8" x14ac:dyDescent="0.25">
      <c r="D29293" s="28"/>
      <c r="F29293" s="28"/>
      <c r="H29293" s="28"/>
    </row>
    <row r="29294" spans="4:8" x14ac:dyDescent="0.25">
      <c r="D29294" s="28"/>
      <c r="F29294" s="28"/>
      <c r="H29294" s="28"/>
    </row>
    <row r="29295" spans="4:8" x14ac:dyDescent="0.25">
      <c r="D29295" s="28"/>
      <c r="F29295" s="28"/>
      <c r="H29295" s="28"/>
    </row>
    <row r="29296" spans="4:8" x14ac:dyDescent="0.25">
      <c r="D29296" s="28"/>
      <c r="F29296" s="28"/>
      <c r="H29296" s="28"/>
    </row>
    <row r="29297" spans="4:8" x14ac:dyDescent="0.25">
      <c r="D29297" s="28"/>
      <c r="F29297" s="28"/>
      <c r="H29297" s="28"/>
    </row>
    <row r="29298" spans="4:8" x14ac:dyDescent="0.25">
      <c r="D29298" s="28"/>
      <c r="F29298" s="28"/>
      <c r="H29298" s="28"/>
    </row>
    <row r="29299" spans="4:8" x14ac:dyDescent="0.25">
      <c r="D29299" s="28"/>
      <c r="F29299" s="28"/>
      <c r="H29299" s="28"/>
    </row>
    <row r="29300" spans="4:8" x14ac:dyDescent="0.25">
      <c r="D29300" s="28"/>
      <c r="F29300" s="28"/>
      <c r="H29300" s="28"/>
    </row>
    <row r="29301" spans="4:8" x14ac:dyDescent="0.25">
      <c r="D29301" s="28"/>
      <c r="F29301" s="28"/>
      <c r="H29301" s="28"/>
    </row>
    <row r="29302" spans="4:8" x14ac:dyDescent="0.25">
      <c r="D29302" s="28"/>
      <c r="F29302" s="28"/>
      <c r="H29302" s="28"/>
    </row>
    <row r="29303" spans="4:8" x14ac:dyDescent="0.25">
      <c r="D29303" s="28"/>
      <c r="F29303" s="28"/>
      <c r="H29303" s="28"/>
    </row>
    <row r="29304" spans="4:8" x14ac:dyDescent="0.25">
      <c r="D29304" s="28"/>
      <c r="F29304" s="28"/>
      <c r="H29304" s="28"/>
    </row>
    <row r="29305" spans="4:8" x14ac:dyDescent="0.25">
      <c r="D29305" s="28"/>
      <c r="F29305" s="28"/>
      <c r="H29305" s="28"/>
    </row>
    <row r="29306" spans="4:8" x14ac:dyDescent="0.25">
      <c r="D29306" s="28"/>
      <c r="F29306" s="28"/>
      <c r="H29306" s="28"/>
    </row>
    <row r="29307" spans="4:8" x14ac:dyDescent="0.25">
      <c r="D29307" s="28"/>
      <c r="F29307" s="28"/>
      <c r="H29307" s="28"/>
    </row>
    <row r="29308" spans="4:8" x14ac:dyDescent="0.25">
      <c r="D29308" s="28"/>
      <c r="F29308" s="28"/>
      <c r="H29308" s="28"/>
    </row>
    <row r="29309" spans="4:8" x14ac:dyDescent="0.25">
      <c r="D29309" s="28"/>
      <c r="F29309" s="28"/>
      <c r="H29309" s="28"/>
    </row>
    <row r="29310" spans="4:8" x14ac:dyDescent="0.25">
      <c r="D29310" s="28"/>
      <c r="F29310" s="28"/>
      <c r="H29310" s="28"/>
    </row>
    <row r="29311" spans="4:8" x14ac:dyDescent="0.25">
      <c r="D29311" s="28"/>
      <c r="F29311" s="28"/>
      <c r="H29311" s="28"/>
    </row>
    <row r="29312" spans="4:8" x14ac:dyDescent="0.25">
      <c r="D29312" s="28"/>
      <c r="F29312" s="28"/>
      <c r="H29312" s="28"/>
    </row>
    <row r="29313" spans="4:8" x14ac:dyDescent="0.25">
      <c r="D29313" s="28"/>
      <c r="F29313" s="28"/>
      <c r="H29313" s="28"/>
    </row>
    <row r="29314" spans="4:8" x14ac:dyDescent="0.25">
      <c r="D29314" s="28"/>
      <c r="F29314" s="28"/>
      <c r="H29314" s="28"/>
    </row>
    <row r="29315" spans="4:8" x14ac:dyDescent="0.25">
      <c r="D29315" s="28"/>
      <c r="F29315" s="28"/>
      <c r="H29315" s="28"/>
    </row>
    <row r="29316" spans="4:8" x14ac:dyDescent="0.25">
      <c r="D29316" s="28"/>
      <c r="F29316" s="28"/>
      <c r="H29316" s="28"/>
    </row>
    <row r="29317" spans="4:8" x14ac:dyDescent="0.25">
      <c r="D29317" s="28"/>
      <c r="F29317" s="28"/>
      <c r="H29317" s="28"/>
    </row>
    <row r="29318" spans="4:8" x14ac:dyDescent="0.25">
      <c r="D29318" s="28"/>
      <c r="F29318" s="28"/>
      <c r="H29318" s="28"/>
    </row>
    <row r="29319" spans="4:8" x14ac:dyDescent="0.25">
      <c r="D29319" s="28"/>
      <c r="F29319" s="28"/>
      <c r="H29319" s="28"/>
    </row>
    <row r="29320" spans="4:8" x14ac:dyDescent="0.25">
      <c r="D29320" s="28"/>
      <c r="F29320" s="28"/>
      <c r="H29320" s="28"/>
    </row>
    <row r="29321" spans="4:8" x14ac:dyDescent="0.25">
      <c r="D29321" s="28"/>
      <c r="F29321" s="28"/>
      <c r="H29321" s="28"/>
    </row>
    <row r="29322" spans="4:8" x14ac:dyDescent="0.25">
      <c r="D29322" s="28"/>
      <c r="F29322" s="28"/>
      <c r="H29322" s="28"/>
    </row>
    <row r="29323" spans="4:8" x14ac:dyDescent="0.25">
      <c r="D29323" s="28"/>
      <c r="F29323" s="28"/>
      <c r="H29323" s="28"/>
    </row>
    <row r="29324" spans="4:8" x14ac:dyDescent="0.25">
      <c r="D29324" s="28"/>
      <c r="F29324" s="28"/>
      <c r="H29324" s="28"/>
    </row>
    <row r="29325" spans="4:8" x14ac:dyDescent="0.25">
      <c r="D29325" s="28"/>
      <c r="F29325" s="28"/>
      <c r="H29325" s="28"/>
    </row>
    <row r="29326" spans="4:8" x14ac:dyDescent="0.25">
      <c r="D29326" s="28"/>
      <c r="F29326" s="28"/>
      <c r="H29326" s="28"/>
    </row>
    <row r="29327" spans="4:8" x14ac:dyDescent="0.25">
      <c r="D29327" s="28"/>
      <c r="F29327" s="28"/>
      <c r="H29327" s="28"/>
    </row>
    <row r="29328" spans="4:8" x14ac:dyDescent="0.25">
      <c r="D29328" s="28"/>
      <c r="F29328" s="28"/>
      <c r="H29328" s="28"/>
    </row>
    <row r="29329" spans="4:8" x14ac:dyDescent="0.25">
      <c r="D29329" s="28"/>
      <c r="F29329" s="28"/>
      <c r="H29329" s="28"/>
    </row>
    <row r="29330" spans="4:8" x14ac:dyDescent="0.25">
      <c r="D29330" s="28"/>
      <c r="F29330" s="28"/>
      <c r="H29330" s="28"/>
    </row>
    <row r="29331" spans="4:8" x14ac:dyDescent="0.25">
      <c r="D29331" s="28"/>
      <c r="F29331" s="28"/>
      <c r="H29331" s="28"/>
    </row>
    <row r="29332" spans="4:8" x14ac:dyDescent="0.25">
      <c r="D29332" s="28"/>
      <c r="F29332" s="28"/>
      <c r="H29332" s="28"/>
    </row>
    <row r="29333" spans="4:8" x14ac:dyDescent="0.25">
      <c r="D29333" s="28"/>
      <c r="F29333" s="28"/>
      <c r="H29333" s="28"/>
    </row>
    <row r="29334" spans="4:8" x14ac:dyDescent="0.25">
      <c r="D29334" s="28"/>
      <c r="F29334" s="28"/>
      <c r="H29334" s="28"/>
    </row>
    <row r="29335" spans="4:8" x14ac:dyDescent="0.25">
      <c r="D29335" s="28"/>
      <c r="F29335" s="28"/>
      <c r="H29335" s="28"/>
    </row>
    <row r="29336" spans="4:8" x14ac:dyDescent="0.25">
      <c r="D29336" s="28"/>
      <c r="F29336" s="28"/>
      <c r="H29336" s="28"/>
    </row>
    <row r="29337" spans="4:8" x14ac:dyDescent="0.25">
      <c r="D29337" s="28"/>
      <c r="F29337" s="28"/>
      <c r="H29337" s="28"/>
    </row>
    <row r="29338" spans="4:8" x14ac:dyDescent="0.25">
      <c r="D29338" s="28"/>
      <c r="F29338" s="28"/>
      <c r="H29338" s="28"/>
    </row>
    <row r="29339" spans="4:8" x14ac:dyDescent="0.25">
      <c r="D29339" s="28"/>
      <c r="F29339" s="28"/>
      <c r="H29339" s="28"/>
    </row>
    <row r="29340" spans="4:8" x14ac:dyDescent="0.25">
      <c r="D29340" s="28"/>
      <c r="F29340" s="28"/>
      <c r="H29340" s="28"/>
    </row>
    <row r="29341" spans="4:8" x14ac:dyDescent="0.25">
      <c r="D29341" s="28"/>
      <c r="F29341" s="28"/>
      <c r="H29341" s="28"/>
    </row>
    <row r="29342" spans="4:8" x14ac:dyDescent="0.25">
      <c r="D29342" s="28"/>
      <c r="F29342" s="28"/>
      <c r="H29342" s="28"/>
    </row>
    <row r="29343" spans="4:8" x14ac:dyDescent="0.25">
      <c r="D29343" s="28"/>
      <c r="F29343" s="28"/>
      <c r="H29343" s="28"/>
    </row>
    <row r="29344" spans="4:8" x14ac:dyDescent="0.25">
      <c r="D29344" s="28"/>
      <c r="F29344" s="28"/>
      <c r="H29344" s="28"/>
    </row>
    <row r="29345" spans="4:8" x14ac:dyDescent="0.25">
      <c r="D29345" s="28"/>
      <c r="F29345" s="28"/>
      <c r="H29345" s="28"/>
    </row>
    <row r="29346" spans="4:8" x14ac:dyDescent="0.25">
      <c r="D29346" s="28"/>
      <c r="F29346" s="28"/>
      <c r="H29346" s="28"/>
    </row>
    <row r="29347" spans="4:8" x14ac:dyDescent="0.25">
      <c r="D29347" s="28"/>
      <c r="F29347" s="28"/>
      <c r="H29347" s="28"/>
    </row>
    <row r="29348" spans="4:8" x14ac:dyDescent="0.25">
      <c r="D29348" s="28"/>
      <c r="F29348" s="28"/>
      <c r="H29348" s="28"/>
    </row>
    <row r="29349" spans="4:8" x14ac:dyDescent="0.25">
      <c r="D29349" s="28"/>
      <c r="F29349" s="28"/>
      <c r="H29349" s="28"/>
    </row>
    <row r="29350" spans="4:8" x14ac:dyDescent="0.25">
      <c r="D29350" s="28"/>
      <c r="F29350" s="28"/>
      <c r="H29350" s="28"/>
    </row>
    <row r="29351" spans="4:8" x14ac:dyDescent="0.25">
      <c r="D29351" s="28"/>
      <c r="F29351" s="28"/>
      <c r="H29351" s="28"/>
    </row>
    <row r="29352" spans="4:8" x14ac:dyDescent="0.25">
      <c r="D29352" s="28"/>
      <c r="F29352" s="28"/>
      <c r="H29352" s="28"/>
    </row>
    <row r="29353" spans="4:8" x14ac:dyDescent="0.25">
      <c r="D29353" s="28"/>
      <c r="F29353" s="28"/>
      <c r="H29353" s="28"/>
    </row>
    <row r="29354" spans="4:8" x14ac:dyDescent="0.25">
      <c r="D29354" s="28"/>
      <c r="F29354" s="28"/>
      <c r="H29354" s="28"/>
    </row>
    <row r="29355" spans="4:8" x14ac:dyDescent="0.25">
      <c r="D29355" s="28"/>
      <c r="F29355" s="28"/>
      <c r="H29355" s="28"/>
    </row>
    <row r="29356" spans="4:8" x14ac:dyDescent="0.25">
      <c r="D29356" s="28"/>
      <c r="F29356" s="28"/>
      <c r="H29356" s="28"/>
    </row>
    <row r="29357" spans="4:8" x14ac:dyDescent="0.25">
      <c r="D29357" s="28"/>
      <c r="F29357" s="28"/>
      <c r="H29357" s="28"/>
    </row>
    <row r="29358" spans="4:8" x14ac:dyDescent="0.25">
      <c r="D29358" s="28"/>
      <c r="F29358" s="28"/>
      <c r="H29358" s="28"/>
    </row>
    <row r="29359" spans="4:8" x14ac:dyDescent="0.25">
      <c r="D29359" s="28"/>
      <c r="F29359" s="28"/>
      <c r="H29359" s="28"/>
    </row>
    <row r="29360" spans="4:8" x14ac:dyDescent="0.25">
      <c r="D29360" s="28"/>
      <c r="F29360" s="28"/>
      <c r="H29360" s="28"/>
    </row>
    <row r="29361" spans="4:8" x14ac:dyDescent="0.25">
      <c r="D29361" s="28"/>
      <c r="F29361" s="28"/>
      <c r="H29361" s="28"/>
    </row>
    <row r="29362" spans="4:8" x14ac:dyDescent="0.25">
      <c r="D29362" s="28"/>
      <c r="F29362" s="28"/>
      <c r="H29362" s="28"/>
    </row>
    <row r="29363" spans="4:8" x14ac:dyDescent="0.25">
      <c r="D29363" s="28"/>
      <c r="F29363" s="28"/>
      <c r="H29363" s="28"/>
    </row>
    <row r="29364" spans="4:8" x14ac:dyDescent="0.25">
      <c r="D29364" s="28"/>
      <c r="F29364" s="28"/>
      <c r="H29364" s="28"/>
    </row>
    <row r="29365" spans="4:8" x14ac:dyDescent="0.25">
      <c r="D29365" s="28"/>
      <c r="F29365" s="28"/>
      <c r="H29365" s="28"/>
    </row>
    <row r="29366" spans="4:8" x14ac:dyDescent="0.25">
      <c r="D29366" s="28"/>
      <c r="F29366" s="28"/>
      <c r="H29366" s="28"/>
    </row>
    <row r="29367" spans="4:8" x14ac:dyDescent="0.25">
      <c r="D29367" s="28"/>
      <c r="F29367" s="28"/>
      <c r="H29367" s="28"/>
    </row>
    <row r="29368" spans="4:8" x14ac:dyDescent="0.25">
      <c r="D29368" s="28"/>
      <c r="F29368" s="28"/>
      <c r="H29368" s="28"/>
    </row>
    <row r="29369" spans="4:8" x14ac:dyDescent="0.25">
      <c r="D29369" s="28"/>
      <c r="F29369" s="28"/>
      <c r="H29369" s="28"/>
    </row>
    <row r="29370" spans="4:8" x14ac:dyDescent="0.25">
      <c r="D29370" s="28"/>
      <c r="F29370" s="28"/>
      <c r="H29370" s="28"/>
    </row>
    <row r="29371" spans="4:8" x14ac:dyDescent="0.25">
      <c r="D29371" s="28"/>
      <c r="F29371" s="28"/>
      <c r="H29371" s="28"/>
    </row>
    <row r="29372" spans="4:8" x14ac:dyDescent="0.25">
      <c r="D29372" s="28"/>
      <c r="F29372" s="28"/>
      <c r="H29372" s="28"/>
    </row>
    <row r="29373" spans="4:8" x14ac:dyDescent="0.25">
      <c r="D29373" s="28"/>
      <c r="F29373" s="28"/>
      <c r="H29373" s="28"/>
    </row>
    <row r="29374" spans="4:8" x14ac:dyDescent="0.25">
      <c r="D29374" s="28"/>
      <c r="F29374" s="28"/>
      <c r="H29374" s="28"/>
    </row>
    <row r="29375" spans="4:8" x14ac:dyDescent="0.25">
      <c r="D29375" s="28"/>
      <c r="F29375" s="28"/>
      <c r="H29375" s="28"/>
    </row>
    <row r="29376" spans="4:8" x14ac:dyDescent="0.25">
      <c r="D29376" s="28"/>
      <c r="F29376" s="28"/>
      <c r="H29376" s="28"/>
    </row>
    <row r="29377" spans="4:8" x14ac:dyDescent="0.25">
      <c r="D29377" s="28"/>
      <c r="F29377" s="28"/>
      <c r="H29377" s="28"/>
    </row>
    <row r="29378" spans="4:8" x14ac:dyDescent="0.25">
      <c r="D29378" s="28"/>
      <c r="F29378" s="28"/>
      <c r="H29378" s="28"/>
    </row>
    <row r="29379" spans="4:8" x14ac:dyDescent="0.25">
      <c r="D29379" s="28"/>
      <c r="F29379" s="28"/>
      <c r="H29379" s="28"/>
    </row>
    <row r="29380" spans="4:8" x14ac:dyDescent="0.25">
      <c r="D29380" s="28"/>
      <c r="F29380" s="28"/>
      <c r="H29380" s="28"/>
    </row>
    <row r="29381" spans="4:8" x14ac:dyDescent="0.25">
      <c r="D29381" s="28"/>
      <c r="F29381" s="28"/>
      <c r="H29381" s="28"/>
    </row>
    <row r="29382" spans="4:8" x14ac:dyDescent="0.25">
      <c r="D29382" s="28"/>
      <c r="F29382" s="28"/>
      <c r="H29382" s="28"/>
    </row>
    <row r="29383" spans="4:8" x14ac:dyDescent="0.25">
      <c r="D29383" s="28"/>
      <c r="F29383" s="28"/>
      <c r="H29383" s="28"/>
    </row>
    <row r="29384" spans="4:8" x14ac:dyDescent="0.25">
      <c r="D29384" s="28"/>
      <c r="F29384" s="28"/>
      <c r="H29384" s="28"/>
    </row>
    <row r="29385" spans="4:8" x14ac:dyDescent="0.25">
      <c r="D29385" s="28"/>
      <c r="F29385" s="28"/>
      <c r="H29385" s="28"/>
    </row>
    <row r="29386" spans="4:8" x14ac:dyDescent="0.25">
      <c r="D29386" s="28"/>
      <c r="F29386" s="28"/>
      <c r="H29386" s="28"/>
    </row>
    <row r="29387" spans="4:8" x14ac:dyDescent="0.25">
      <c r="D29387" s="28"/>
      <c r="F29387" s="28"/>
      <c r="H29387" s="28"/>
    </row>
    <row r="29388" spans="4:8" x14ac:dyDescent="0.25">
      <c r="D29388" s="28"/>
      <c r="F29388" s="28"/>
      <c r="H29388" s="28"/>
    </row>
    <row r="29389" spans="4:8" x14ac:dyDescent="0.25">
      <c r="D29389" s="28"/>
      <c r="F29389" s="28"/>
      <c r="H29389" s="28"/>
    </row>
    <row r="29390" spans="4:8" x14ac:dyDescent="0.25">
      <c r="D29390" s="28"/>
      <c r="F29390" s="28"/>
      <c r="H29390" s="28"/>
    </row>
    <row r="29391" spans="4:8" x14ac:dyDescent="0.25">
      <c r="D29391" s="28"/>
      <c r="F29391" s="28"/>
      <c r="H29391" s="28"/>
    </row>
    <row r="29392" spans="4:8" x14ac:dyDescent="0.25">
      <c r="D29392" s="28"/>
      <c r="F29392" s="28"/>
      <c r="H29392" s="28"/>
    </row>
    <row r="29393" spans="4:8" x14ac:dyDescent="0.25">
      <c r="D29393" s="28"/>
      <c r="F29393" s="28"/>
      <c r="H29393" s="28"/>
    </row>
    <row r="29394" spans="4:8" x14ac:dyDescent="0.25">
      <c r="D29394" s="28"/>
      <c r="F29394" s="28"/>
      <c r="H29394" s="28"/>
    </row>
    <row r="29395" spans="4:8" x14ac:dyDescent="0.25">
      <c r="D29395" s="28"/>
      <c r="F29395" s="28"/>
      <c r="H29395" s="28"/>
    </row>
    <row r="29396" spans="4:8" x14ac:dyDescent="0.25">
      <c r="D29396" s="28"/>
      <c r="F29396" s="28"/>
      <c r="H29396" s="28"/>
    </row>
    <row r="29397" spans="4:8" x14ac:dyDescent="0.25">
      <c r="D29397" s="28"/>
      <c r="F29397" s="28"/>
      <c r="H29397" s="28"/>
    </row>
    <row r="29398" spans="4:8" x14ac:dyDescent="0.25">
      <c r="D29398" s="28"/>
      <c r="F29398" s="28"/>
      <c r="H29398" s="28"/>
    </row>
    <row r="29399" spans="4:8" x14ac:dyDescent="0.25">
      <c r="D29399" s="28"/>
      <c r="F29399" s="28"/>
      <c r="H29399" s="28"/>
    </row>
    <row r="29400" spans="4:8" x14ac:dyDescent="0.25">
      <c r="D29400" s="28"/>
      <c r="F29400" s="28"/>
      <c r="H29400" s="28"/>
    </row>
    <row r="29401" spans="4:8" x14ac:dyDescent="0.25">
      <c r="D29401" s="28"/>
      <c r="F29401" s="28"/>
      <c r="H29401" s="28"/>
    </row>
    <row r="29402" spans="4:8" x14ac:dyDescent="0.25">
      <c r="D29402" s="28"/>
      <c r="F29402" s="28"/>
      <c r="H29402" s="28"/>
    </row>
    <row r="29403" spans="4:8" x14ac:dyDescent="0.25">
      <c r="D29403" s="28"/>
      <c r="F29403" s="28"/>
      <c r="H29403" s="28"/>
    </row>
    <row r="29404" spans="4:8" x14ac:dyDescent="0.25">
      <c r="D29404" s="28"/>
      <c r="F29404" s="28"/>
      <c r="H29404" s="28"/>
    </row>
    <row r="29405" spans="4:8" x14ac:dyDescent="0.25">
      <c r="D29405" s="28"/>
      <c r="F29405" s="28"/>
      <c r="H29405" s="28"/>
    </row>
    <row r="29406" spans="4:8" x14ac:dyDescent="0.25">
      <c r="D29406" s="28"/>
      <c r="F29406" s="28"/>
      <c r="H29406" s="28"/>
    </row>
    <row r="29407" spans="4:8" x14ac:dyDescent="0.25">
      <c r="D29407" s="28"/>
      <c r="F29407" s="28"/>
      <c r="H29407" s="28"/>
    </row>
    <row r="29408" spans="4:8" x14ac:dyDescent="0.25">
      <c r="D29408" s="28"/>
      <c r="F29408" s="28"/>
      <c r="H29408" s="28"/>
    </row>
    <row r="29409" spans="4:8" x14ac:dyDescent="0.25">
      <c r="D29409" s="28"/>
      <c r="F29409" s="28"/>
      <c r="H29409" s="28"/>
    </row>
    <row r="29410" spans="4:8" x14ac:dyDescent="0.25">
      <c r="D29410" s="28"/>
      <c r="F29410" s="28"/>
      <c r="H29410" s="28"/>
    </row>
    <row r="29411" spans="4:8" x14ac:dyDescent="0.25">
      <c r="D29411" s="28"/>
      <c r="F29411" s="28"/>
      <c r="H29411" s="28"/>
    </row>
    <row r="29412" spans="4:8" x14ac:dyDescent="0.25">
      <c r="D29412" s="28"/>
      <c r="F29412" s="28"/>
      <c r="H29412" s="28"/>
    </row>
    <row r="29413" spans="4:8" x14ac:dyDescent="0.25">
      <c r="D29413" s="28"/>
      <c r="F29413" s="28"/>
      <c r="H29413" s="28"/>
    </row>
    <row r="29414" spans="4:8" x14ac:dyDescent="0.25">
      <c r="D29414" s="28"/>
      <c r="F29414" s="28"/>
      <c r="H29414" s="28"/>
    </row>
    <row r="29415" spans="4:8" x14ac:dyDescent="0.25">
      <c r="D29415" s="28"/>
      <c r="F29415" s="28"/>
      <c r="H29415" s="28"/>
    </row>
    <row r="29416" spans="4:8" x14ac:dyDescent="0.25">
      <c r="D29416" s="28"/>
      <c r="F29416" s="28"/>
      <c r="H29416" s="28"/>
    </row>
    <row r="29417" spans="4:8" x14ac:dyDescent="0.25">
      <c r="D29417" s="28"/>
      <c r="F29417" s="28"/>
      <c r="H29417" s="28"/>
    </row>
    <row r="29418" spans="4:8" x14ac:dyDescent="0.25">
      <c r="D29418" s="28"/>
      <c r="F29418" s="28"/>
      <c r="H29418" s="28"/>
    </row>
    <row r="29419" spans="4:8" x14ac:dyDescent="0.25">
      <c r="D29419" s="28"/>
      <c r="F29419" s="28"/>
      <c r="H29419" s="28"/>
    </row>
    <row r="29420" spans="4:8" x14ac:dyDescent="0.25">
      <c r="D29420" s="28"/>
      <c r="F29420" s="28"/>
      <c r="H29420" s="28"/>
    </row>
    <row r="29421" spans="4:8" x14ac:dyDescent="0.25">
      <c r="D29421" s="28"/>
      <c r="F29421" s="28"/>
      <c r="H29421" s="28"/>
    </row>
    <row r="29422" spans="4:8" x14ac:dyDescent="0.25">
      <c r="D29422" s="28"/>
      <c r="F29422" s="28"/>
      <c r="H29422" s="28"/>
    </row>
    <row r="29423" spans="4:8" x14ac:dyDescent="0.25">
      <c r="D29423" s="28"/>
      <c r="F29423" s="28"/>
      <c r="H29423" s="28"/>
    </row>
    <row r="29424" spans="4:8" x14ac:dyDescent="0.25">
      <c r="D29424" s="28"/>
      <c r="F29424" s="28"/>
      <c r="H29424" s="28"/>
    </row>
    <row r="29425" spans="4:8" x14ac:dyDescent="0.25">
      <c r="D29425" s="28"/>
      <c r="F29425" s="28"/>
      <c r="H29425" s="28"/>
    </row>
    <row r="29426" spans="4:8" x14ac:dyDescent="0.25">
      <c r="D29426" s="28"/>
      <c r="F29426" s="28"/>
      <c r="H29426" s="28"/>
    </row>
    <row r="29427" spans="4:8" x14ac:dyDescent="0.25">
      <c r="D29427" s="28"/>
      <c r="F29427" s="28"/>
      <c r="H29427" s="28"/>
    </row>
    <row r="29428" spans="4:8" x14ac:dyDescent="0.25">
      <c r="D29428" s="28"/>
      <c r="F29428" s="28"/>
      <c r="H29428" s="28"/>
    </row>
    <row r="29429" spans="4:8" x14ac:dyDescent="0.25">
      <c r="D29429" s="28"/>
      <c r="F29429" s="28"/>
      <c r="H29429" s="28"/>
    </row>
    <row r="29430" spans="4:8" x14ac:dyDescent="0.25">
      <c r="D29430" s="28"/>
      <c r="F29430" s="28"/>
      <c r="H29430" s="28"/>
    </row>
    <row r="29431" spans="4:8" x14ac:dyDescent="0.25">
      <c r="D29431" s="28"/>
      <c r="F29431" s="28"/>
      <c r="H29431" s="28"/>
    </row>
    <row r="29432" spans="4:8" x14ac:dyDescent="0.25">
      <c r="D29432" s="28"/>
      <c r="F29432" s="28"/>
      <c r="H29432" s="28"/>
    </row>
    <row r="29433" spans="4:8" x14ac:dyDescent="0.25">
      <c r="D29433" s="28"/>
      <c r="F29433" s="28"/>
      <c r="H29433" s="28"/>
    </row>
    <row r="29434" spans="4:8" x14ac:dyDescent="0.25">
      <c r="D29434" s="28"/>
      <c r="F29434" s="28"/>
      <c r="H29434" s="28"/>
    </row>
    <row r="29435" spans="4:8" x14ac:dyDescent="0.25">
      <c r="D29435" s="28"/>
      <c r="F29435" s="28"/>
      <c r="H29435" s="28"/>
    </row>
    <row r="29436" spans="4:8" x14ac:dyDescent="0.25">
      <c r="D29436" s="28"/>
      <c r="F29436" s="28"/>
      <c r="H29436" s="28"/>
    </row>
    <row r="29437" spans="4:8" x14ac:dyDescent="0.25">
      <c r="D29437" s="28"/>
      <c r="F29437" s="28"/>
      <c r="H29437" s="28"/>
    </row>
    <row r="29438" spans="4:8" x14ac:dyDescent="0.25">
      <c r="D29438" s="28"/>
      <c r="F29438" s="28"/>
      <c r="H29438" s="28"/>
    </row>
    <row r="29439" spans="4:8" x14ac:dyDescent="0.25">
      <c r="D29439" s="28"/>
      <c r="F29439" s="28"/>
      <c r="H29439" s="28"/>
    </row>
    <row r="29440" spans="4:8" x14ac:dyDescent="0.25">
      <c r="D29440" s="28"/>
      <c r="F29440" s="28"/>
      <c r="H29440" s="28"/>
    </row>
    <row r="29441" spans="4:8" x14ac:dyDescent="0.25">
      <c r="D29441" s="28"/>
      <c r="F29441" s="28"/>
      <c r="H29441" s="28"/>
    </row>
    <row r="29442" spans="4:8" x14ac:dyDescent="0.25">
      <c r="D29442" s="28"/>
      <c r="F29442" s="28"/>
      <c r="H29442" s="28"/>
    </row>
    <row r="29443" spans="4:8" x14ac:dyDescent="0.25">
      <c r="D29443" s="28"/>
      <c r="F29443" s="28"/>
      <c r="H29443" s="28"/>
    </row>
    <row r="29444" spans="4:8" x14ac:dyDescent="0.25">
      <c r="D29444" s="28"/>
      <c r="F29444" s="28"/>
      <c r="H29444" s="28"/>
    </row>
    <row r="29445" spans="4:8" x14ac:dyDescent="0.25">
      <c r="D29445" s="28"/>
      <c r="F29445" s="28"/>
      <c r="H29445" s="28"/>
    </row>
    <row r="29446" spans="4:8" x14ac:dyDescent="0.25">
      <c r="D29446" s="28"/>
      <c r="F29446" s="28"/>
      <c r="H29446" s="28"/>
    </row>
    <row r="29447" spans="4:8" x14ac:dyDescent="0.25">
      <c r="D29447" s="28"/>
      <c r="F29447" s="28"/>
      <c r="H29447" s="28"/>
    </row>
    <row r="29448" spans="4:8" x14ac:dyDescent="0.25">
      <c r="D29448" s="28"/>
      <c r="F29448" s="28"/>
      <c r="H29448" s="28"/>
    </row>
    <row r="29449" spans="4:8" x14ac:dyDescent="0.25">
      <c r="D29449" s="28"/>
      <c r="F29449" s="28"/>
      <c r="H29449" s="28"/>
    </row>
    <row r="29450" spans="4:8" x14ac:dyDescent="0.25">
      <c r="D29450" s="28"/>
      <c r="F29450" s="28"/>
      <c r="H29450" s="28"/>
    </row>
    <row r="29451" spans="4:8" x14ac:dyDescent="0.25">
      <c r="D29451" s="28"/>
      <c r="F29451" s="28"/>
      <c r="H29451" s="28"/>
    </row>
    <row r="29452" spans="4:8" x14ac:dyDescent="0.25">
      <c r="D29452" s="28"/>
      <c r="F29452" s="28"/>
      <c r="H29452" s="28"/>
    </row>
    <row r="29453" spans="4:8" x14ac:dyDescent="0.25">
      <c r="D29453" s="28"/>
      <c r="F29453" s="28"/>
      <c r="H29453" s="28"/>
    </row>
    <row r="29454" spans="4:8" x14ac:dyDescent="0.25">
      <c r="D29454" s="28"/>
      <c r="F29454" s="28"/>
      <c r="H29454" s="28"/>
    </row>
    <row r="29455" spans="4:8" x14ac:dyDescent="0.25">
      <c r="D29455" s="28"/>
      <c r="F29455" s="28"/>
      <c r="H29455" s="28"/>
    </row>
    <row r="29456" spans="4:8" x14ac:dyDescent="0.25">
      <c r="D29456" s="28"/>
      <c r="F29456" s="28"/>
      <c r="H29456" s="28"/>
    </row>
    <row r="29457" spans="4:8" x14ac:dyDescent="0.25">
      <c r="D29457" s="28"/>
      <c r="F29457" s="28"/>
      <c r="H29457" s="28"/>
    </row>
    <row r="29458" spans="4:8" x14ac:dyDescent="0.25">
      <c r="D29458" s="28"/>
      <c r="F29458" s="28"/>
      <c r="H29458" s="28"/>
    </row>
    <row r="29459" spans="4:8" x14ac:dyDescent="0.25">
      <c r="D29459" s="28"/>
      <c r="F29459" s="28"/>
      <c r="H29459" s="28"/>
    </row>
    <row r="29460" spans="4:8" x14ac:dyDescent="0.25">
      <c r="D29460" s="28"/>
      <c r="F29460" s="28"/>
      <c r="H29460" s="28"/>
    </row>
    <row r="29461" spans="4:8" x14ac:dyDescent="0.25">
      <c r="D29461" s="28"/>
      <c r="F29461" s="28"/>
      <c r="H29461" s="28"/>
    </row>
    <row r="29462" spans="4:8" x14ac:dyDescent="0.25">
      <c r="D29462" s="28"/>
      <c r="F29462" s="28"/>
      <c r="H29462" s="28"/>
    </row>
    <row r="29463" spans="4:8" x14ac:dyDescent="0.25">
      <c r="D29463" s="28"/>
      <c r="F29463" s="28"/>
      <c r="H29463" s="28"/>
    </row>
    <row r="29464" spans="4:8" x14ac:dyDescent="0.25">
      <c r="D29464" s="28"/>
      <c r="F29464" s="28"/>
      <c r="H29464" s="28"/>
    </row>
    <row r="29465" spans="4:8" x14ac:dyDescent="0.25">
      <c r="D29465" s="28"/>
      <c r="F29465" s="28"/>
      <c r="H29465" s="28"/>
    </row>
    <row r="29466" spans="4:8" x14ac:dyDescent="0.25">
      <c r="D29466" s="28"/>
      <c r="F29466" s="28"/>
      <c r="H29466" s="28"/>
    </row>
    <row r="29467" spans="4:8" x14ac:dyDescent="0.25">
      <c r="D29467" s="28"/>
      <c r="F29467" s="28"/>
      <c r="H29467" s="28"/>
    </row>
    <row r="29468" spans="4:8" x14ac:dyDescent="0.25">
      <c r="D29468" s="28"/>
      <c r="F29468" s="28"/>
      <c r="H29468" s="28"/>
    </row>
    <row r="29469" spans="4:8" x14ac:dyDescent="0.25">
      <c r="D29469" s="28"/>
      <c r="F29469" s="28"/>
      <c r="H29469" s="28"/>
    </row>
    <row r="29470" spans="4:8" x14ac:dyDescent="0.25">
      <c r="D29470" s="28"/>
      <c r="F29470" s="28"/>
      <c r="H29470" s="28"/>
    </row>
    <row r="29471" spans="4:8" x14ac:dyDescent="0.25">
      <c r="D29471" s="28"/>
      <c r="F29471" s="28"/>
      <c r="H29471" s="28"/>
    </row>
    <row r="29472" spans="4:8" x14ac:dyDescent="0.25">
      <c r="D29472" s="28"/>
      <c r="F29472" s="28"/>
      <c r="H29472" s="28"/>
    </row>
    <row r="29473" spans="4:8" x14ac:dyDescent="0.25">
      <c r="D29473" s="28"/>
      <c r="F29473" s="28"/>
      <c r="H29473" s="28"/>
    </row>
    <row r="29474" spans="4:8" x14ac:dyDescent="0.25">
      <c r="D29474" s="28"/>
      <c r="F29474" s="28"/>
      <c r="H29474" s="28"/>
    </row>
    <row r="29475" spans="4:8" x14ac:dyDescent="0.25">
      <c r="D29475" s="28"/>
      <c r="F29475" s="28"/>
      <c r="H29475" s="28"/>
    </row>
    <row r="29476" spans="4:8" x14ac:dyDescent="0.25">
      <c r="D29476" s="28"/>
      <c r="F29476" s="28"/>
      <c r="H29476" s="28"/>
    </row>
    <row r="29477" spans="4:8" x14ac:dyDescent="0.25">
      <c r="D29477" s="28"/>
      <c r="F29477" s="28"/>
      <c r="H29477" s="28"/>
    </row>
    <row r="29478" spans="4:8" x14ac:dyDescent="0.25">
      <c r="D29478" s="28"/>
      <c r="F29478" s="28"/>
      <c r="H29478" s="28"/>
    </row>
    <row r="29479" spans="4:8" x14ac:dyDescent="0.25">
      <c r="D29479" s="28"/>
      <c r="F29479" s="28"/>
      <c r="H29479" s="28"/>
    </row>
    <row r="29480" spans="4:8" x14ac:dyDescent="0.25">
      <c r="D29480" s="28"/>
      <c r="F29480" s="28"/>
      <c r="H29480" s="28"/>
    </row>
    <row r="29481" spans="4:8" x14ac:dyDescent="0.25">
      <c r="D29481" s="28"/>
      <c r="F29481" s="28"/>
      <c r="H29481" s="28"/>
    </row>
    <row r="29482" spans="4:8" x14ac:dyDescent="0.25">
      <c r="D29482" s="28"/>
      <c r="F29482" s="28"/>
      <c r="H29482" s="28"/>
    </row>
    <row r="29483" spans="4:8" x14ac:dyDescent="0.25">
      <c r="D29483" s="28"/>
      <c r="F29483" s="28"/>
      <c r="H29483" s="28"/>
    </row>
    <row r="29484" spans="4:8" x14ac:dyDescent="0.25">
      <c r="D29484" s="28"/>
      <c r="F29484" s="28"/>
      <c r="H29484" s="28"/>
    </row>
    <row r="29485" spans="4:8" x14ac:dyDescent="0.25">
      <c r="D29485" s="28"/>
      <c r="F29485" s="28"/>
      <c r="H29485" s="28"/>
    </row>
    <row r="29486" spans="4:8" x14ac:dyDescent="0.25">
      <c r="D29486" s="28"/>
      <c r="F29486" s="28"/>
      <c r="H29486" s="28"/>
    </row>
    <row r="29487" spans="4:8" x14ac:dyDescent="0.25">
      <c r="D29487" s="28"/>
      <c r="F29487" s="28"/>
      <c r="H29487" s="28"/>
    </row>
    <row r="29488" spans="4:8" x14ac:dyDescent="0.25">
      <c r="D29488" s="28"/>
      <c r="F29488" s="28"/>
      <c r="H29488" s="28"/>
    </row>
    <row r="29489" spans="4:8" x14ac:dyDescent="0.25">
      <c r="D29489" s="28"/>
      <c r="F29489" s="28"/>
      <c r="H29489" s="28"/>
    </row>
    <row r="29490" spans="4:8" x14ac:dyDescent="0.25">
      <c r="D29490" s="28"/>
      <c r="F29490" s="28"/>
      <c r="H29490" s="28"/>
    </row>
    <row r="29491" spans="4:8" x14ac:dyDescent="0.25">
      <c r="D29491" s="28"/>
      <c r="F29491" s="28"/>
      <c r="H29491" s="28"/>
    </row>
    <row r="29492" spans="4:8" x14ac:dyDescent="0.25">
      <c r="D29492" s="28"/>
      <c r="F29492" s="28"/>
      <c r="H29492" s="28"/>
    </row>
    <row r="29493" spans="4:8" x14ac:dyDescent="0.25">
      <c r="D29493" s="28"/>
      <c r="F29493" s="28"/>
      <c r="H29493" s="28"/>
    </row>
    <row r="29494" spans="4:8" x14ac:dyDescent="0.25">
      <c r="D29494" s="28"/>
      <c r="F29494" s="28"/>
      <c r="H29494" s="28"/>
    </row>
    <row r="29495" spans="4:8" x14ac:dyDescent="0.25">
      <c r="D29495" s="28"/>
      <c r="F29495" s="28"/>
      <c r="H29495" s="28"/>
    </row>
    <row r="29496" spans="4:8" x14ac:dyDescent="0.25">
      <c r="D29496" s="28"/>
      <c r="F29496" s="28"/>
      <c r="H29496" s="28"/>
    </row>
    <row r="29497" spans="4:8" x14ac:dyDescent="0.25">
      <c r="D29497" s="28"/>
      <c r="F29497" s="28"/>
      <c r="H29497" s="28"/>
    </row>
    <row r="29498" spans="4:8" x14ac:dyDescent="0.25">
      <c r="D29498" s="28"/>
      <c r="F29498" s="28"/>
      <c r="H29498" s="28"/>
    </row>
    <row r="29499" spans="4:8" x14ac:dyDescent="0.25">
      <c r="D29499" s="28"/>
      <c r="F29499" s="28"/>
      <c r="H29499" s="28"/>
    </row>
    <row r="29500" spans="4:8" x14ac:dyDescent="0.25">
      <c r="D29500" s="28"/>
      <c r="F29500" s="28"/>
      <c r="H29500" s="28"/>
    </row>
    <row r="29501" spans="4:8" x14ac:dyDescent="0.25">
      <c r="D29501" s="28"/>
      <c r="F29501" s="28"/>
      <c r="H29501" s="28"/>
    </row>
    <row r="29502" spans="4:8" x14ac:dyDescent="0.25">
      <c r="D29502" s="28"/>
      <c r="F29502" s="28"/>
      <c r="H29502" s="28"/>
    </row>
    <row r="29503" spans="4:8" x14ac:dyDescent="0.25">
      <c r="D29503" s="28"/>
      <c r="F29503" s="28"/>
      <c r="H29503" s="28"/>
    </row>
    <row r="29504" spans="4:8" x14ac:dyDescent="0.25">
      <c r="D29504" s="28"/>
      <c r="F29504" s="28"/>
      <c r="H29504" s="28"/>
    </row>
    <row r="29505" spans="4:8" x14ac:dyDescent="0.25">
      <c r="D29505" s="28"/>
      <c r="F29505" s="28"/>
      <c r="H29505" s="28"/>
    </row>
    <row r="29506" spans="4:8" x14ac:dyDescent="0.25">
      <c r="D29506" s="28"/>
      <c r="F29506" s="28"/>
      <c r="H29506" s="28"/>
    </row>
    <row r="29507" spans="4:8" x14ac:dyDescent="0.25">
      <c r="D29507" s="28"/>
      <c r="F29507" s="28"/>
      <c r="H29507" s="28"/>
    </row>
    <row r="29508" spans="4:8" x14ac:dyDescent="0.25">
      <c r="D29508" s="28"/>
      <c r="F29508" s="28"/>
      <c r="H29508" s="28"/>
    </row>
    <row r="29509" spans="4:8" x14ac:dyDescent="0.25">
      <c r="D29509" s="28"/>
      <c r="F29509" s="28"/>
      <c r="H29509" s="28"/>
    </row>
    <row r="29510" spans="4:8" x14ac:dyDescent="0.25">
      <c r="D29510" s="28"/>
      <c r="F29510" s="28"/>
      <c r="H29510" s="28"/>
    </row>
    <row r="29511" spans="4:8" x14ac:dyDescent="0.25">
      <c r="D29511" s="28"/>
      <c r="F29511" s="28"/>
      <c r="H29511" s="28"/>
    </row>
    <row r="29512" spans="4:8" x14ac:dyDescent="0.25">
      <c r="D29512" s="28"/>
      <c r="F29512" s="28"/>
      <c r="H29512" s="28"/>
    </row>
    <row r="29513" spans="4:8" x14ac:dyDescent="0.25">
      <c r="D29513" s="28"/>
      <c r="F29513" s="28"/>
      <c r="H29513" s="28"/>
    </row>
    <row r="29514" spans="4:8" x14ac:dyDescent="0.25">
      <c r="D29514" s="28"/>
      <c r="F29514" s="28"/>
      <c r="H29514" s="28"/>
    </row>
    <row r="29515" spans="4:8" x14ac:dyDescent="0.25">
      <c r="D29515" s="28"/>
      <c r="F29515" s="28"/>
      <c r="H29515" s="28"/>
    </row>
    <row r="29516" spans="4:8" x14ac:dyDescent="0.25">
      <c r="D29516" s="28"/>
      <c r="F29516" s="28"/>
      <c r="H29516" s="28"/>
    </row>
    <row r="29517" spans="4:8" x14ac:dyDescent="0.25">
      <c r="D29517" s="28"/>
      <c r="F29517" s="28"/>
      <c r="H29517" s="28"/>
    </row>
    <row r="29518" spans="4:8" x14ac:dyDescent="0.25">
      <c r="D29518" s="28"/>
      <c r="F29518" s="28"/>
      <c r="H29518" s="28"/>
    </row>
    <row r="29519" spans="4:8" x14ac:dyDescent="0.25">
      <c r="D29519" s="28"/>
      <c r="F29519" s="28"/>
      <c r="H29519" s="28"/>
    </row>
    <row r="29520" spans="4:8" x14ac:dyDescent="0.25">
      <c r="D29520" s="28"/>
      <c r="F29520" s="28"/>
      <c r="H29520" s="28"/>
    </row>
    <row r="29521" spans="4:8" x14ac:dyDescent="0.25">
      <c r="D29521" s="28"/>
      <c r="F29521" s="28"/>
      <c r="H29521" s="28"/>
    </row>
    <row r="29522" spans="4:8" x14ac:dyDescent="0.25">
      <c r="D29522" s="28"/>
      <c r="F29522" s="28"/>
      <c r="H29522" s="28"/>
    </row>
    <row r="29523" spans="4:8" x14ac:dyDescent="0.25">
      <c r="D29523" s="28"/>
      <c r="F29523" s="28"/>
      <c r="H29523" s="28"/>
    </row>
    <row r="29524" spans="4:8" x14ac:dyDescent="0.25">
      <c r="D29524" s="28"/>
      <c r="F29524" s="28"/>
      <c r="H29524" s="28"/>
    </row>
    <row r="29525" spans="4:8" x14ac:dyDescent="0.25">
      <c r="D29525" s="28"/>
      <c r="F29525" s="28"/>
      <c r="H29525" s="28"/>
    </row>
    <row r="29526" spans="4:8" x14ac:dyDescent="0.25">
      <c r="D29526" s="28"/>
      <c r="F29526" s="28"/>
      <c r="H29526" s="28"/>
    </row>
    <row r="29527" spans="4:8" x14ac:dyDescent="0.25">
      <c r="D29527" s="28"/>
      <c r="F29527" s="28"/>
      <c r="H29527" s="28"/>
    </row>
    <row r="29528" spans="4:8" x14ac:dyDescent="0.25">
      <c r="D29528" s="28"/>
      <c r="F29528" s="28"/>
      <c r="H29528" s="28"/>
    </row>
    <row r="29529" spans="4:8" x14ac:dyDescent="0.25">
      <c r="D29529" s="28"/>
      <c r="F29529" s="28"/>
      <c r="H29529" s="28"/>
    </row>
    <row r="29530" spans="4:8" x14ac:dyDescent="0.25">
      <c r="D29530" s="28"/>
      <c r="F29530" s="28"/>
      <c r="H29530" s="28"/>
    </row>
    <row r="29531" spans="4:8" x14ac:dyDescent="0.25">
      <c r="D29531" s="28"/>
      <c r="F29531" s="28"/>
      <c r="H29531" s="28"/>
    </row>
    <row r="29532" spans="4:8" x14ac:dyDescent="0.25">
      <c r="D29532" s="28"/>
      <c r="F29532" s="28"/>
      <c r="H29532" s="28"/>
    </row>
    <row r="29533" spans="4:8" x14ac:dyDescent="0.25">
      <c r="D29533" s="28"/>
      <c r="F29533" s="28"/>
      <c r="H29533" s="28"/>
    </row>
    <row r="29534" spans="4:8" x14ac:dyDescent="0.25">
      <c r="D29534" s="28"/>
      <c r="F29534" s="28"/>
      <c r="H29534" s="28"/>
    </row>
    <row r="29535" spans="4:8" x14ac:dyDescent="0.25">
      <c r="D29535" s="28"/>
      <c r="F29535" s="28"/>
      <c r="H29535" s="28"/>
    </row>
    <row r="29536" spans="4:8" x14ac:dyDescent="0.25">
      <c r="D29536" s="28"/>
      <c r="F29536" s="28"/>
      <c r="H29536" s="28"/>
    </row>
    <row r="29537" spans="4:8" x14ac:dyDescent="0.25">
      <c r="D29537" s="28"/>
      <c r="F29537" s="28"/>
      <c r="H29537" s="28"/>
    </row>
    <row r="29538" spans="4:8" x14ac:dyDescent="0.25">
      <c r="D29538" s="28"/>
      <c r="F29538" s="28"/>
      <c r="H29538" s="28"/>
    </row>
    <row r="29539" spans="4:8" x14ac:dyDescent="0.25">
      <c r="D29539" s="28"/>
      <c r="F29539" s="28"/>
      <c r="H29539" s="28"/>
    </row>
    <row r="29540" spans="4:8" x14ac:dyDescent="0.25">
      <c r="D29540" s="28"/>
      <c r="F29540" s="28"/>
      <c r="H29540" s="28"/>
    </row>
    <row r="29541" spans="4:8" x14ac:dyDescent="0.25">
      <c r="D29541" s="28"/>
      <c r="F29541" s="28"/>
      <c r="H29541" s="28"/>
    </row>
    <row r="29542" spans="4:8" x14ac:dyDescent="0.25">
      <c r="D29542" s="28"/>
      <c r="F29542" s="28"/>
      <c r="H29542" s="28"/>
    </row>
    <row r="29543" spans="4:8" x14ac:dyDescent="0.25">
      <c r="D29543" s="28"/>
      <c r="F29543" s="28"/>
      <c r="H29543" s="28"/>
    </row>
    <row r="29544" spans="4:8" x14ac:dyDescent="0.25">
      <c r="D29544" s="28"/>
      <c r="F29544" s="28"/>
      <c r="H29544" s="28"/>
    </row>
    <row r="29545" spans="4:8" x14ac:dyDescent="0.25">
      <c r="D29545" s="28"/>
      <c r="F29545" s="28"/>
      <c r="H29545" s="28"/>
    </row>
    <row r="29546" spans="4:8" x14ac:dyDescent="0.25">
      <c r="D29546" s="28"/>
      <c r="F29546" s="28"/>
      <c r="H29546" s="28"/>
    </row>
    <row r="29547" spans="4:8" x14ac:dyDescent="0.25">
      <c r="D29547" s="28"/>
      <c r="F29547" s="28"/>
      <c r="H29547" s="28"/>
    </row>
    <row r="29548" spans="4:8" x14ac:dyDescent="0.25">
      <c r="D29548" s="28"/>
      <c r="F29548" s="28"/>
      <c r="H29548" s="28"/>
    </row>
    <row r="29549" spans="4:8" x14ac:dyDescent="0.25">
      <c r="D29549" s="28"/>
      <c r="F29549" s="28"/>
      <c r="H29549" s="28"/>
    </row>
    <row r="29550" spans="4:8" x14ac:dyDescent="0.25">
      <c r="D29550" s="28"/>
      <c r="F29550" s="28"/>
      <c r="H29550" s="28"/>
    </row>
    <row r="29551" spans="4:8" x14ac:dyDescent="0.25">
      <c r="D29551" s="28"/>
      <c r="F29551" s="28"/>
      <c r="H29551" s="28"/>
    </row>
    <row r="29552" spans="4:8" x14ac:dyDescent="0.25">
      <c r="D29552" s="28"/>
      <c r="F29552" s="28"/>
      <c r="H29552" s="28"/>
    </row>
    <row r="29553" spans="4:8" x14ac:dyDescent="0.25">
      <c r="D29553" s="28"/>
      <c r="F29553" s="28"/>
      <c r="H29553" s="28"/>
    </row>
    <row r="29554" spans="4:8" x14ac:dyDescent="0.25">
      <c r="D29554" s="28"/>
      <c r="F29554" s="28"/>
      <c r="H29554" s="28"/>
    </row>
    <row r="29555" spans="4:8" x14ac:dyDescent="0.25">
      <c r="D29555" s="28"/>
      <c r="F29555" s="28"/>
      <c r="H29555" s="28"/>
    </row>
    <row r="29556" spans="4:8" x14ac:dyDescent="0.25">
      <c r="D29556" s="28"/>
      <c r="F29556" s="28"/>
      <c r="H29556" s="28"/>
    </row>
    <row r="29557" spans="4:8" x14ac:dyDescent="0.25">
      <c r="D29557" s="28"/>
      <c r="F29557" s="28"/>
      <c r="H29557" s="28"/>
    </row>
    <row r="29558" spans="4:8" x14ac:dyDescent="0.25">
      <c r="D29558" s="28"/>
      <c r="F29558" s="28"/>
      <c r="H29558" s="28"/>
    </row>
    <row r="29559" spans="4:8" x14ac:dyDescent="0.25">
      <c r="D29559" s="28"/>
      <c r="F29559" s="28"/>
      <c r="H29559" s="28"/>
    </row>
    <row r="29560" spans="4:8" x14ac:dyDescent="0.25">
      <c r="D29560" s="28"/>
      <c r="F29560" s="28"/>
      <c r="H29560" s="28"/>
    </row>
    <row r="29561" spans="4:8" x14ac:dyDescent="0.25">
      <c r="D29561" s="28"/>
      <c r="F29561" s="28"/>
      <c r="H29561" s="28"/>
    </row>
    <row r="29562" spans="4:8" x14ac:dyDescent="0.25">
      <c r="D29562" s="28"/>
      <c r="F29562" s="28"/>
      <c r="H29562" s="28"/>
    </row>
    <row r="29563" spans="4:8" x14ac:dyDescent="0.25">
      <c r="D29563" s="28"/>
      <c r="F29563" s="28"/>
      <c r="H29563" s="28"/>
    </row>
    <row r="29564" spans="4:8" x14ac:dyDescent="0.25">
      <c r="D29564" s="28"/>
      <c r="F29564" s="28"/>
      <c r="H29564" s="28"/>
    </row>
    <row r="29565" spans="4:8" x14ac:dyDescent="0.25">
      <c r="D29565" s="28"/>
      <c r="F29565" s="28"/>
      <c r="H29565" s="28"/>
    </row>
    <row r="29566" spans="4:8" x14ac:dyDescent="0.25">
      <c r="D29566" s="28"/>
      <c r="F29566" s="28"/>
      <c r="H29566" s="28"/>
    </row>
    <row r="29567" spans="4:8" x14ac:dyDescent="0.25">
      <c r="D29567" s="28"/>
      <c r="F29567" s="28"/>
      <c r="H29567" s="28"/>
    </row>
    <row r="29568" spans="4:8" x14ac:dyDescent="0.25">
      <c r="D29568" s="28"/>
      <c r="F29568" s="28"/>
      <c r="H29568" s="28"/>
    </row>
    <row r="29569" spans="4:8" x14ac:dyDescent="0.25">
      <c r="D29569" s="28"/>
      <c r="F29569" s="28"/>
      <c r="H29569" s="28"/>
    </row>
    <row r="29570" spans="4:8" x14ac:dyDescent="0.25">
      <c r="D29570" s="28"/>
      <c r="F29570" s="28"/>
      <c r="H29570" s="28"/>
    </row>
    <row r="29571" spans="4:8" x14ac:dyDescent="0.25">
      <c r="D29571" s="28"/>
      <c r="F29571" s="28"/>
      <c r="H29571" s="28"/>
    </row>
    <row r="29572" spans="4:8" x14ac:dyDescent="0.25">
      <c r="D29572" s="28"/>
      <c r="F29572" s="28"/>
      <c r="H29572" s="28"/>
    </row>
    <row r="29573" spans="4:8" x14ac:dyDescent="0.25">
      <c r="D29573" s="28"/>
      <c r="F29573" s="28"/>
      <c r="H29573" s="28"/>
    </row>
    <row r="29574" spans="4:8" x14ac:dyDescent="0.25">
      <c r="D29574" s="28"/>
      <c r="F29574" s="28"/>
      <c r="H29574" s="28"/>
    </row>
    <row r="29575" spans="4:8" x14ac:dyDescent="0.25">
      <c r="D29575" s="28"/>
      <c r="F29575" s="28"/>
      <c r="H29575" s="28"/>
    </row>
    <row r="29576" spans="4:8" x14ac:dyDescent="0.25">
      <c r="D29576" s="28"/>
      <c r="F29576" s="28"/>
      <c r="H29576" s="28"/>
    </row>
    <row r="29577" spans="4:8" x14ac:dyDescent="0.25">
      <c r="D29577" s="28"/>
      <c r="F29577" s="28"/>
      <c r="H29577" s="28"/>
    </row>
    <row r="29578" spans="4:8" x14ac:dyDescent="0.25">
      <c r="D29578" s="28"/>
      <c r="F29578" s="28"/>
      <c r="H29578" s="28"/>
    </row>
    <row r="29579" spans="4:8" x14ac:dyDescent="0.25">
      <c r="D29579" s="28"/>
      <c r="F29579" s="28"/>
      <c r="H29579" s="28"/>
    </row>
    <row r="29580" spans="4:8" x14ac:dyDescent="0.25">
      <c r="D29580" s="28"/>
      <c r="F29580" s="28"/>
      <c r="H29580" s="28"/>
    </row>
    <row r="29581" spans="4:8" x14ac:dyDescent="0.25">
      <c r="D29581" s="28"/>
      <c r="F29581" s="28"/>
      <c r="H29581" s="28"/>
    </row>
    <row r="29582" spans="4:8" x14ac:dyDescent="0.25">
      <c r="D29582" s="28"/>
      <c r="F29582" s="28"/>
      <c r="H29582" s="28"/>
    </row>
    <row r="29583" spans="4:8" x14ac:dyDescent="0.25">
      <c r="D29583" s="28"/>
      <c r="F29583" s="28"/>
      <c r="H29583" s="28"/>
    </row>
    <row r="29584" spans="4:8" x14ac:dyDescent="0.25">
      <c r="D29584" s="28"/>
      <c r="F29584" s="28"/>
      <c r="H29584" s="28"/>
    </row>
    <row r="29585" spans="4:8" x14ac:dyDescent="0.25">
      <c r="D29585" s="28"/>
      <c r="F29585" s="28"/>
      <c r="H29585" s="28"/>
    </row>
    <row r="29586" spans="4:8" x14ac:dyDescent="0.25">
      <c r="D29586" s="28"/>
      <c r="F29586" s="28"/>
      <c r="H29586" s="28"/>
    </row>
    <row r="29587" spans="4:8" x14ac:dyDescent="0.25">
      <c r="D29587" s="28"/>
      <c r="F29587" s="28"/>
      <c r="H29587" s="28"/>
    </row>
    <row r="29588" spans="4:8" x14ac:dyDescent="0.25">
      <c r="D29588" s="28"/>
      <c r="F29588" s="28"/>
      <c r="H29588" s="28"/>
    </row>
    <row r="29589" spans="4:8" x14ac:dyDescent="0.25">
      <c r="D29589" s="28"/>
      <c r="F29589" s="28"/>
      <c r="H29589" s="28"/>
    </row>
    <row r="29590" spans="4:8" x14ac:dyDescent="0.25">
      <c r="D29590" s="28"/>
      <c r="F29590" s="28"/>
      <c r="H29590" s="28"/>
    </row>
    <row r="29591" spans="4:8" x14ac:dyDescent="0.25">
      <c r="D29591" s="28"/>
      <c r="F29591" s="28"/>
      <c r="H29591" s="28"/>
    </row>
    <row r="29592" spans="4:8" x14ac:dyDescent="0.25">
      <c r="D29592" s="28"/>
      <c r="F29592" s="28"/>
      <c r="H29592" s="28"/>
    </row>
    <row r="29593" spans="4:8" x14ac:dyDescent="0.25">
      <c r="D29593" s="28"/>
      <c r="F29593" s="28"/>
      <c r="H29593" s="28"/>
    </row>
    <row r="29594" spans="4:8" x14ac:dyDescent="0.25">
      <c r="D29594" s="28"/>
      <c r="F29594" s="28"/>
      <c r="H29594" s="28"/>
    </row>
    <row r="29595" spans="4:8" x14ac:dyDescent="0.25">
      <c r="D29595" s="28"/>
      <c r="F29595" s="28"/>
      <c r="H29595" s="28"/>
    </row>
    <row r="29596" spans="4:8" x14ac:dyDescent="0.25">
      <c r="D29596" s="28"/>
      <c r="F29596" s="28"/>
      <c r="H29596" s="28"/>
    </row>
    <row r="29597" spans="4:8" x14ac:dyDescent="0.25">
      <c r="D29597" s="28"/>
      <c r="F29597" s="28"/>
      <c r="H29597" s="28"/>
    </row>
    <row r="29598" spans="4:8" x14ac:dyDescent="0.25">
      <c r="D29598" s="28"/>
      <c r="F29598" s="28"/>
      <c r="H29598" s="28"/>
    </row>
    <row r="29599" spans="4:8" x14ac:dyDescent="0.25">
      <c r="D29599" s="28"/>
      <c r="F29599" s="28"/>
      <c r="H29599" s="28"/>
    </row>
    <row r="29600" spans="4:8" x14ac:dyDescent="0.25">
      <c r="D29600" s="28"/>
      <c r="F29600" s="28"/>
      <c r="H29600" s="28"/>
    </row>
    <row r="29601" spans="4:8" x14ac:dyDescent="0.25">
      <c r="D29601" s="28"/>
      <c r="F29601" s="28"/>
      <c r="H29601" s="28"/>
    </row>
    <row r="29602" spans="4:8" x14ac:dyDescent="0.25">
      <c r="D29602" s="28"/>
      <c r="F29602" s="28"/>
      <c r="H29602" s="28"/>
    </row>
    <row r="29603" spans="4:8" x14ac:dyDescent="0.25">
      <c r="D29603" s="28"/>
      <c r="F29603" s="28"/>
      <c r="H29603" s="28"/>
    </row>
    <row r="29604" spans="4:8" x14ac:dyDescent="0.25">
      <c r="D29604" s="28"/>
      <c r="F29604" s="28"/>
      <c r="H29604" s="28"/>
    </row>
    <row r="29605" spans="4:8" x14ac:dyDescent="0.25">
      <c r="D29605" s="28"/>
      <c r="F29605" s="28"/>
      <c r="H29605" s="28"/>
    </row>
    <row r="29606" spans="4:8" x14ac:dyDescent="0.25">
      <c r="D29606" s="28"/>
      <c r="F29606" s="28"/>
      <c r="H29606" s="28"/>
    </row>
    <row r="29607" spans="4:8" x14ac:dyDescent="0.25">
      <c r="D29607" s="28"/>
      <c r="F29607" s="28"/>
      <c r="H29607" s="28"/>
    </row>
    <row r="29608" spans="4:8" x14ac:dyDescent="0.25">
      <c r="D29608" s="28"/>
      <c r="F29608" s="28"/>
      <c r="H29608" s="28"/>
    </row>
    <row r="29609" spans="4:8" x14ac:dyDescent="0.25">
      <c r="D29609" s="28"/>
      <c r="F29609" s="28"/>
      <c r="H29609" s="28"/>
    </row>
    <row r="29610" spans="4:8" x14ac:dyDescent="0.25">
      <c r="D29610" s="28"/>
      <c r="F29610" s="28"/>
      <c r="H29610" s="28"/>
    </row>
    <row r="29611" spans="4:8" x14ac:dyDescent="0.25">
      <c r="D29611" s="28"/>
      <c r="F29611" s="28"/>
      <c r="H29611" s="28"/>
    </row>
    <row r="29612" spans="4:8" x14ac:dyDescent="0.25">
      <c r="D29612" s="28"/>
      <c r="F29612" s="28"/>
      <c r="H29612" s="28"/>
    </row>
    <row r="29613" spans="4:8" x14ac:dyDescent="0.25">
      <c r="D29613" s="28"/>
      <c r="F29613" s="28"/>
      <c r="H29613" s="28"/>
    </row>
    <row r="29614" spans="4:8" x14ac:dyDescent="0.25">
      <c r="D29614" s="28"/>
      <c r="F29614" s="28"/>
      <c r="H29614" s="28"/>
    </row>
    <row r="29615" spans="4:8" x14ac:dyDescent="0.25">
      <c r="D29615" s="28"/>
      <c r="F29615" s="28"/>
      <c r="H29615" s="28"/>
    </row>
    <row r="29616" spans="4:8" x14ac:dyDescent="0.25">
      <c r="D29616" s="28"/>
      <c r="F29616" s="28"/>
      <c r="H29616" s="28"/>
    </row>
    <row r="29617" spans="4:8" x14ac:dyDescent="0.25">
      <c r="D29617" s="28"/>
      <c r="F29617" s="28"/>
      <c r="H29617" s="28"/>
    </row>
    <row r="29618" spans="4:8" x14ac:dyDescent="0.25">
      <c r="D29618" s="28"/>
      <c r="F29618" s="28"/>
      <c r="H29618" s="28"/>
    </row>
    <row r="29619" spans="4:8" x14ac:dyDescent="0.25">
      <c r="D29619" s="28"/>
      <c r="F29619" s="28"/>
      <c r="H29619" s="28"/>
    </row>
    <row r="29620" spans="4:8" x14ac:dyDescent="0.25">
      <c r="D29620" s="28"/>
      <c r="F29620" s="28"/>
      <c r="H29620" s="28"/>
    </row>
    <row r="29621" spans="4:8" x14ac:dyDescent="0.25">
      <c r="D29621" s="28"/>
      <c r="F29621" s="28"/>
      <c r="H29621" s="28"/>
    </row>
    <row r="29622" spans="4:8" x14ac:dyDescent="0.25">
      <c r="D29622" s="28"/>
      <c r="F29622" s="28"/>
      <c r="H29622" s="28"/>
    </row>
    <row r="29623" spans="4:8" x14ac:dyDescent="0.25">
      <c r="D29623" s="28"/>
      <c r="F29623" s="28"/>
      <c r="H29623" s="28"/>
    </row>
    <row r="29624" spans="4:8" x14ac:dyDescent="0.25">
      <c r="D29624" s="28"/>
      <c r="F29624" s="28"/>
      <c r="H29624" s="28"/>
    </row>
    <row r="29625" spans="4:8" x14ac:dyDescent="0.25">
      <c r="D29625" s="28"/>
      <c r="F29625" s="28"/>
      <c r="H29625" s="28"/>
    </row>
    <row r="29626" spans="4:8" x14ac:dyDescent="0.25">
      <c r="D29626" s="28"/>
      <c r="F29626" s="28"/>
      <c r="H29626" s="28"/>
    </row>
    <row r="29627" spans="4:8" x14ac:dyDescent="0.25">
      <c r="D29627" s="28"/>
      <c r="F29627" s="28"/>
      <c r="H29627" s="28"/>
    </row>
    <row r="29628" spans="4:8" x14ac:dyDescent="0.25">
      <c r="D29628" s="28"/>
      <c r="F29628" s="28"/>
      <c r="H29628" s="28"/>
    </row>
    <row r="29629" spans="4:8" x14ac:dyDescent="0.25">
      <c r="D29629" s="28"/>
      <c r="F29629" s="28"/>
      <c r="H29629" s="28"/>
    </row>
    <row r="29630" spans="4:8" x14ac:dyDescent="0.25">
      <c r="D29630" s="28"/>
      <c r="F29630" s="28"/>
      <c r="H29630" s="28"/>
    </row>
    <row r="29631" spans="4:8" x14ac:dyDescent="0.25">
      <c r="D29631" s="28"/>
      <c r="F29631" s="28"/>
      <c r="H29631" s="28"/>
    </row>
    <row r="29632" spans="4:8" x14ac:dyDescent="0.25">
      <c r="D29632" s="28"/>
      <c r="F29632" s="28"/>
      <c r="H29632" s="28"/>
    </row>
    <row r="29633" spans="4:8" x14ac:dyDescent="0.25">
      <c r="D29633" s="28"/>
      <c r="F29633" s="28"/>
      <c r="H29633" s="28"/>
    </row>
    <row r="29634" spans="4:8" x14ac:dyDescent="0.25">
      <c r="D29634" s="28"/>
      <c r="F29634" s="28"/>
      <c r="H29634" s="28"/>
    </row>
    <row r="29635" spans="4:8" x14ac:dyDescent="0.25">
      <c r="D29635" s="28"/>
      <c r="F29635" s="28"/>
      <c r="H29635" s="28"/>
    </row>
    <row r="29636" spans="4:8" x14ac:dyDescent="0.25">
      <c r="D29636" s="28"/>
      <c r="F29636" s="28"/>
      <c r="H29636" s="28"/>
    </row>
    <row r="29637" spans="4:8" x14ac:dyDescent="0.25">
      <c r="D29637" s="28"/>
      <c r="F29637" s="28"/>
      <c r="H29637" s="28"/>
    </row>
    <row r="29638" spans="4:8" x14ac:dyDescent="0.25">
      <c r="D29638" s="28"/>
      <c r="F29638" s="28"/>
      <c r="H29638" s="28"/>
    </row>
    <row r="29639" spans="4:8" x14ac:dyDescent="0.25">
      <c r="D29639" s="28"/>
      <c r="F29639" s="28"/>
      <c r="H29639" s="28"/>
    </row>
    <row r="29640" spans="4:8" x14ac:dyDescent="0.25">
      <c r="D29640" s="28"/>
      <c r="F29640" s="28"/>
      <c r="H29640" s="28"/>
    </row>
    <row r="29641" spans="4:8" x14ac:dyDescent="0.25">
      <c r="D29641" s="28"/>
      <c r="F29641" s="28"/>
      <c r="H29641" s="28"/>
    </row>
    <row r="29642" spans="4:8" x14ac:dyDescent="0.25">
      <c r="D29642" s="28"/>
      <c r="F29642" s="28"/>
      <c r="H29642" s="28"/>
    </row>
    <row r="29643" spans="4:8" x14ac:dyDescent="0.25">
      <c r="D29643" s="28"/>
      <c r="F29643" s="28"/>
      <c r="H29643" s="28"/>
    </row>
    <row r="29644" spans="4:8" x14ac:dyDescent="0.25">
      <c r="D29644" s="28"/>
      <c r="F29644" s="28"/>
      <c r="H29644" s="28"/>
    </row>
    <row r="29645" spans="4:8" x14ac:dyDescent="0.25">
      <c r="D29645" s="28"/>
      <c r="F29645" s="28"/>
      <c r="H29645" s="28"/>
    </row>
    <row r="29646" spans="4:8" x14ac:dyDescent="0.25">
      <c r="D29646" s="28"/>
      <c r="F29646" s="28"/>
      <c r="H29646" s="28"/>
    </row>
    <row r="29647" spans="4:8" x14ac:dyDescent="0.25">
      <c r="D29647" s="28"/>
      <c r="F29647" s="28"/>
      <c r="H29647" s="28"/>
    </row>
    <row r="29648" spans="4:8" x14ac:dyDescent="0.25">
      <c r="D29648" s="28"/>
      <c r="F29648" s="28"/>
      <c r="H29648" s="28"/>
    </row>
    <row r="29649" spans="4:8" x14ac:dyDescent="0.25">
      <c r="D29649" s="28"/>
      <c r="F29649" s="28"/>
      <c r="H29649" s="28"/>
    </row>
    <row r="29650" spans="4:8" x14ac:dyDescent="0.25">
      <c r="D29650" s="28"/>
      <c r="F29650" s="28"/>
      <c r="H29650" s="28"/>
    </row>
    <row r="29651" spans="4:8" x14ac:dyDescent="0.25">
      <c r="D29651" s="28"/>
      <c r="F29651" s="28"/>
      <c r="H29651" s="28"/>
    </row>
    <row r="29652" spans="4:8" x14ac:dyDescent="0.25">
      <c r="D29652" s="28"/>
      <c r="F29652" s="28"/>
      <c r="H29652" s="28"/>
    </row>
    <row r="29653" spans="4:8" x14ac:dyDescent="0.25">
      <c r="D29653" s="28"/>
      <c r="F29653" s="28"/>
      <c r="H29653" s="28"/>
    </row>
    <row r="29654" spans="4:8" x14ac:dyDescent="0.25">
      <c r="D29654" s="28"/>
      <c r="F29654" s="28"/>
      <c r="H29654" s="28"/>
    </row>
    <row r="29655" spans="4:8" x14ac:dyDescent="0.25">
      <c r="D29655" s="28"/>
      <c r="F29655" s="28"/>
      <c r="H29655" s="28"/>
    </row>
    <row r="29656" spans="4:8" x14ac:dyDescent="0.25">
      <c r="D29656" s="28"/>
      <c r="F29656" s="28"/>
      <c r="H29656" s="28"/>
    </row>
    <row r="29657" spans="4:8" x14ac:dyDescent="0.25">
      <c r="D29657" s="28"/>
      <c r="F29657" s="28"/>
      <c r="H29657" s="28"/>
    </row>
    <row r="29658" spans="4:8" x14ac:dyDescent="0.25">
      <c r="D29658" s="28"/>
      <c r="F29658" s="28"/>
      <c r="H29658" s="28"/>
    </row>
    <row r="29659" spans="4:8" x14ac:dyDescent="0.25">
      <c r="D29659" s="28"/>
      <c r="F29659" s="28"/>
      <c r="H29659" s="28"/>
    </row>
    <row r="29660" spans="4:8" x14ac:dyDescent="0.25">
      <c r="D29660" s="28"/>
      <c r="F29660" s="28"/>
      <c r="H29660" s="28"/>
    </row>
    <row r="29661" spans="4:8" x14ac:dyDescent="0.25">
      <c r="D29661" s="28"/>
      <c r="F29661" s="28"/>
      <c r="H29661" s="28"/>
    </row>
    <row r="29662" spans="4:8" x14ac:dyDescent="0.25">
      <c r="D29662" s="28"/>
      <c r="F29662" s="28"/>
      <c r="H29662" s="28"/>
    </row>
    <row r="29663" spans="4:8" x14ac:dyDescent="0.25">
      <c r="D29663" s="28"/>
      <c r="F29663" s="28"/>
      <c r="H29663" s="28"/>
    </row>
    <row r="29664" spans="4:8" x14ac:dyDescent="0.25">
      <c r="D29664" s="28"/>
      <c r="F29664" s="28"/>
      <c r="H29664" s="28"/>
    </row>
    <row r="29665" spans="4:8" x14ac:dyDescent="0.25">
      <c r="D29665" s="28"/>
      <c r="F29665" s="28"/>
      <c r="H29665" s="28"/>
    </row>
    <row r="29666" spans="4:8" x14ac:dyDescent="0.25">
      <c r="D29666" s="28"/>
      <c r="F29666" s="28"/>
      <c r="H29666" s="28"/>
    </row>
    <row r="29667" spans="4:8" x14ac:dyDescent="0.25">
      <c r="D29667" s="28"/>
      <c r="F29667" s="28"/>
      <c r="H29667" s="28"/>
    </row>
    <row r="29668" spans="4:8" x14ac:dyDescent="0.25">
      <c r="D29668" s="28"/>
      <c r="F29668" s="28"/>
      <c r="H29668" s="28"/>
    </row>
    <row r="29669" spans="4:8" x14ac:dyDescent="0.25">
      <c r="D29669" s="28"/>
      <c r="F29669" s="28"/>
      <c r="H29669" s="28"/>
    </row>
    <row r="29670" spans="4:8" x14ac:dyDescent="0.25">
      <c r="D29670" s="28"/>
      <c r="F29670" s="28"/>
      <c r="H29670" s="28"/>
    </row>
    <row r="29671" spans="4:8" x14ac:dyDescent="0.25">
      <c r="D29671" s="28"/>
      <c r="F29671" s="28"/>
      <c r="H29671" s="28"/>
    </row>
    <row r="29672" spans="4:8" x14ac:dyDescent="0.25">
      <c r="D29672" s="28"/>
      <c r="F29672" s="28"/>
      <c r="H29672" s="28"/>
    </row>
    <row r="29673" spans="4:8" x14ac:dyDescent="0.25">
      <c r="D29673" s="28"/>
      <c r="F29673" s="28"/>
      <c r="H29673" s="28"/>
    </row>
    <row r="29674" spans="4:8" x14ac:dyDescent="0.25">
      <c r="D29674" s="28"/>
      <c r="F29674" s="28"/>
      <c r="H29674" s="28"/>
    </row>
    <row r="29675" spans="4:8" x14ac:dyDescent="0.25">
      <c r="D29675" s="28"/>
      <c r="F29675" s="28"/>
      <c r="H29675" s="28"/>
    </row>
    <row r="29676" spans="4:8" x14ac:dyDescent="0.25">
      <c r="D29676" s="28"/>
      <c r="F29676" s="28"/>
      <c r="H29676" s="28"/>
    </row>
    <row r="29677" spans="4:8" x14ac:dyDescent="0.25">
      <c r="D29677" s="28"/>
      <c r="F29677" s="28"/>
      <c r="H29677" s="28"/>
    </row>
    <row r="29678" spans="4:8" x14ac:dyDescent="0.25">
      <c r="D29678" s="28"/>
      <c r="F29678" s="28"/>
      <c r="H29678" s="28"/>
    </row>
    <row r="29679" spans="4:8" x14ac:dyDescent="0.25">
      <c r="D29679" s="28"/>
      <c r="F29679" s="28"/>
      <c r="H29679" s="28"/>
    </row>
    <row r="29680" spans="4:8" x14ac:dyDescent="0.25">
      <c r="D29680" s="28"/>
      <c r="F29680" s="28"/>
      <c r="H29680" s="28"/>
    </row>
    <row r="29681" spans="4:8" x14ac:dyDescent="0.25">
      <c r="D29681" s="28"/>
      <c r="F29681" s="28"/>
      <c r="H29681" s="28"/>
    </row>
    <row r="29682" spans="4:8" x14ac:dyDescent="0.25">
      <c r="D29682" s="28"/>
      <c r="F29682" s="28"/>
      <c r="H29682" s="28"/>
    </row>
    <row r="29683" spans="4:8" x14ac:dyDescent="0.25">
      <c r="D29683" s="28"/>
      <c r="F29683" s="28"/>
      <c r="H29683" s="28"/>
    </row>
    <row r="29684" spans="4:8" x14ac:dyDescent="0.25">
      <c r="D29684" s="28"/>
      <c r="F29684" s="28"/>
      <c r="H29684" s="28"/>
    </row>
    <row r="29685" spans="4:8" x14ac:dyDescent="0.25">
      <c r="D29685" s="28"/>
      <c r="F29685" s="28"/>
      <c r="H29685" s="28"/>
    </row>
    <row r="29686" spans="4:8" x14ac:dyDescent="0.25">
      <c r="D29686" s="28"/>
      <c r="F29686" s="28"/>
      <c r="H29686" s="28"/>
    </row>
    <row r="29687" spans="4:8" x14ac:dyDescent="0.25">
      <c r="D29687" s="28"/>
      <c r="F29687" s="28"/>
      <c r="H29687" s="28"/>
    </row>
    <row r="29688" spans="4:8" x14ac:dyDescent="0.25">
      <c r="D29688" s="28"/>
      <c r="F29688" s="28"/>
      <c r="H29688" s="28"/>
    </row>
    <row r="29689" spans="4:8" x14ac:dyDescent="0.25">
      <c r="D29689" s="28"/>
      <c r="F29689" s="28"/>
      <c r="H29689" s="28"/>
    </row>
    <row r="29690" spans="4:8" x14ac:dyDescent="0.25">
      <c r="D29690" s="28"/>
      <c r="F29690" s="28"/>
      <c r="H29690" s="28"/>
    </row>
    <row r="29691" spans="4:8" x14ac:dyDescent="0.25">
      <c r="D29691" s="28"/>
      <c r="F29691" s="28"/>
      <c r="H29691" s="28"/>
    </row>
    <row r="29692" spans="4:8" x14ac:dyDescent="0.25">
      <c r="D29692" s="28"/>
      <c r="F29692" s="28"/>
      <c r="H29692" s="28"/>
    </row>
    <row r="29693" spans="4:8" x14ac:dyDescent="0.25">
      <c r="D29693" s="28"/>
      <c r="F29693" s="28"/>
      <c r="H29693" s="28"/>
    </row>
    <row r="29694" spans="4:8" x14ac:dyDescent="0.25">
      <c r="D29694" s="28"/>
      <c r="F29694" s="28"/>
      <c r="H29694" s="28"/>
    </row>
    <row r="29695" spans="4:8" x14ac:dyDescent="0.25">
      <c r="D29695" s="28"/>
      <c r="F29695" s="28"/>
      <c r="H29695" s="28"/>
    </row>
    <row r="29696" spans="4:8" x14ac:dyDescent="0.25">
      <c r="D29696" s="28"/>
      <c r="F29696" s="28"/>
      <c r="H29696" s="28"/>
    </row>
    <row r="29697" spans="4:8" x14ac:dyDescent="0.25">
      <c r="D29697" s="28"/>
      <c r="F29697" s="28"/>
      <c r="H29697" s="28"/>
    </row>
    <row r="29698" spans="4:8" x14ac:dyDescent="0.25">
      <c r="D29698" s="28"/>
      <c r="F29698" s="28"/>
      <c r="H29698" s="28"/>
    </row>
    <row r="29699" spans="4:8" x14ac:dyDescent="0.25">
      <c r="D29699" s="28"/>
      <c r="F29699" s="28"/>
      <c r="H29699" s="28"/>
    </row>
    <row r="29700" spans="4:8" x14ac:dyDescent="0.25">
      <c r="D29700" s="28"/>
      <c r="F29700" s="28"/>
      <c r="H29700" s="28"/>
    </row>
    <row r="29701" spans="4:8" x14ac:dyDescent="0.25">
      <c r="D29701" s="28"/>
      <c r="F29701" s="28"/>
      <c r="H29701" s="28"/>
    </row>
    <row r="29702" spans="4:8" x14ac:dyDescent="0.25">
      <c r="D29702" s="28"/>
      <c r="F29702" s="28"/>
      <c r="H29702" s="28"/>
    </row>
    <row r="29703" spans="4:8" x14ac:dyDescent="0.25">
      <c r="D29703" s="28"/>
      <c r="F29703" s="28"/>
      <c r="H29703" s="28"/>
    </row>
    <row r="29704" spans="4:8" x14ac:dyDescent="0.25">
      <c r="D29704" s="28"/>
      <c r="F29704" s="28"/>
      <c r="H29704" s="28"/>
    </row>
    <row r="29705" spans="4:8" x14ac:dyDescent="0.25">
      <c r="D29705" s="28"/>
      <c r="F29705" s="28"/>
      <c r="H29705" s="28"/>
    </row>
    <row r="29706" spans="4:8" x14ac:dyDescent="0.25">
      <c r="D29706" s="28"/>
      <c r="F29706" s="28"/>
      <c r="H29706" s="28"/>
    </row>
    <row r="29707" spans="4:8" x14ac:dyDescent="0.25">
      <c r="D29707" s="28"/>
      <c r="F29707" s="28"/>
      <c r="H29707" s="28"/>
    </row>
    <row r="29708" spans="4:8" x14ac:dyDescent="0.25">
      <c r="D29708" s="28"/>
      <c r="F29708" s="28"/>
      <c r="H29708" s="28"/>
    </row>
    <row r="29709" spans="4:8" x14ac:dyDescent="0.25">
      <c r="D29709" s="28"/>
      <c r="F29709" s="28"/>
      <c r="H29709" s="28"/>
    </row>
    <row r="29710" spans="4:8" x14ac:dyDescent="0.25">
      <c r="D29710" s="28"/>
      <c r="F29710" s="28"/>
      <c r="H29710" s="28"/>
    </row>
    <row r="29711" spans="4:8" x14ac:dyDescent="0.25">
      <c r="D29711" s="28"/>
      <c r="F29711" s="28"/>
      <c r="H29711" s="28"/>
    </row>
    <row r="29712" spans="4:8" x14ac:dyDescent="0.25">
      <c r="D29712" s="28"/>
      <c r="F29712" s="28"/>
      <c r="H29712" s="28"/>
    </row>
    <row r="29713" spans="4:8" x14ac:dyDescent="0.25">
      <c r="D29713" s="28"/>
      <c r="F29713" s="28"/>
      <c r="H29713" s="28"/>
    </row>
    <row r="29714" spans="4:8" x14ac:dyDescent="0.25">
      <c r="D29714" s="28"/>
      <c r="F29714" s="28"/>
      <c r="H29714" s="28"/>
    </row>
    <row r="29715" spans="4:8" x14ac:dyDescent="0.25">
      <c r="D29715" s="28"/>
      <c r="F29715" s="28"/>
      <c r="H29715" s="28"/>
    </row>
    <row r="29716" spans="4:8" x14ac:dyDescent="0.25">
      <c r="D29716" s="28"/>
      <c r="F29716" s="28"/>
      <c r="H29716" s="28"/>
    </row>
    <row r="29717" spans="4:8" x14ac:dyDescent="0.25">
      <c r="D29717" s="28"/>
      <c r="F29717" s="28"/>
      <c r="H29717" s="28"/>
    </row>
    <row r="29718" spans="4:8" x14ac:dyDescent="0.25">
      <c r="D29718" s="28"/>
      <c r="F29718" s="28"/>
      <c r="H29718" s="28"/>
    </row>
    <row r="29719" spans="4:8" x14ac:dyDescent="0.25">
      <c r="D29719" s="28"/>
      <c r="F29719" s="28"/>
      <c r="H29719" s="28"/>
    </row>
    <row r="29720" spans="4:8" x14ac:dyDescent="0.25">
      <c r="D29720" s="28"/>
      <c r="F29720" s="28"/>
      <c r="H29720" s="28"/>
    </row>
    <row r="29721" spans="4:8" x14ac:dyDescent="0.25">
      <c r="D29721" s="28"/>
      <c r="F29721" s="28"/>
      <c r="H29721" s="28"/>
    </row>
    <row r="29722" spans="4:8" x14ac:dyDescent="0.25">
      <c r="D29722" s="28"/>
      <c r="F29722" s="28"/>
      <c r="H29722" s="28"/>
    </row>
    <row r="29723" spans="4:8" x14ac:dyDescent="0.25">
      <c r="D29723" s="28"/>
      <c r="F29723" s="28"/>
      <c r="H29723" s="28"/>
    </row>
    <row r="29724" spans="4:8" x14ac:dyDescent="0.25">
      <c r="D29724" s="28"/>
      <c r="F29724" s="28"/>
      <c r="H29724" s="28"/>
    </row>
    <row r="29725" spans="4:8" x14ac:dyDescent="0.25">
      <c r="D29725" s="28"/>
      <c r="F29725" s="28"/>
      <c r="H29725" s="28"/>
    </row>
    <row r="29726" spans="4:8" x14ac:dyDescent="0.25">
      <c r="D29726" s="28"/>
      <c r="F29726" s="28"/>
      <c r="H29726" s="28"/>
    </row>
    <row r="29727" spans="4:8" x14ac:dyDescent="0.25">
      <c r="D29727" s="28"/>
      <c r="F29727" s="28"/>
      <c r="H29727" s="28"/>
    </row>
    <row r="29728" spans="4:8" x14ac:dyDescent="0.25">
      <c r="D29728" s="28"/>
      <c r="F29728" s="28"/>
      <c r="H29728" s="28"/>
    </row>
    <row r="29729" spans="4:8" x14ac:dyDescent="0.25">
      <c r="D29729" s="28"/>
      <c r="F29729" s="28"/>
      <c r="H29729" s="28"/>
    </row>
    <row r="29730" spans="4:8" x14ac:dyDescent="0.25">
      <c r="D29730" s="28"/>
      <c r="F29730" s="28"/>
      <c r="H29730" s="28"/>
    </row>
    <row r="29731" spans="4:8" x14ac:dyDescent="0.25">
      <c r="D29731" s="28"/>
      <c r="F29731" s="28"/>
      <c r="H29731" s="28"/>
    </row>
    <row r="29732" spans="4:8" x14ac:dyDescent="0.25">
      <c r="D29732" s="28"/>
      <c r="F29732" s="28"/>
      <c r="H29732" s="28"/>
    </row>
    <row r="29733" spans="4:8" x14ac:dyDescent="0.25">
      <c r="D29733" s="28"/>
      <c r="F29733" s="28"/>
      <c r="H29733" s="28"/>
    </row>
    <row r="29734" spans="4:8" x14ac:dyDescent="0.25">
      <c r="D29734" s="28"/>
      <c r="F29734" s="28"/>
      <c r="H29734" s="28"/>
    </row>
    <row r="29735" spans="4:8" x14ac:dyDescent="0.25">
      <c r="D29735" s="28"/>
      <c r="F29735" s="28"/>
      <c r="H29735" s="28"/>
    </row>
    <row r="29736" spans="4:8" x14ac:dyDescent="0.25">
      <c r="D29736" s="28"/>
      <c r="F29736" s="28"/>
      <c r="H29736" s="28"/>
    </row>
    <row r="29737" spans="4:8" x14ac:dyDescent="0.25">
      <c r="D29737" s="28"/>
      <c r="F29737" s="28"/>
      <c r="H29737" s="28"/>
    </row>
    <row r="29738" spans="4:8" x14ac:dyDescent="0.25">
      <c r="D29738" s="28"/>
      <c r="F29738" s="28"/>
      <c r="H29738" s="28"/>
    </row>
    <row r="29739" spans="4:8" x14ac:dyDescent="0.25">
      <c r="D29739" s="28"/>
      <c r="F29739" s="28"/>
      <c r="H29739" s="28"/>
    </row>
    <row r="29740" spans="4:8" x14ac:dyDescent="0.25">
      <c r="D29740" s="28"/>
      <c r="F29740" s="28"/>
      <c r="H29740" s="28"/>
    </row>
    <row r="29741" spans="4:8" x14ac:dyDescent="0.25">
      <c r="D29741" s="28"/>
      <c r="F29741" s="28"/>
      <c r="H29741" s="28"/>
    </row>
    <row r="29742" spans="4:8" x14ac:dyDescent="0.25">
      <c r="D29742" s="28"/>
      <c r="F29742" s="28"/>
      <c r="H29742" s="28"/>
    </row>
    <row r="29743" spans="4:8" x14ac:dyDescent="0.25">
      <c r="D29743" s="28"/>
      <c r="F29743" s="28"/>
      <c r="H29743" s="28"/>
    </row>
    <row r="29744" spans="4:8" x14ac:dyDescent="0.25">
      <c r="D29744" s="28"/>
      <c r="F29744" s="28"/>
      <c r="H29744" s="28"/>
    </row>
    <row r="29745" spans="4:8" x14ac:dyDescent="0.25">
      <c r="D29745" s="28"/>
      <c r="F29745" s="28"/>
      <c r="H29745" s="28"/>
    </row>
    <row r="29746" spans="4:8" x14ac:dyDescent="0.25">
      <c r="D29746" s="28"/>
      <c r="F29746" s="28"/>
      <c r="H29746" s="28"/>
    </row>
    <row r="29747" spans="4:8" x14ac:dyDescent="0.25">
      <c r="D29747" s="28"/>
      <c r="F29747" s="28"/>
      <c r="H29747" s="28"/>
    </row>
    <row r="29748" spans="4:8" x14ac:dyDescent="0.25">
      <c r="D29748" s="28"/>
      <c r="F29748" s="28"/>
      <c r="H29748" s="28"/>
    </row>
    <row r="29749" spans="4:8" x14ac:dyDescent="0.25">
      <c r="D29749" s="28"/>
      <c r="F29749" s="28"/>
      <c r="H29749" s="28"/>
    </row>
    <row r="29750" spans="4:8" x14ac:dyDescent="0.25">
      <c r="D29750" s="28"/>
      <c r="F29750" s="28"/>
      <c r="H29750" s="28"/>
    </row>
    <row r="29751" spans="4:8" x14ac:dyDescent="0.25">
      <c r="D29751" s="28"/>
      <c r="F29751" s="28"/>
      <c r="H29751" s="28"/>
    </row>
    <row r="29752" spans="4:8" x14ac:dyDescent="0.25">
      <c r="D29752" s="28"/>
      <c r="F29752" s="28"/>
      <c r="H29752" s="28"/>
    </row>
    <row r="29753" spans="4:8" x14ac:dyDescent="0.25">
      <c r="D29753" s="28"/>
      <c r="F29753" s="28"/>
      <c r="H29753" s="28"/>
    </row>
    <row r="29754" spans="4:8" x14ac:dyDescent="0.25">
      <c r="D29754" s="28"/>
      <c r="F29754" s="28"/>
      <c r="H29754" s="28"/>
    </row>
    <row r="29755" spans="4:8" x14ac:dyDescent="0.25">
      <c r="D29755" s="28"/>
      <c r="F29755" s="28"/>
      <c r="H29755" s="28"/>
    </row>
    <row r="29756" spans="4:8" x14ac:dyDescent="0.25">
      <c r="D29756" s="28"/>
      <c r="F29756" s="28"/>
      <c r="H29756" s="28"/>
    </row>
    <row r="29757" spans="4:8" x14ac:dyDescent="0.25">
      <c r="D29757" s="28"/>
      <c r="F29757" s="28"/>
      <c r="H29757" s="28"/>
    </row>
    <row r="29758" spans="4:8" x14ac:dyDescent="0.25">
      <c r="D29758" s="28"/>
      <c r="F29758" s="28"/>
      <c r="H29758" s="28"/>
    </row>
    <row r="29759" spans="4:8" x14ac:dyDescent="0.25">
      <c r="D29759" s="28"/>
      <c r="F29759" s="28"/>
      <c r="H29759" s="28"/>
    </row>
    <row r="29760" spans="4:8" x14ac:dyDescent="0.25">
      <c r="D29760" s="28"/>
      <c r="F29760" s="28"/>
      <c r="H29760" s="28"/>
    </row>
    <row r="29761" spans="4:8" x14ac:dyDescent="0.25">
      <c r="D29761" s="28"/>
      <c r="F29761" s="28"/>
      <c r="H29761" s="28"/>
    </row>
    <row r="29762" spans="4:8" x14ac:dyDescent="0.25">
      <c r="D29762" s="28"/>
      <c r="F29762" s="28"/>
      <c r="H29762" s="28"/>
    </row>
    <row r="29763" spans="4:8" x14ac:dyDescent="0.25">
      <c r="D29763" s="28"/>
      <c r="F29763" s="28"/>
      <c r="H29763" s="28"/>
    </row>
    <row r="29764" spans="4:8" x14ac:dyDescent="0.25">
      <c r="D29764" s="28"/>
      <c r="F29764" s="28"/>
      <c r="H29764" s="28"/>
    </row>
    <row r="29765" spans="4:8" x14ac:dyDescent="0.25">
      <c r="D29765" s="28"/>
      <c r="F29765" s="28"/>
      <c r="H29765" s="28"/>
    </row>
    <row r="29766" spans="4:8" x14ac:dyDescent="0.25">
      <c r="D29766" s="28"/>
      <c r="F29766" s="28"/>
      <c r="H29766" s="28"/>
    </row>
    <row r="29767" spans="4:8" x14ac:dyDescent="0.25">
      <c r="D29767" s="28"/>
      <c r="F29767" s="28"/>
      <c r="H29767" s="28"/>
    </row>
    <row r="29768" spans="4:8" x14ac:dyDescent="0.25">
      <c r="D29768" s="28"/>
      <c r="F29768" s="28"/>
      <c r="H29768" s="28"/>
    </row>
    <row r="29769" spans="4:8" x14ac:dyDescent="0.25">
      <c r="D29769" s="28"/>
      <c r="F29769" s="28"/>
      <c r="H29769" s="28"/>
    </row>
    <row r="29770" spans="4:8" x14ac:dyDescent="0.25">
      <c r="D29770" s="28"/>
      <c r="F29770" s="28"/>
      <c r="H29770" s="28"/>
    </row>
    <row r="29771" spans="4:8" x14ac:dyDescent="0.25">
      <c r="D29771" s="28"/>
      <c r="F29771" s="28"/>
      <c r="H29771" s="28"/>
    </row>
    <row r="29772" spans="4:8" x14ac:dyDescent="0.25">
      <c r="D29772" s="28"/>
      <c r="F29772" s="28"/>
      <c r="H29772" s="28"/>
    </row>
    <row r="29773" spans="4:8" x14ac:dyDescent="0.25">
      <c r="D29773" s="28"/>
      <c r="F29773" s="28"/>
      <c r="H29773" s="28"/>
    </row>
    <row r="29774" spans="4:8" x14ac:dyDescent="0.25">
      <c r="D29774" s="28"/>
      <c r="F29774" s="28"/>
      <c r="H29774" s="28"/>
    </row>
    <row r="29775" spans="4:8" x14ac:dyDescent="0.25">
      <c r="D29775" s="28"/>
      <c r="F29775" s="28"/>
      <c r="H29775" s="28"/>
    </row>
    <row r="29776" spans="4:8" x14ac:dyDescent="0.25">
      <c r="D29776" s="28"/>
      <c r="F29776" s="28"/>
      <c r="H29776" s="28"/>
    </row>
    <row r="29777" spans="4:8" x14ac:dyDescent="0.25">
      <c r="D29777" s="28"/>
      <c r="F29777" s="28"/>
      <c r="H29777" s="28"/>
    </row>
    <row r="29778" spans="4:8" x14ac:dyDescent="0.25">
      <c r="D29778" s="28"/>
      <c r="F29778" s="28"/>
      <c r="H29778" s="28"/>
    </row>
    <row r="29779" spans="4:8" x14ac:dyDescent="0.25">
      <c r="D29779" s="28"/>
      <c r="F29779" s="28"/>
      <c r="H29779" s="28"/>
    </row>
    <row r="29780" spans="4:8" x14ac:dyDescent="0.25">
      <c r="D29780" s="28"/>
      <c r="F29780" s="28"/>
      <c r="H29780" s="28"/>
    </row>
    <row r="29781" spans="4:8" x14ac:dyDescent="0.25">
      <c r="D29781" s="28"/>
      <c r="F29781" s="28"/>
      <c r="H29781" s="28"/>
    </row>
    <row r="29782" spans="4:8" x14ac:dyDescent="0.25">
      <c r="D29782" s="28"/>
      <c r="F29782" s="28"/>
      <c r="H29782" s="28"/>
    </row>
    <row r="29783" spans="4:8" x14ac:dyDescent="0.25">
      <c r="D29783" s="28"/>
      <c r="F29783" s="28"/>
      <c r="H29783" s="28"/>
    </row>
    <row r="29784" spans="4:8" x14ac:dyDescent="0.25">
      <c r="D29784" s="28"/>
      <c r="F29784" s="28"/>
      <c r="H29784" s="28"/>
    </row>
    <row r="29785" spans="4:8" x14ac:dyDescent="0.25">
      <c r="D29785" s="28"/>
      <c r="F29785" s="28"/>
      <c r="H29785" s="28"/>
    </row>
    <row r="29786" spans="4:8" x14ac:dyDescent="0.25">
      <c r="D29786" s="28"/>
      <c r="F29786" s="28"/>
      <c r="H29786" s="28"/>
    </row>
    <row r="29787" spans="4:8" x14ac:dyDescent="0.25">
      <c r="D29787" s="28"/>
      <c r="F29787" s="28"/>
      <c r="H29787" s="28"/>
    </row>
    <row r="29788" spans="4:8" x14ac:dyDescent="0.25">
      <c r="D29788" s="28"/>
      <c r="F29788" s="28"/>
      <c r="H29788" s="28"/>
    </row>
    <row r="29789" spans="4:8" x14ac:dyDescent="0.25">
      <c r="D29789" s="28"/>
      <c r="F29789" s="28"/>
      <c r="H29789" s="28"/>
    </row>
    <row r="29790" spans="4:8" x14ac:dyDescent="0.25">
      <c r="D29790" s="28"/>
      <c r="F29790" s="28"/>
      <c r="H29790" s="28"/>
    </row>
    <row r="29791" spans="4:8" x14ac:dyDescent="0.25">
      <c r="D29791" s="28"/>
      <c r="F29791" s="28"/>
      <c r="H29791" s="28"/>
    </row>
    <row r="29792" spans="4:8" x14ac:dyDescent="0.25">
      <c r="D29792" s="28"/>
      <c r="F29792" s="28"/>
      <c r="H29792" s="28"/>
    </row>
    <row r="29793" spans="4:8" x14ac:dyDescent="0.25">
      <c r="D29793" s="28"/>
      <c r="F29793" s="28"/>
      <c r="H29793" s="28"/>
    </row>
    <row r="29794" spans="4:8" x14ac:dyDescent="0.25">
      <c r="D29794" s="28"/>
      <c r="F29794" s="28"/>
      <c r="H29794" s="28"/>
    </row>
    <row r="29795" spans="4:8" x14ac:dyDescent="0.25">
      <c r="D29795" s="28"/>
      <c r="F29795" s="28"/>
      <c r="H29795" s="28"/>
    </row>
    <row r="29796" spans="4:8" x14ac:dyDescent="0.25">
      <c r="D29796" s="28"/>
      <c r="F29796" s="28"/>
      <c r="H29796" s="28"/>
    </row>
    <row r="29797" spans="4:8" x14ac:dyDescent="0.25">
      <c r="D29797" s="28"/>
      <c r="F29797" s="28"/>
      <c r="H29797" s="28"/>
    </row>
    <row r="29798" spans="4:8" x14ac:dyDescent="0.25">
      <c r="D29798" s="28"/>
      <c r="F29798" s="28"/>
      <c r="H29798" s="28"/>
    </row>
    <row r="29799" spans="4:8" x14ac:dyDescent="0.25">
      <c r="D29799" s="28"/>
      <c r="F29799" s="28"/>
      <c r="H29799" s="28"/>
    </row>
    <row r="29800" spans="4:8" x14ac:dyDescent="0.25">
      <c r="D29800" s="28"/>
      <c r="F29800" s="28"/>
      <c r="H29800" s="28"/>
    </row>
    <row r="29801" spans="4:8" x14ac:dyDescent="0.25">
      <c r="D29801" s="28"/>
      <c r="F29801" s="28"/>
      <c r="H29801" s="28"/>
    </row>
    <row r="29802" spans="4:8" x14ac:dyDescent="0.25">
      <c r="D29802" s="28"/>
      <c r="F29802" s="28"/>
      <c r="H29802" s="28"/>
    </row>
    <row r="29803" spans="4:8" x14ac:dyDescent="0.25">
      <c r="D29803" s="28"/>
      <c r="F29803" s="28"/>
      <c r="H29803" s="28"/>
    </row>
    <row r="29804" spans="4:8" x14ac:dyDescent="0.25">
      <c r="D29804" s="28"/>
      <c r="F29804" s="28"/>
      <c r="H29804" s="28"/>
    </row>
    <row r="29805" spans="4:8" x14ac:dyDescent="0.25">
      <c r="D29805" s="28"/>
      <c r="F29805" s="28"/>
      <c r="H29805" s="28"/>
    </row>
    <row r="29806" spans="4:8" x14ac:dyDescent="0.25">
      <c r="D29806" s="28"/>
      <c r="F29806" s="28"/>
      <c r="H29806" s="28"/>
    </row>
    <row r="29807" spans="4:8" x14ac:dyDescent="0.25">
      <c r="D29807" s="28"/>
      <c r="F29807" s="28"/>
      <c r="H29807" s="28"/>
    </row>
    <row r="29808" spans="4:8" x14ac:dyDescent="0.25">
      <c r="D29808" s="28"/>
      <c r="F29808" s="28"/>
      <c r="H29808" s="28"/>
    </row>
    <row r="29809" spans="4:8" x14ac:dyDescent="0.25">
      <c r="D29809" s="28"/>
      <c r="F29809" s="28"/>
      <c r="H29809" s="28"/>
    </row>
    <row r="29810" spans="4:8" x14ac:dyDescent="0.25">
      <c r="D29810" s="28"/>
      <c r="F29810" s="28"/>
      <c r="H29810" s="28"/>
    </row>
    <row r="29811" spans="4:8" x14ac:dyDescent="0.25">
      <c r="D29811" s="28"/>
      <c r="F29811" s="28"/>
      <c r="H29811" s="28"/>
    </row>
    <row r="29812" spans="4:8" x14ac:dyDescent="0.25">
      <c r="D29812" s="28"/>
      <c r="F29812" s="28"/>
      <c r="H29812" s="28"/>
    </row>
    <row r="29813" spans="4:8" x14ac:dyDescent="0.25">
      <c r="D29813" s="28"/>
      <c r="F29813" s="28"/>
      <c r="H29813" s="28"/>
    </row>
    <row r="29814" spans="4:8" x14ac:dyDescent="0.25">
      <c r="D29814" s="28"/>
      <c r="F29814" s="28"/>
      <c r="H29814" s="28"/>
    </row>
    <row r="29815" spans="4:8" x14ac:dyDescent="0.25">
      <c r="D29815" s="28"/>
      <c r="F29815" s="28"/>
      <c r="H29815" s="28"/>
    </row>
    <row r="29816" spans="4:8" x14ac:dyDescent="0.25">
      <c r="D29816" s="28"/>
      <c r="F29816" s="28"/>
      <c r="H29816" s="28"/>
    </row>
    <row r="29817" spans="4:8" x14ac:dyDescent="0.25">
      <c r="D29817" s="28"/>
      <c r="F29817" s="28"/>
      <c r="H29817" s="28"/>
    </row>
    <row r="29818" spans="4:8" x14ac:dyDescent="0.25">
      <c r="D29818" s="28"/>
      <c r="F29818" s="28"/>
      <c r="H29818" s="28"/>
    </row>
    <row r="29819" spans="4:8" x14ac:dyDescent="0.25">
      <c r="D29819" s="28"/>
      <c r="F29819" s="28"/>
      <c r="H29819" s="28"/>
    </row>
    <row r="29820" spans="4:8" x14ac:dyDescent="0.25">
      <c r="D29820" s="28"/>
      <c r="F29820" s="28"/>
      <c r="H29820" s="28"/>
    </row>
    <row r="29821" spans="4:8" x14ac:dyDescent="0.25">
      <c r="D29821" s="28"/>
      <c r="F29821" s="28"/>
      <c r="H29821" s="28"/>
    </row>
    <row r="29822" spans="4:8" x14ac:dyDescent="0.25">
      <c r="D29822" s="28"/>
      <c r="F29822" s="28"/>
      <c r="H29822" s="28"/>
    </row>
    <row r="29823" spans="4:8" x14ac:dyDescent="0.25">
      <c r="D29823" s="28"/>
      <c r="F29823" s="28"/>
      <c r="H29823" s="28"/>
    </row>
    <row r="29824" spans="4:8" x14ac:dyDescent="0.25">
      <c r="D29824" s="28"/>
      <c r="F29824" s="28"/>
      <c r="H29824" s="28"/>
    </row>
    <row r="29825" spans="4:8" x14ac:dyDescent="0.25">
      <c r="D29825" s="28"/>
      <c r="F29825" s="28"/>
      <c r="H29825" s="28"/>
    </row>
    <row r="29826" spans="4:8" x14ac:dyDescent="0.25">
      <c r="D29826" s="28"/>
      <c r="F29826" s="28"/>
      <c r="H29826" s="28"/>
    </row>
    <row r="29827" spans="4:8" x14ac:dyDescent="0.25">
      <c r="D29827" s="28"/>
      <c r="F29827" s="28"/>
      <c r="H29827" s="28"/>
    </row>
    <row r="29828" spans="4:8" x14ac:dyDescent="0.25">
      <c r="D29828" s="28"/>
      <c r="F29828" s="28"/>
      <c r="H29828" s="28"/>
    </row>
    <row r="29829" spans="4:8" x14ac:dyDescent="0.25">
      <c r="D29829" s="28"/>
      <c r="F29829" s="28"/>
      <c r="H29829" s="28"/>
    </row>
    <row r="29830" spans="4:8" x14ac:dyDescent="0.25">
      <c r="D29830" s="28"/>
      <c r="F29830" s="28"/>
      <c r="H29830" s="28"/>
    </row>
    <row r="29831" spans="4:8" x14ac:dyDescent="0.25">
      <c r="D29831" s="28"/>
      <c r="F29831" s="28"/>
      <c r="H29831" s="28"/>
    </row>
    <row r="29832" spans="4:8" x14ac:dyDescent="0.25">
      <c r="D29832" s="28"/>
      <c r="F29832" s="28"/>
      <c r="H29832" s="28"/>
    </row>
    <row r="29833" spans="4:8" x14ac:dyDescent="0.25">
      <c r="D29833" s="28"/>
      <c r="F29833" s="28"/>
      <c r="H29833" s="28"/>
    </row>
    <row r="29834" spans="4:8" x14ac:dyDescent="0.25">
      <c r="D29834" s="28"/>
      <c r="F29834" s="28"/>
      <c r="H29834" s="28"/>
    </row>
    <row r="29835" spans="4:8" x14ac:dyDescent="0.25">
      <c r="D29835" s="28"/>
      <c r="F29835" s="28"/>
      <c r="H29835" s="28"/>
    </row>
    <row r="29836" spans="4:8" x14ac:dyDescent="0.25">
      <c r="D29836" s="28"/>
      <c r="F29836" s="28"/>
      <c r="H29836" s="28"/>
    </row>
    <row r="29837" spans="4:8" x14ac:dyDescent="0.25">
      <c r="D29837" s="28"/>
      <c r="F29837" s="28"/>
      <c r="H29837" s="28"/>
    </row>
    <row r="29838" spans="4:8" x14ac:dyDescent="0.25">
      <c r="D29838" s="28"/>
      <c r="F29838" s="28"/>
      <c r="H29838" s="28"/>
    </row>
    <row r="29839" spans="4:8" x14ac:dyDescent="0.25">
      <c r="D29839" s="28"/>
      <c r="F29839" s="28"/>
      <c r="H29839" s="28"/>
    </row>
    <row r="29840" spans="4:8" x14ac:dyDescent="0.25">
      <c r="D29840" s="28"/>
      <c r="F29840" s="28"/>
      <c r="H29840" s="28"/>
    </row>
    <row r="29841" spans="4:8" x14ac:dyDescent="0.25">
      <c r="D29841" s="28"/>
      <c r="F29841" s="28"/>
      <c r="H29841" s="28"/>
    </row>
    <row r="29842" spans="4:8" x14ac:dyDescent="0.25">
      <c r="D29842" s="28"/>
      <c r="F29842" s="28"/>
      <c r="H29842" s="28"/>
    </row>
    <row r="29843" spans="4:8" x14ac:dyDescent="0.25">
      <c r="D29843" s="28"/>
      <c r="F29843" s="28"/>
      <c r="H29843" s="28"/>
    </row>
    <row r="29844" spans="4:8" x14ac:dyDescent="0.25">
      <c r="D29844" s="28"/>
      <c r="F29844" s="28"/>
      <c r="H29844" s="28"/>
    </row>
    <row r="29845" spans="4:8" x14ac:dyDescent="0.25">
      <c r="D29845" s="28"/>
      <c r="F29845" s="28"/>
      <c r="H29845" s="28"/>
    </row>
    <row r="29846" spans="4:8" x14ac:dyDescent="0.25">
      <c r="D29846" s="28"/>
      <c r="F29846" s="28"/>
      <c r="H29846" s="28"/>
    </row>
    <row r="29847" spans="4:8" x14ac:dyDescent="0.25">
      <c r="D29847" s="28"/>
      <c r="F29847" s="28"/>
      <c r="H29847" s="28"/>
    </row>
    <row r="29848" spans="4:8" x14ac:dyDescent="0.25">
      <c r="D29848" s="28"/>
      <c r="F29848" s="28"/>
      <c r="H29848" s="28"/>
    </row>
    <row r="29849" spans="4:8" x14ac:dyDescent="0.25">
      <c r="D29849" s="28"/>
      <c r="F29849" s="28"/>
      <c r="H29849" s="28"/>
    </row>
    <row r="29850" spans="4:8" x14ac:dyDescent="0.25">
      <c r="D29850" s="28"/>
      <c r="F29850" s="28"/>
      <c r="H29850" s="28"/>
    </row>
    <row r="29851" spans="4:8" x14ac:dyDescent="0.25">
      <c r="D29851" s="28"/>
      <c r="F29851" s="28"/>
      <c r="H29851" s="28"/>
    </row>
    <row r="29852" spans="4:8" x14ac:dyDescent="0.25">
      <c r="D29852" s="28"/>
      <c r="F29852" s="28"/>
      <c r="H29852" s="28"/>
    </row>
    <row r="29853" spans="4:8" x14ac:dyDescent="0.25">
      <c r="D29853" s="28"/>
      <c r="F29853" s="28"/>
      <c r="H29853" s="28"/>
    </row>
    <row r="29854" spans="4:8" x14ac:dyDescent="0.25">
      <c r="D29854" s="28"/>
      <c r="F29854" s="28"/>
      <c r="H29854" s="28"/>
    </row>
    <row r="29855" spans="4:8" x14ac:dyDescent="0.25">
      <c r="D29855" s="28"/>
      <c r="F29855" s="28"/>
      <c r="H29855" s="28"/>
    </row>
    <row r="29856" spans="4:8" x14ac:dyDescent="0.25">
      <c r="D29856" s="28"/>
      <c r="F29856" s="28"/>
      <c r="H29856" s="28"/>
    </row>
    <row r="29857" spans="4:8" x14ac:dyDescent="0.25">
      <c r="D29857" s="28"/>
      <c r="F29857" s="28"/>
      <c r="H29857" s="28"/>
    </row>
    <row r="29858" spans="4:8" x14ac:dyDescent="0.25">
      <c r="D29858" s="28"/>
      <c r="F29858" s="28"/>
      <c r="H29858" s="28"/>
    </row>
    <row r="29859" spans="4:8" x14ac:dyDescent="0.25">
      <c r="D29859" s="28"/>
      <c r="F29859" s="28"/>
      <c r="H29859" s="28"/>
    </row>
    <row r="29860" spans="4:8" x14ac:dyDescent="0.25">
      <c r="D29860" s="28"/>
      <c r="F29860" s="28"/>
      <c r="H29860" s="28"/>
    </row>
    <row r="29861" spans="4:8" x14ac:dyDescent="0.25">
      <c r="D29861" s="28"/>
      <c r="F29861" s="28"/>
      <c r="H29861" s="28"/>
    </row>
    <row r="29862" spans="4:8" x14ac:dyDescent="0.25">
      <c r="D29862" s="28"/>
      <c r="F29862" s="28"/>
      <c r="H29862" s="28"/>
    </row>
    <row r="29863" spans="4:8" x14ac:dyDescent="0.25">
      <c r="D29863" s="28"/>
      <c r="F29863" s="28"/>
      <c r="H29863" s="28"/>
    </row>
    <row r="29864" spans="4:8" x14ac:dyDescent="0.25">
      <c r="D29864" s="28"/>
      <c r="F29864" s="28"/>
      <c r="H29864" s="28"/>
    </row>
    <row r="29865" spans="4:8" x14ac:dyDescent="0.25">
      <c r="D29865" s="28"/>
      <c r="F29865" s="28"/>
      <c r="H29865" s="28"/>
    </row>
    <row r="29866" spans="4:8" x14ac:dyDescent="0.25">
      <c r="D29866" s="28"/>
      <c r="F29866" s="28"/>
      <c r="H29866" s="28"/>
    </row>
    <row r="29867" spans="4:8" x14ac:dyDescent="0.25">
      <c r="D29867" s="28"/>
      <c r="F29867" s="28"/>
      <c r="H29867" s="28"/>
    </row>
    <row r="29868" spans="4:8" x14ac:dyDescent="0.25">
      <c r="D29868" s="28"/>
      <c r="F29868" s="28"/>
      <c r="H29868" s="28"/>
    </row>
    <row r="29869" spans="4:8" x14ac:dyDescent="0.25">
      <c r="D29869" s="28"/>
      <c r="F29869" s="28"/>
      <c r="H29869" s="28"/>
    </row>
    <row r="29870" spans="4:8" x14ac:dyDescent="0.25">
      <c r="D29870" s="28"/>
      <c r="F29870" s="28"/>
      <c r="H29870" s="28"/>
    </row>
    <row r="29871" spans="4:8" x14ac:dyDescent="0.25">
      <c r="D29871" s="28"/>
      <c r="F29871" s="28"/>
      <c r="H29871" s="28"/>
    </row>
    <row r="29872" spans="4:8" x14ac:dyDescent="0.25">
      <c r="D29872" s="28"/>
      <c r="F29872" s="28"/>
      <c r="H29872" s="28"/>
    </row>
    <row r="29873" spans="4:8" x14ac:dyDescent="0.25">
      <c r="D29873" s="28"/>
      <c r="F29873" s="28"/>
      <c r="H29873" s="28"/>
    </row>
    <row r="29874" spans="4:8" x14ac:dyDescent="0.25">
      <c r="D29874" s="28"/>
      <c r="F29874" s="28"/>
      <c r="H29874" s="28"/>
    </row>
    <row r="29875" spans="4:8" x14ac:dyDescent="0.25">
      <c r="D29875" s="28"/>
      <c r="F29875" s="28"/>
      <c r="H29875" s="28"/>
    </row>
    <row r="29876" spans="4:8" x14ac:dyDescent="0.25">
      <c r="D29876" s="28"/>
      <c r="F29876" s="28"/>
      <c r="H29876" s="28"/>
    </row>
    <row r="29877" spans="4:8" x14ac:dyDescent="0.25">
      <c r="D29877" s="28"/>
      <c r="F29877" s="28"/>
      <c r="H29877" s="28"/>
    </row>
    <row r="29878" spans="4:8" x14ac:dyDescent="0.25">
      <c r="D29878" s="28"/>
      <c r="F29878" s="28"/>
      <c r="H29878" s="28"/>
    </row>
    <row r="29879" spans="4:8" x14ac:dyDescent="0.25">
      <c r="D29879" s="28"/>
      <c r="F29879" s="28"/>
      <c r="H29879" s="28"/>
    </row>
    <row r="29880" spans="4:8" x14ac:dyDescent="0.25">
      <c r="D29880" s="28"/>
      <c r="F29880" s="28"/>
      <c r="H29880" s="28"/>
    </row>
    <row r="29881" spans="4:8" x14ac:dyDescent="0.25">
      <c r="D29881" s="28"/>
      <c r="F29881" s="28"/>
      <c r="H29881" s="28"/>
    </row>
    <row r="29882" spans="4:8" x14ac:dyDescent="0.25">
      <c r="D29882" s="28"/>
      <c r="F29882" s="28"/>
      <c r="H29882" s="28"/>
    </row>
    <row r="29883" spans="4:8" x14ac:dyDescent="0.25">
      <c r="D29883" s="28"/>
      <c r="F29883" s="28"/>
      <c r="H29883" s="28"/>
    </row>
    <row r="29884" spans="4:8" x14ac:dyDescent="0.25">
      <c r="D29884" s="28"/>
      <c r="F29884" s="28"/>
      <c r="H29884" s="28"/>
    </row>
    <row r="29885" spans="4:8" x14ac:dyDescent="0.25">
      <c r="D29885" s="28"/>
      <c r="F29885" s="28"/>
      <c r="H29885" s="28"/>
    </row>
    <row r="29886" spans="4:8" x14ac:dyDescent="0.25">
      <c r="D29886" s="28"/>
      <c r="F29886" s="28"/>
      <c r="H29886" s="28"/>
    </row>
    <row r="29887" spans="4:8" x14ac:dyDescent="0.25">
      <c r="D29887" s="28"/>
      <c r="F29887" s="28"/>
      <c r="H29887" s="28"/>
    </row>
    <row r="29888" spans="4:8" x14ac:dyDescent="0.25">
      <c r="D29888" s="28"/>
      <c r="F29888" s="28"/>
      <c r="H29888" s="28"/>
    </row>
    <row r="29889" spans="4:8" x14ac:dyDescent="0.25">
      <c r="D29889" s="28"/>
      <c r="F29889" s="28"/>
      <c r="H29889" s="28"/>
    </row>
    <row r="29890" spans="4:8" x14ac:dyDescent="0.25">
      <c r="D29890" s="28"/>
      <c r="F29890" s="28"/>
      <c r="H29890" s="28"/>
    </row>
    <row r="29891" spans="4:8" x14ac:dyDescent="0.25">
      <c r="D29891" s="28"/>
      <c r="F29891" s="28"/>
      <c r="H29891" s="28"/>
    </row>
    <row r="29892" spans="4:8" x14ac:dyDescent="0.25">
      <c r="D29892" s="28"/>
      <c r="F29892" s="28"/>
      <c r="H29892" s="28"/>
    </row>
    <row r="29893" spans="4:8" x14ac:dyDescent="0.25">
      <c r="D29893" s="28"/>
      <c r="F29893" s="28"/>
      <c r="H29893" s="28"/>
    </row>
    <row r="29894" spans="4:8" x14ac:dyDescent="0.25">
      <c r="D29894" s="28"/>
      <c r="F29894" s="28"/>
      <c r="H29894" s="28"/>
    </row>
    <row r="29895" spans="4:8" x14ac:dyDescent="0.25">
      <c r="D29895" s="28"/>
      <c r="F29895" s="28"/>
      <c r="H29895" s="28"/>
    </row>
    <row r="29896" spans="4:8" x14ac:dyDescent="0.25">
      <c r="D29896" s="28"/>
      <c r="F29896" s="28"/>
      <c r="H29896" s="28"/>
    </row>
    <row r="29897" spans="4:8" x14ac:dyDescent="0.25">
      <c r="D29897" s="28"/>
      <c r="F29897" s="28"/>
      <c r="H29897" s="28"/>
    </row>
    <row r="29898" spans="4:8" x14ac:dyDescent="0.25">
      <c r="D29898" s="28"/>
      <c r="F29898" s="28"/>
      <c r="H29898" s="28"/>
    </row>
    <row r="29899" spans="4:8" x14ac:dyDescent="0.25">
      <c r="D29899" s="28"/>
      <c r="F29899" s="28"/>
      <c r="H29899" s="28"/>
    </row>
    <row r="29900" spans="4:8" x14ac:dyDescent="0.25">
      <c r="D29900" s="28"/>
      <c r="F29900" s="28"/>
      <c r="H29900" s="28"/>
    </row>
    <row r="29901" spans="4:8" x14ac:dyDescent="0.25">
      <c r="D29901" s="28"/>
      <c r="F29901" s="28"/>
      <c r="H29901" s="28"/>
    </row>
    <row r="29902" spans="4:8" x14ac:dyDescent="0.25">
      <c r="D29902" s="28"/>
      <c r="F29902" s="28"/>
      <c r="H29902" s="28"/>
    </row>
    <row r="29903" spans="4:8" x14ac:dyDescent="0.25">
      <c r="D29903" s="28"/>
      <c r="F29903" s="28"/>
      <c r="H29903" s="28"/>
    </row>
    <row r="29904" spans="4:8" x14ac:dyDescent="0.25">
      <c r="D29904" s="28"/>
      <c r="F29904" s="28"/>
      <c r="H29904" s="28"/>
    </row>
    <row r="29905" spans="4:8" x14ac:dyDescent="0.25">
      <c r="D29905" s="28"/>
      <c r="F29905" s="28"/>
      <c r="H29905" s="28"/>
    </row>
    <row r="29906" spans="4:8" x14ac:dyDescent="0.25">
      <c r="D29906" s="28"/>
      <c r="F29906" s="28"/>
      <c r="H29906" s="28"/>
    </row>
    <row r="29907" spans="4:8" x14ac:dyDescent="0.25">
      <c r="D29907" s="28"/>
      <c r="F29907" s="28"/>
      <c r="H29907" s="28"/>
    </row>
    <row r="29908" spans="4:8" x14ac:dyDescent="0.25">
      <c r="D29908" s="28"/>
      <c r="F29908" s="28"/>
      <c r="H29908" s="28"/>
    </row>
    <row r="29909" spans="4:8" x14ac:dyDescent="0.25">
      <c r="D29909" s="28"/>
      <c r="F29909" s="28"/>
      <c r="H29909" s="28"/>
    </row>
    <row r="29910" spans="4:8" x14ac:dyDescent="0.25">
      <c r="D29910" s="28"/>
      <c r="F29910" s="28"/>
      <c r="H29910" s="28"/>
    </row>
    <row r="29911" spans="4:8" x14ac:dyDescent="0.25">
      <c r="D29911" s="28"/>
      <c r="F29911" s="28"/>
      <c r="H29911" s="28"/>
    </row>
    <row r="29912" spans="4:8" x14ac:dyDescent="0.25">
      <c r="D29912" s="28"/>
      <c r="F29912" s="28"/>
      <c r="H29912" s="28"/>
    </row>
    <row r="29913" spans="4:8" x14ac:dyDescent="0.25">
      <c r="D29913" s="28"/>
      <c r="F29913" s="28"/>
      <c r="H29913" s="28"/>
    </row>
    <row r="29914" spans="4:8" x14ac:dyDescent="0.25">
      <c r="D29914" s="28"/>
      <c r="F29914" s="28"/>
      <c r="H29914" s="28"/>
    </row>
    <row r="29915" spans="4:8" x14ac:dyDescent="0.25">
      <c r="D29915" s="28"/>
      <c r="F29915" s="28"/>
      <c r="H29915" s="28"/>
    </row>
    <row r="29916" spans="4:8" x14ac:dyDescent="0.25">
      <c r="D29916" s="28"/>
      <c r="F29916" s="28"/>
      <c r="H29916" s="28"/>
    </row>
    <row r="29917" spans="4:8" x14ac:dyDescent="0.25">
      <c r="D29917" s="28"/>
      <c r="F29917" s="28"/>
      <c r="H29917" s="28"/>
    </row>
    <row r="29918" spans="4:8" x14ac:dyDescent="0.25">
      <c r="D29918" s="28"/>
      <c r="F29918" s="28"/>
      <c r="H29918" s="28"/>
    </row>
    <row r="29919" spans="4:8" x14ac:dyDescent="0.25">
      <c r="D29919" s="28"/>
      <c r="F29919" s="28"/>
      <c r="H29919" s="28"/>
    </row>
    <row r="29920" spans="4:8" x14ac:dyDescent="0.25">
      <c r="D29920" s="28"/>
      <c r="F29920" s="28"/>
      <c r="H29920" s="28"/>
    </row>
    <row r="29921" spans="4:8" x14ac:dyDescent="0.25">
      <c r="D29921" s="28"/>
      <c r="F29921" s="28"/>
      <c r="H29921" s="28"/>
    </row>
    <row r="29922" spans="4:8" x14ac:dyDescent="0.25">
      <c r="D29922" s="28"/>
      <c r="F29922" s="28"/>
      <c r="H29922" s="28"/>
    </row>
    <row r="29923" spans="4:8" x14ac:dyDescent="0.25">
      <c r="D29923" s="28"/>
      <c r="F29923" s="28"/>
      <c r="H29923" s="28"/>
    </row>
    <row r="29924" spans="4:8" x14ac:dyDescent="0.25">
      <c r="D29924" s="28"/>
      <c r="F29924" s="28"/>
      <c r="H29924" s="28"/>
    </row>
    <row r="29925" spans="4:8" x14ac:dyDescent="0.25">
      <c r="D29925" s="28"/>
      <c r="F29925" s="28"/>
      <c r="H29925" s="28"/>
    </row>
    <row r="29926" spans="4:8" x14ac:dyDescent="0.25">
      <c r="D29926" s="28"/>
      <c r="F29926" s="28"/>
      <c r="H29926" s="28"/>
    </row>
    <row r="29927" spans="4:8" x14ac:dyDescent="0.25">
      <c r="D29927" s="28"/>
      <c r="F29927" s="28"/>
      <c r="H29927" s="28"/>
    </row>
    <row r="29928" spans="4:8" x14ac:dyDescent="0.25">
      <c r="D29928" s="28"/>
      <c r="F29928" s="28"/>
      <c r="H29928" s="28"/>
    </row>
    <row r="29929" spans="4:8" x14ac:dyDescent="0.25">
      <c r="D29929" s="28"/>
      <c r="F29929" s="28"/>
      <c r="H29929" s="28"/>
    </row>
    <row r="29930" spans="4:8" x14ac:dyDescent="0.25">
      <c r="D29930" s="28"/>
      <c r="F29930" s="28"/>
      <c r="H29930" s="28"/>
    </row>
    <row r="29931" spans="4:8" x14ac:dyDescent="0.25">
      <c r="D29931" s="28"/>
      <c r="F29931" s="28"/>
      <c r="H29931" s="28"/>
    </row>
    <row r="29932" spans="4:8" x14ac:dyDescent="0.25">
      <c r="D29932" s="28"/>
      <c r="F29932" s="28"/>
      <c r="H29932" s="28"/>
    </row>
    <row r="29933" spans="4:8" x14ac:dyDescent="0.25">
      <c r="D29933" s="28"/>
      <c r="F29933" s="28"/>
      <c r="H29933" s="28"/>
    </row>
    <row r="29934" spans="4:8" x14ac:dyDescent="0.25">
      <c r="D29934" s="28"/>
      <c r="F29934" s="28"/>
      <c r="H29934" s="28"/>
    </row>
    <row r="29935" spans="4:8" x14ac:dyDescent="0.25">
      <c r="D29935" s="28"/>
      <c r="F29935" s="28"/>
      <c r="H29935" s="28"/>
    </row>
    <row r="29936" spans="4:8" x14ac:dyDescent="0.25">
      <c r="D29936" s="28"/>
      <c r="F29936" s="28"/>
      <c r="H29936" s="28"/>
    </row>
    <row r="29937" spans="4:8" x14ac:dyDescent="0.25">
      <c r="D29937" s="28"/>
      <c r="F29937" s="28"/>
      <c r="H29937" s="28"/>
    </row>
    <row r="29938" spans="4:8" x14ac:dyDescent="0.25">
      <c r="D29938" s="28"/>
      <c r="F29938" s="28"/>
      <c r="H29938" s="28"/>
    </row>
    <row r="29939" spans="4:8" x14ac:dyDescent="0.25">
      <c r="D29939" s="28"/>
      <c r="F29939" s="28"/>
      <c r="H29939" s="28"/>
    </row>
    <row r="29940" spans="4:8" x14ac:dyDescent="0.25">
      <c r="D29940" s="28"/>
      <c r="F29940" s="28"/>
      <c r="H29940" s="28"/>
    </row>
    <row r="29941" spans="4:8" x14ac:dyDescent="0.25">
      <c r="D29941" s="28"/>
      <c r="F29941" s="28"/>
      <c r="H29941" s="28"/>
    </row>
    <row r="29942" spans="4:8" x14ac:dyDescent="0.25">
      <c r="D29942" s="28"/>
      <c r="F29942" s="28"/>
      <c r="H29942" s="28"/>
    </row>
    <row r="29943" spans="4:8" x14ac:dyDescent="0.25">
      <c r="D29943" s="28"/>
      <c r="F29943" s="28"/>
      <c r="H29943" s="28"/>
    </row>
    <row r="29944" spans="4:8" x14ac:dyDescent="0.25">
      <c r="D29944" s="28"/>
      <c r="F29944" s="28"/>
      <c r="H29944" s="28"/>
    </row>
    <row r="29945" spans="4:8" x14ac:dyDescent="0.25">
      <c r="D29945" s="28"/>
      <c r="F29945" s="28"/>
      <c r="H29945" s="28"/>
    </row>
    <row r="29946" spans="4:8" x14ac:dyDescent="0.25">
      <c r="D29946" s="28"/>
      <c r="F29946" s="28"/>
      <c r="H29946" s="28"/>
    </row>
    <row r="29947" spans="4:8" x14ac:dyDescent="0.25">
      <c r="D29947" s="28"/>
      <c r="F29947" s="28"/>
      <c r="H29947" s="28"/>
    </row>
    <row r="29948" spans="4:8" x14ac:dyDescent="0.25">
      <c r="D29948" s="28"/>
      <c r="F29948" s="28"/>
      <c r="H29948" s="28"/>
    </row>
    <row r="29949" spans="4:8" x14ac:dyDescent="0.25">
      <c r="D29949" s="28"/>
      <c r="F29949" s="28"/>
      <c r="H29949" s="28"/>
    </row>
    <row r="29950" spans="4:8" x14ac:dyDescent="0.25">
      <c r="D29950" s="28"/>
      <c r="F29950" s="28"/>
      <c r="H29950" s="28"/>
    </row>
    <row r="29951" spans="4:8" x14ac:dyDescent="0.25">
      <c r="D29951" s="28"/>
      <c r="F29951" s="28"/>
      <c r="H29951" s="28"/>
    </row>
    <row r="29952" spans="4:8" x14ac:dyDescent="0.25">
      <c r="D29952" s="28"/>
      <c r="F29952" s="28"/>
      <c r="H29952" s="28"/>
    </row>
    <row r="29953" spans="4:8" x14ac:dyDescent="0.25">
      <c r="D29953" s="28"/>
      <c r="F29953" s="28"/>
      <c r="H29953" s="28"/>
    </row>
    <row r="29954" spans="4:8" x14ac:dyDescent="0.25">
      <c r="D29954" s="28"/>
      <c r="F29954" s="28"/>
      <c r="H29954" s="28"/>
    </row>
    <row r="29955" spans="4:8" x14ac:dyDescent="0.25">
      <c r="D29955" s="28"/>
      <c r="F29955" s="28"/>
      <c r="H29955" s="28"/>
    </row>
    <row r="29956" spans="4:8" x14ac:dyDescent="0.25">
      <c r="D29956" s="28"/>
      <c r="F29956" s="28"/>
      <c r="H29956" s="28"/>
    </row>
    <row r="29957" spans="4:8" x14ac:dyDescent="0.25">
      <c r="D29957" s="28"/>
      <c r="F29957" s="28"/>
      <c r="H29957" s="28"/>
    </row>
    <row r="29958" spans="4:8" x14ac:dyDescent="0.25">
      <c r="D29958" s="28"/>
      <c r="F29958" s="28"/>
      <c r="H29958" s="28"/>
    </row>
    <row r="29959" spans="4:8" x14ac:dyDescent="0.25">
      <c r="D29959" s="28"/>
      <c r="F29959" s="28"/>
      <c r="H29959" s="28"/>
    </row>
    <row r="29960" spans="4:8" x14ac:dyDescent="0.25">
      <c r="D29960" s="28"/>
      <c r="F29960" s="28"/>
      <c r="H29960" s="28"/>
    </row>
    <row r="29961" spans="4:8" x14ac:dyDescent="0.25">
      <c r="D29961" s="28"/>
      <c r="F29961" s="28"/>
      <c r="H29961" s="28"/>
    </row>
    <row r="29962" spans="4:8" x14ac:dyDescent="0.25">
      <c r="D29962" s="28"/>
      <c r="F29962" s="28"/>
      <c r="H29962" s="28"/>
    </row>
    <row r="29963" spans="4:8" x14ac:dyDescent="0.25">
      <c r="D29963" s="28"/>
      <c r="F29963" s="28"/>
      <c r="H29963" s="28"/>
    </row>
    <row r="29964" spans="4:8" x14ac:dyDescent="0.25">
      <c r="D29964" s="28"/>
      <c r="F29964" s="28"/>
      <c r="H29964" s="28"/>
    </row>
    <row r="29965" spans="4:8" x14ac:dyDescent="0.25">
      <c r="D29965" s="28"/>
      <c r="F29965" s="28"/>
      <c r="H29965" s="28"/>
    </row>
    <row r="29966" spans="4:8" x14ac:dyDescent="0.25">
      <c r="D29966" s="28"/>
      <c r="F29966" s="28"/>
      <c r="H29966" s="28"/>
    </row>
    <row r="29967" spans="4:8" x14ac:dyDescent="0.25">
      <c r="D29967" s="28"/>
      <c r="F29967" s="28"/>
      <c r="H29967" s="28"/>
    </row>
    <row r="29968" spans="4:8" x14ac:dyDescent="0.25">
      <c r="D29968" s="28"/>
      <c r="F29968" s="28"/>
      <c r="H29968" s="28"/>
    </row>
    <row r="29969" spans="4:8" x14ac:dyDescent="0.25">
      <c r="D29969" s="28"/>
      <c r="F29969" s="28"/>
      <c r="H29969" s="28"/>
    </row>
    <row r="29970" spans="4:8" x14ac:dyDescent="0.25">
      <c r="D29970" s="28"/>
      <c r="F29970" s="28"/>
      <c r="H29970" s="28"/>
    </row>
    <row r="29971" spans="4:8" x14ac:dyDescent="0.25">
      <c r="D29971" s="28"/>
      <c r="F29971" s="28"/>
      <c r="H29971" s="28"/>
    </row>
    <row r="29972" spans="4:8" x14ac:dyDescent="0.25">
      <c r="D29972" s="28"/>
      <c r="F29972" s="28"/>
      <c r="H29972" s="28"/>
    </row>
    <row r="29973" spans="4:8" x14ac:dyDescent="0.25">
      <c r="D29973" s="28"/>
      <c r="F29973" s="28"/>
      <c r="H29973" s="28"/>
    </row>
    <row r="29974" spans="4:8" x14ac:dyDescent="0.25">
      <c r="D29974" s="28"/>
      <c r="F29974" s="28"/>
      <c r="H29974" s="28"/>
    </row>
    <row r="29975" spans="4:8" x14ac:dyDescent="0.25">
      <c r="D29975" s="28"/>
      <c r="F29975" s="28"/>
      <c r="H29975" s="28"/>
    </row>
    <row r="29976" spans="4:8" x14ac:dyDescent="0.25">
      <c r="D29976" s="28"/>
      <c r="F29976" s="28"/>
      <c r="H29976" s="28"/>
    </row>
    <row r="29977" spans="4:8" x14ac:dyDescent="0.25">
      <c r="D29977" s="28"/>
      <c r="F29977" s="28"/>
      <c r="H29977" s="28"/>
    </row>
    <row r="29978" spans="4:8" x14ac:dyDescent="0.25">
      <c r="D29978" s="28"/>
      <c r="F29978" s="28"/>
      <c r="H29978" s="28"/>
    </row>
    <row r="29979" spans="4:8" x14ac:dyDescent="0.25">
      <c r="D29979" s="28"/>
      <c r="F29979" s="28"/>
      <c r="H29979" s="28"/>
    </row>
    <row r="29980" spans="4:8" x14ac:dyDescent="0.25">
      <c r="D29980" s="28"/>
      <c r="F29980" s="28"/>
      <c r="H29980" s="28"/>
    </row>
    <row r="29981" spans="4:8" x14ac:dyDescent="0.25">
      <c r="D29981" s="28"/>
      <c r="F29981" s="28"/>
      <c r="H29981" s="28"/>
    </row>
    <row r="29982" spans="4:8" x14ac:dyDescent="0.25">
      <c r="D29982" s="28"/>
      <c r="F29982" s="28"/>
      <c r="H29982" s="28"/>
    </row>
    <row r="29983" spans="4:8" x14ac:dyDescent="0.25">
      <c r="D29983" s="28"/>
      <c r="F29983" s="28"/>
      <c r="H29983" s="28"/>
    </row>
    <row r="29984" spans="4:8" x14ac:dyDescent="0.25">
      <c r="D29984" s="28"/>
      <c r="F29984" s="28"/>
      <c r="H29984" s="28"/>
    </row>
    <row r="29985" spans="4:8" x14ac:dyDescent="0.25">
      <c r="D29985" s="28"/>
      <c r="F29985" s="28"/>
      <c r="H29985" s="28"/>
    </row>
    <row r="29986" spans="4:8" x14ac:dyDescent="0.25">
      <c r="D29986" s="28"/>
      <c r="F29986" s="28"/>
      <c r="H29986" s="28"/>
    </row>
    <row r="29987" spans="4:8" x14ac:dyDescent="0.25">
      <c r="D29987" s="28"/>
      <c r="F29987" s="28"/>
      <c r="H29987" s="28"/>
    </row>
    <row r="29988" spans="4:8" x14ac:dyDescent="0.25">
      <c r="D29988" s="28"/>
      <c r="F29988" s="28"/>
      <c r="H29988" s="28"/>
    </row>
    <row r="29989" spans="4:8" x14ac:dyDescent="0.25">
      <c r="D29989" s="28"/>
      <c r="F29989" s="28"/>
      <c r="H29989" s="28"/>
    </row>
    <row r="29990" spans="4:8" x14ac:dyDescent="0.25">
      <c r="D29990" s="28"/>
      <c r="F29990" s="28"/>
      <c r="H29990" s="28"/>
    </row>
    <row r="29991" spans="4:8" x14ac:dyDescent="0.25">
      <c r="D29991" s="28"/>
      <c r="F29991" s="28"/>
      <c r="H29991" s="28"/>
    </row>
    <row r="29992" spans="4:8" x14ac:dyDescent="0.25">
      <c r="D29992" s="28"/>
      <c r="F29992" s="28"/>
      <c r="H29992" s="28"/>
    </row>
    <row r="29993" spans="4:8" x14ac:dyDescent="0.25">
      <c r="D29993" s="28"/>
      <c r="F29993" s="28"/>
      <c r="H29993" s="28"/>
    </row>
    <row r="29994" spans="4:8" x14ac:dyDescent="0.25">
      <c r="D29994" s="28"/>
      <c r="F29994" s="28"/>
      <c r="H29994" s="28"/>
    </row>
    <row r="29995" spans="4:8" x14ac:dyDescent="0.25">
      <c r="D29995" s="28"/>
      <c r="F29995" s="28"/>
      <c r="H29995" s="28"/>
    </row>
    <row r="29996" spans="4:8" x14ac:dyDescent="0.25">
      <c r="D29996" s="28"/>
      <c r="F29996" s="28"/>
      <c r="H29996" s="28"/>
    </row>
    <row r="29997" spans="4:8" x14ac:dyDescent="0.25">
      <c r="D29997" s="28"/>
      <c r="F29997" s="28"/>
      <c r="H29997" s="28"/>
    </row>
    <row r="29998" spans="4:8" x14ac:dyDescent="0.25">
      <c r="D29998" s="28"/>
      <c r="F29998" s="28"/>
      <c r="H29998" s="28"/>
    </row>
    <row r="29999" spans="4:8" x14ac:dyDescent="0.25">
      <c r="D29999" s="28"/>
      <c r="F29999" s="28"/>
      <c r="H29999" s="28"/>
    </row>
    <row r="30000" spans="4:8" x14ac:dyDescent="0.25">
      <c r="D30000" s="28"/>
      <c r="F30000" s="28"/>
      <c r="H30000" s="28"/>
    </row>
    <row r="30001" spans="4:8" x14ac:dyDescent="0.25">
      <c r="D30001" s="28"/>
      <c r="F30001" s="28"/>
      <c r="H30001" s="28"/>
    </row>
    <row r="30002" spans="4:8" x14ac:dyDescent="0.25">
      <c r="D30002" s="28"/>
      <c r="F30002" s="28"/>
      <c r="H30002" s="28"/>
    </row>
    <row r="30003" spans="4:8" x14ac:dyDescent="0.25">
      <c r="D30003" s="28"/>
      <c r="F30003" s="28"/>
      <c r="H30003" s="28"/>
    </row>
    <row r="30004" spans="4:8" x14ac:dyDescent="0.25">
      <c r="D30004" s="28"/>
      <c r="F30004" s="28"/>
      <c r="H30004" s="28"/>
    </row>
    <row r="30005" spans="4:8" x14ac:dyDescent="0.25">
      <c r="D30005" s="28"/>
      <c r="F30005" s="28"/>
      <c r="H30005" s="28"/>
    </row>
    <row r="30006" spans="4:8" x14ac:dyDescent="0.25">
      <c r="D30006" s="28"/>
      <c r="F30006" s="28"/>
      <c r="H30006" s="28"/>
    </row>
    <row r="30007" spans="4:8" x14ac:dyDescent="0.25">
      <c r="D30007" s="28"/>
      <c r="F30007" s="28"/>
      <c r="H30007" s="28"/>
    </row>
    <row r="30008" spans="4:8" x14ac:dyDescent="0.25">
      <c r="D30008" s="28"/>
      <c r="F30008" s="28"/>
      <c r="H30008" s="28"/>
    </row>
    <row r="30009" spans="4:8" x14ac:dyDescent="0.25">
      <c r="D30009" s="28"/>
      <c r="F30009" s="28"/>
      <c r="H30009" s="28"/>
    </row>
    <row r="30010" spans="4:8" x14ac:dyDescent="0.25">
      <c r="D30010" s="28"/>
      <c r="F30010" s="28"/>
      <c r="H30010" s="28"/>
    </row>
    <row r="30011" spans="4:8" x14ac:dyDescent="0.25">
      <c r="D30011" s="28"/>
      <c r="F30011" s="28"/>
      <c r="H30011" s="28"/>
    </row>
    <row r="30012" spans="4:8" x14ac:dyDescent="0.25">
      <c r="D30012" s="28"/>
      <c r="F30012" s="28"/>
      <c r="H30012" s="28"/>
    </row>
    <row r="30013" spans="4:8" x14ac:dyDescent="0.25">
      <c r="D30013" s="28"/>
      <c r="F30013" s="28"/>
      <c r="H30013" s="28"/>
    </row>
    <row r="30014" spans="4:8" x14ac:dyDescent="0.25">
      <c r="D30014" s="28"/>
      <c r="F30014" s="28"/>
      <c r="H30014" s="28"/>
    </row>
    <row r="30015" spans="4:8" x14ac:dyDescent="0.25">
      <c r="D30015" s="28"/>
      <c r="F30015" s="28"/>
      <c r="H30015" s="28"/>
    </row>
    <row r="30016" spans="4:8" x14ac:dyDescent="0.25">
      <c r="D30016" s="28"/>
      <c r="F30016" s="28"/>
      <c r="H30016" s="28"/>
    </row>
    <row r="30017" spans="4:8" x14ac:dyDescent="0.25">
      <c r="D30017" s="28"/>
      <c r="F30017" s="28"/>
      <c r="H30017" s="28"/>
    </row>
    <row r="30018" spans="4:8" x14ac:dyDescent="0.25">
      <c r="D30018" s="28"/>
      <c r="F30018" s="28"/>
      <c r="H30018" s="28"/>
    </row>
    <row r="30019" spans="4:8" x14ac:dyDescent="0.25">
      <c r="D30019" s="28"/>
      <c r="F30019" s="28"/>
      <c r="H30019" s="28"/>
    </row>
    <row r="30020" spans="4:8" x14ac:dyDescent="0.25">
      <c r="D30020" s="28"/>
      <c r="F30020" s="28"/>
      <c r="H30020" s="28"/>
    </row>
    <row r="30021" spans="4:8" x14ac:dyDescent="0.25">
      <c r="D30021" s="28"/>
      <c r="F30021" s="28"/>
      <c r="H30021" s="28"/>
    </row>
    <row r="30022" spans="4:8" x14ac:dyDescent="0.25">
      <c r="D30022" s="28"/>
      <c r="F30022" s="28"/>
      <c r="H30022" s="28"/>
    </row>
    <row r="30023" spans="4:8" x14ac:dyDescent="0.25">
      <c r="D30023" s="28"/>
      <c r="F30023" s="28"/>
      <c r="H30023" s="28"/>
    </row>
    <row r="30024" spans="4:8" x14ac:dyDescent="0.25">
      <c r="D30024" s="28"/>
      <c r="F30024" s="28"/>
      <c r="H30024" s="28"/>
    </row>
    <row r="30025" spans="4:8" x14ac:dyDescent="0.25">
      <c r="D30025" s="28"/>
      <c r="F30025" s="28"/>
      <c r="H30025" s="28"/>
    </row>
    <row r="30026" spans="4:8" x14ac:dyDescent="0.25">
      <c r="D30026" s="28"/>
      <c r="F30026" s="28"/>
      <c r="H30026" s="28"/>
    </row>
    <row r="30027" spans="4:8" x14ac:dyDescent="0.25">
      <c r="D30027" s="28"/>
      <c r="F30027" s="28"/>
      <c r="H30027" s="28"/>
    </row>
    <row r="30028" spans="4:8" x14ac:dyDescent="0.25">
      <c r="D30028" s="28"/>
      <c r="F30028" s="28"/>
      <c r="H30028" s="28"/>
    </row>
    <row r="30029" spans="4:8" x14ac:dyDescent="0.25">
      <c r="D30029" s="28"/>
      <c r="F30029" s="28"/>
      <c r="H30029" s="28"/>
    </row>
    <row r="30030" spans="4:8" x14ac:dyDescent="0.25">
      <c r="D30030" s="28"/>
      <c r="F30030" s="28"/>
      <c r="H30030" s="28"/>
    </row>
    <row r="30031" spans="4:8" x14ac:dyDescent="0.25">
      <c r="D30031" s="28"/>
      <c r="F30031" s="28"/>
      <c r="H30031" s="28"/>
    </row>
    <row r="30032" spans="4:8" x14ac:dyDescent="0.25">
      <c r="D30032" s="28"/>
      <c r="F30032" s="28"/>
      <c r="H30032" s="28"/>
    </row>
    <row r="30033" spans="4:8" x14ac:dyDescent="0.25">
      <c r="D30033" s="28"/>
      <c r="F30033" s="28"/>
      <c r="H30033" s="28"/>
    </row>
    <row r="30034" spans="4:8" x14ac:dyDescent="0.25">
      <c r="D30034" s="28"/>
      <c r="F30034" s="28"/>
      <c r="H30034" s="28"/>
    </row>
    <row r="30035" spans="4:8" x14ac:dyDescent="0.25">
      <c r="D30035" s="28"/>
      <c r="F30035" s="28"/>
      <c r="H30035" s="28"/>
    </row>
    <row r="30036" spans="4:8" x14ac:dyDescent="0.25">
      <c r="D30036" s="28"/>
      <c r="F30036" s="28"/>
      <c r="H30036" s="28"/>
    </row>
    <row r="30037" spans="4:8" x14ac:dyDescent="0.25">
      <c r="D30037" s="28"/>
      <c r="F30037" s="28"/>
      <c r="H30037" s="28"/>
    </row>
    <row r="30038" spans="4:8" x14ac:dyDescent="0.25">
      <c r="D30038" s="28"/>
      <c r="F30038" s="28"/>
      <c r="H30038" s="28"/>
    </row>
    <row r="30039" spans="4:8" x14ac:dyDescent="0.25">
      <c r="D30039" s="28"/>
      <c r="F30039" s="28"/>
      <c r="H30039" s="28"/>
    </row>
    <row r="30040" spans="4:8" x14ac:dyDescent="0.25">
      <c r="D30040" s="28"/>
      <c r="F30040" s="28"/>
      <c r="H30040" s="28"/>
    </row>
    <row r="30041" spans="4:8" x14ac:dyDescent="0.25">
      <c r="D30041" s="28"/>
      <c r="F30041" s="28"/>
      <c r="H30041" s="28"/>
    </row>
    <row r="30042" spans="4:8" x14ac:dyDescent="0.25">
      <c r="D30042" s="28"/>
      <c r="F30042" s="28"/>
      <c r="H30042" s="28"/>
    </row>
    <row r="30043" spans="4:8" x14ac:dyDescent="0.25">
      <c r="D30043" s="28"/>
      <c r="F30043" s="28"/>
      <c r="H30043" s="28"/>
    </row>
    <row r="30044" spans="4:8" x14ac:dyDescent="0.25">
      <c r="D30044" s="28"/>
      <c r="F30044" s="28"/>
      <c r="H30044" s="28"/>
    </row>
    <row r="30045" spans="4:8" x14ac:dyDescent="0.25">
      <c r="D30045" s="28"/>
      <c r="F30045" s="28"/>
      <c r="H30045" s="28"/>
    </row>
    <row r="30046" spans="4:8" x14ac:dyDescent="0.25">
      <c r="D30046" s="28"/>
      <c r="F30046" s="28"/>
      <c r="H30046" s="28"/>
    </row>
    <row r="30047" spans="4:8" x14ac:dyDescent="0.25">
      <c r="D30047" s="28"/>
      <c r="F30047" s="28"/>
      <c r="H30047" s="28"/>
    </row>
    <row r="30048" spans="4:8" x14ac:dyDescent="0.25">
      <c r="D30048" s="28"/>
      <c r="F30048" s="28"/>
      <c r="H30048" s="28"/>
    </row>
    <row r="30049" spans="4:8" x14ac:dyDescent="0.25">
      <c r="D30049" s="28"/>
      <c r="F30049" s="28"/>
      <c r="H30049" s="28"/>
    </row>
    <row r="30050" spans="4:8" x14ac:dyDescent="0.25">
      <c r="D30050" s="28"/>
      <c r="F30050" s="28"/>
      <c r="H30050" s="28"/>
    </row>
    <row r="30051" spans="4:8" x14ac:dyDescent="0.25">
      <c r="D30051" s="28"/>
      <c r="F30051" s="28"/>
      <c r="H30051" s="28"/>
    </row>
    <row r="30052" spans="4:8" x14ac:dyDescent="0.25">
      <c r="D30052" s="28"/>
      <c r="F30052" s="28"/>
      <c r="H30052" s="28"/>
    </row>
    <row r="30053" spans="4:8" x14ac:dyDescent="0.25">
      <c r="D30053" s="28"/>
      <c r="F30053" s="28"/>
      <c r="H30053" s="28"/>
    </row>
    <row r="30054" spans="4:8" x14ac:dyDescent="0.25">
      <c r="D30054" s="28"/>
      <c r="F30054" s="28"/>
      <c r="H30054" s="28"/>
    </row>
    <row r="30055" spans="4:8" x14ac:dyDescent="0.25">
      <c r="D30055" s="28"/>
      <c r="F30055" s="28"/>
      <c r="H30055" s="28"/>
    </row>
    <row r="30056" spans="4:8" x14ac:dyDescent="0.25">
      <c r="D30056" s="28"/>
      <c r="F30056" s="28"/>
      <c r="H30056" s="28"/>
    </row>
    <row r="30057" spans="4:8" x14ac:dyDescent="0.25">
      <c r="D30057" s="28"/>
      <c r="F30057" s="28"/>
      <c r="H30057" s="28"/>
    </row>
    <row r="30058" spans="4:8" x14ac:dyDescent="0.25">
      <c r="D30058" s="28"/>
      <c r="F30058" s="28"/>
      <c r="H30058" s="28"/>
    </row>
    <row r="30059" spans="4:8" x14ac:dyDescent="0.25">
      <c r="D30059" s="28"/>
      <c r="F30059" s="28"/>
      <c r="H30059" s="28"/>
    </row>
    <row r="30060" spans="4:8" x14ac:dyDescent="0.25">
      <c r="D30060" s="28"/>
      <c r="F30060" s="28"/>
      <c r="H30060" s="28"/>
    </row>
    <row r="30061" spans="4:8" x14ac:dyDescent="0.25">
      <c r="D30061" s="28"/>
      <c r="F30061" s="28"/>
      <c r="H30061" s="28"/>
    </row>
    <row r="30062" spans="4:8" x14ac:dyDescent="0.25">
      <c r="D30062" s="28"/>
      <c r="F30062" s="28"/>
      <c r="H30062" s="28"/>
    </row>
    <row r="30063" spans="4:8" x14ac:dyDescent="0.25">
      <c r="D30063" s="28"/>
      <c r="F30063" s="28"/>
      <c r="H30063" s="28"/>
    </row>
    <row r="30064" spans="4:8" x14ac:dyDescent="0.25">
      <c r="D30064" s="28"/>
      <c r="F30064" s="28"/>
      <c r="H30064" s="28"/>
    </row>
    <row r="30065" spans="4:8" x14ac:dyDescent="0.25">
      <c r="D30065" s="28"/>
      <c r="F30065" s="28"/>
      <c r="H30065" s="28"/>
    </row>
    <row r="30066" spans="4:8" x14ac:dyDescent="0.25">
      <c r="D30066" s="28"/>
      <c r="F30066" s="28"/>
      <c r="H30066" s="28"/>
    </row>
    <row r="30067" spans="4:8" x14ac:dyDescent="0.25">
      <c r="D30067" s="28"/>
      <c r="F30067" s="28"/>
      <c r="H30067" s="28"/>
    </row>
    <row r="30068" spans="4:8" x14ac:dyDescent="0.25">
      <c r="D30068" s="28"/>
      <c r="F30068" s="28"/>
      <c r="H30068" s="28"/>
    </row>
    <row r="30069" spans="4:8" x14ac:dyDescent="0.25">
      <c r="D30069" s="28"/>
      <c r="F30069" s="28"/>
      <c r="H30069" s="28"/>
    </row>
    <row r="30070" spans="4:8" x14ac:dyDescent="0.25">
      <c r="D30070" s="28"/>
      <c r="F30070" s="28"/>
      <c r="H30070" s="28"/>
    </row>
    <row r="30071" spans="4:8" x14ac:dyDescent="0.25">
      <c r="D30071" s="28"/>
      <c r="F30071" s="28"/>
      <c r="H30071" s="28"/>
    </row>
    <row r="30072" spans="4:8" x14ac:dyDescent="0.25">
      <c r="D30072" s="28"/>
      <c r="F30072" s="28"/>
      <c r="H30072" s="28"/>
    </row>
    <row r="30073" spans="4:8" x14ac:dyDescent="0.25">
      <c r="D30073" s="28"/>
      <c r="F30073" s="28"/>
      <c r="H30073" s="28"/>
    </row>
    <row r="30074" spans="4:8" x14ac:dyDescent="0.25">
      <c r="D30074" s="28"/>
      <c r="F30074" s="28"/>
      <c r="H30074" s="28"/>
    </row>
    <row r="30075" spans="4:8" x14ac:dyDescent="0.25">
      <c r="D30075" s="28"/>
      <c r="F30075" s="28"/>
      <c r="H30075" s="28"/>
    </row>
    <row r="30076" spans="4:8" x14ac:dyDescent="0.25">
      <c r="D30076" s="28"/>
      <c r="F30076" s="28"/>
      <c r="H30076" s="28"/>
    </row>
    <row r="30077" spans="4:8" x14ac:dyDescent="0.25">
      <c r="D30077" s="28"/>
      <c r="F30077" s="28"/>
      <c r="H30077" s="28"/>
    </row>
    <row r="30078" spans="4:8" x14ac:dyDescent="0.25">
      <c r="D30078" s="28"/>
      <c r="F30078" s="28"/>
      <c r="H30078" s="28"/>
    </row>
    <row r="30079" spans="4:8" x14ac:dyDescent="0.25">
      <c r="D30079" s="28"/>
      <c r="F30079" s="28"/>
      <c r="H30079" s="28"/>
    </row>
    <row r="30080" spans="4:8" x14ac:dyDescent="0.25">
      <c r="D30080" s="28"/>
      <c r="F30080" s="28"/>
      <c r="H30080" s="28"/>
    </row>
    <row r="30081" spans="4:8" x14ac:dyDescent="0.25">
      <c r="D30081" s="28"/>
      <c r="F30081" s="28"/>
      <c r="H30081" s="28"/>
    </row>
    <row r="30082" spans="4:8" x14ac:dyDescent="0.25">
      <c r="D30082" s="28"/>
      <c r="F30082" s="28"/>
      <c r="H30082" s="28"/>
    </row>
    <row r="30083" spans="4:8" x14ac:dyDescent="0.25">
      <c r="D30083" s="28"/>
      <c r="F30083" s="28"/>
      <c r="H30083" s="28"/>
    </row>
    <row r="30084" spans="4:8" x14ac:dyDescent="0.25">
      <c r="D30084" s="28"/>
      <c r="F30084" s="28"/>
      <c r="H30084" s="28"/>
    </row>
    <row r="30085" spans="4:8" x14ac:dyDescent="0.25">
      <c r="D30085" s="28"/>
      <c r="F30085" s="28"/>
      <c r="H30085" s="28"/>
    </row>
    <row r="30086" spans="4:8" x14ac:dyDescent="0.25">
      <c r="D30086" s="28"/>
      <c r="F30086" s="28"/>
      <c r="H30086" s="28"/>
    </row>
    <row r="30087" spans="4:8" x14ac:dyDescent="0.25">
      <c r="D30087" s="28"/>
      <c r="F30087" s="28"/>
      <c r="H30087" s="28"/>
    </row>
    <row r="30088" spans="4:8" x14ac:dyDescent="0.25">
      <c r="D30088" s="28"/>
      <c r="F30088" s="28"/>
      <c r="H30088" s="28"/>
    </row>
    <row r="30089" spans="4:8" x14ac:dyDescent="0.25">
      <c r="D30089" s="28"/>
      <c r="F30089" s="28"/>
      <c r="H30089" s="28"/>
    </row>
    <row r="30090" spans="4:8" x14ac:dyDescent="0.25">
      <c r="D30090" s="28"/>
      <c r="F30090" s="28"/>
      <c r="H30090" s="28"/>
    </row>
    <row r="30091" spans="4:8" x14ac:dyDescent="0.25">
      <c r="D30091" s="28"/>
      <c r="F30091" s="28"/>
      <c r="H30091" s="28"/>
    </row>
    <row r="30092" spans="4:8" x14ac:dyDescent="0.25">
      <c r="D30092" s="28"/>
      <c r="F30092" s="28"/>
      <c r="H30092" s="28"/>
    </row>
    <row r="30093" spans="4:8" x14ac:dyDescent="0.25">
      <c r="D30093" s="28"/>
      <c r="F30093" s="28"/>
      <c r="H30093" s="28"/>
    </row>
    <row r="30094" spans="4:8" x14ac:dyDescent="0.25">
      <c r="D30094" s="28"/>
      <c r="F30094" s="28"/>
      <c r="H30094" s="28"/>
    </row>
    <row r="30095" spans="4:8" x14ac:dyDescent="0.25">
      <c r="D30095" s="28"/>
      <c r="F30095" s="28"/>
      <c r="H30095" s="28"/>
    </row>
    <row r="30096" spans="4:8" x14ac:dyDescent="0.25">
      <c r="D30096" s="28"/>
      <c r="F30096" s="28"/>
      <c r="H30096" s="28"/>
    </row>
    <row r="30097" spans="4:8" x14ac:dyDescent="0.25">
      <c r="D30097" s="28"/>
      <c r="F30097" s="28"/>
      <c r="H30097" s="28"/>
    </row>
    <row r="30098" spans="4:8" x14ac:dyDescent="0.25">
      <c r="D30098" s="28"/>
      <c r="F30098" s="28"/>
      <c r="H30098" s="28"/>
    </row>
    <row r="30099" spans="4:8" x14ac:dyDescent="0.25">
      <c r="D30099" s="28"/>
      <c r="F30099" s="28"/>
      <c r="H30099" s="28"/>
    </row>
    <row r="30100" spans="4:8" x14ac:dyDescent="0.25">
      <c r="D30100" s="28"/>
      <c r="F30100" s="28"/>
      <c r="H30100" s="28"/>
    </row>
    <row r="30101" spans="4:8" x14ac:dyDescent="0.25">
      <c r="D30101" s="28"/>
      <c r="F30101" s="28"/>
      <c r="H30101" s="28"/>
    </row>
    <row r="30102" spans="4:8" x14ac:dyDescent="0.25">
      <c r="D30102" s="28"/>
      <c r="F30102" s="28"/>
      <c r="H30102" s="28"/>
    </row>
    <row r="30103" spans="4:8" x14ac:dyDescent="0.25">
      <c r="D30103" s="28"/>
      <c r="F30103" s="28"/>
      <c r="H30103" s="28"/>
    </row>
    <row r="30104" spans="4:8" x14ac:dyDescent="0.25">
      <c r="D30104" s="28"/>
      <c r="F30104" s="28"/>
      <c r="H30104" s="28"/>
    </row>
    <row r="30105" spans="4:8" x14ac:dyDescent="0.25">
      <c r="D30105" s="28"/>
      <c r="F30105" s="28"/>
      <c r="H30105" s="28"/>
    </row>
    <row r="30106" spans="4:8" x14ac:dyDescent="0.25">
      <c r="D30106" s="28"/>
      <c r="F30106" s="28"/>
      <c r="H30106" s="28"/>
    </row>
    <row r="30107" spans="4:8" x14ac:dyDescent="0.25">
      <c r="D30107" s="28"/>
      <c r="F30107" s="28"/>
      <c r="H30107" s="28"/>
    </row>
    <row r="30108" spans="4:8" x14ac:dyDescent="0.25">
      <c r="D30108" s="28"/>
      <c r="F30108" s="28"/>
      <c r="H30108" s="28"/>
    </row>
    <row r="30109" spans="4:8" x14ac:dyDescent="0.25">
      <c r="D30109" s="28"/>
      <c r="F30109" s="28"/>
      <c r="H30109" s="28"/>
    </row>
    <row r="30110" spans="4:8" x14ac:dyDescent="0.25">
      <c r="D30110" s="28"/>
      <c r="F30110" s="28"/>
      <c r="H30110" s="28"/>
    </row>
    <row r="30111" spans="4:8" x14ac:dyDescent="0.25">
      <c r="D30111" s="28"/>
      <c r="F30111" s="28"/>
      <c r="H30111" s="28"/>
    </row>
    <row r="30112" spans="4:8" x14ac:dyDescent="0.25">
      <c r="D30112" s="28"/>
      <c r="F30112" s="28"/>
      <c r="H30112" s="28"/>
    </row>
    <row r="30113" spans="4:8" x14ac:dyDescent="0.25">
      <c r="D30113" s="28"/>
      <c r="F30113" s="28"/>
      <c r="H30113" s="28"/>
    </row>
    <row r="30114" spans="4:8" x14ac:dyDescent="0.25">
      <c r="D30114" s="28"/>
      <c r="F30114" s="28"/>
      <c r="H30114" s="28"/>
    </row>
    <row r="30115" spans="4:8" x14ac:dyDescent="0.25">
      <c r="D30115" s="28"/>
      <c r="F30115" s="28"/>
      <c r="H30115" s="28"/>
    </row>
    <row r="30116" spans="4:8" x14ac:dyDescent="0.25">
      <c r="D30116" s="28"/>
      <c r="F30116" s="28"/>
      <c r="H30116" s="28"/>
    </row>
    <row r="30117" spans="4:8" x14ac:dyDescent="0.25">
      <c r="D30117" s="28"/>
      <c r="F30117" s="28"/>
      <c r="H30117" s="28"/>
    </row>
    <row r="30118" spans="4:8" x14ac:dyDescent="0.25">
      <c r="D30118" s="28"/>
      <c r="F30118" s="28"/>
      <c r="H30118" s="28"/>
    </row>
    <row r="30119" spans="4:8" x14ac:dyDescent="0.25">
      <c r="D30119" s="28"/>
      <c r="F30119" s="28"/>
      <c r="H30119" s="28"/>
    </row>
    <row r="30120" spans="4:8" x14ac:dyDescent="0.25">
      <c r="D30120" s="28"/>
      <c r="F30120" s="28"/>
      <c r="H30120" s="28"/>
    </row>
    <row r="30121" spans="4:8" x14ac:dyDescent="0.25">
      <c r="D30121" s="28"/>
      <c r="F30121" s="28"/>
      <c r="H30121" s="28"/>
    </row>
    <row r="30122" spans="4:8" x14ac:dyDescent="0.25">
      <c r="D30122" s="28"/>
      <c r="F30122" s="28"/>
      <c r="H30122" s="28"/>
    </row>
    <row r="30123" spans="4:8" x14ac:dyDescent="0.25">
      <c r="D30123" s="28"/>
      <c r="F30123" s="28"/>
      <c r="H30123" s="28"/>
    </row>
    <row r="30124" spans="4:8" x14ac:dyDescent="0.25">
      <c r="D30124" s="28"/>
      <c r="F30124" s="28"/>
      <c r="H30124" s="28"/>
    </row>
    <row r="30125" spans="4:8" x14ac:dyDescent="0.25">
      <c r="D30125" s="28"/>
      <c r="F30125" s="28"/>
      <c r="H30125" s="28"/>
    </row>
    <row r="30126" spans="4:8" x14ac:dyDescent="0.25">
      <c r="D30126" s="28"/>
      <c r="F30126" s="28"/>
      <c r="H30126" s="28"/>
    </row>
    <row r="30127" spans="4:8" x14ac:dyDescent="0.25">
      <c r="D30127" s="28"/>
      <c r="F30127" s="28"/>
      <c r="H30127" s="28"/>
    </row>
    <row r="30128" spans="4:8" x14ac:dyDescent="0.25">
      <c r="D30128" s="28"/>
      <c r="F30128" s="28"/>
      <c r="H30128" s="28"/>
    </row>
    <row r="30129" spans="4:8" x14ac:dyDescent="0.25">
      <c r="D30129" s="28"/>
      <c r="F30129" s="28"/>
      <c r="H30129" s="28"/>
    </row>
    <row r="30130" spans="4:8" x14ac:dyDescent="0.25">
      <c r="D30130" s="28"/>
      <c r="F30130" s="28"/>
      <c r="H30130" s="28"/>
    </row>
    <row r="30131" spans="4:8" x14ac:dyDescent="0.25">
      <c r="D30131" s="28"/>
      <c r="F30131" s="28"/>
      <c r="H30131" s="28"/>
    </row>
    <row r="30132" spans="4:8" x14ac:dyDescent="0.25">
      <c r="D30132" s="28"/>
      <c r="F30132" s="28"/>
      <c r="H30132" s="28"/>
    </row>
    <row r="30133" spans="4:8" x14ac:dyDescent="0.25">
      <c r="D30133" s="28"/>
      <c r="F30133" s="28"/>
      <c r="H30133" s="28"/>
    </row>
    <row r="30134" spans="4:8" x14ac:dyDescent="0.25">
      <c r="D30134" s="28"/>
      <c r="F30134" s="28"/>
      <c r="H30134" s="28"/>
    </row>
    <row r="30135" spans="4:8" x14ac:dyDescent="0.25">
      <c r="D30135" s="28"/>
      <c r="F30135" s="28"/>
      <c r="H30135" s="28"/>
    </row>
    <row r="30136" spans="4:8" x14ac:dyDescent="0.25">
      <c r="D30136" s="28"/>
      <c r="F30136" s="28"/>
      <c r="H30136" s="28"/>
    </row>
    <row r="30137" spans="4:8" x14ac:dyDescent="0.25">
      <c r="D30137" s="28"/>
      <c r="F30137" s="28"/>
      <c r="H30137" s="28"/>
    </row>
    <row r="30138" spans="4:8" x14ac:dyDescent="0.25">
      <c r="D30138" s="28"/>
      <c r="F30138" s="28"/>
      <c r="H30138" s="28"/>
    </row>
    <row r="30139" spans="4:8" x14ac:dyDescent="0.25">
      <c r="D30139" s="28"/>
      <c r="F30139" s="28"/>
      <c r="H30139" s="28"/>
    </row>
    <row r="30140" spans="4:8" x14ac:dyDescent="0.25">
      <c r="D30140" s="28"/>
      <c r="F30140" s="28"/>
      <c r="H30140" s="28"/>
    </row>
    <row r="30141" spans="4:8" x14ac:dyDescent="0.25">
      <c r="D30141" s="28"/>
      <c r="F30141" s="28"/>
      <c r="H30141" s="28"/>
    </row>
    <row r="30142" spans="4:8" x14ac:dyDescent="0.25">
      <c r="D30142" s="28"/>
      <c r="F30142" s="28"/>
      <c r="H30142" s="28"/>
    </row>
    <row r="30143" spans="4:8" x14ac:dyDescent="0.25">
      <c r="D30143" s="28"/>
      <c r="F30143" s="28"/>
      <c r="H30143" s="28"/>
    </row>
    <row r="30144" spans="4:8" x14ac:dyDescent="0.25">
      <c r="D30144" s="28"/>
      <c r="F30144" s="28"/>
      <c r="H30144" s="28"/>
    </row>
    <row r="30145" spans="4:8" x14ac:dyDescent="0.25">
      <c r="D30145" s="28"/>
      <c r="F30145" s="28"/>
      <c r="H30145" s="28"/>
    </row>
    <row r="30146" spans="4:8" x14ac:dyDescent="0.25">
      <c r="D30146" s="28"/>
      <c r="F30146" s="28"/>
      <c r="H30146" s="28"/>
    </row>
    <row r="30147" spans="4:8" x14ac:dyDescent="0.25">
      <c r="D30147" s="28"/>
      <c r="F30147" s="28"/>
      <c r="H30147" s="28"/>
    </row>
    <row r="30148" spans="4:8" x14ac:dyDescent="0.25">
      <c r="D30148" s="28"/>
      <c r="F30148" s="28"/>
      <c r="H30148" s="28"/>
    </row>
    <row r="30149" spans="4:8" x14ac:dyDescent="0.25">
      <c r="D30149" s="28"/>
      <c r="F30149" s="28"/>
      <c r="H30149" s="28"/>
    </row>
    <row r="30150" spans="4:8" x14ac:dyDescent="0.25">
      <c r="D30150" s="28"/>
      <c r="F30150" s="28"/>
      <c r="H30150" s="28"/>
    </row>
    <row r="30151" spans="4:8" x14ac:dyDescent="0.25">
      <c r="D30151" s="28"/>
      <c r="F30151" s="28"/>
      <c r="H30151" s="28"/>
    </row>
    <row r="30152" spans="4:8" x14ac:dyDescent="0.25">
      <c r="D30152" s="28"/>
      <c r="F30152" s="28"/>
      <c r="H30152" s="28"/>
    </row>
    <row r="30153" spans="4:8" x14ac:dyDescent="0.25">
      <c r="D30153" s="28"/>
      <c r="F30153" s="28"/>
      <c r="H30153" s="28"/>
    </row>
    <row r="30154" spans="4:8" x14ac:dyDescent="0.25">
      <c r="D30154" s="28"/>
      <c r="F30154" s="28"/>
      <c r="H30154" s="28"/>
    </row>
    <row r="30155" spans="4:8" x14ac:dyDescent="0.25">
      <c r="D30155" s="28"/>
      <c r="F30155" s="28"/>
      <c r="H30155" s="28"/>
    </row>
    <row r="30156" spans="4:8" x14ac:dyDescent="0.25">
      <c r="D30156" s="28"/>
      <c r="F30156" s="28"/>
      <c r="H30156" s="28"/>
    </row>
    <row r="30157" spans="4:8" x14ac:dyDescent="0.25">
      <c r="D30157" s="28"/>
      <c r="F30157" s="28"/>
      <c r="H30157" s="28"/>
    </row>
    <row r="30158" spans="4:8" x14ac:dyDescent="0.25">
      <c r="D30158" s="28"/>
      <c r="F30158" s="28"/>
      <c r="H30158" s="28"/>
    </row>
    <row r="30159" spans="4:8" x14ac:dyDescent="0.25">
      <c r="D30159" s="28"/>
      <c r="F30159" s="28"/>
      <c r="H30159" s="28"/>
    </row>
    <row r="30160" spans="4:8" x14ac:dyDescent="0.25">
      <c r="D30160" s="28"/>
      <c r="F30160" s="28"/>
      <c r="H30160" s="28"/>
    </row>
    <row r="30161" spans="4:8" x14ac:dyDescent="0.25">
      <c r="D30161" s="28"/>
      <c r="F30161" s="28"/>
      <c r="H30161" s="28"/>
    </row>
    <row r="30162" spans="4:8" x14ac:dyDescent="0.25">
      <c r="D30162" s="28"/>
      <c r="F30162" s="28"/>
      <c r="H30162" s="28"/>
    </row>
    <row r="30163" spans="4:8" x14ac:dyDescent="0.25">
      <c r="D30163" s="28"/>
      <c r="F30163" s="28"/>
      <c r="H30163" s="28"/>
    </row>
    <row r="30164" spans="4:8" x14ac:dyDescent="0.25">
      <c r="D30164" s="28"/>
      <c r="F30164" s="28"/>
      <c r="H30164" s="28"/>
    </row>
    <row r="30165" spans="4:8" x14ac:dyDescent="0.25">
      <c r="D30165" s="28"/>
      <c r="F30165" s="28"/>
      <c r="H30165" s="28"/>
    </row>
    <row r="30166" spans="4:8" x14ac:dyDescent="0.25">
      <c r="D30166" s="28"/>
      <c r="F30166" s="28"/>
      <c r="H30166" s="28"/>
    </row>
    <row r="30167" spans="4:8" x14ac:dyDescent="0.25">
      <c r="D30167" s="28"/>
      <c r="F30167" s="28"/>
      <c r="H30167" s="28"/>
    </row>
    <row r="30168" spans="4:8" x14ac:dyDescent="0.25">
      <c r="D30168" s="28"/>
      <c r="F30168" s="28"/>
      <c r="H30168" s="28"/>
    </row>
    <row r="30169" spans="4:8" x14ac:dyDescent="0.25">
      <c r="D30169" s="28"/>
      <c r="F30169" s="28"/>
      <c r="H30169" s="28"/>
    </row>
    <row r="30170" spans="4:8" x14ac:dyDescent="0.25">
      <c r="D30170" s="28"/>
      <c r="F30170" s="28"/>
      <c r="H30170" s="28"/>
    </row>
    <row r="30171" spans="4:8" x14ac:dyDescent="0.25">
      <c r="D30171" s="28"/>
      <c r="F30171" s="28"/>
      <c r="H30171" s="28"/>
    </row>
    <row r="30172" spans="4:8" x14ac:dyDescent="0.25">
      <c r="D30172" s="28"/>
      <c r="F30172" s="28"/>
      <c r="H30172" s="28"/>
    </row>
    <row r="30173" spans="4:8" x14ac:dyDescent="0.25">
      <c r="D30173" s="28"/>
      <c r="F30173" s="28"/>
      <c r="H30173" s="28"/>
    </row>
    <row r="30174" spans="4:8" x14ac:dyDescent="0.25">
      <c r="D30174" s="28"/>
      <c r="F30174" s="28"/>
      <c r="H30174" s="28"/>
    </row>
    <row r="30175" spans="4:8" x14ac:dyDescent="0.25">
      <c r="D30175" s="28"/>
      <c r="F30175" s="28"/>
      <c r="H30175" s="28"/>
    </row>
    <row r="30176" spans="4:8" x14ac:dyDescent="0.25">
      <c r="D30176" s="28"/>
      <c r="F30176" s="28"/>
      <c r="H30176" s="28"/>
    </row>
    <row r="30177" spans="4:8" x14ac:dyDescent="0.25">
      <c r="D30177" s="28"/>
      <c r="F30177" s="28"/>
      <c r="H30177" s="28"/>
    </row>
    <row r="30178" spans="4:8" x14ac:dyDescent="0.25">
      <c r="D30178" s="28"/>
      <c r="F30178" s="28"/>
      <c r="H30178" s="28"/>
    </row>
    <row r="30179" spans="4:8" x14ac:dyDescent="0.25">
      <c r="D30179" s="28"/>
      <c r="F30179" s="28"/>
      <c r="H30179" s="28"/>
    </row>
    <row r="30180" spans="4:8" x14ac:dyDescent="0.25">
      <c r="D30180" s="28"/>
      <c r="F30180" s="28"/>
      <c r="H30180" s="28"/>
    </row>
    <row r="30181" spans="4:8" x14ac:dyDescent="0.25">
      <c r="D30181" s="28"/>
      <c r="F30181" s="28"/>
      <c r="H30181" s="28"/>
    </row>
    <row r="30182" spans="4:8" x14ac:dyDescent="0.25">
      <c r="D30182" s="28"/>
      <c r="F30182" s="28"/>
      <c r="H30182" s="28"/>
    </row>
    <row r="30183" spans="4:8" x14ac:dyDescent="0.25">
      <c r="D30183" s="28"/>
      <c r="F30183" s="28"/>
      <c r="H30183" s="28"/>
    </row>
    <row r="30184" spans="4:8" x14ac:dyDescent="0.25">
      <c r="D30184" s="28"/>
      <c r="F30184" s="28"/>
      <c r="H30184" s="28"/>
    </row>
    <row r="30185" spans="4:8" x14ac:dyDescent="0.25">
      <c r="D30185" s="28"/>
      <c r="F30185" s="28"/>
      <c r="H30185" s="28"/>
    </row>
    <row r="30186" spans="4:8" x14ac:dyDescent="0.25">
      <c r="D30186" s="28"/>
      <c r="F30186" s="28"/>
      <c r="H30186" s="28"/>
    </row>
    <row r="30187" spans="4:8" x14ac:dyDescent="0.25">
      <c r="D30187" s="28"/>
      <c r="F30187" s="28"/>
      <c r="H30187" s="28"/>
    </row>
    <row r="30188" spans="4:8" x14ac:dyDescent="0.25">
      <c r="D30188" s="28"/>
      <c r="F30188" s="28"/>
      <c r="H30188" s="28"/>
    </row>
    <row r="30189" spans="4:8" x14ac:dyDescent="0.25">
      <c r="D30189" s="28"/>
      <c r="F30189" s="28"/>
      <c r="H30189" s="28"/>
    </row>
    <row r="30190" spans="4:8" x14ac:dyDescent="0.25">
      <c r="D30190" s="28"/>
      <c r="F30190" s="28"/>
      <c r="H30190" s="28"/>
    </row>
    <row r="30191" spans="4:8" x14ac:dyDescent="0.25">
      <c r="D30191" s="28"/>
      <c r="F30191" s="28"/>
      <c r="H30191" s="28"/>
    </row>
    <row r="30192" spans="4:8" x14ac:dyDescent="0.25">
      <c r="D30192" s="28"/>
      <c r="F30192" s="28"/>
      <c r="H30192" s="28"/>
    </row>
    <row r="30193" spans="4:8" x14ac:dyDescent="0.25">
      <c r="D30193" s="28"/>
      <c r="F30193" s="28"/>
      <c r="H30193" s="28"/>
    </row>
    <row r="30194" spans="4:8" x14ac:dyDescent="0.25">
      <c r="D30194" s="28"/>
      <c r="F30194" s="28"/>
      <c r="H30194" s="28"/>
    </row>
    <row r="30195" spans="4:8" x14ac:dyDescent="0.25">
      <c r="D30195" s="28"/>
      <c r="F30195" s="28"/>
      <c r="H30195" s="28"/>
    </row>
    <row r="30196" spans="4:8" x14ac:dyDescent="0.25">
      <c r="D30196" s="28"/>
      <c r="F30196" s="28"/>
      <c r="H30196" s="28"/>
    </row>
    <row r="30197" spans="4:8" x14ac:dyDescent="0.25">
      <c r="D30197" s="28"/>
      <c r="F30197" s="28"/>
      <c r="H30197" s="28"/>
    </row>
    <row r="30198" spans="4:8" x14ac:dyDescent="0.25">
      <c r="D30198" s="28"/>
      <c r="F30198" s="28"/>
      <c r="H30198" s="28"/>
    </row>
    <row r="30199" spans="4:8" x14ac:dyDescent="0.25">
      <c r="D30199" s="28"/>
      <c r="F30199" s="28"/>
      <c r="H30199" s="28"/>
    </row>
    <row r="30200" spans="4:8" x14ac:dyDescent="0.25">
      <c r="D30200" s="28"/>
      <c r="F30200" s="28"/>
      <c r="H30200" s="28"/>
    </row>
    <row r="30201" spans="4:8" x14ac:dyDescent="0.25">
      <c r="D30201" s="28"/>
      <c r="F30201" s="28"/>
      <c r="H30201" s="28"/>
    </row>
    <row r="30202" spans="4:8" x14ac:dyDescent="0.25">
      <c r="D30202" s="28"/>
      <c r="F30202" s="28"/>
      <c r="H30202" s="28"/>
    </row>
    <row r="30203" spans="4:8" x14ac:dyDescent="0.25">
      <c r="D30203" s="28"/>
      <c r="F30203" s="28"/>
      <c r="H30203" s="28"/>
    </row>
    <row r="30204" spans="4:8" x14ac:dyDescent="0.25">
      <c r="D30204" s="28"/>
      <c r="F30204" s="28"/>
      <c r="H30204" s="28"/>
    </row>
    <row r="30205" spans="4:8" x14ac:dyDescent="0.25">
      <c r="D30205" s="28"/>
      <c r="F30205" s="28"/>
      <c r="H30205" s="28"/>
    </row>
    <row r="30206" spans="4:8" x14ac:dyDescent="0.25">
      <c r="D30206" s="28"/>
      <c r="F30206" s="28"/>
      <c r="H30206" s="28"/>
    </row>
    <row r="30207" spans="4:8" x14ac:dyDescent="0.25">
      <c r="D30207" s="28"/>
      <c r="F30207" s="28"/>
      <c r="H30207" s="28"/>
    </row>
    <row r="30208" spans="4:8" x14ac:dyDescent="0.25">
      <c r="D30208" s="28"/>
      <c r="F30208" s="28"/>
      <c r="H30208" s="28"/>
    </row>
    <row r="30209" spans="4:8" x14ac:dyDescent="0.25">
      <c r="D30209" s="28"/>
      <c r="F30209" s="28"/>
      <c r="H30209" s="28"/>
    </row>
    <row r="30210" spans="4:8" x14ac:dyDescent="0.25">
      <c r="D30210" s="28"/>
      <c r="F30210" s="28"/>
      <c r="H30210" s="28"/>
    </row>
    <row r="30211" spans="4:8" x14ac:dyDescent="0.25">
      <c r="D30211" s="28"/>
      <c r="F30211" s="28"/>
      <c r="H30211" s="28"/>
    </row>
    <row r="30212" spans="4:8" x14ac:dyDescent="0.25">
      <c r="D30212" s="28"/>
      <c r="F30212" s="28"/>
      <c r="H30212" s="28"/>
    </row>
    <row r="30213" spans="4:8" x14ac:dyDescent="0.25">
      <c r="D30213" s="28"/>
      <c r="F30213" s="28"/>
      <c r="H30213" s="28"/>
    </row>
    <row r="30214" spans="4:8" x14ac:dyDescent="0.25">
      <c r="D30214" s="28"/>
      <c r="F30214" s="28"/>
      <c r="H30214" s="28"/>
    </row>
    <row r="30215" spans="4:8" x14ac:dyDescent="0.25">
      <c r="D30215" s="28"/>
      <c r="F30215" s="28"/>
      <c r="H30215" s="28"/>
    </row>
    <row r="30216" spans="4:8" x14ac:dyDescent="0.25">
      <c r="D30216" s="28"/>
      <c r="F30216" s="28"/>
      <c r="H30216" s="28"/>
    </row>
    <row r="30217" spans="4:8" x14ac:dyDescent="0.25">
      <c r="D30217" s="28"/>
      <c r="F30217" s="28"/>
      <c r="H30217" s="28"/>
    </row>
    <row r="30218" spans="4:8" x14ac:dyDescent="0.25">
      <c r="D30218" s="28"/>
      <c r="F30218" s="28"/>
      <c r="H30218" s="28"/>
    </row>
    <row r="30219" spans="4:8" x14ac:dyDescent="0.25">
      <c r="D30219" s="28"/>
      <c r="F30219" s="28"/>
      <c r="H30219" s="28"/>
    </row>
    <row r="30220" spans="4:8" x14ac:dyDescent="0.25">
      <c r="D30220" s="28"/>
      <c r="F30220" s="28"/>
      <c r="H30220" s="28"/>
    </row>
    <row r="30221" spans="4:8" x14ac:dyDescent="0.25">
      <c r="D30221" s="28"/>
      <c r="F30221" s="28"/>
      <c r="H30221" s="28"/>
    </row>
    <row r="30222" spans="4:8" x14ac:dyDescent="0.25">
      <c r="D30222" s="28"/>
      <c r="F30222" s="28"/>
      <c r="H30222" s="28"/>
    </row>
    <row r="30223" spans="4:8" x14ac:dyDescent="0.25">
      <c r="D30223" s="28"/>
      <c r="F30223" s="28"/>
      <c r="H30223" s="28"/>
    </row>
    <row r="30224" spans="4:8" x14ac:dyDescent="0.25">
      <c r="D30224" s="28"/>
      <c r="F30224" s="28"/>
      <c r="H30224" s="28"/>
    </row>
    <row r="30225" spans="4:8" x14ac:dyDescent="0.25">
      <c r="D30225" s="28"/>
      <c r="F30225" s="28"/>
      <c r="H30225" s="28"/>
    </row>
    <row r="30226" spans="4:8" x14ac:dyDescent="0.25">
      <c r="D30226" s="28"/>
      <c r="F30226" s="28"/>
      <c r="H30226" s="28"/>
    </row>
    <row r="30227" spans="4:8" x14ac:dyDescent="0.25">
      <c r="D30227" s="28"/>
      <c r="F30227" s="28"/>
      <c r="H30227" s="28"/>
    </row>
    <row r="30228" spans="4:8" x14ac:dyDescent="0.25">
      <c r="D30228" s="28"/>
      <c r="F30228" s="28"/>
      <c r="H30228" s="28"/>
    </row>
    <row r="30229" spans="4:8" x14ac:dyDescent="0.25">
      <c r="D30229" s="28"/>
      <c r="F30229" s="28"/>
      <c r="H30229" s="28"/>
    </row>
    <row r="30230" spans="4:8" x14ac:dyDescent="0.25">
      <c r="D30230" s="28"/>
      <c r="F30230" s="28"/>
      <c r="H30230" s="28"/>
    </row>
    <row r="30231" spans="4:8" x14ac:dyDescent="0.25">
      <c r="D30231" s="28"/>
      <c r="F30231" s="28"/>
      <c r="H30231" s="28"/>
    </row>
    <row r="30232" spans="4:8" x14ac:dyDescent="0.25">
      <c r="D30232" s="28"/>
      <c r="F30232" s="28"/>
      <c r="H30232" s="28"/>
    </row>
    <row r="30233" spans="4:8" x14ac:dyDescent="0.25">
      <c r="D30233" s="28"/>
      <c r="F30233" s="28"/>
      <c r="H30233" s="28"/>
    </row>
    <row r="30234" spans="4:8" x14ac:dyDescent="0.25">
      <c r="D30234" s="28"/>
      <c r="F30234" s="28"/>
      <c r="H30234" s="28"/>
    </row>
    <row r="30235" spans="4:8" x14ac:dyDescent="0.25">
      <c r="D30235" s="28"/>
      <c r="F30235" s="28"/>
      <c r="H30235" s="28"/>
    </row>
    <row r="30236" spans="4:8" x14ac:dyDescent="0.25">
      <c r="D30236" s="28"/>
      <c r="F30236" s="28"/>
      <c r="H30236" s="28"/>
    </row>
    <row r="30237" spans="4:8" x14ac:dyDescent="0.25">
      <c r="D30237" s="28"/>
      <c r="F30237" s="28"/>
      <c r="H30237" s="28"/>
    </row>
    <row r="30238" spans="4:8" x14ac:dyDescent="0.25">
      <c r="D30238" s="28"/>
      <c r="F30238" s="28"/>
      <c r="H30238" s="28"/>
    </row>
    <row r="30239" spans="4:8" x14ac:dyDescent="0.25">
      <c r="D30239" s="28"/>
      <c r="F30239" s="28"/>
      <c r="H30239" s="28"/>
    </row>
    <row r="30240" spans="4:8" x14ac:dyDescent="0.25">
      <c r="D30240" s="28"/>
      <c r="F30240" s="28"/>
      <c r="H30240" s="28"/>
    </row>
    <row r="30241" spans="4:8" x14ac:dyDescent="0.25">
      <c r="D30241" s="28"/>
      <c r="F30241" s="28"/>
      <c r="H30241" s="28"/>
    </row>
    <row r="30242" spans="4:8" x14ac:dyDescent="0.25">
      <c r="D30242" s="28"/>
      <c r="F30242" s="28"/>
      <c r="H30242" s="28"/>
    </row>
    <row r="30243" spans="4:8" x14ac:dyDescent="0.25">
      <c r="D30243" s="28"/>
      <c r="F30243" s="28"/>
      <c r="H30243" s="28"/>
    </row>
    <row r="30244" spans="4:8" x14ac:dyDescent="0.25">
      <c r="D30244" s="28"/>
      <c r="F30244" s="28"/>
      <c r="H30244" s="28"/>
    </row>
    <row r="30245" spans="4:8" x14ac:dyDescent="0.25">
      <c r="D30245" s="28"/>
      <c r="F30245" s="28"/>
      <c r="H30245" s="28"/>
    </row>
    <row r="30246" spans="4:8" x14ac:dyDescent="0.25">
      <c r="D30246" s="28"/>
      <c r="F30246" s="28"/>
      <c r="H30246" s="28"/>
    </row>
    <row r="30247" spans="4:8" x14ac:dyDescent="0.25">
      <c r="D30247" s="28"/>
      <c r="F30247" s="28"/>
      <c r="H30247" s="28"/>
    </row>
    <row r="30248" spans="4:8" x14ac:dyDescent="0.25">
      <c r="D30248" s="28"/>
      <c r="F30248" s="28"/>
      <c r="H30248" s="28"/>
    </row>
    <row r="30249" spans="4:8" x14ac:dyDescent="0.25">
      <c r="D30249" s="28"/>
      <c r="F30249" s="28"/>
      <c r="H30249" s="28"/>
    </row>
    <row r="30250" spans="4:8" x14ac:dyDescent="0.25">
      <c r="D30250" s="28"/>
      <c r="F30250" s="28"/>
      <c r="H30250" s="28"/>
    </row>
    <row r="30251" spans="4:8" x14ac:dyDescent="0.25">
      <c r="D30251" s="28"/>
      <c r="F30251" s="28"/>
      <c r="H30251" s="28"/>
    </row>
    <row r="30252" spans="4:8" x14ac:dyDescent="0.25">
      <c r="D30252" s="28"/>
      <c r="F30252" s="28"/>
      <c r="H30252" s="28"/>
    </row>
    <row r="30253" spans="4:8" x14ac:dyDescent="0.25">
      <c r="D30253" s="28"/>
      <c r="F30253" s="28"/>
      <c r="H30253" s="28"/>
    </row>
    <row r="30254" spans="4:8" x14ac:dyDescent="0.25">
      <c r="D30254" s="28"/>
      <c r="F30254" s="28"/>
      <c r="H30254" s="28"/>
    </row>
    <row r="30255" spans="4:8" x14ac:dyDescent="0.25">
      <c r="D30255" s="28"/>
      <c r="F30255" s="28"/>
      <c r="H30255" s="28"/>
    </row>
    <row r="30256" spans="4:8" x14ac:dyDescent="0.25">
      <c r="D30256" s="28"/>
      <c r="F30256" s="28"/>
      <c r="H30256" s="28"/>
    </row>
    <row r="30257" spans="4:8" x14ac:dyDescent="0.25">
      <c r="D30257" s="28"/>
      <c r="F30257" s="28"/>
      <c r="H30257" s="28"/>
    </row>
    <row r="30258" spans="4:8" x14ac:dyDescent="0.25">
      <c r="D30258" s="28"/>
      <c r="F30258" s="28"/>
      <c r="H30258" s="28"/>
    </row>
    <row r="30259" spans="4:8" x14ac:dyDescent="0.25">
      <c r="D30259" s="28"/>
      <c r="F30259" s="28"/>
      <c r="H30259" s="28"/>
    </row>
    <row r="30260" spans="4:8" x14ac:dyDescent="0.25">
      <c r="D30260" s="28"/>
      <c r="F30260" s="28"/>
      <c r="H30260" s="28"/>
    </row>
    <row r="30261" spans="4:8" x14ac:dyDescent="0.25">
      <c r="D30261" s="28"/>
      <c r="F30261" s="28"/>
      <c r="H30261" s="28"/>
    </row>
    <row r="30262" spans="4:8" x14ac:dyDescent="0.25">
      <c r="D30262" s="28"/>
      <c r="F30262" s="28"/>
      <c r="H30262" s="28"/>
    </row>
    <row r="30263" spans="4:8" x14ac:dyDescent="0.25">
      <c r="D30263" s="28"/>
      <c r="F30263" s="28"/>
      <c r="H30263" s="28"/>
    </row>
    <row r="30264" spans="4:8" x14ac:dyDescent="0.25">
      <c r="D30264" s="28"/>
      <c r="F30264" s="28"/>
      <c r="H30264" s="28"/>
    </row>
    <row r="30265" spans="4:8" x14ac:dyDescent="0.25">
      <c r="D30265" s="28"/>
      <c r="F30265" s="28"/>
      <c r="H30265" s="28"/>
    </row>
    <row r="30266" spans="4:8" x14ac:dyDescent="0.25">
      <c r="D30266" s="28"/>
      <c r="F30266" s="28"/>
      <c r="H30266" s="28"/>
    </row>
    <row r="30267" spans="4:8" x14ac:dyDescent="0.25">
      <c r="D30267" s="28"/>
      <c r="F30267" s="28"/>
      <c r="H30267" s="28"/>
    </row>
    <row r="30268" spans="4:8" x14ac:dyDescent="0.25">
      <c r="D30268" s="28"/>
      <c r="F30268" s="28"/>
      <c r="H30268" s="28"/>
    </row>
    <row r="30269" spans="4:8" x14ac:dyDescent="0.25">
      <c r="D30269" s="28"/>
      <c r="F30269" s="28"/>
      <c r="H30269" s="28"/>
    </row>
    <row r="30270" spans="4:8" x14ac:dyDescent="0.25">
      <c r="D30270" s="28"/>
      <c r="F30270" s="28"/>
      <c r="H30270" s="28"/>
    </row>
    <row r="30271" spans="4:8" x14ac:dyDescent="0.25">
      <c r="D30271" s="28"/>
      <c r="F30271" s="28"/>
      <c r="H30271" s="28"/>
    </row>
    <row r="30272" spans="4:8" x14ac:dyDescent="0.25">
      <c r="D30272" s="28"/>
      <c r="F30272" s="28"/>
      <c r="H30272" s="28"/>
    </row>
    <row r="30273" spans="4:8" x14ac:dyDescent="0.25">
      <c r="D30273" s="28"/>
      <c r="F30273" s="28"/>
      <c r="H30273" s="28"/>
    </row>
    <row r="30274" spans="4:8" x14ac:dyDescent="0.25">
      <c r="D30274" s="28"/>
      <c r="F30274" s="28"/>
      <c r="H30274" s="28"/>
    </row>
    <row r="30275" spans="4:8" x14ac:dyDescent="0.25">
      <c r="D30275" s="28"/>
      <c r="F30275" s="28"/>
      <c r="H30275" s="28"/>
    </row>
    <row r="30276" spans="4:8" x14ac:dyDescent="0.25">
      <c r="D30276" s="28"/>
      <c r="F30276" s="28"/>
      <c r="H30276" s="28"/>
    </row>
    <row r="30277" spans="4:8" x14ac:dyDescent="0.25">
      <c r="D30277" s="28"/>
      <c r="F30277" s="28"/>
      <c r="H30277" s="28"/>
    </row>
    <row r="30278" spans="4:8" x14ac:dyDescent="0.25">
      <c r="D30278" s="28"/>
      <c r="F30278" s="28"/>
      <c r="H30278" s="28"/>
    </row>
    <row r="30279" spans="4:8" x14ac:dyDescent="0.25">
      <c r="D30279" s="28"/>
      <c r="F30279" s="28"/>
      <c r="H30279" s="28"/>
    </row>
    <row r="30280" spans="4:8" x14ac:dyDescent="0.25">
      <c r="D30280" s="28"/>
      <c r="F30280" s="28"/>
      <c r="H30280" s="28"/>
    </row>
    <row r="30281" spans="4:8" x14ac:dyDescent="0.25">
      <c r="D30281" s="28"/>
      <c r="F30281" s="28"/>
      <c r="H30281" s="28"/>
    </row>
    <row r="30282" spans="4:8" x14ac:dyDescent="0.25">
      <c r="D30282" s="28"/>
      <c r="F30282" s="28"/>
      <c r="H30282" s="28"/>
    </row>
    <row r="30283" spans="4:8" x14ac:dyDescent="0.25">
      <c r="D30283" s="28"/>
      <c r="F30283" s="28"/>
      <c r="H30283" s="28"/>
    </row>
    <row r="30284" spans="4:8" x14ac:dyDescent="0.25">
      <c r="D30284" s="28"/>
      <c r="F30284" s="28"/>
      <c r="H30284" s="28"/>
    </row>
    <row r="30285" spans="4:8" x14ac:dyDescent="0.25">
      <c r="D30285" s="28"/>
      <c r="F30285" s="28"/>
      <c r="H30285" s="28"/>
    </row>
    <row r="30286" spans="4:8" x14ac:dyDescent="0.25">
      <c r="D30286" s="28"/>
      <c r="F30286" s="28"/>
      <c r="H30286" s="28"/>
    </row>
    <row r="30287" spans="4:8" x14ac:dyDescent="0.25">
      <c r="D30287" s="28"/>
      <c r="F30287" s="28"/>
      <c r="H30287" s="28"/>
    </row>
    <row r="30288" spans="4:8" x14ac:dyDescent="0.25">
      <c r="D30288" s="28"/>
      <c r="F30288" s="28"/>
      <c r="H30288" s="28"/>
    </row>
    <row r="30289" spans="4:8" x14ac:dyDescent="0.25">
      <c r="D30289" s="28"/>
      <c r="F30289" s="28"/>
      <c r="H30289" s="28"/>
    </row>
    <row r="30290" spans="4:8" x14ac:dyDescent="0.25">
      <c r="D30290" s="28"/>
      <c r="F30290" s="28"/>
      <c r="H30290" s="28"/>
    </row>
    <row r="30291" spans="4:8" x14ac:dyDescent="0.25">
      <c r="D30291" s="28"/>
      <c r="F30291" s="28"/>
      <c r="H30291" s="28"/>
    </row>
    <row r="30292" spans="4:8" x14ac:dyDescent="0.25">
      <c r="D30292" s="28"/>
      <c r="F30292" s="28"/>
      <c r="H30292" s="28"/>
    </row>
    <row r="30293" spans="4:8" x14ac:dyDescent="0.25">
      <c r="D30293" s="28"/>
      <c r="F30293" s="28"/>
      <c r="H30293" s="28"/>
    </row>
    <row r="30294" spans="4:8" x14ac:dyDescent="0.25">
      <c r="D30294" s="28"/>
      <c r="F30294" s="28"/>
      <c r="H30294" s="28"/>
    </row>
    <row r="30295" spans="4:8" x14ac:dyDescent="0.25">
      <c r="D30295" s="28"/>
      <c r="F30295" s="28"/>
      <c r="H30295" s="28"/>
    </row>
    <row r="30296" spans="4:8" x14ac:dyDescent="0.25">
      <c r="D30296" s="28"/>
      <c r="F30296" s="28"/>
      <c r="H30296" s="28"/>
    </row>
    <row r="30297" spans="4:8" x14ac:dyDescent="0.25">
      <c r="D30297" s="28"/>
      <c r="F30297" s="28"/>
      <c r="H30297" s="28"/>
    </row>
    <row r="30298" spans="4:8" x14ac:dyDescent="0.25">
      <c r="D30298" s="28"/>
      <c r="F30298" s="28"/>
      <c r="H30298" s="28"/>
    </row>
    <row r="30299" spans="4:8" x14ac:dyDescent="0.25">
      <c r="D30299" s="28"/>
      <c r="F30299" s="28"/>
      <c r="H30299" s="28"/>
    </row>
    <row r="30300" spans="4:8" x14ac:dyDescent="0.25">
      <c r="D30300" s="28"/>
      <c r="F30300" s="28"/>
      <c r="H30300" s="28"/>
    </row>
    <row r="30301" spans="4:8" x14ac:dyDescent="0.25">
      <c r="D30301" s="28"/>
      <c r="F30301" s="28"/>
      <c r="H30301" s="28"/>
    </row>
    <row r="30302" spans="4:8" x14ac:dyDescent="0.25">
      <c r="D30302" s="28"/>
      <c r="F30302" s="28"/>
      <c r="H30302" s="28"/>
    </row>
    <row r="30303" spans="4:8" x14ac:dyDescent="0.25">
      <c r="D30303" s="28"/>
      <c r="F30303" s="28"/>
      <c r="H30303" s="28"/>
    </row>
    <row r="30304" spans="4:8" x14ac:dyDescent="0.25">
      <c r="D30304" s="28"/>
      <c r="F30304" s="28"/>
      <c r="H30304" s="28"/>
    </row>
    <row r="30305" spans="4:8" x14ac:dyDescent="0.25">
      <c r="D30305" s="28"/>
      <c r="F30305" s="28"/>
      <c r="H30305" s="28"/>
    </row>
    <row r="30306" spans="4:8" x14ac:dyDescent="0.25">
      <c r="D30306" s="28"/>
      <c r="F30306" s="28"/>
      <c r="H30306" s="28"/>
    </row>
    <row r="30307" spans="4:8" x14ac:dyDescent="0.25">
      <c r="D30307" s="28"/>
      <c r="F30307" s="28"/>
      <c r="H30307" s="28"/>
    </row>
    <row r="30308" spans="4:8" x14ac:dyDescent="0.25">
      <c r="D30308" s="28"/>
      <c r="F30308" s="28"/>
      <c r="H30308" s="28"/>
    </row>
    <row r="30309" spans="4:8" x14ac:dyDescent="0.25">
      <c r="D30309" s="28"/>
      <c r="F30309" s="28"/>
      <c r="H30309" s="28"/>
    </row>
    <row r="30310" spans="4:8" x14ac:dyDescent="0.25">
      <c r="D30310" s="28"/>
      <c r="F30310" s="28"/>
      <c r="H30310" s="28"/>
    </row>
    <row r="30311" spans="4:8" x14ac:dyDescent="0.25">
      <c r="D30311" s="28"/>
      <c r="F30311" s="28"/>
      <c r="H30311" s="28"/>
    </row>
    <row r="30312" spans="4:8" x14ac:dyDescent="0.25">
      <c r="D30312" s="28"/>
      <c r="F30312" s="28"/>
      <c r="H30312" s="28"/>
    </row>
    <row r="30313" spans="4:8" x14ac:dyDescent="0.25">
      <c r="D30313" s="28"/>
      <c r="F30313" s="28"/>
      <c r="H30313" s="28"/>
    </row>
    <row r="30314" spans="4:8" x14ac:dyDescent="0.25">
      <c r="D30314" s="28"/>
      <c r="F30314" s="28"/>
      <c r="H30314" s="28"/>
    </row>
    <row r="30315" spans="4:8" x14ac:dyDescent="0.25">
      <c r="D30315" s="28"/>
      <c r="F30315" s="28"/>
      <c r="H30315" s="28"/>
    </row>
    <row r="30316" spans="4:8" x14ac:dyDescent="0.25">
      <c r="D30316" s="28"/>
      <c r="F30316" s="28"/>
      <c r="H30316" s="28"/>
    </row>
    <row r="30317" spans="4:8" x14ac:dyDescent="0.25">
      <c r="D30317" s="28"/>
      <c r="F30317" s="28"/>
      <c r="H30317" s="28"/>
    </row>
    <row r="30318" spans="4:8" x14ac:dyDescent="0.25">
      <c r="D30318" s="28"/>
      <c r="F30318" s="28"/>
      <c r="H30318" s="28"/>
    </row>
    <row r="30319" spans="4:8" x14ac:dyDescent="0.25">
      <c r="D30319" s="28"/>
      <c r="F30319" s="28"/>
      <c r="H30319" s="28"/>
    </row>
    <row r="30320" spans="4:8" x14ac:dyDescent="0.25">
      <c r="D30320" s="28"/>
      <c r="F30320" s="28"/>
      <c r="H30320" s="28"/>
    </row>
    <row r="30321" spans="4:8" x14ac:dyDescent="0.25">
      <c r="D30321" s="28"/>
      <c r="F30321" s="28"/>
      <c r="H30321" s="28"/>
    </row>
    <row r="30322" spans="4:8" x14ac:dyDescent="0.25">
      <c r="D30322" s="28"/>
      <c r="F30322" s="28"/>
      <c r="H30322" s="28"/>
    </row>
    <row r="30323" spans="4:8" x14ac:dyDescent="0.25">
      <c r="D30323" s="28"/>
      <c r="F30323" s="28"/>
      <c r="H30323" s="28"/>
    </row>
    <row r="30324" spans="4:8" x14ac:dyDescent="0.25">
      <c r="D30324" s="28"/>
      <c r="F30324" s="28"/>
      <c r="H30324" s="28"/>
    </row>
    <row r="30325" spans="4:8" x14ac:dyDescent="0.25">
      <c r="D30325" s="28"/>
      <c r="F30325" s="28"/>
      <c r="H30325" s="28"/>
    </row>
    <row r="30326" spans="4:8" x14ac:dyDescent="0.25">
      <c r="D30326" s="28"/>
      <c r="F30326" s="28"/>
      <c r="H30326" s="28"/>
    </row>
    <row r="30327" spans="4:8" x14ac:dyDescent="0.25">
      <c r="D30327" s="28"/>
      <c r="F30327" s="28"/>
      <c r="H30327" s="28"/>
    </row>
    <row r="30328" spans="4:8" x14ac:dyDescent="0.25">
      <c r="D30328" s="28"/>
      <c r="F30328" s="28"/>
      <c r="H30328" s="28"/>
    </row>
    <row r="30329" spans="4:8" x14ac:dyDescent="0.25">
      <c r="D30329" s="28"/>
      <c r="F30329" s="28"/>
      <c r="H30329" s="28"/>
    </row>
    <row r="30330" spans="4:8" x14ac:dyDescent="0.25">
      <c r="D30330" s="28"/>
      <c r="F30330" s="28"/>
      <c r="H30330" s="28"/>
    </row>
    <row r="30331" spans="4:8" x14ac:dyDescent="0.25">
      <c r="D30331" s="28"/>
      <c r="F30331" s="28"/>
      <c r="H30331" s="28"/>
    </row>
    <row r="30332" spans="4:8" x14ac:dyDescent="0.25">
      <c r="D30332" s="28"/>
      <c r="F30332" s="28"/>
      <c r="H30332" s="28"/>
    </row>
    <row r="30333" spans="4:8" x14ac:dyDescent="0.25">
      <c r="D30333" s="28"/>
      <c r="F30333" s="28"/>
      <c r="H30333" s="28"/>
    </row>
    <row r="30334" spans="4:8" x14ac:dyDescent="0.25">
      <c r="D30334" s="28"/>
      <c r="F30334" s="28"/>
      <c r="H30334" s="28"/>
    </row>
    <row r="30335" spans="4:8" x14ac:dyDescent="0.25">
      <c r="D30335" s="28"/>
      <c r="F30335" s="28"/>
      <c r="H30335" s="28"/>
    </row>
    <row r="30336" spans="4:8" x14ac:dyDescent="0.25">
      <c r="D30336" s="28"/>
      <c r="F30336" s="28"/>
      <c r="H30336" s="28"/>
    </row>
    <row r="30337" spans="4:8" x14ac:dyDescent="0.25">
      <c r="D30337" s="28"/>
      <c r="F30337" s="28"/>
      <c r="H30337" s="28"/>
    </row>
    <row r="30338" spans="4:8" x14ac:dyDescent="0.25">
      <c r="D30338" s="28"/>
      <c r="F30338" s="28"/>
      <c r="H30338" s="28"/>
    </row>
    <row r="30339" spans="4:8" x14ac:dyDescent="0.25">
      <c r="D30339" s="28"/>
      <c r="F30339" s="28"/>
      <c r="H30339" s="28"/>
    </row>
    <row r="30340" spans="4:8" x14ac:dyDescent="0.25">
      <c r="D30340" s="28"/>
      <c r="F30340" s="28"/>
      <c r="H30340" s="28"/>
    </row>
    <row r="30341" spans="4:8" x14ac:dyDescent="0.25">
      <c r="D30341" s="28"/>
      <c r="F30341" s="28"/>
      <c r="H30341" s="28"/>
    </row>
    <row r="30342" spans="4:8" x14ac:dyDescent="0.25">
      <c r="D30342" s="28"/>
      <c r="F30342" s="28"/>
      <c r="H30342" s="28"/>
    </row>
    <row r="30343" spans="4:8" x14ac:dyDescent="0.25">
      <c r="D30343" s="28"/>
      <c r="F30343" s="28"/>
      <c r="H30343" s="28"/>
    </row>
    <row r="30344" spans="4:8" x14ac:dyDescent="0.25">
      <c r="D30344" s="28"/>
      <c r="F30344" s="28"/>
      <c r="H30344" s="28"/>
    </row>
    <row r="30345" spans="4:8" x14ac:dyDescent="0.25">
      <c r="D30345" s="28"/>
      <c r="F30345" s="28"/>
      <c r="H30345" s="28"/>
    </row>
    <row r="30346" spans="4:8" x14ac:dyDescent="0.25">
      <c r="D30346" s="28"/>
      <c r="F30346" s="28"/>
      <c r="H30346" s="28"/>
    </row>
    <row r="30347" spans="4:8" x14ac:dyDescent="0.25">
      <c r="D30347" s="28"/>
      <c r="F30347" s="28"/>
      <c r="H30347" s="28"/>
    </row>
    <row r="30348" spans="4:8" x14ac:dyDescent="0.25">
      <c r="D30348" s="28"/>
      <c r="F30348" s="28"/>
      <c r="H30348" s="28"/>
    </row>
    <row r="30349" spans="4:8" x14ac:dyDescent="0.25">
      <c r="D30349" s="28"/>
      <c r="F30349" s="28"/>
      <c r="H30349" s="28"/>
    </row>
    <row r="30350" spans="4:8" x14ac:dyDescent="0.25">
      <c r="D30350" s="28"/>
      <c r="F30350" s="28"/>
      <c r="H30350" s="28"/>
    </row>
    <row r="30351" spans="4:8" x14ac:dyDescent="0.25">
      <c r="D30351" s="28"/>
      <c r="F30351" s="28"/>
      <c r="H30351" s="28"/>
    </row>
    <row r="30352" spans="4:8" x14ac:dyDescent="0.25">
      <c r="D30352" s="28"/>
      <c r="F30352" s="28"/>
      <c r="H30352" s="28"/>
    </row>
    <row r="30353" spans="4:8" x14ac:dyDescent="0.25">
      <c r="D30353" s="28"/>
      <c r="F30353" s="28"/>
      <c r="H30353" s="28"/>
    </row>
    <row r="30354" spans="4:8" x14ac:dyDescent="0.25">
      <c r="D30354" s="28"/>
      <c r="F30354" s="28"/>
      <c r="H30354" s="28"/>
    </row>
    <row r="30355" spans="4:8" x14ac:dyDescent="0.25">
      <c r="D30355" s="28"/>
      <c r="F30355" s="28"/>
      <c r="H30355" s="28"/>
    </row>
    <row r="30356" spans="4:8" x14ac:dyDescent="0.25">
      <c r="D30356" s="28"/>
      <c r="F30356" s="28"/>
      <c r="H30356" s="28"/>
    </row>
    <row r="30357" spans="4:8" x14ac:dyDescent="0.25">
      <c r="D30357" s="28"/>
      <c r="F30357" s="28"/>
      <c r="H30357" s="28"/>
    </row>
    <row r="30358" spans="4:8" x14ac:dyDescent="0.25">
      <c r="D30358" s="28"/>
      <c r="F30358" s="28"/>
      <c r="H30358" s="28"/>
    </row>
    <row r="30359" spans="4:8" x14ac:dyDescent="0.25">
      <c r="D30359" s="28"/>
      <c r="F30359" s="28"/>
      <c r="H30359" s="28"/>
    </row>
    <row r="30360" spans="4:8" x14ac:dyDescent="0.25">
      <c r="D30360" s="28"/>
      <c r="F30360" s="28"/>
      <c r="H30360" s="28"/>
    </row>
    <row r="30361" spans="4:8" x14ac:dyDescent="0.25">
      <c r="D30361" s="28"/>
      <c r="F30361" s="28"/>
      <c r="H30361" s="28"/>
    </row>
    <row r="30362" spans="4:8" x14ac:dyDescent="0.25">
      <c r="D30362" s="28"/>
      <c r="F30362" s="28"/>
      <c r="H30362" s="28"/>
    </row>
    <row r="30363" spans="4:8" x14ac:dyDescent="0.25">
      <c r="D30363" s="28"/>
      <c r="F30363" s="28"/>
      <c r="H30363" s="28"/>
    </row>
    <row r="30364" spans="4:8" x14ac:dyDescent="0.25">
      <c r="D30364" s="28"/>
      <c r="F30364" s="28"/>
      <c r="H30364" s="28"/>
    </row>
    <row r="30365" spans="4:8" x14ac:dyDescent="0.25">
      <c r="D30365" s="28"/>
      <c r="F30365" s="28"/>
      <c r="H30365" s="28"/>
    </row>
    <row r="30366" spans="4:8" x14ac:dyDescent="0.25">
      <c r="D30366" s="28"/>
      <c r="F30366" s="28"/>
      <c r="H30366" s="28"/>
    </row>
    <row r="30367" spans="4:8" x14ac:dyDescent="0.25">
      <c r="D30367" s="28"/>
      <c r="F30367" s="28"/>
      <c r="H30367" s="28"/>
    </row>
    <row r="30368" spans="4:8" x14ac:dyDescent="0.25">
      <c r="D30368" s="28"/>
      <c r="F30368" s="28"/>
      <c r="H30368" s="28"/>
    </row>
    <row r="30369" spans="4:8" x14ac:dyDescent="0.25">
      <c r="D30369" s="28"/>
      <c r="F30369" s="28"/>
      <c r="H30369" s="28"/>
    </row>
    <row r="30370" spans="4:8" x14ac:dyDescent="0.25">
      <c r="D30370" s="28"/>
      <c r="F30370" s="28"/>
      <c r="H30370" s="28"/>
    </row>
    <row r="30371" spans="4:8" x14ac:dyDescent="0.25">
      <c r="D30371" s="28"/>
      <c r="F30371" s="28"/>
      <c r="H30371" s="28"/>
    </row>
    <row r="30372" spans="4:8" x14ac:dyDescent="0.25">
      <c r="D30372" s="28"/>
      <c r="F30372" s="28"/>
      <c r="H30372" s="28"/>
    </row>
    <row r="30373" spans="4:8" x14ac:dyDescent="0.25">
      <c r="D30373" s="28"/>
      <c r="F30373" s="28"/>
      <c r="H30373" s="28"/>
    </row>
    <row r="30374" spans="4:8" x14ac:dyDescent="0.25">
      <c r="D30374" s="28"/>
      <c r="F30374" s="28"/>
      <c r="H30374" s="28"/>
    </row>
    <row r="30375" spans="4:8" x14ac:dyDescent="0.25">
      <c r="D30375" s="28"/>
      <c r="F30375" s="28"/>
      <c r="H30375" s="28"/>
    </row>
    <row r="30376" spans="4:8" x14ac:dyDescent="0.25">
      <c r="D30376" s="28"/>
      <c r="F30376" s="28"/>
      <c r="H30376" s="28"/>
    </row>
    <row r="30377" spans="4:8" x14ac:dyDescent="0.25">
      <c r="D30377" s="28"/>
      <c r="F30377" s="28"/>
      <c r="H30377" s="28"/>
    </row>
    <row r="30378" spans="4:8" x14ac:dyDescent="0.25">
      <c r="D30378" s="28"/>
      <c r="F30378" s="28"/>
      <c r="H30378" s="28"/>
    </row>
    <row r="30379" spans="4:8" x14ac:dyDescent="0.25">
      <c r="D30379" s="28"/>
      <c r="F30379" s="28"/>
      <c r="H30379" s="28"/>
    </row>
    <row r="30380" spans="4:8" x14ac:dyDescent="0.25">
      <c r="D30380" s="28"/>
      <c r="F30380" s="28"/>
      <c r="H30380" s="28"/>
    </row>
    <row r="30381" spans="4:8" x14ac:dyDescent="0.25">
      <c r="D30381" s="28"/>
      <c r="F30381" s="28"/>
      <c r="H30381" s="28"/>
    </row>
    <row r="30382" spans="4:8" x14ac:dyDescent="0.25">
      <c r="D30382" s="28"/>
      <c r="F30382" s="28"/>
      <c r="H30382" s="28"/>
    </row>
    <row r="30383" spans="4:8" x14ac:dyDescent="0.25">
      <c r="D30383" s="28"/>
      <c r="F30383" s="28"/>
      <c r="H30383" s="28"/>
    </row>
    <row r="30384" spans="4:8" x14ac:dyDescent="0.25">
      <c r="D30384" s="28"/>
      <c r="F30384" s="28"/>
      <c r="H30384" s="28"/>
    </row>
    <row r="30385" spans="4:8" x14ac:dyDescent="0.25">
      <c r="D30385" s="28"/>
      <c r="F30385" s="28"/>
      <c r="H30385" s="28"/>
    </row>
    <row r="30386" spans="4:8" x14ac:dyDescent="0.25">
      <c r="D30386" s="28"/>
      <c r="F30386" s="28"/>
      <c r="H30386" s="28"/>
    </row>
    <row r="30387" spans="4:8" x14ac:dyDescent="0.25">
      <c r="D30387" s="28"/>
      <c r="F30387" s="28"/>
      <c r="H30387" s="28"/>
    </row>
    <row r="30388" spans="4:8" x14ac:dyDescent="0.25">
      <c r="D30388" s="28"/>
      <c r="F30388" s="28"/>
      <c r="H30388" s="28"/>
    </row>
    <row r="30389" spans="4:8" x14ac:dyDescent="0.25">
      <c r="D30389" s="28"/>
      <c r="F30389" s="28"/>
      <c r="H30389" s="28"/>
    </row>
    <row r="30390" spans="4:8" x14ac:dyDescent="0.25">
      <c r="D30390" s="28"/>
      <c r="F30390" s="28"/>
      <c r="H30390" s="28"/>
    </row>
    <row r="30391" spans="4:8" x14ac:dyDescent="0.25">
      <c r="D30391" s="28"/>
      <c r="F30391" s="28"/>
      <c r="H30391" s="28"/>
    </row>
    <row r="30392" spans="4:8" x14ac:dyDescent="0.25">
      <c r="D30392" s="28"/>
      <c r="F30392" s="28"/>
      <c r="H30392" s="28"/>
    </row>
    <row r="30393" spans="4:8" x14ac:dyDescent="0.25">
      <c r="D30393" s="28"/>
      <c r="F30393" s="28"/>
      <c r="H30393" s="28"/>
    </row>
    <row r="30394" spans="4:8" x14ac:dyDescent="0.25">
      <c r="D30394" s="28"/>
      <c r="F30394" s="28"/>
      <c r="H30394" s="28"/>
    </row>
    <row r="30395" spans="4:8" x14ac:dyDescent="0.25">
      <c r="D30395" s="28"/>
      <c r="F30395" s="28"/>
      <c r="H30395" s="28"/>
    </row>
    <row r="30396" spans="4:8" x14ac:dyDescent="0.25">
      <c r="D30396" s="28"/>
      <c r="F30396" s="28"/>
      <c r="H30396" s="28"/>
    </row>
    <row r="30397" spans="4:8" x14ac:dyDescent="0.25">
      <c r="D30397" s="28"/>
      <c r="F30397" s="28"/>
      <c r="H30397" s="28"/>
    </row>
    <row r="30398" spans="4:8" x14ac:dyDescent="0.25">
      <c r="D30398" s="28"/>
      <c r="F30398" s="28"/>
      <c r="H30398" s="28"/>
    </row>
    <row r="30399" spans="4:8" x14ac:dyDescent="0.25">
      <c r="D30399" s="28"/>
      <c r="F30399" s="28"/>
      <c r="H30399" s="28"/>
    </row>
    <row r="30400" spans="4:8" x14ac:dyDescent="0.25">
      <c r="D30400" s="28"/>
      <c r="F30400" s="28"/>
      <c r="H30400" s="28"/>
    </row>
    <row r="30401" spans="4:8" x14ac:dyDescent="0.25">
      <c r="D30401" s="28"/>
      <c r="F30401" s="28"/>
      <c r="H30401" s="28"/>
    </row>
    <row r="30402" spans="4:8" x14ac:dyDescent="0.25">
      <c r="D30402" s="28"/>
      <c r="F30402" s="28"/>
      <c r="H30402" s="28"/>
    </row>
    <row r="30403" spans="4:8" x14ac:dyDescent="0.25">
      <c r="D30403" s="28"/>
      <c r="F30403" s="28"/>
      <c r="H30403" s="28"/>
    </row>
    <row r="30404" spans="4:8" x14ac:dyDescent="0.25">
      <c r="D30404" s="28"/>
      <c r="F30404" s="28"/>
      <c r="H30404" s="28"/>
    </row>
    <row r="30405" spans="4:8" x14ac:dyDescent="0.25">
      <c r="D30405" s="28"/>
      <c r="F30405" s="28"/>
      <c r="H30405" s="28"/>
    </row>
    <row r="30406" spans="4:8" x14ac:dyDescent="0.25">
      <c r="D30406" s="28"/>
      <c r="F30406" s="28"/>
      <c r="H30406" s="28"/>
    </row>
    <row r="30407" spans="4:8" x14ac:dyDescent="0.25">
      <c r="D30407" s="28"/>
      <c r="F30407" s="28"/>
      <c r="H30407" s="28"/>
    </row>
    <row r="30408" spans="4:8" x14ac:dyDescent="0.25">
      <c r="D30408" s="28"/>
      <c r="F30408" s="28"/>
      <c r="H30408" s="28"/>
    </row>
    <row r="30409" spans="4:8" x14ac:dyDescent="0.25">
      <c r="D30409" s="28"/>
      <c r="F30409" s="28"/>
      <c r="H30409" s="28"/>
    </row>
    <row r="30410" spans="4:8" x14ac:dyDescent="0.25">
      <c r="D30410" s="28"/>
      <c r="F30410" s="28"/>
      <c r="H30410" s="28"/>
    </row>
    <row r="30411" spans="4:8" x14ac:dyDescent="0.25">
      <c r="D30411" s="28"/>
      <c r="F30411" s="28"/>
      <c r="H30411" s="28"/>
    </row>
    <row r="30412" spans="4:8" x14ac:dyDescent="0.25">
      <c r="D30412" s="28"/>
      <c r="F30412" s="28"/>
      <c r="H30412" s="28"/>
    </row>
    <row r="30413" spans="4:8" x14ac:dyDescent="0.25">
      <c r="D30413" s="28"/>
      <c r="F30413" s="28"/>
      <c r="H30413" s="28"/>
    </row>
    <row r="30414" spans="4:8" x14ac:dyDescent="0.25">
      <c r="D30414" s="28"/>
      <c r="F30414" s="28"/>
      <c r="H30414" s="28"/>
    </row>
    <row r="30415" spans="4:8" x14ac:dyDescent="0.25">
      <c r="D30415" s="28"/>
      <c r="F30415" s="28"/>
      <c r="H30415" s="28"/>
    </row>
    <row r="30416" spans="4:8" x14ac:dyDescent="0.25">
      <c r="D30416" s="28"/>
      <c r="F30416" s="28"/>
      <c r="H30416" s="28"/>
    </row>
    <row r="30417" spans="4:8" x14ac:dyDescent="0.25">
      <c r="D30417" s="28"/>
      <c r="F30417" s="28"/>
      <c r="H30417" s="28"/>
    </row>
    <row r="30418" spans="4:8" x14ac:dyDescent="0.25">
      <c r="D30418" s="28"/>
      <c r="F30418" s="28"/>
      <c r="H30418" s="28"/>
    </row>
    <row r="30419" spans="4:8" x14ac:dyDescent="0.25">
      <c r="D30419" s="28"/>
      <c r="F30419" s="28"/>
      <c r="H30419" s="28"/>
    </row>
    <row r="30420" spans="4:8" x14ac:dyDescent="0.25">
      <c r="D30420" s="28"/>
      <c r="F30420" s="28"/>
      <c r="H30420" s="28"/>
    </row>
    <row r="30421" spans="4:8" x14ac:dyDescent="0.25">
      <c r="D30421" s="28"/>
      <c r="F30421" s="28"/>
      <c r="H30421" s="28"/>
    </row>
    <row r="30422" spans="4:8" x14ac:dyDescent="0.25">
      <c r="D30422" s="28"/>
      <c r="F30422" s="28"/>
      <c r="H30422" s="28"/>
    </row>
    <row r="30423" spans="4:8" x14ac:dyDescent="0.25">
      <c r="D30423" s="28"/>
      <c r="F30423" s="28"/>
      <c r="H30423" s="28"/>
    </row>
    <row r="30424" spans="4:8" x14ac:dyDescent="0.25">
      <c r="D30424" s="28"/>
      <c r="F30424" s="28"/>
      <c r="H30424" s="28"/>
    </row>
    <row r="30425" spans="4:8" x14ac:dyDescent="0.25">
      <c r="D30425" s="28"/>
      <c r="F30425" s="28"/>
      <c r="H30425" s="28"/>
    </row>
    <row r="30426" spans="4:8" x14ac:dyDescent="0.25">
      <c r="D30426" s="28"/>
      <c r="F30426" s="28"/>
      <c r="H30426" s="28"/>
    </row>
    <row r="30427" spans="4:8" x14ac:dyDescent="0.25">
      <c r="D30427" s="28"/>
      <c r="F30427" s="28"/>
      <c r="H30427" s="28"/>
    </row>
    <row r="30428" spans="4:8" x14ac:dyDescent="0.25">
      <c r="D30428" s="28"/>
      <c r="F30428" s="28"/>
      <c r="H30428" s="28"/>
    </row>
    <row r="30429" spans="4:8" x14ac:dyDescent="0.25">
      <c r="D30429" s="28"/>
      <c r="F30429" s="28"/>
      <c r="H30429" s="28"/>
    </row>
    <row r="30430" spans="4:8" x14ac:dyDescent="0.25">
      <c r="D30430" s="28"/>
      <c r="F30430" s="28"/>
      <c r="H30430" s="28"/>
    </row>
    <row r="30431" spans="4:8" x14ac:dyDescent="0.25">
      <c r="D30431" s="28"/>
      <c r="F30431" s="28"/>
      <c r="H30431" s="28"/>
    </row>
    <row r="30432" spans="4:8" x14ac:dyDescent="0.25">
      <c r="D30432" s="28"/>
      <c r="F30432" s="28"/>
      <c r="H30432" s="28"/>
    </row>
    <row r="30433" spans="4:8" x14ac:dyDescent="0.25">
      <c r="D30433" s="28"/>
      <c r="F30433" s="28"/>
      <c r="H30433" s="28"/>
    </row>
    <row r="30434" spans="4:8" x14ac:dyDescent="0.25">
      <c r="D30434" s="28"/>
      <c r="F30434" s="28"/>
      <c r="H30434" s="28"/>
    </row>
    <row r="30435" spans="4:8" x14ac:dyDescent="0.25">
      <c r="D30435" s="28"/>
      <c r="F30435" s="28"/>
      <c r="H30435" s="28"/>
    </row>
    <row r="30436" spans="4:8" x14ac:dyDescent="0.25">
      <c r="D30436" s="28"/>
      <c r="F30436" s="28"/>
      <c r="H30436" s="28"/>
    </row>
    <row r="30437" spans="4:8" x14ac:dyDescent="0.25">
      <c r="D30437" s="28"/>
      <c r="F30437" s="28"/>
      <c r="H30437" s="28"/>
    </row>
    <row r="30438" spans="4:8" x14ac:dyDescent="0.25">
      <c r="D30438" s="28"/>
      <c r="F30438" s="28"/>
      <c r="H30438" s="28"/>
    </row>
    <row r="30439" spans="4:8" x14ac:dyDescent="0.25">
      <c r="D30439" s="28"/>
      <c r="F30439" s="28"/>
      <c r="H30439" s="28"/>
    </row>
    <row r="30440" spans="4:8" x14ac:dyDescent="0.25">
      <c r="D30440" s="28"/>
      <c r="F30440" s="28"/>
      <c r="H30440" s="28"/>
    </row>
    <row r="30441" spans="4:8" x14ac:dyDescent="0.25">
      <c r="D30441" s="28"/>
      <c r="F30441" s="28"/>
      <c r="H30441" s="28"/>
    </row>
    <row r="30442" spans="4:8" x14ac:dyDescent="0.25">
      <c r="D30442" s="28"/>
      <c r="F30442" s="28"/>
      <c r="H30442" s="28"/>
    </row>
    <row r="30443" spans="4:8" x14ac:dyDescent="0.25">
      <c r="D30443" s="28"/>
      <c r="F30443" s="28"/>
      <c r="H30443" s="28"/>
    </row>
    <row r="30444" spans="4:8" x14ac:dyDescent="0.25">
      <c r="D30444" s="28"/>
      <c r="F30444" s="28"/>
      <c r="H30444" s="28"/>
    </row>
    <row r="30445" spans="4:8" x14ac:dyDescent="0.25">
      <c r="D30445" s="28"/>
      <c r="F30445" s="28"/>
      <c r="H30445" s="28"/>
    </row>
    <row r="30446" spans="4:8" x14ac:dyDescent="0.25">
      <c r="D30446" s="28"/>
      <c r="F30446" s="28"/>
      <c r="H30446" s="28"/>
    </row>
    <row r="30447" spans="4:8" x14ac:dyDescent="0.25">
      <c r="D30447" s="28"/>
      <c r="F30447" s="28"/>
      <c r="H30447" s="28"/>
    </row>
    <row r="30448" spans="4:8" x14ac:dyDescent="0.25">
      <c r="D30448" s="28"/>
      <c r="F30448" s="28"/>
      <c r="H30448" s="28"/>
    </row>
    <row r="30449" spans="4:8" x14ac:dyDescent="0.25">
      <c r="D30449" s="28"/>
      <c r="F30449" s="28"/>
      <c r="H30449" s="28"/>
    </row>
    <row r="30450" spans="4:8" x14ac:dyDescent="0.25">
      <c r="D30450" s="28"/>
      <c r="F30450" s="28"/>
      <c r="H30450" s="28"/>
    </row>
    <row r="30451" spans="4:8" x14ac:dyDescent="0.25">
      <c r="D30451" s="28"/>
      <c r="F30451" s="28"/>
      <c r="H30451" s="28"/>
    </row>
    <row r="30452" spans="4:8" x14ac:dyDescent="0.25">
      <c r="D30452" s="28"/>
      <c r="F30452" s="28"/>
      <c r="H30452" s="28"/>
    </row>
    <row r="30453" spans="4:8" x14ac:dyDescent="0.25">
      <c r="D30453" s="28"/>
      <c r="F30453" s="28"/>
      <c r="H30453" s="28"/>
    </row>
    <row r="30454" spans="4:8" x14ac:dyDescent="0.25">
      <c r="D30454" s="28"/>
      <c r="F30454" s="28"/>
      <c r="H30454" s="28"/>
    </row>
    <row r="30455" spans="4:8" x14ac:dyDescent="0.25">
      <c r="D30455" s="28"/>
      <c r="F30455" s="28"/>
      <c r="H30455" s="28"/>
    </row>
    <row r="30456" spans="4:8" x14ac:dyDescent="0.25">
      <c r="D30456" s="28"/>
      <c r="F30456" s="28"/>
      <c r="H30456" s="28"/>
    </row>
    <row r="30457" spans="4:8" x14ac:dyDescent="0.25">
      <c r="D30457" s="28"/>
      <c r="F30457" s="28"/>
      <c r="H30457" s="28"/>
    </row>
    <row r="30458" spans="4:8" x14ac:dyDescent="0.25">
      <c r="D30458" s="28"/>
      <c r="F30458" s="28"/>
      <c r="H30458" s="28"/>
    </row>
    <row r="30459" spans="4:8" x14ac:dyDescent="0.25">
      <c r="D30459" s="28"/>
      <c r="F30459" s="28"/>
      <c r="H30459" s="28"/>
    </row>
    <row r="30460" spans="4:8" x14ac:dyDescent="0.25">
      <c r="D30460" s="28"/>
      <c r="F30460" s="28"/>
      <c r="H30460" s="28"/>
    </row>
    <row r="30461" spans="4:8" x14ac:dyDescent="0.25">
      <c r="D30461" s="28"/>
      <c r="F30461" s="28"/>
      <c r="H30461" s="28"/>
    </row>
    <row r="30462" spans="4:8" x14ac:dyDescent="0.25">
      <c r="D30462" s="28"/>
      <c r="F30462" s="28"/>
      <c r="H30462" s="28"/>
    </row>
    <row r="30463" spans="4:8" x14ac:dyDescent="0.25">
      <c r="D30463" s="28"/>
      <c r="F30463" s="28"/>
      <c r="H30463" s="28"/>
    </row>
    <row r="30464" spans="4:8" x14ac:dyDescent="0.25">
      <c r="D30464" s="28"/>
      <c r="F30464" s="28"/>
      <c r="H30464" s="28"/>
    </row>
    <row r="30465" spans="4:8" x14ac:dyDescent="0.25">
      <c r="D30465" s="28"/>
      <c r="F30465" s="28"/>
      <c r="H30465" s="28"/>
    </row>
    <row r="30466" spans="4:8" x14ac:dyDescent="0.25">
      <c r="D30466" s="28"/>
      <c r="F30466" s="28"/>
      <c r="H30466" s="28"/>
    </row>
    <row r="30467" spans="4:8" x14ac:dyDescent="0.25">
      <c r="D30467" s="28"/>
      <c r="F30467" s="28"/>
      <c r="H30467" s="28"/>
    </row>
    <row r="30468" spans="4:8" x14ac:dyDescent="0.25">
      <c r="D30468" s="28"/>
      <c r="F30468" s="28"/>
      <c r="H30468" s="28"/>
    </row>
    <row r="30469" spans="4:8" x14ac:dyDescent="0.25">
      <c r="D30469" s="28"/>
      <c r="F30469" s="28"/>
      <c r="H30469" s="28"/>
    </row>
    <row r="30470" spans="4:8" x14ac:dyDescent="0.25">
      <c r="D30470" s="28"/>
      <c r="F30470" s="28"/>
      <c r="H30470" s="28"/>
    </row>
    <row r="30471" spans="4:8" x14ac:dyDescent="0.25">
      <c r="D30471" s="28"/>
      <c r="F30471" s="28"/>
      <c r="H30471" s="28"/>
    </row>
    <row r="30472" spans="4:8" x14ac:dyDescent="0.25">
      <c r="D30472" s="28"/>
      <c r="F30472" s="28"/>
      <c r="H30472" s="28"/>
    </row>
    <row r="30473" spans="4:8" x14ac:dyDescent="0.25">
      <c r="D30473" s="28"/>
      <c r="F30473" s="28"/>
      <c r="H30473" s="28"/>
    </row>
    <row r="30474" spans="4:8" x14ac:dyDescent="0.25">
      <c r="D30474" s="28"/>
      <c r="F30474" s="28"/>
      <c r="H30474" s="28"/>
    </row>
    <row r="30475" spans="4:8" x14ac:dyDescent="0.25">
      <c r="D30475" s="28"/>
      <c r="F30475" s="28"/>
      <c r="H30475" s="28"/>
    </row>
    <row r="30476" spans="4:8" x14ac:dyDescent="0.25">
      <c r="D30476" s="28"/>
      <c r="F30476" s="28"/>
      <c r="H30476" s="28"/>
    </row>
    <row r="30477" spans="4:8" x14ac:dyDescent="0.25">
      <c r="D30477" s="28"/>
      <c r="F30477" s="28"/>
      <c r="H30477" s="28"/>
    </row>
    <row r="30478" spans="4:8" x14ac:dyDescent="0.25">
      <c r="D30478" s="28"/>
      <c r="F30478" s="28"/>
      <c r="H30478" s="28"/>
    </row>
    <row r="30479" spans="4:8" x14ac:dyDescent="0.25">
      <c r="D30479" s="28"/>
      <c r="F30479" s="28"/>
      <c r="H30479" s="28"/>
    </row>
    <row r="30480" spans="4:8" x14ac:dyDescent="0.25">
      <c r="D30480" s="28"/>
      <c r="F30480" s="28"/>
      <c r="H30480" s="28"/>
    </row>
    <row r="30481" spans="4:8" x14ac:dyDescent="0.25">
      <c r="D30481" s="28"/>
      <c r="F30481" s="28"/>
      <c r="H30481" s="28"/>
    </row>
    <row r="30482" spans="4:8" x14ac:dyDescent="0.25">
      <c r="D30482" s="28"/>
      <c r="F30482" s="28"/>
      <c r="H30482" s="28"/>
    </row>
    <row r="30483" spans="4:8" x14ac:dyDescent="0.25">
      <c r="D30483" s="28"/>
      <c r="F30483" s="28"/>
      <c r="H30483" s="28"/>
    </row>
    <row r="30484" spans="4:8" x14ac:dyDescent="0.25">
      <c r="D30484" s="28"/>
      <c r="F30484" s="28"/>
      <c r="H30484" s="28"/>
    </row>
    <row r="30485" spans="4:8" x14ac:dyDescent="0.25">
      <c r="D30485" s="28"/>
      <c r="F30485" s="28"/>
      <c r="H30485" s="28"/>
    </row>
    <row r="30486" spans="4:8" x14ac:dyDescent="0.25">
      <c r="D30486" s="28"/>
      <c r="F30486" s="28"/>
      <c r="H30486" s="28"/>
    </row>
    <row r="30487" spans="4:8" x14ac:dyDescent="0.25">
      <c r="D30487" s="28"/>
      <c r="F30487" s="28"/>
      <c r="H30487" s="28"/>
    </row>
    <row r="30488" spans="4:8" x14ac:dyDescent="0.25">
      <c r="D30488" s="28"/>
      <c r="F30488" s="28"/>
      <c r="H30488" s="28"/>
    </row>
    <row r="30489" spans="4:8" x14ac:dyDescent="0.25">
      <c r="D30489" s="28"/>
      <c r="F30489" s="28"/>
      <c r="H30489" s="28"/>
    </row>
    <row r="30490" spans="4:8" x14ac:dyDescent="0.25">
      <c r="D30490" s="28"/>
      <c r="F30490" s="28"/>
      <c r="H30490" s="28"/>
    </row>
    <row r="30491" spans="4:8" x14ac:dyDescent="0.25">
      <c r="D30491" s="28"/>
      <c r="F30491" s="28"/>
      <c r="H30491" s="28"/>
    </row>
    <row r="30492" spans="4:8" x14ac:dyDescent="0.25">
      <c r="D30492" s="28"/>
      <c r="F30492" s="28"/>
      <c r="H30492" s="28"/>
    </row>
    <row r="30493" spans="4:8" x14ac:dyDescent="0.25">
      <c r="D30493" s="28"/>
      <c r="F30493" s="28"/>
      <c r="H30493" s="28"/>
    </row>
    <row r="30494" spans="4:8" x14ac:dyDescent="0.25">
      <c r="D30494" s="28"/>
      <c r="F30494" s="28"/>
      <c r="H30494" s="28"/>
    </row>
    <row r="30495" spans="4:8" x14ac:dyDescent="0.25">
      <c r="D30495" s="28"/>
      <c r="F30495" s="28"/>
      <c r="H30495" s="28"/>
    </row>
    <row r="30496" spans="4:8" x14ac:dyDescent="0.25">
      <c r="D30496" s="28"/>
      <c r="F30496" s="28"/>
      <c r="H30496" s="28"/>
    </row>
    <row r="30497" spans="4:8" x14ac:dyDescent="0.25">
      <c r="D30497" s="28"/>
      <c r="F30497" s="28"/>
      <c r="H30497" s="28"/>
    </row>
    <row r="30498" spans="4:8" x14ac:dyDescent="0.25">
      <c r="D30498" s="28"/>
      <c r="F30498" s="28"/>
      <c r="H30498" s="28"/>
    </row>
    <row r="30499" spans="4:8" x14ac:dyDescent="0.25">
      <c r="D30499" s="28"/>
      <c r="F30499" s="28"/>
      <c r="H30499" s="28"/>
    </row>
    <row r="30500" spans="4:8" x14ac:dyDescent="0.25">
      <c r="D30500" s="28"/>
      <c r="F30500" s="28"/>
      <c r="H30500" s="28"/>
    </row>
    <row r="30501" spans="4:8" x14ac:dyDescent="0.25">
      <c r="D30501" s="28"/>
      <c r="F30501" s="28"/>
      <c r="H30501" s="28"/>
    </row>
    <row r="30502" spans="4:8" x14ac:dyDescent="0.25">
      <c r="D30502" s="28"/>
      <c r="F30502" s="28"/>
      <c r="H30502" s="28"/>
    </row>
    <row r="30503" spans="4:8" x14ac:dyDescent="0.25">
      <c r="D30503" s="28"/>
      <c r="F30503" s="28"/>
      <c r="H30503" s="28"/>
    </row>
    <row r="30504" spans="4:8" x14ac:dyDescent="0.25">
      <c r="D30504" s="28"/>
      <c r="F30504" s="28"/>
      <c r="H30504" s="28"/>
    </row>
    <row r="30505" spans="4:8" x14ac:dyDescent="0.25">
      <c r="D30505" s="28"/>
      <c r="F30505" s="28"/>
      <c r="H30505" s="28"/>
    </row>
    <row r="30506" spans="4:8" x14ac:dyDescent="0.25">
      <c r="D30506" s="28"/>
      <c r="F30506" s="28"/>
      <c r="H30506" s="28"/>
    </row>
    <row r="30507" spans="4:8" x14ac:dyDescent="0.25">
      <c r="D30507" s="28"/>
      <c r="F30507" s="28"/>
      <c r="H30507" s="28"/>
    </row>
    <row r="30508" spans="4:8" x14ac:dyDescent="0.25">
      <c r="D30508" s="28"/>
      <c r="F30508" s="28"/>
      <c r="H30508" s="28"/>
    </row>
    <row r="30509" spans="4:8" x14ac:dyDescent="0.25">
      <c r="D30509" s="28"/>
      <c r="F30509" s="28"/>
      <c r="H30509" s="28"/>
    </row>
    <row r="30510" spans="4:8" x14ac:dyDescent="0.25">
      <c r="D30510" s="28"/>
      <c r="F30510" s="28"/>
      <c r="H30510" s="28"/>
    </row>
    <row r="30511" spans="4:8" x14ac:dyDescent="0.25">
      <c r="D30511" s="28"/>
      <c r="F30511" s="28"/>
      <c r="H30511" s="28"/>
    </row>
    <row r="30512" spans="4:8" x14ac:dyDescent="0.25">
      <c r="D30512" s="28"/>
      <c r="F30512" s="28"/>
      <c r="H30512" s="28"/>
    </row>
    <row r="30513" spans="4:8" x14ac:dyDescent="0.25">
      <c r="D30513" s="28"/>
      <c r="F30513" s="28"/>
      <c r="H30513" s="28"/>
    </row>
    <row r="30514" spans="4:8" x14ac:dyDescent="0.25">
      <c r="D30514" s="28"/>
      <c r="F30514" s="28"/>
      <c r="H30514" s="28"/>
    </row>
    <row r="30515" spans="4:8" x14ac:dyDescent="0.25">
      <c r="D30515" s="28"/>
      <c r="F30515" s="28"/>
      <c r="H30515" s="28"/>
    </row>
    <row r="30516" spans="4:8" x14ac:dyDescent="0.25">
      <c r="D30516" s="28"/>
      <c r="F30516" s="28"/>
      <c r="H30516" s="28"/>
    </row>
    <row r="30517" spans="4:8" x14ac:dyDescent="0.25">
      <c r="D30517" s="28"/>
      <c r="F30517" s="28"/>
      <c r="H30517" s="28"/>
    </row>
    <row r="30518" spans="4:8" x14ac:dyDescent="0.25">
      <c r="D30518" s="28"/>
      <c r="F30518" s="28"/>
      <c r="H30518" s="28"/>
    </row>
    <row r="30519" spans="4:8" x14ac:dyDescent="0.25">
      <c r="D30519" s="28"/>
      <c r="F30519" s="28"/>
      <c r="H30519" s="28"/>
    </row>
    <row r="30520" spans="4:8" x14ac:dyDescent="0.25">
      <c r="D30520" s="28"/>
      <c r="F30520" s="28"/>
      <c r="H30520" s="28"/>
    </row>
    <row r="30521" spans="4:8" x14ac:dyDescent="0.25">
      <c r="D30521" s="28"/>
      <c r="F30521" s="28"/>
      <c r="H30521" s="28"/>
    </row>
    <row r="30522" spans="4:8" x14ac:dyDescent="0.25">
      <c r="D30522" s="28"/>
      <c r="F30522" s="28"/>
      <c r="H30522" s="28"/>
    </row>
    <row r="30523" spans="4:8" x14ac:dyDescent="0.25">
      <c r="D30523" s="28"/>
      <c r="F30523" s="28"/>
      <c r="H30523" s="28"/>
    </row>
    <row r="30524" spans="4:8" x14ac:dyDescent="0.25">
      <c r="D30524" s="28"/>
      <c r="F30524" s="28"/>
      <c r="H30524" s="28"/>
    </row>
    <row r="30525" spans="4:8" x14ac:dyDescent="0.25">
      <c r="D30525" s="28"/>
      <c r="F30525" s="28"/>
      <c r="H30525" s="28"/>
    </row>
    <row r="30526" spans="4:8" x14ac:dyDescent="0.25">
      <c r="D30526" s="28"/>
      <c r="F30526" s="28"/>
      <c r="H30526" s="28"/>
    </row>
    <row r="30527" spans="4:8" x14ac:dyDescent="0.25">
      <c r="D30527" s="28"/>
      <c r="F30527" s="28"/>
      <c r="H30527" s="28"/>
    </row>
    <row r="30528" spans="4:8" x14ac:dyDescent="0.25">
      <c r="D30528" s="28"/>
      <c r="F30528" s="28"/>
      <c r="H30528" s="28"/>
    </row>
    <row r="30529" spans="4:8" x14ac:dyDescent="0.25">
      <c r="D30529" s="28"/>
      <c r="F30529" s="28"/>
      <c r="H30529" s="28"/>
    </row>
    <row r="30530" spans="4:8" x14ac:dyDescent="0.25">
      <c r="D30530" s="28"/>
      <c r="F30530" s="28"/>
      <c r="H30530" s="28"/>
    </row>
    <row r="30531" spans="4:8" x14ac:dyDescent="0.25">
      <c r="D30531" s="28"/>
      <c r="F30531" s="28"/>
      <c r="H30531" s="28"/>
    </row>
    <row r="30532" spans="4:8" x14ac:dyDescent="0.25">
      <c r="D30532" s="28"/>
      <c r="F30532" s="28"/>
      <c r="H30532" s="28"/>
    </row>
    <row r="30533" spans="4:8" x14ac:dyDescent="0.25">
      <c r="D30533" s="28"/>
      <c r="F30533" s="28"/>
      <c r="H30533" s="28"/>
    </row>
    <row r="30534" spans="4:8" x14ac:dyDescent="0.25">
      <c r="D30534" s="28"/>
      <c r="F30534" s="28"/>
      <c r="H30534" s="28"/>
    </row>
    <row r="30535" spans="4:8" x14ac:dyDescent="0.25">
      <c r="D30535" s="28"/>
      <c r="F30535" s="28"/>
      <c r="H30535" s="28"/>
    </row>
    <row r="30536" spans="4:8" x14ac:dyDescent="0.25">
      <c r="D30536" s="28"/>
      <c r="F30536" s="28"/>
      <c r="H30536" s="28"/>
    </row>
    <row r="30537" spans="4:8" x14ac:dyDescent="0.25">
      <c r="D30537" s="28"/>
      <c r="F30537" s="28"/>
      <c r="H30537" s="28"/>
    </row>
    <row r="30538" spans="4:8" x14ac:dyDescent="0.25">
      <c r="D30538" s="28"/>
      <c r="F30538" s="28"/>
      <c r="H30538" s="28"/>
    </row>
    <row r="30539" spans="4:8" x14ac:dyDescent="0.25">
      <c r="D30539" s="28"/>
      <c r="F30539" s="28"/>
      <c r="H30539" s="28"/>
    </row>
    <row r="30540" spans="4:8" x14ac:dyDescent="0.25">
      <c r="D30540" s="28"/>
      <c r="F30540" s="28"/>
      <c r="H30540" s="28"/>
    </row>
    <row r="30541" spans="4:8" x14ac:dyDescent="0.25">
      <c r="D30541" s="28"/>
      <c r="F30541" s="28"/>
      <c r="H30541" s="28"/>
    </row>
    <row r="30542" spans="4:8" x14ac:dyDescent="0.25">
      <c r="D30542" s="28"/>
      <c r="F30542" s="28"/>
      <c r="H30542" s="28"/>
    </row>
    <row r="30543" spans="4:8" x14ac:dyDescent="0.25">
      <c r="D30543" s="28"/>
      <c r="F30543" s="28"/>
      <c r="H30543" s="28"/>
    </row>
    <row r="30544" spans="4:8" x14ac:dyDescent="0.25">
      <c r="D30544" s="28"/>
      <c r="F30544" s="28"/>
      <c r="H30544" s="28"/>
    </row>
    <row r="30545" spans="4:8" x14ac:dyDescent="0.25">
      <c r="D30545" s="28"/>
      <c r="F30545" s="28"/>
      <c r="H30545" s="28"/>
    </row>
    <row r="30546" spans="4:8" x14ac:dyDescent="0.25">
      <c r="D30546" s="28"/>
      <c r="F30546" s="28"/>
      <c r="H30546" s="28"/>
    </row>
    <row r="30547" spans="4:8" x14ac:dyDescent="0.25">
      <c r="D30547" s="28"/>
      <c r="F30547" s="28"/>
      <c r="H30547" s="28"/>
    </row>
    <row r="30548" spans="4:8" x14ac:dyDescent="0.25">
      <c r="D30548" s="28"/>
      <c r="F30548" s="28"/>
      <c r="H30548" s="28"/>
    </row>
    <row r="30549" spans="4:8" x14ac:dyDescent="0.25">
      <c r="D30549" s="28"/>
      <c r="F30549" s="28"/>
      <c r="H30549" s="28"/>
    </row>
    <row r="30550" spans="4:8" x14ac:dyDescent="0.25">
      <c r="D30550" s="28"/>
      <c r="F30550" s="28"/>
      <c r="H30550" s="28"/>
    </row>
    <row r="30551" spans="4:8" x14ac:dyDescent="0.25">
      <c r="D30551" s="28"/>
      <c r="F30551" s="28"/>
      <c r="H30551" s="28"/>
    </row>
    <row r="30552" spans="4:8" x14ac:dyDescent="0.25">
      <c r="D30552" s="28"/>
      <c r="F30552" s="28"/>
      <c r="H30552" s="28"/>
    </row>
    <row r="30553" spans="4:8" x14ac:dyDescent="0.25">
      <c r="D30553" s="28"/>
      <c r="F30553" s="28"/>
      <c r="H30553" s="28"/>
    </row>
    <row r="30554" spans="4:8" x14ac:dyDescent="0.25">
      <c r="D30554" s="28"/>
      <c r="F30554" s="28"/>
      <c r="H30554" s="28"/>
    </row>
    <row r="30555" spans="4:8" x14ac:dyDescent="0.25">
      <c r="D30555" s="28"/>
      <c r="F30555" s="28"/>
      <c r="H30555" s="28"/>
    </row>
    <row r="30556" spans="4:8" x14ac:dyDescent="0.25">
      <c r="D30556" s="28"/>
      <c r="F30556" s="28"/>
      <c r="H30556" s="28"/>
    </row>
    <row r="30557" spans="4:8" x14ac:dyDescent="0.25">
      <c r="D30557" s="28"/>
      <c r="F30557" s="28"/>
      <c r="H30557" s="28"/>
    </row>
    <row r="30558" spans="4:8" x14ac:dyDescent="0.25">
      <c r="D30558" s="28"/>
      <c r="F30558" s="28"/>
      <c r="H30558" s="28"/>
    </row>
    <row r="30559" spans="4:8" x14ac:dyDescent="0.25">
      <c r="D30559" s="28"/>
      <c r="F30559" s="28"/>
      <c r="H30559" s="28"/>
    </row>
    <row r="30560" spans="4:8" x14ac:dyDescent="0.25">
      <c r="D30560" s="28"/>
      <c r="F30560" s="28"/>
      <c r="H30560" s="28"/>
    </row>
    <row r="30561" spans="4:8" x14ac:dyDescent="0.25">
      <c r="D30561" s="28"/>
      <c r="F30561" s="28"/>
      <c r="H30561" s="28"/>
    </row>
    <row r="30562" spans="4:8" x14ac:dyDescent="0.25">
      <c r="D30562" s="28"/>
      <c r="F30562" s="28"/>
      <c r="H30562" s="28"/>
    </row>
    <row r="30563" spans="4:8" x14ac:dyDescent="0.25">
      <c r="D30563" s="28"/>
      <c r="F30563" s="28"/>
      <c r="H30563" s="28"/>
    </row>
    <row r="30564" spans="4:8" x14ac:dyDescent="0.25">
      <c r="D30564" s="28"/>
      <c r="F30564" s="28"/>
      <c r="H30564" s="28"/>
    </row>
    <row r="30565" spans="4:8" x14ac:dyDescent="0.25">
      <c r="D30565" s="28"/>
      <c r="F30565" s="28"/>
      <c r="H30565" s="28"/>
    </row>
    <row r="30566" spans="4:8" x14ac:dyDescent="0.25">
      <c r="D30566" s="28"/>
      <c r="F30566" s="28"/>
      <c r="H30566" s="28"/>
    </row>
    <row r="30567" spans="4:8" x14ac:dyDescent="0.25">
      <c r="D30567" s="28"/>
      <c r="F30567" s="28"/>
      <c r="H30567" s="28"/>
    </row>
    <row r="30568" spans="4:8" x14ac:dyDescent="0.25">
      <c r="D30568" s="28"/>
      <c r="F30568" s="28"/>
      <c r="H30568" s="28"/>
    </row>
    <row r="30569" spans="4:8" x14ac:dyDescent="0.25">
      <c r="D30569" s="28"/>
      <c r="F30569" s="28"/>
      <c r="H30569" s="28"/>
    </row>
    <row r="30570" spans="4:8" x14ac:dyDescent="0.25">
      <c r="D30570" s="28"/>
      <c r="F30570" s="28"/>
      <c r="H30570" s="28"/>
    </row>
    <row r="30571" spans="4:8" x14ac:dyDescent="0.25">
      <c r="D30571" s="28"/>
      <c r="F30571" s="28"/>
      <c r="H30571" s="28"/>
    </row>
    <row r="30572" spans="4:8" x14ac:dyDescent="0.25">
      <c r="D30572" s="28"/>
      <c r="F30572" s="28"/>
      <c r="H30572" s="28"/>
    </row>
    <row r="30573" spans="4:8" x14ac:dyDescent="0.25">
      <c r="D30573" s="28"/>
      <c r="F30573" s="28"/>
      <c r="H30573" s="28"/>
    </row>
    <row r="30574" spans="4:8" x14ac:dyDescent="0.25">
      <c r="D30574" s="28"/>
      <c r="F30574" s="28"/>
      <c r="H30574" s="28"/>
    </row>
    <row r="30575" spans="4:8" x14ac:dyDescent="0.25">
      <c r="D30575" s="28"/>
      <c r="F30575" s="28"/>
      <c r="H30575" s="28"/>
    </row>
    <row r="30576" spans="4:8" x14ac:dyDescent="0.25">
      <c r="D30576" s="28"/>
      <c r="F30576" s="28"/>
      <c r="H30576" s="28"/>
    </row>
    <row r="30577" spans="4:8" x14ac:dyDescent="0.25">
      <c r="D30577" s="28"/>
      <c r="F30577" s="28"/>
      <c r="H30577" s="28"/>
    </row>
    <row r="30578" spans="4:8" x14ac:dyDescent="0.25">
      <c r="D30578" s="28"/>
      <c r="F30578" s="28"/>
      <c r="H30578" s="28"/>
    </row>
    <row r="30579" spans="4:8" x14ac:dyDescent="0.25">
      <c r="D30579" s="28"/>
      <c r="F30579" s="28"/>
      <c r="H30579" s="28"/>
    </row>
    <row r="30580" spans="4:8" x14ac:dyDescent="0.25">
      <c r="D30580" s="28"/>
      <c r="F30580" s="28"/>
      <c r="H30580" s="28"/>
    </row>
    <row r="30581" spans="4:8" x14ac:dyDescent="0.25">
      <c r="D30581" s="28"/>
      <c r="F30581" s="28"/>
      <c r="H30581" s="28"/>
    </row>
    <row r="30582" spans="4:8" x14ac:dyDescent="0.25">
      <c r="D30582" s="28"/>
      <c r="F30582" s="28"/>
      <c r="H30582" s="28"/>
    </row>
    <row r="30583" spans="4:8" x14ac:dyDescent="0.25">
      <c r="D30583" s="28"/>
      <c r="F30583" s="28"/>
      <c r="H30583" s="28"/>
    </row>
    <row r="30584" spans="4:8" x14ac:dyDescent="0.25">
      <c r="D30584" s="28"/>
      <c r="F30584" s="28"/>
      <c r="H30584" s="28"/>
    </row>
    <row r="30585" spans="4:8" x14ac:dyDescent="0.25">
      <c r="D30585" s="28"/>
      <c r="F30585" s="28"/>
      <c r="H30585" s="28"/>
    </row>
    <row r="30586" spans="4:8" x14ac:dyDescent="0.25">
      <c r="D30586" s="28"/>
      <c r="F30586" s="28"/>
      <c r="H30586" s="28"/>
    </row>
    <row r="30587" spans="4:8" x14ac:dyDescent="0.25">
      <c r="D30587" s="28"/>
      <c r="F30587" s="28"/>
      <c r="H30587" s="28"/>
    </row>
    <row r="30588" spans="4:8" x14ac:dyDescent="0.25">
      <c r="D30588" s="28"/>
      <c r="F30588" s="28"/>
      <c r="H30588" s="28"/>
    </row>
    <row r="30589" spans="4:8" x14ac:dyDescent="0.25">
      <c r="D30589" s="28"/>
      <c r="F30589" s="28"/>
      <c r="H30589" s="28"/>
    </row>
    <row r="30590" spans="4:8" x14ac:dyDescent="0.25">
      <c r="D30590" s="28"/>
      <c r="F30590" s="28"/>
      <c r="H30590" s="28"/>
    </row>
    <row r="30591" spans="4:8" x14ac:dyDescent="0.25">
      <c r="D30591" s="28"/>
      <c r="F30591" s="28"/>
      <c r="H30591" s="28"/>
    </row>
    <row r="30592" spans="4:8" x14ac:dyDescent="0.25">
      <c r="D30592" s="28"/>
      <c r="F30592" s="28"/>
      <c r="H30592" s="28"/>
    </row>
    <row r="30593" spans="4:8" x14ac:dyDescent="0.25">
      <c r="D30593" s="28"/>
      <c r="F30593" s="28"/>
      <c r="H30593" s="28"/>
    </row>
    <row r="30594" spans="4:8" x14ac:dyDescent="0.25">
      <c r="D30594" s="28"/>
      <c r="F30594" s="28"/>
      <c r="H30594" s="28"/>
    </row>
    <row r="30595" spans="4:8" x14ac:dyDescent="0.25">
      <c r="D30595" s="28"/>
      <c r="F30595" s="28"/>
      <c r="H30595" s="28"/>
    </row>
    <row r="30596" spans="4:8" x14ac:dyDescent="0.25">
      <c r="D30596" s="28"/>
      <c r="F30596" s="28"/>
      <c r="H30596" s="28"/>
    </row>
    <row r="30597" spans="4:8" x14ac:dyDescent="0.25">
      <c r="D30597" s="28"/>
      <c r="F30597" s="28"/>
      <c r="H30597" s="28"/>
    </row>
    <row r="30598" spans="4:8" x14ac:dyDescent="0.25">
      <c r="D30598" s="28"/>
      <c r="F30598" s="28"/>
      <c r="H30598" s="28"/>
    </row>
    <row r="30599" spans="4:8" x14ac:dyDescent="0.25">
      <c r="D30599" s="28"/>
      <c r="F30599" s="28"/>
      <c r="H30599" s="28"/>
    </row>
    <row r="30600" spans="4:8" x14ac:dyDescent="0.25">
      <c r="D30600" s="28"/>
      <c r="F30600" s="28"/>
      <c r="H30600" s="28"/>
    </row>
    <row r="30601" spans="4:8" x14ac:dyDescent="0.25">
      <c r="D30601" s="28"/>
      <c r="F30601" s="28"/>
      <c r="H30601" s="28"/>
    </row>
    <row r="30602" spans="4:8" x14ac:dyDescent="0.25">
      <c r="D30602" s="28"/>
      <c r="F30602" s="28"/>
      <c r="H30602" s="28"/>
    </row>
    <row r="30603" spans="4:8" x14ac:dyDescent="0.25">
      <c r="D30603" s="28"/>
      <c r="F30603" s="28"/>
      <c r="H30603" s="28"/>
    </row>
    <row r="30604" spans="4:8" x14ac:dyDescent="0.25">
      <c r="D30604" s="28"/>
      <c r="F30604" s="28"/>
      <c r="H30604" s="28"/>
    </row>
    <row r="30605" spans="4:8" x14ac:dyDescent="0.25">
      <c r="D30605" s="28"/>
      <c r="F30605" s="28"/>
      <c r="H30605" s="28"/>
    </row>
    <row r="30606" spans="4:8" x14ac:dyDescent="0.25">
      <c r="D30606" s="28"/>
      <c r="F30606" s="28"/>
      <c r="H30606" s="28"/>
    </row>
    <row r="30607" spans="4:8" x14ac:dyDescent="0.25">
      <c r="D30607" s="28"/>
      <c r="F30607" s="28"/>
      <c r="H30607" s="28"/>
    </row>
    <row r="30608" spans="4:8" x14ac:dyDescent="0.25">
      <c r="D30608" s="28"/>
      <c r="F30608" s="28"/>
      <c r="H30608" s="28"/>
    </row>
    <row r="30609" spans="4:8" x14ac:dyDescent="0.25">
      <c r="D30609" s="28"/>
      <c r="F30609" s="28"/>
      <c r="H30609" s="28"/>
    </row>
    <row r="30610" spans="4:8" x14ac:dyDescent="0.25">
      <c r="D30610" s="28"/>
      <c r="F30610" s="28"/>
      <c r="H30610" s="28"/>
    </row>
    <row r="30611" spans="4:8" x14ac:dyDescent="0.25">
      <c r="D30611" s="28"/>
      <c r="F30611" s="28"/>
      <c r="H30611" s="28"/>
    </row>
    <row r="30612" spans="4:8" x14ac:dyDescent="0.25">
      <c r="D30612" s="28"/>
      <c r="F30612" s="28"/>
      <c r="H30612" s="28"/>
    </row>
    <row r="30613" spans="4:8" x14ac:dyDescent="0.25">
      <c r="D30613" s="28"/>
      <c r="F30613" s="28"/>
      <c r="H30613" s="28"/>
    </row>
    <row r="30614" spans="4:8" x14ac:dyDescent="0.25">
      <c r="D30614" s="28"/>
      <c r="F30614" s="28"/>
      <c r="H30614" s="28"/>
    </row>
    <row r="30615" spans="4:8" x14ac:dyDescent="0.25">
      <c r="D30615" s="28"/>
      <c r="F30615" s="28"/>
      <c r="H30615" s="28"/>
    </row>
    <row r="30616" spans="4:8" x14ac:dyDescent="0.25">
      <c r="D30616" s="28"/>
      <c r="F30616" s="28"/>
      <c r="H30616" s="28"/>
    </row>
    <row r="30617" spans="4:8" x14ac:dyDescent="0.25">
      <c r="D30617" s="28"/>
      <c r="F30617" s="28"/>
      <c r="H30617" s="28"/>
    </row>
    <row r="30618" spans="4:8" x14ac:dyDescent="0.25">
      <c r="D30618" s="28"/>
      <c r="F30618" s="28"/>
      <c r="H30618" s="28"/>
    </row>
    <row r="30619" spans="4:8" x14ac:dyDescent="0.25">
      <c r="D30619" s="28"/>
      <c r="F30619" s="28"/>
      <c r="H30619" s="28"/>
    </row>
    <row r="30620" spans="4:8" x14ac:dyDescent="0.25">
      <c r="D30620" s="28"/>
      <c r="F30620" s="28"/>
      <c r="H30620" s="28"/>
    </row>
    <row r="30621" spans="4:8" x14ac:dyDescent="0.25">
      <c r="D30621" s="28"/>
      <c r="F30621" s="28"/>
      <c r="H30621" s="28"/>
    </row>
    <row r="30622" spans="4:8" x14ac:dyDescent="0.25">
      <c r="D30622" s="28"/>
      <c r="F30622" s="28"/>
      <c r="H30622" s="28"/>
    </row>
    <row r="30623" spans="4:8" x14ac:dyDescent="0.25">
      <c r="D30623" s="28"/>
      <c r="F30623" s="28"/>
      <c r="H30623" s="28"/>
    </row>
    <row r="30624" spans="4:8" x14ac:dyDescent="0.25">
      <c r="D30624" s="28"/>
      <c r="F30624" s="28"/>
      <c r="H30624" s="28"/>
    </row>
    <row r="30625" spans="4:8" x14ac:dyDescent="0.25">
      <c r="D30625" s="28"/>
      <c r="F30625" s="28"/>
      <c r="H30625" s="28"/>
    </row>
    <row r="30626" spans="4:8" x14ac:dyDescent="0.25">
      <c r="D30626" s="28"/>
      <c r="F30626" s="28"/>
      <c r="H30626" s="28"/>
    </row>
    <row r="30627" spans="4:8" x14ac:dyDescent="0.25">
      <c r="D30627" s="28"/>
      <c r="F30627" s="28"/>
      <c r="H30627" s="28"/>
    </row>
    <row r="30628" spans="4:8" x14ac:dyDescent="0.25">
      <c r="D30628" s="28"/>
      <c r="F30628" s="28"/>
      <c r="H30628" s="28"/>
    </row>
    <row r="30629" spans="4:8" x14ac:dyDescent="0.25">
      <c r="D30629" s="28"/>
      <c r="F30629" s="28"/>
      <c r="H30629" s="28"/>
    </row>
    <row r="30630" spans="4:8" x14ac:dyDescent="0.25">
      <c r="D30630" s="28"/>
      <c r="F30630" s="28"/>
      <c r="H30630" s="28"/>
    </row>
    <row r="30631" spans="4:8" x14ac:dyDescent="0.25">
      <c r="D30631" s="28"/>
      <c r="F30631" s="28"/>
      <c r="H30631" s="28"/>
    </row>
    <row r="30632" spans="4:8" x14ac:dyDescent="0.25">
      <c r="D30632" s="28"/>
      <c r="F30632" s="28"/>
      <c r="H30632" s="28"/>
    </row>
    <row r="30633" spans="4:8" x14ac:dyDescent="0.25">
      <c r="D30633" s="28"/>
      <c r="F30633" s="28"/>
      <c r="H30633" s="28"/>
    </row>
    <row r="30634" spans="4:8" x14ac:dyDescent="0.25">
      <c r="D30634" s="28"/>
      <c r="F30634" s="28"/>
      <c r="H30634" s="28"/>
    </row>
    <row r="30635" spans="4:8" x14ac:dyDescent="0.25">
      <c r="D30635" s="28"/>
      <c r="F30635" s="28"/>
      <c r="H30635" s="28"/>
    </row>
    <row r="30636" spans="4:8" x14ac:dyDescent="0.25">
      <c r="D30636" s="28"/>
      <c r="F30636" s="28"/>
      <c r="H30636" s="28"/>
    </row>
    <row r="30637" spans="4:8" x14ac:dyDescent="0.25">
      <c r="D30637" s="28"/>
      <c r="F30637" s="28"/>
      <c r="H30637" s="28"/>
    </row>
    <row r="30638" spans="4:8" x14ac:dyDescent="0.25">
      <c r="D30638" s="28"/>
      <c r="F30638" s="28"/>
      <c r="H30638" s="28"/>
    </row>
    <row r="30639" spans="4:8" x14ac:dyDescent="0.25">
      <c r="D30639" s="28"/>
      <c r="F30639" s="28"/>
      <c r="H30639" s="28"/>
    </row>
    <row r="30640" spans="4:8" x14ac:dyDescent="0.25">
      <c r="D30640" s="28"/>
      <c r="F30640" s="28"/>
      <c r="H30640" s="28"/>
    </row>
    <row r="30641" spans="4:8" x14ac:dyDescent="0.25">
      <c r="D30641" s="28"/>
      <c r="F30641" s="28"/>
      <c r="H30641" s="28"/>
    </row>
    <row r="30642" spans="4:8" x14ac:dyDescent="0.25">
      <c r="D30642" s="28"/>
      <c r="F30642" s="28"/>
      <c r="H30642" s="28"/>
    </row>
    <row r="30643" spans="4:8" x14ac:dyDescent="0.25">
      <c r="D30643" s="28"/>
      <c r="F30643" s="28"/>
      <c r="H30643" s="28"/>
    </row>
    <row r="30644" spans="4:8" x14ac:dyDescent="0.25">
      <c r="D30644" s="28"/>
      <c r="F30644" s="28"/>
      <c r="H30644" s="28"/>
    </row>
    <row r="30645" spans="4:8" x14ac:dyDescent="0.25">
      <c r="D30645" s="28"/>
      <c r="F30645" s="28"/>
      <c r="H30645" s="28"/>
    </row>
    <row r="30646" spans="4:8" x14ac:dyDescent="0.25">
      <c r="D30646" s="28"/>
      <c r="F30646" s="28"/>
      <c r="H30646" s="28"/>
    </row>
    <row r="30647" spans="4:8" x14ac:dyDescent="0.25">
      <c r="D30647" s="28"/>
      <c r="F30647" s="28"/>
      <c r="H30647" s="28"/>
    </row>
    <row r="30648" spans="4:8" x14ac:dyDescent="0.25">
      <c r="D30648" s="28"/>
      <c r="F30648" s="28"/>
      <c r="H30648" s="28"/>
    </row>
    <row r="30649" spans="4:8" x14ac:dyDescent="0.25">
      <c r="D30649" s="28"/>
      <c r="F30649" s="28"/>
      <c r="H30649" s="28"/>
    </row>
    <row r="30650" spans="4:8" x14ac:dyDescent="0.25">
      <c r="D30650" s="28"/>
      <c r="F30650" s="28"/>
      <c r="H30650" s="28"/>
    </row>
    <row r="30651" spans="4:8" x14ac:dyDescent="0.25">
      <c r="D30651" s="28"/>
      <c r="F30651" s="28"/>
      <c r="H30651" s="28"/>
    </row>
    <row r="30652" spans="4:8" x14ac:dyDescent="0.25">
      <c r="D30652" s="28"/>
      <c r="F30652" s="28"/>
      <c r="H30652" s="28"/>
    </row>
    <row r="30653" spans="4:8" x14ac:dyDescent="0.25">
      <c r="D30653" s="28"/>
      <c r="F30653" s="28"/>
      <c r="H30653" s="28"/>
    </row>
    <row r="30654" spans="4:8" x14ac:dyDescent="0.25">
      <c r="D30654" s="28"/>
      <c r="F30654" s="28"/>
      <c r="H30654" s="28"/>
    </row>
    <row r="30655" spans="4:8" x14ac:dyDescent="0.25">
      <c r="D30655" s="28"/>
      <c r="F30655" s="28"/>
      <c r="H30655" s="28"/>
    </row>
    <row r="30656" spans="4:8" x14ac:dyDescent="0.25">
      <c r="D30656" s="28"/>
      <c r="F30656" s="28"/>
      <c r="H30656" s="28"/>
    </row>
    <row r="30657" spans="4:8" x14ac:dyDescent="0.25">
      <c r="D30657" s="28"/>
      <c r="F30657" s="28"/>
      <c r="H30657" s="28"/>
    </row>
    <row r="30658" spans="4:8" x14ac:dyDescent="0.25">
      <c r="D30658" s="28"/>
      <c r="F30658" s="28"/>
      <c r="H30658" s="28"/>
    </row>
    <row r="30659" spans="4:8" x14ac:dyDescent="0.25">
      <c r="D30659" s="28"/>
      <c r="F30659" s="28"/>
      <c r="H30659" s="28"/>
    </row>
    <row r="30660" spans="4:8" x14ac:dyDescent="0.25">
      <c r="D30660" s="28"/>
      <c r="F30660" s="28"/>
      <c r="H30660" s="28"/>
    </row>
    <row r="30661" spans="4:8" x14ac:dyDescent="0.25">
      <c r="D30661" s="28"/>
      <c r="F30661" s="28"/>
      <c r="H30661" s="28"/>
    </row>
    <row r="30662" spans="4:8" x14ac:dyDescent="0.25">
      <c r="D30662" s="28"/>
      <c r="F30662" s="28"/>
      <c r="H30662" s="28"/>
    </row>
    <row r="30663" spans="4:8" x14ac:dyDescent="0.25">
      <c r="D30663" s="28"/>
      <c r="F30663" s="28"/>
      <c r="H30663" s="28"/>
    </row>
    <row r="30664" spans="4:8" x14ac:dyDescent="0.25">
      <c r="D30664" s="28"/>
      <c r="F30664" s="28"/>
      <c r="H30664" s="28"/>
    </row>
    <row r="30665" spans="4:8" x14ac:dyDescent="0.25">
      <c r="D30665" s="28"/>
      <c r="F30665" s="28"/>
      <c r="H30665" s="28"/>
    </row>
    <row r="30666" spans="4:8" x14ac:dyDescent="0.25">
      <c r="D30666" s="28"/>
      <c r="F30666" s="28"/>
      <c r="H30666" s="28"/>
    </row>
    <row r="30667" spans="4:8" x14ac:dyDescent="0.25">
      <c r="D30667" s="28"/>
      <c r="F30667" s="28"/>
      <c r="H30667" s="28"/>
    </row>
    <row r="30668" spans="4:8" x14ac:dyDescent="0.25">
      <c r="D30668" s="28"/>
      <c r="F30668" s="28"/>
      <c r="H30668" s="28"/>
    </row>
    <row r="30669" spans="4:8" x14ac:dyDescent="0.25">
      <c r="D30669" s="28"/>
      <c r="F30669" s="28"/>
      <c r="H30669" s="28"/>
    </row>
    <row r="30670" spans="4:8" x14ac:dyDescent="0.25">
      <c r="D30670" s="28"/>
      <c r="F30670" s="28"/>
      <c r="H30670" s="28"/>
    </row>
    <row r="30671" spans="4:8" x14ac:dyDescent="0.25">
      <c r="D30671" s="28"/>
      <c r="F30671" s="28"/>
      <c r="H30671" s="28"/>
    </row>
    <row r="30672" spans="4:8" x14ac:dyDescent="0.25">
      <c r="D30672" s="28"/>
      <c r="F30672" s="28"/>
      <c r="H30672" s="28"/>
    </row>
    <row r="30673" spans="4:8" x14ac:dyDescent="0.25">
      <c r="D30673" s="28"/>
      <c r="F30673" s="28"/>
      <c r="H30673" s="28"/>
    </row>
    <row r="30674" spans="4:8" x14ac:dyDescent="0.25">
      <c r="D30674" s="28"/>
      <c r="F30674" s="28"/>
      <c r="H30674" s="28"/>
    </row>
    <row r="30675" spans="4:8" x14ac:dyDescent="0.25">
      <c r="D30675" s="28"/>
      <c r="F30675" s="28"/>
      <c r="H30675" s="28"/>
    </row>
    <row r="30676" spans="4:8" x14ac:dyDescent="0.25">
      <c r="D30676" s="28"/>
      <c r="F30676" s="28"/>
      <c r="H30676" s="28"/>
    </row>
    <row r="30677" spans="4:8" x14ac:dyDescent="0.25">
      <c r="D30677" s="28"/>
      <c r="F30677" s="28"/>
      <c r="H30677" s="28"/>
    </row>
    <row r="30678" spans="4:8" x14ac:dyDescent="0.25">
      <c r="D30678" s="28"/>
      <c r="F30678" s="28"/>
      <c r="H30678" s="28"/>
    </row>
    <row r="30679" spans="4:8" x14ac:dyDescent="0.25">
      <c r="D30679" s="28"/>
      <c r="F30679" s="28"/>
      <c r="H30679" s="28"/>
    </row>
    <row r="30680" spans="4:8" x14ac:dyDescent="0.25">
      <c r="D30680" s="28"/>
      <c r="F30680" s="28"/>
      <c r="H30680" s="28"/>
    </row>
    <row r="30681" spans="4:8" x14ac:dyDescent="0.25">
      <c r="D30681" s="28"/>
      <c r="F30681" s="28"/>
      <c r="H30681" s="28"/>
    </row>
    <row r="30682" spans="4:8" x14ac:dyDescent="0.25">
      <c r="D30682" s="28"/>
      <c r="F30682" s="28"/>
      <c r="H30682" s="28"/>
    </row>
    <row r="30683" spans="4:8" x14ac:dyDescent="0.25">
      <c r="D30683" s="28"/>
      <c r="F30683" s="28"/>
      <c r="H30683" s="28"/>
    </row>
    <row r="30684" spans="4:8" x14ac:dyDescent="0.25">
      <c r="D30684" s="28"/>
      <c r="F30684" s="28"/>
      <c r="H30684" s="28"/>
    </row>
    <row r="30685" spans="4:8" x14ac:dyDescent="0.25">
      <c r="D30685" s="28"/>
      <c r="F30685" s="28"/>
      <c r="H30685" s="28"/>
    </row>
    <row r="30686" spans="4:8" x14ac:dyDescent="0.25">
      <c r="D30686" s="28"/>
      <c r="F30686" s="28"/>
      <c r="H30686" s="28"/>
    </row>
    <row r="30687" spans="4:8" x14ac:dyDescent="0.25">
      <c r="D30687" s="28"/>
      <c r="F30687" s="28"/>
      <c r="H30687" s="28"/>
    </row>
    <row r="30688" spans="4:8" x14ac:dyDescent="0.25">
      <c r="D30688" s="28"/>
      <c r="F30688" s="28"/>
      <c r="H30688" s="28"/>
    </row>
    <row r="30689" spans="4:8" x14ac:dyDescent="0.25">
      <c r="D30689" s="28"/>
      <c r="F30689" s="28"/>
      <c r="H30689" s="28"/>
    </row>
    <row r="30690" spans="4:8" x14ac:dyDescent="0.25">
      <c r="D30690" s="28"/>
      <c r="F30690" s="28"/>
      <c r="H30690" s="28"/>
    </row>
    <row r="30691" spans="4:8" x14ac:dyDescent="0.25">
      <c r="D30691" s="28"/>
      <c r="F30691" s="28"/>
      <c r="H30691" s="28"/>
    </row>
    <row r="30692" spans="4:8" x14ac:dyDescent="0.25">
      <c r="D30692" s="28"/>
      <c r="F30692" s="28"/>
      <c r="H30692" s="28"/>
    </row>
    <row r="30693" spans="4:8" x14ac:dyDescent="0.25">
      <c r="D30693" s="28"/>
      <c r="F30693" s="28"/>
      <c r="H30693" s="28"/>
    </row>
    <row r="30694" spans="4:8" x14ac:dyDescent="0.25">
      <c r="D30694" s="28"/>
      <c r="F30694" s="28"/>
      <c r="H30694" s="28"/>
    </row>
    <row r="30695" spans="4:8" x14ac:dyDescent="0.25">
      <c r="D30695" s="28"/>
      <c r="F30695" s="28"/>
      <c r="H30695" s="28"/>
    </row>
    <row r="30696" spans="4:8" x14ac:dyDescent="0.25">
      <c r="D30696" s="28"/>
      <c r="F30696" s="28"/>
      <c r="H30696" s="28"/>
    </row>
    <row r="30697" spans="4:8" x14ac:dyDescent="0.25">
      <c r="D30697" s="28"/>
      <c r="F30697" s="28"/>
      <c r="H30697" s="28"/>
    </row>
    <row r="30698" spans="4:8" x14ac:dyDescent="0.25">
      <c r="D30698" s="28"/>
      <c r="F30698" s="28"/>
      <c r="H30698" s="28"/>
    </row>
    <row r="30699" spans="4:8" x14ac:dyDescent="0.25">
      <c r="D30699" s="28"/>
      <c r="F30699" s="28"/>
      <c r="H30699" s="28"/>
    </row>
    <row r="30700" spans="4:8" x14ac:dyDescent="0.25">
      <c r="D30700" s="28"/>
      <c r="F30700" s="28"/>
      <c r="H30700" s="28"/>
    </row>
    <row r="30701" spans="4:8" x14ac:dyDescent="0.25">
      <c r="D30701" s="28"/>
      <c r="F30701" s="28"/>
      <c r="H30701" s="28"/>
    </row>
    <row r="30702" spans="4:8" x14ac:dyDescent="0.25">
      <c r="D30702" s="28"/>
      <c r="F30702" s="28"/>
      <c r="H30702" s="28"/>
    </row>
    <row r="30703" spans="4:8" x14ac:dyDescent="0.25">
      <c r="D30703" s="28"/>
      <c r="F30703" s="28"/>
      <c r="H30703" s="28"/>
    </row>
    <row r="30704" spans="4:8" x14ac:dyDescent="0.25">
      <c r="D30704" s="28"/>
      <c r="F30704" s="28"/>
      <c r="H30704" s="28"/>
    </row>
    <row r="30705" spans="4:8" x14ac:dyDescent="0.25">
      <c r="D30705" s="28"/>
      <c r="F30705" s="28"/>
      <c r="H30705" s="28"/>
    </row>
    <row r="30706" spans="4:8" x14ac:dyDescent="0.25">
      <c r="D30706" s="28"/>
      <c r="F30706" s="28"/>
      <c r="H30706" s="28"/>
    </row>
    <row r="30707" spans="4:8" x14ac:dyDescent="0.25">
      <c r="D30707" s="28"/>
      <c r="F30707" s="28"/>
      <c r="H30707" s="28"/>
    </row>
    <row r="30708" spans="4:8" x14ac:dyDescent="0.25">
      <c r="D30708" s="28"/>
      <c r="F30708" s="28"/>
      <c r="H30708" s="28"/>
    </row>
    <row r="30709" spans="4:8" x14ac:dyDescent="0.25">
      <c r="D30709" s="28"/>
      <c r="F30709" s="28"/>
      <c r="H30709" s="28"/>
    </row>
    <row r="30710" spans="4:8" x14ac:dyDescent="0.25">
      <c r="D30710" s="28"/>
      <c r="F30710" s="28"/>
      <c r="H30710" s="28"/>
    </row>
    <row r="30711" spans="4:8" x14ac:dyDescent="0.25">
      <c r="D30711" s="28"/>
      <c r="F30711" s="28"/>
      <c r="H30711" s="28"/>
    </row>
    <row r="30712" spans="4:8" x14ac:dyDescent="0.25">
      <c r="D30712" s="28"/>
      <c r="F30712" s="28"/>
      <c r="H30712" s="28"/>
    </row>
    <row r="30713" spans="4:8" x14ac:dyDescent="0.25">
      <c r="D30713" s="28"/>
      <c r="F30713" s="28"/>
      <c r="H30713" s="28"/>
    </row>
    <row r="30714" spans="4:8" x14ac:dyDescent="0.25">
      <c r="D30714" s="28"/>
      <c r="F30714" s="28"/>
      <c r="H30714" s="28"/>
    </row>
    <row r="30715" spans="4:8" x14ac:dyDescent="0.25">
      <c r="D30715" s="28"/>
      <c r="F30715" s="28"/>
      <c r="H30715" s="28"/>
    </row>
    <row r="30716" spans="4:8" x14ac:dyDescent="0.25">
      <c r="D30716" s="28"/>
      <c r="F30716" s="28"/>
      <c r="H30716" s="28"/>
    </row>
    <row r="30717" spans="4:8" x14ac:dyDescent="0.25">
      <c r="D30717" s="28"/>
      <c r="F30717" s="28"/>
      <c r="H30717" s="28"/>
    </row>
    <row r="30718" spans="4:8" x14ac:dyDescent="0.25">
      <c r="D30718" s="28"/>
      <c r="F30718" s="28"/>
      <c r="H30718" s="28"/>
    </row>
    <row r="30719" spans="4:8" x14ac:dyDescent="0.25">
      <c r="D30719" s="28"/>
      <c r="F30719" s="28"/>
      <c r="H30719" s="28"/>
    </row>
    <row r="30720" spans="4:8" x14ac:dyDescent="0.25">
      <c r="D30720" s="28"/>
      <c r="F30720" s="28"/>
      <c r="H30720" s="28"/>
    </row>
    <row r="30721" spans="4:8" x14ac:dyDescent="0.25">
      <c r="D30721" s="28"/>
      <c r="F30721" s="28"/>
      <c r="H30721" s="28"/>
    </row>
    <row r="30722" spans="4:8" x14ac:dyDescent="0.25">
      <c r="D30722" s="28"/>
      <c r="F30722" s="28"/>
      <c r="H30722" s="28"/>
    </row>
    <row r="30723" spans="4:8" x14ac:dyDescent="0.25">
      <c r="D30723" s="28"/>
      <c r="F30723" s="28"/>
      <c r="H30723" s="28"/>
    </row>
    <row r="30724" spans="4:8" x14ac:dyDescent="0.25">
      <c r="D30724" s="28"/>
      <c r="F30724" s="28"/>
      <c r="H30724" s="28"/>
    </row>
    <row r="30725" spans="4:8" x14ac:dyDescent="0.25">
      <c r="D30725" s="28"/>
      <c r="F30725" s="28"/>
      <c r="H30725" s="28"/>
    </row>
    <row r="30726" spans="4:8" x14ac:dyDescent="0.25">
      <c r="D30726" s="28"/>
      <c r="F30726" s="28"/>
      <c r="H30726" s="28"/>
    </row>
    <row r="30727" spans="4:8" x14ac:dyDescent="0.25">
      <c r="D30727" s="28"/>
      <c r="F30727" s="28"/>
      <c r="H30727" s="28"/>
    </row>
    <row r="30728" spans="4:8" x14ac:dyDescent="0.25">
      <c r="D30728" s="28"/>
      <c r="F30728" s="28"/>
      <c r="H30728" s="28"/>
    </row>
    <row r="30729" spans="4:8" x14ac:dyDescent="0.25">
      <c r="D30729" s="28"/>
      <c r="F30729" s="28"/>
      <c r="H30729" s="28"/>
    </row>
    <row r="30730" spans="4:8" x14ac:dyDescent="0.25">
      <c r="D30730" s="28"/>
      <c r="F30730" s="28"/>
      <c r="H30730" s="28"/>
    </row>
    <row r="30731" spans="4:8" x14ac:dyDescent="0.25">
      <c r="D30731" s="28"/>
      <c r="F30731" s="28"/>
      <c r="H30731" s="28"/>
    </row>
    <row r="30732" spans="4:8" x14ac:dyDescent="0.25">
      <c r="D30732" s="28"/>
      <c r="F30732" s="28"/>
      <c r="H30732" s="28"/>
    </row>
    <row r="30733" spans="4:8" x14ac:dyDescent="0.25">
      <c r="D30733" s="28"/>
      <c r="F30733" s="28"/>
      <c r="H30733" s="28"/>
    </row>
    <row r="30734" spans="4:8" x14ac:dyDescent="0.25">
      <c r="D30734" s="28"/>
      <c r="F30734" s="28"/>
      <c r="H30734" s="28"/>
    </row>
    <row r="30735" spans="4:8" x14ac:dyDescent="0.25">
      <c r="D30735" s="28"/>
      <c r="F30735" s="28"/>
      <c r="H30735" s="28"/>
    </row>
    <row r="30736" spans="4:8" x14ac:dyDescent="0.25">
      <c r="D30736" s="28"/>
      <c r="F30736" s="28"/>
      <c r="H30736" s="28"/>
    </row>
    <row r="30737" spans="4:8" x14ac:dyDescent="0.25">
      <c r="D30737" s="28"/>
      <c r="F30737" s="28"/>
      <c r="H30737" s="28"/>
    </row>
    <row r="30738" spans="4:8" x14ac:dyDescent="0.25">
      <c r="D30738" s="28"/>
      <c r="F30738" s="28"/>
      <c r="H30738" s="28"/>
    </row>
    <row r="30739" spans="4:8" x14ac:dyDescent="0.25">
      <c r="D30739" s="28"/>
      <c r="F30739" s="28"/>
      <c r="H30739" s="28"/>
    </row>
    <row r="30740" spans="4:8" x14ac:dyDescent="0.25">
      <c r="D30740" s="28"/>
      <c r="F30740" s="28"/>
      <c r="H30740" s="28"/>
    </row>
    <row r="30741" spans="4:8" x14ac:dyDescent="0.25">
      <c r="D30741" s="28"/>
      <c r="F30741" s="28"/>
      <c r="H30741" s="28"/>
    </row>
    <row r="30742" spans="4:8" x14ac:dyDescent="0.25">
      <c r="D30742" s="28"/>
      <c r="F30742" s="28"/>
      <c r="H30742" s="28"/>
    </row>
    <row r="30743" spans="4:8" x14ac:dyDescent="0.25">
      <c r="D30743" s="28"/>
      <c r="F30743" s="28"/>
      <c r="H30743" s="28"/>
    </row>
    <row r="30744" spans="4:8" x14ac:dyDescent="0.25">
      <c r="D30744" s="28"/>
      <c r="F30744" s="28"/>
      <c r="H30744" s="28"/>
    </row>
    <row r="30745" spans="4:8" x14ac:dyDescent="0.25">
      <c r="D30745" s="28"/>
      <c r="F30745" s="28"/>
      <c r="H30745" s="28"/>
    </row>
    <row r="30746" spans="4:8" x14ac:dyDescent="0.25">
      <c r="D30746" s="28"/>
      <c r="F30746" s="28"/>
      <c r="H30746" s="28"/>
    </row>
    <row r="30747" spans="4:8" x14ac:dyDescent="0.25">
      <c r="D30747" s="28"/>
      <c r="F30747" s="28"/>
      <c r="H30747" s="28"/>
    </row>
    <row r="30748" spans="4:8" x14ac:dyDescent="0.25">
      <c r="D30748" s="28"/>
      <c r="F30748" s="28"/>
      <c r="H30748" s="28"/>
    </row>
    <row r="30749" spans="4:8" x14ac:dyDescent="0.25">
      <c r="D30749" s="28"/>
      <c r="F30749" s="28"/>
      <c r="H30749" s="28"/>
    </row>
    <row r="30750" spans="4:8" x14ac:dyDescent="0.25">
      <c r="D30750" s="28"/>
      <c r="F30750" s="28"/>
      <c r="H30750" s="28"/>
    </row>
    <row r="30751" spans="4:8" x14ac:dyDescent="0.25">
      <c r="D30751" s="28"/>
      <c r="F30751" s="28"/>
      <c r="H30751" s="28"/>
    </row>
    <row r="30752" spans="4:8" x14ac:dyDescent="0.25">
      <c r="D30752" s="28"/>
      <c r="F30752" s="28"/>
      <c r="H30752" s="28"/>
    </row>
    <row r="30753" spans="4:8" x14ac:dyDescent="0.25">
      <c r="D30753" s="28"/>
      <c r="F30753" s="28"/>
      <c r="H30753" s="28"/>
    </row>
    <row r="30754" spans="4:8" x14ac:dyDescent="0.25">
      <c r="D30754" s="28"/>
      <c r="F30754" s="28"/>
      <c r="H30754" s="28"/>
    </row>
    <row r="30755" spans="4:8" x14ac:dyDescent="0.25">
      <c r="D30755" s="28"/>
      <c r="F30755" s="28"/>
      <c r="H30755" s="28"/>
    </row>
    <row r="30756" spans="4:8" x14ac:dyDescent="0.25">
      <c r="D30756" s="28"/>
      <c r="F30756" s="28"/>
      <c r="H30756" s="28"/>
    </row>
    <row r="30757" spans="4:8" x14ac:dyDescent="0.25">
      <c r="D30757" s="28"/>
      <c r="F30757" s="28"/>
      <c r="H30757" s="28"/>
    </row>
    <row r="30758" spans="4:8" x14ac:dyDescent="0.25">
      <c r="D30758" s="28"/>
      <c r="F30758" s="28"/>
      <c r="H30758" s="28"/>
    </row>
    <row r="30759" spans="4:8" x14ac:dyDescent="0.25">
      <c r="D30759" s="28"/>
      <c r="F30759" s="28"/>
      <c r="H30759" s="28"/>
    </row>
    <row r="30760" spans="4:8" x14ac:dyDescent="0.25">
      <c r="D30760" s="28"/>
      <c r="F30760" s="28"/>
      <c r="H30760" s="28"/>
    </row>
    <row r="30761" spans="4:8" x14ac:dyDescent="0.25">
      <c r="D30761" s="28"/>
      <c r="F30761" s="28"/>
      <c r="H30761" s="28"/>
    </row>
    <row r="30762" spans="4:8" x14ac:dyDescent="0.25">
      <c r="D30762" s="28"/>
      <c r="F30762" s="28"/>
      <c r="H30762" s="28"/>
    </row>
    <row r="30763" spans="4:8" x14ac:dyDescent="0.25">
      <c r="D30763" s="28"/>
      <c r="F30763" s="28"/>
      <c r="H30763" s="28"/>
    </row>
    <row r="30764" spans="4:8" x14ac:dyDescent="0.25">
      <c r="D30764" s="28"/>
      <c r="F30764" s="28"/>
      <c r="H30764" s="28"/>
    </row>
    <row r="30765" spans="4:8" x14ac:dyDescent="0.25">
      <c r="D30765" s="28"/>
      <c r="F30765" s="28"/>
      <c r="H30765" s="28"/>
    </row>
    <row r="30766" spans="4:8" x14ac:dyDescent="0.25">
      <c r="D30766" s="28"/>
      <c r="F30766" s="28"/>
      <c r="H30766" s="28"/>
    </row>
    <row r="30767" spans="4:8" x14ac:dyDescent="0.25">
      <c r="D30767" s="28"/>
      <c r="F30767" s="28"/>
      <c r="H30767" s="28"/>
    </row>
    <row r="30768" spans="4:8" x14ac:dyDescent="0.25">
      <c r="D30768" s="28"/>
      <c r="F30768" s="28"/>
      <c r="H30768" s="28"/>
    </row>
    <row r="30769" spans="4:8" x14ac:dyDescent="0.25">
      <c r="D30769" s="28"/>
      <c r="F30769" s="28"/>
      <c r="H30769" s="28"/>
    </row>
    <row r="30770" spans="4:8" x14ac:dyDescent="0.25">
      <c r="D30770" s="28"/>
      <c r="F30770" s="28"/>
      <c r="H30770" s="28"/>
    </row>
    <row r="30771" spans="4:8" x14ac:dyDescent="0.25">
      <c r="D30771" s="28"/>
      <c r="F30771" s="28"/>
      <c r="H30771" s="28"/>
    </row>
    <row r="30772" spans="4:8" x14ac:dyDescent="0.25">
      <c r="D30772" s="28"/>
      <c r="F30772" s="28"/>
      <c r="H30772" s="28"/>
    </row>
    <row r="30773" spans="4:8" x14ac:dyDescent="0.25">
      <c r="D30773" s="28"/>
      <c r="F30773" s="28"/>
      <c r="H30773" s="28"/>
    </row>
    <row r="30774" spans="4:8" x14ac:dyDescent="0.25">
      <c r="D30774" s="28"/>
      <c r="F30774" s="28"/>
      <c r="H30774" s="28"/>
    </row>
    <row r="30775" spans="4:8" x14ac:dyDescent="0.25">
      <c r="D30775" s="28"/>
      <c r="F30775" s="28"/>
      <c r="H30775" s="28"/>
    </row>
    <row r="30776" spans="4:8" x14ac:dyDescent="0.25">
      <c r="D30776" s="28"/>
      <c r="F30776" s="28"/>
      <c r="H30776" s="28"/>
    </row>
    <row r="30777" spans="4:8" x14ac:dyDescent="0.25">
      <c r="D30777" s="28"/>
      <c r="F30777" s="28"/>
      <c r="H30777" s="28"/>
    </row>
    <row r="30778" spans="4:8" x14ac:dyDescent="0.25">
      <c r="D30778" s="28"/>
      <c r="F30778" s="28"/>
      <c r="H30778" s="28"/>
    </row>
    <row r="30779" spans="4:8" x14ac:dyDescent="0.25">
      <c r="D30779" s="28"/>
      <c r="F30779" s="28"/>
      <c r="H30779" s="28"/>
    </row>
    <row r="30780" spans="4:8" x14ac:dyDescent="0.25">
      <c r="D30780" s="28"/>
      <c r="F30780" s="28"/>
      <c r="H30780" s="28"/>
    </row>
    <row r="30781" spans="4:8" x14ac:dyDescent="0.25">
      <c r="D30781" s="28"/>
      <c r="F30781" s="28"/>
      <c r="H30781" s="28"/>
    </row>
    <row r="30782" spans="4:8" x14ac:dyDescent="0.25">
      <c r="D30782" s="28"/>
      <c r="F30782" s="28"/>
      <c r="H30782" s="28"/>
    </row>
    <row r="30783" spans="4:8" x14ac:dyDescent="0.25">
      <c r="D30783" s="28"/>
      <c r="F30783" s="28"/>
      <c r="H30783" s="28"/>
    </row>
    <row r="30784" spans="4:8" x14ac:dyDescent="0.25">
      <c r="D30784" s="28"/>
      <c r="F30784" s="28"/>
      <c r="H30784" s="28"/>
    </row>
    <row r="30785" spans="4:8" x14ac:dyDescent="0.25">
      <c r="D30785" s="28"/>
      <c r="F30785" s="28"/>
      <c r="H30785" s="28"/>
    </row>
    <row r="30786" spans="4:8" x14ac:dyDescent="0.25">
      <c r="D30786" s="28"/>
      <c r="F30786" s="28"/>
      <c r="H30786" s="28"/>
    </row>
    <row r="30787" spans="4:8" x14ac:dyDescent="0.25">
      <c r="D30787" s="28"/>
      <c r="F30787" s="28"/>
      <c r="H30787" s="28"/>
    </row>
    <row r="30788" spans="4:8" x14ac:dyDescent="0.25">
      <c r="D30788" s="28"/>
      <c r="F30788" s="28"/>
      <c r="H30788" s="28"/>
    </row>
    <row r="30789" spans="4:8" x14ac:dyDescent="0.25">
      <c r="D30789" s="28"/>
      <c r="F30789" s="28"/>
      <c r="H30789" s="28"/>
    </row>
    <row r="30790" spans="4:8" x14ac:dyDescent="0.25">
      <c r="D30790" s="28"/>
      <c r="F30790" s="28"/>
      <c r="H30790" s="28"/>
    </row>
    <row r="30791" spans="4:8" x14ac:dyDescent="0.25">
      <c r="D30791" s="28"/>
      <c r="F30791" s="28"/>
      <c r="H30791" s="28"/>
    </row>
    <row r="30792" spans="4:8" x14ac:dyDescent="0.25">
      <c r="D30792" s="28"/>
      <c r="F30792" s="28"/>
      <c r="H30792" s="28"/>
    </row>
    <row r="30793" spans="4:8" x14ac:dyDescent="0.25">
      <c r="D30793" s="28"/>
      <c r="F30793" s="28"/>
      <c r="H30793" s="28"/>
    </row>
    <row r="30794" spans="4:8" x14ac:dyDescent="0.25">
      <c r="D30794" s="28"/>
      <c r="F30794" s="28"/>
      <c r="H30794" s="28"/>
    </row>
    <row r="30795" spans="4:8" x14ac:dyDescent="0.25">
      <c r="D30795" s="28"/>
      <c r="F30795" s="28"/>
      <c r="H30795" s="28"/>
    </row>
    <row r="30796" spans="4:8" x14ac:dyDescent="0.25">
      <c r="D30796" s="28"/>
      <c r="F30796" s="28"/>
      <c r="H30796" s="28"/>
    </row>
    <row r="30797" spans="4:8" x14ac:dyDescent="0.25">
      <c r="D30797" s="28"/>
      <c r="F30797" s="28"/>
      <c r="H30797" s="28"/>
    </row>
    <row r="30798" spans="4:8" x14ac:dyDescent="0.25">
      <c r="D30798" s="28"/>
      <c r="F30798" s="28"/>
      <c r="H30798" s="28"/>
    </row>
    <row r="30799" spans="4:8" x14ac:dyDescent="0.25">
      <c r="D30799" s="28"/>
      <c r="F30799" s="28"/>
      <c r="H30799" s="28"/>
    </row>
    <row r="30800" spans="4:8" x14ac:dyDescent="0.25">
      <c r="D30800" s="28"/>
      <c r="F30800" s="28"/>
      <c r="H30800" s="28"/>
    </row>
    <row r="30801" spans="4:8" x14ac:dyDescent="0.25">
      <c r="D30801" s="28"/>
      <c r="F30801" s="28"/>
      <c r="H30801" s="28"/>
    </row>
    <row r="30802" spans="4:8" x14ac:dyDescent="0.25">
      <c r="D30802" s="28"/>
      <c r="F30802" s="28"/>
      <c r="H30802" s="28"/>
    </row>
    <row r="30803" spans="4:8" x14ac:dyDescent="0.25">
      <c r="D30803" s="28"/>
      <c r="F30803" s="28"/>
      <c r="H30803" s="28"/>
    </row>
    <row r="30804" spans="4:8" x14ac:dyDescent="0.25">
      <c r="D30804" s="28"/>
      <c r="F30804" s="28"/>
      <c r="H30804" s="28"/>
    </row>
    <row r="30805" spans="4:8" x14ac:dyDescent="0.25">
      <c r="D30805" s="28"/>
      <c r="F30805" s="28"/>
      <c r="H30805" s="28"/>
    </row>
    <row r="30806" spans="4:8" x14ac:dyDescent="0.25">
      <c r="D30806" s="28"/>
      <c r="F30806" s="28"/>
      <c r="H30806" s="28"/>
    </row>
    <row r="30807" spans="4:8" x14ac:dyDescent="0.25">
      <c r="D30807" s="28"/>
      <c r="F30807" s="28"/>
      <c r="H30807" s="28"/>
    </row>
    <row r="30808" spans="4:8" x14ac:dyDescent="0.25">
      <c r="D30808" s="28"/>
      <c r="F30808" s="28"/>
      <c r="H30808" s="28"/>
    </row>
    <row r="30809" spans="4:8" x14ac:dyDescent="0.25">
      <c r="D30809" s="28"/>
      <c r="F30809" s="28"/>
      <c r="H30809" s="28"/>
    </row>
    <row r="30810" spans="4:8" x14ac:dyDescent="0.25">
      <c r="D30810" s="28"/>
      <c r="F30810" s="28"/>
      <c r="H30810" s="28"/>
    </row>
    <row r="30811" spans="4:8" x14ac:dyDescent="0.25">
      <c r="D30811" s="28"/>
      <c r="F30811" s="28"/>
      <c r="H30811" s="28"/>
    </row>
    <row r="30812" spans="4:8" x14ac:dyDescent="0.25">
      <c r="D30812" s="28"/>
      <c r="F30812" s="28"/>
      <c r="H30812" s="28"/>
    </row>
    <row r="30813" spans="4:8" x14ac:dyDescent="0.25">
      <c r="D30813" s="28"/>
      <c r="F30813" s="28"/>
      <c r="H30813" s="28"/>
    </row>
    <row r="30814" spans="4:8" x14ac:dyDescent="0.25">
      <c r="D30814" s="28"/>
      <c r="F30814" s="28"/>
      <c r="H30814" s="28"/>
    </row>
    <row r="30815" spans="4:8" x14ac:dyDescent="0.25">
      <c r="D30815" s="28"/>
      <c r="F30815" s="28"/>
      <c r="H30815" s="28"/>
    </row>
    <row r="30816" spans="4:8" x14ac:dyDescent="0.25">
      <c r="D30816" s="28"/>
      <c r="F30816" s="28"/>
      <c r="H30816" s="28"/>
    </row>
    <row r="30817" spans="4:8" x14ac:dyDescent="0.25">
      <c r="D30817" s="28"/>
      <c r="F30817" s="28"/>
      <c r="H30817" s="28"/>
    </row>
    <row r="30818" spans="4:8" x14ac:dyDescent="0.25">
      <c r="D30818" s="28"/>
      <c r="F30818" s="28"/>
      <c r="H30818" s="28"/>
    </row>
    <row r="30819" spans="4:8" x14ac:dyDescent="0.25">
      <c r="D30819" s="28"/>
      <c r="F30819" s="28"/>
      <c r="H30819" s="28"/>
    </row>
    <row r="30820" spans="4:8" x14ac:dyDescent="0.25">
      <c r="D30820" s="28"/>
      <c r="F30820" s="28"/>
      <c r="H30820" s="28"/>
    </row>
    <row r="30821" spans="4:8" x14ac:dyDescent="0.25">
      <c r="D30821" s="28"/>
      <c r="F30821" s="28"/>
      <c r="H30821" s="28"/>
    </row>
    <row r="30822" spans="4:8" x14ac:dyDescent="0.25">
      <c r="D30822" s="28"/>
      <c r="F30822" s="28"/>
      <c r="H30822" s="28"/>
    </row>
    <row r="30823" spans="4:8" x14ac:dyDescent="0.25">
      <c r="D30823" s="28"/>
      <c r="F30823" s="28"/>
      <c r="H30823" s="28"/>
    </row>
    <row r="30824" spans="4:8" x14ac:dyDescent="0.25">
      <c r="D30824" s="28"/>
      <c r="F30824" s="28"/>
      <c r="H30824" s="28"/>
    </row>
    <row r="30825" spans="4:8" x14ac:dyDescent="0.25">
      <c r="D30825" s="28"/>
      <c r="F30825" s="28"/>
      <c r="H30825" s="28"/>
    </row>
    <row r="30826" spans="4:8" x14ac:dyDescent="0.25">
      <c r="D30826" s="28"/>
      <c r="F30826" s="28"/>
      <c r="H30826" s="28"/>
    </row>
    <row r="30827" spans="4:8" x14ac:dyDescent="0.25">
      <c r="D30827" s="28"/>
      <c r="F30827" s="28"/>
      <c r="H30827" s="28"/>
    </row>
    <row r="30828" spans="4:8" x14ac:dyDescent="0.25">
      <c r="D30828" s="28"/>
      <c r="F30828" s="28"/>
      <c r="H30828" s="28"/>
    </row>
    <row r="30829" spans="4:8" x14ac:dyDescent="0.25">
      <c r="D30829" s="28"/>
      <c r="F30829" s="28"/>
      <c r="H30829" s="28"/>
    </row>
    <row r="30830" spans="4:8" x14ac:dyDescent="0.25">
      <c r="D30830" s="28"/>
      <c r="F30830" s="28"/>
      <c r="H30830" s="28"/>
    </row>
    <row r="30831" spans="4:8" x14ac:dyDescent="0.25">
      <c r="D30831" s="28"/>
      <c r="F30831" s="28"/>
      <c r="H30831" s="28"/>
    </row>
    <row r="30832" spans="4:8" x14ac:dyDescent="0.25">
      <c r="D30832" s="28"/>
      <c r="F30832" s="28"/>
      <c r="H30832" s="28"/>
    </row>
    <row r="30833" spans="4:8" x14ac:dyDescent="0.25">
      <c r="D30833" s="28"/>
      <c r="F30833" s="28"/>
      <c r="H30833" s="28"/>
    </row>
    <row r="30834" spans="4:8" x14ac:dyDescent="0.25">
      <c r="D30834" s="28"/>
      <c r="F30834" s="28"/>
      <c r="H30834" s="28"/>
    </row>
    <row r="30835" spans="4:8" x14ac:dyDescent="0.25">
      <c r="D30835" s="28"/>
      <c r="F30835" s="28"/>
      <c r="H30835" s="28"/>
    </row>
    <row r="30836" spans="4:8" x14ac:dyDescent="0.25">
      <c r="D30836" s="28"/>
      <c r="F30836" s="28"/>
      <c r="H30836" s="28"/>
    </row>
    <row r="30837" spans="4:8" x14ac:dyDescent="0.25">
      <c r="D30837" s="28"/>
      <c r="F30837" s="28"/>
      <c r="H30837" s="28"/>
    </row>
    <row r="30838" spans="4:8" x14ac:dyDescent="0.25">
      <c r="D30838" s="28"/>
      <c r="F30838" s="28"/>
      <c r="H30838" s="28"/>
    </row>
    <row r="30839" spans="4:8" x14ac:dyDescent="0.25">
      <c r="D30839" s="28"/>
      <c r="F30839" s="28"/>
      <c r="H30839" s="28"/>
    </row>
    <row r="30840" spans="4:8" x14ac:dyDescent="0.25">
      <c r="D30840" s="28"/>
      <c r="F30840" s="28"/>
      <c r="H30840" s="28"/>
    </row>
    <row r="30841" spans="4:8" x14ac:dyDescent="0.25">
      <c r="D30841" s="28"/>
      <c r="F30841" s="28"/>
      <c r="H30841" s="28"/>
    </row>
    <row r="30842" spans="4:8" x14ac:dyDescent="0.25">
      <c r="D30842" s="28"/>
      <c r="F30842" s="28"/>
      <c r="H30842" s="28"/>
    </row>
    <row r="30843" spans="4:8" x14ac:dyDescent="0.25">
      <c r="D30843" s="28"/>
      <c r="F30843" s="28"/>
      <c r="H30843" s="28"/>
    </row>
    <row r="30844" spans="4:8" x14ac:dyDescent="0.25">
      <c r="D30844" s="28"/>
      <c r="F30844" s="28"/>
      <c r="H30844" s="28"/>
    </row>
    <row r="30845" spans="4:8" x14ac:dyDescent="0.25">
      <c r="D30845" s="28"/>
      <c r="F30845" s="28"/>
      <c r="H30845" s="28"/>
    </row>
    <row r="30846" spans="4:8" x14ac:dyDescent="0.25">
      <c r="D30846" s="28"/>
      <c r="F30846" s="28"/>
      <c r="H30846" s="28"/>
    </row>
    <row r="30847" spans="4:8" x14ac:dyDescent="0.25">
      <c r="D30847" s="28"/>
      <c r="F30847" s="28"/>
      <c r="H30847" s="28"/>
    </row>
    <row r="30848" spans="4:8" x14ac:dyDescent="0.25">
      <c r="D30848" s="28"/>
      <c r="F30848" s="28"/>
      <c r="H30848" s="28"/>
    </row>
    <row r="30849" spans="4:8" x14ac:dyDescent="0.25">
      <c r="D30849" s="28"/>
      <c r="F30849" s="28"/>
      <c r="H30849" s="28"/>
    </row>
    <row r="30850" spans="4:8" x14ac:dyDescent="0.25">
      <c r="D30850" s="28"/>
      <c r="F30850" s="28"/>
      <c r="H30850" s="28"/>
    </row>
    <row r="30851" spans="4:8" x14ac:dyDescent="0.25">
      <c r="D30851" s="28"/>
      <c r="F30851" s="28"/>
      <c r="H30851" s="28"/>
    </row>
    <row r="30852" spans="4:8" x14ac:dyDescent="0.25">
      <c r="D30852" s="28"/>
      <c r="F30852" s="28"/>
      <c r="H30852" s="28"/>
    </row>
    <row r="30853" spans="4:8" x14ac:dyDescent="0.25">
      <c r="D30853" s="28"/>
      <c r="F30853" s="28"/>
      <c r="H30853" s="28"/>
    </row>
    <row r="30854" spans="4:8" x14ac:dyDescent="0.25">
      <c r="D30854" s="28"/>
      <c r="F30854" s="28"/>
      <c r="H30854" s="28"/>
    </row>
    <row r="30855" spans="4:8" x14ac:dyDescent="0.25">
      <c r="D30855" s="28"/>
      <c r="F30855" s="28"/>
      <c r="H30855" s="28"/>
    </row>
    <row r="30856" spans="4:8" x14ac:dyDescent="0.25">
      <c r="D30856" s="28"/>
      <c r="F30856" s="28"/>
      <c r="H30856" s="28"/>
    </row>
    <row r="30857" spans="4:8" x14ac:dyDescent="0.25">
      <c r="D30857" s="28"/>
      <c r="F30857" s="28"/>
      <c r="H30857" s="28"/>
    </row>
    <row r="30858" spans="4:8" x14ac:dyDescent="0.25">
      <c r="D30858" s="28"/>
      <c r="F30858" s="28"/>
      <c r="H30858" s="28"/>
    </row>
    <row r="30859" spans="4:8" x14ac:dyDescent="0.25">
      <c r="D30859" s="28"/>
      <c r="F30859" s="28"/>
      <c r="H30859" s="28"/>
    </row>
    <row r="30860" spans="4:8" x14ac:dyDescent="0.25">
      <c r="D30860" s="28"/>
      <c r="F30860" s="28"/>
      <c r="H30860" s="28"/>
    </row>
    <row r="30861" spans="4:8" x14ac:dyDescent="0.25">
      <c r="D30861" s="28"/>
      <c r="F30861" s="28"/>
      <c r="H30861" s="28"/>
    </row>
    <row r="30862" spans="4:8" x14ac:dyDescent="0.25">
      <c r="D30862" s="28"/>
      <c r="F30862" s="28"/>
      <c r="H30862" s="28"/>
    </row>
    <row r="30863" spans="4:8" x14ac:dyDescent="0.25">
      <c r="D30863" s="28"/>
      <c r="F30863" s="28"/>
      <c r="H30863" s="28"/>
    </row>
    <row r="30864" spans="4:8" x14ac:dyDescent="0.25">
      <c r="D30864" s="28"/>
      <c r="F30864" s="28"/>
      <c r="H30864" s="28"/>
    </row>
    <row r="30865" spans="4:8" x14ac:dyDescent="0.25">
      <c r="D30865" s="28"/>
      <c r="F30865" s="28"/>
      <c r="H30865" s="28"/>
    </row>
    <row r="30866" spans="4:8" x14ac:dyDescent="0.25">
      <c r="D30866" s="28"/>
      <c r="F30866" s="28"/>
      <c r="H30866" s="28"/>
    </row>
    <row r="30867" spans="4:8" x14ac:dyDescent="0.25">
      <c r="D30867" s="28"/>
      <c r="F30867" s="28"/>
      <c r="H30867" s="28"/>
    </row>
    <row r="30868" spans="4:8" x14ac:dyDescent="0.25">
      <c r="D30868" s="28"/>
      <c r="F30868" s="28"/>
      <c r="H30868" s="28"/>
    </row>
    <row r="30869" spans="4:8" x14ac:dyDescent="0.25">
      <c r="D30869" s="28"/>
      <c r="F30869" s="28"/>
      <c r="H30869" s="28"/>
    </row>
    <row r="30870" spans="4:8" x14ac:dyDescent="0.25">
      <c r="D30870" s="28"/>
      <c r="F30870" s="28"/>
      <c r="H30870" s="28"/>
    </row>
    <row r="30871" spans="4:8" x14ac:dyDescent="0.25">
      <c r="D30871" s="28"/>
      <c r="F30871" s="28"/>
      <c r="H30871" s="28"/>
    </row>
    <row r="30872" spans="4:8" x14ac:dyDescent="0.25">
      <c r="D30872" s="28"/>
      <c r="F30872" s="28"/>
      <c r="H30872" s="28"/>
    </row>
    <row r="30873" spans="4:8" x14ac:dyDescent="0.25">
      <c r="D30873" s="28"/>
      <c r="F30873" s="28"/>
      <c r="H30873" s="28"/>
    </row>
    <row r="30874" spans="4:8" x14ac:dyDescent="0.25">
      <c r="D30874" s="28"/>
      <c r="F30874" s="28"/>
      <c r="H30874" s="28"/>
    </row>
    <row r="30875" spans="4:8" x14ac:dyDescent="0.25">
      <c r="D30875" s="28"/>
      <c r="F30875" s="28"/>
      <c r="H30875" s="28"/>
    </row>
    <row r="30876" spans="4:8" x14ac:dyDescent="0.25">
      <c r="D30876" s="28"/>
      <c r="F30876" s="28"/>
      <c r="H30876" s="28"/>
    </row>
    <row r="30877" spans="4:8" x14ac:dyDescent="0.25">
      <c r="D30877" s="28"/>
      <c r="F30877" s="28"/>
      <c r="H30877" s="28"/>
    </row>
    <row r="30878" spans="4:8" x14ac:dyDescent="0.25">
      <c r="D30878" s="28"/>
      <c r="F30878" s="28"/>
      <c r="H30878" s="28"/>
    </row>
    <row r="30879" spans="4:8" x14ac:dyDescent="0.25">
      <c r="D30879" s="28"/>
      <c r="F30879" s="28"/>
      <c r="H30879" s="28"/>
    </row>
    <row r="30880" spans="4:8" x14ac:dyDescent="0.25">
      <c r="D30880" s="28"/>
      <c r="F30880" s="28"/>
      <c r="H30880" s="28"/>
    </row>
    <row r="30881" spans="4:8" x14ac:dyDescent="0.25">
      <c r="D30881" s="28"/>
      <c r="F30881" s="28"/>
      <c r="H30881" s="28"/>
    </row>
    <row r="30882" spans="4:8" x14ac:dyDescent="0.25">
      <c r="D30882" s="28"/>
      <c r="F30882" s="28"/>
      <c r="H30882" s="28"/>
    </row>
    <row r="30883" spans="4:8" x14ac:dyDescent="0.25">
      <c r="D30883" s="28"/>
      <c r="F30883" s="28"/>
      <c r="H30883" s="28"/>
    </row>
    <row r="30884" spans="4:8" x14ac:dyDescent="0.25">
      <c r="D30884" s="28"/>
      <c r="F30884" s="28"/>
      <c r="H30884" s="28"/>
    </row>
    <row r="30885" spans="4:8" x14ac:dyDescent="0.25">
      <c r="D30885" s="28"/>
      <c r="F30885" s="28"/>
      <c r="H30885" s="28"/>
    </row>
    <row r="30886" spans="4:8" x14ac:dyDescent="0.25">
      <c r="D30886" s="28"/>
      <c r="F30886" s="28"/>
      <c r="H30886" s="28"/>
    </row>
    <row r="30887" spans="4:8" x14ac:dyDescent="0.25">
      <c r="D30887" s="28"/>
      <c r="F30887" s="28"/>
      <c r="H30887" s="28"/>
    </row>
    <row r="30888" spans="4:8" x14ac:dyDescent="0.25">
      <c r="D30888" s="28"/>
      <c r="F30888" s="28"/>
      <c r="H30888" s="28"/>
    </row>
    <row r="30889" spans="4:8" x14ac:dyDescent="0.25">
      <c r="D30889" s="28"/>
      <c r="F30889" s="28"/>
      <c r="H30889" s="28"/>
    </row>
    <row r="30890" spans="4:8" x14ac:dyDescent="0.25">
      <c r="D30890" s="28"/>
      <c r="F30890" s="28"/>
      <c r="H30890" s="28"/>
    </row>
    <row r="30891" spans="4:8" x14ac:dyDescent="0.25">
      <c r="D30891" s="28"/>
      <c r="F30891" s="28"/>
      <c r="H30891" s="28"/>
    </row>
    <row r="30892" spans="4:8" x14ac:dyDescent="0.25">
      <c r="D30892" s="28"/>
      <c r="F30892" s="28"/>
      <c r="H30892" s="28"/>
    </row>
    <row r="30893" spans="4:8" x14ac:dyDescent="0.25">
      <c r="D30893" s="28"/>
      <c r="F30893" s="28"/>
      <c r="H30893" s="28"/>
    </row>
    <row r="30894" spans="4:8" x14ac:dyDescent="0.25">
      <c r="D30894" s="28"/>
      <c r="F30894" s="28"/>
      <c r="H30894" s="28"/>
    </row>
    <row r="30895" spans="4:8" x14ac:dyDescent="0.25">
      <c r="D30895" s="28"/>
      <c r="F30895" s="28"/>
      <c r="H30895" s="28"/>
    </row>
    <row r="30896" spans="4:8" x14ac:dyDescent="0.25">
      <c r="D30896" s="28"/>
      <c r="F30896" s="28"/>
      <c r="H30896" s="28"/>
    </row>
    <row r="30897" spans="4:8" x14ac:dyDescent="0.25">
      <c r="D30897" s="28"/>
      <c r="F30897" s="28"/>
      <c r="H30897" s="28"/>
    </row>
    <row r="30898" spans="4:8" x14ac:dyDescent="0.25">
      <c r="D30898" s="28"/>
      <c r="F30898" s="28"/>
      <c r="H30898" s="28"/>
    </row>
    <row r="30899" spans="4:8" x14ac:dyDescent="0.25">
      <c r="D30899" s="28"/>
      <c r="F30899" s="28"/>
      <c r="H30899" s="28"/>
    </row>
    <row r="30900" spans="4:8" x14ac:dyDescent="0.25">
      <c r="D30900" s="28"/>
      <c r="F30900" s="28"/>
      <c r="H30900" s="28"/>
    </row>
    <row r="30901" spans="4:8" x14ac:dyDescent="0.25">
      <c r="D30901" s="28"/>
      <c r="F30901" s="28"/>
      <c r="H30901" s="28"/>
    </row>
    <row r="30902" spans="4:8" x14ac:dyDescent="0.25">
      <c r="D30902" s="28"/>
      <c r="F30902" s="28"/>
      <c r="H30902" s="28"/>
    </row>
    <row r="30903" spans="4:8" x14ac:dyDescent="0.25">
      <c r="D30903" s="28"/>
      <c r="F30903" s="28"/>
      <c r="H30903" s="28"/>
    </row>
    <row r="30904" spans="4:8" x14ac:dyDescent="0.25">
      <c r="D30904" s="28"/>
      <c r="F30904" s="28"/>
      <c r="H30904" s="28"/>
    </row>
    <row r="30905" spans="4:8" x14ac:dyDescent="0.25">
      <c r="D30905" s="28"/>
      <c r="F30905" s="28"/>
      <c r="H30905" s="28"/>
    </row>
    <row r="30906" spans="4:8" x14ac:dyDescent="0.25">
      <c r="D30906" s="28"/>
      <c r="F30906" s="28"/>
      <c r="H30906" s="28"/>
    </row>
    <row r="30907" spans="4:8" x14ac:dyDescent="0.25">
      <c r="D30907" s="28"/>
      <c r="F30907" s="28"/>
      <c r="H30907" s="28"/>
    </row>
    <row r="30908" spans="4:8" x14ac:dyDescent="0.25">
      <c r="D30908" s="28"/>
      <c r="F30908" s="28"/>
      <c r="H30908" s="28"/>
    </row>
    <row r="30909" spans="4:8" x14ac:dyDescent="0.25">
      <c r="D30909" s="28"/>
      <c r="F30909" s="28"/>
      <c r="H30909" s="28"/>
    </row>
    <row r="30910" spans="4:8" x14ac:dyDescent="0.25">
      <c r="D30910" s="28"/>
      <c r="F30910" s="28"/>
      <c r="H30910" s="28"/>
    </row>
    <row r="30911" spans="4:8" x14ac:dyDescent="0.25">
      <c r="D30911" s="28"/>
      <c r="F30911" s="28"/>
      <c r="H30911" s="28"/>
    </row>
    <row r="30912" spans="4:8" x14ac:dyDescent="0.25">
      <c r="D30912" s="28"/>
      <c r="F30912" s="28"/>
      <c r="H30912" s="28"/>
    </row>
    <row r="30913" spans="4:8" x14ac:dyDescent="0.25">
      <c r="D30913" s="28"/>
      <c r="F30913" s="28"/>
      <c r="H30913" s="28"/>
    </row>
    <row r="30914" spans="4:8" x14ac:dyDescent="0.25">
      <c r="D30914" s="28"/>
      <c r="F30914" s="28"/>
      <c r="H30914" s="28"/>
    </row>
    <row r="30915" spans="4:8" x14ac:dyDescent="0.25">
      <c r="D30915" s="28"/>
      <c r="F30915" s="28"/>
      <c r="H30915" s="28"/>
    </row>
    <row r="30916" spans="4:8" x14ac:dyDescent="0.25">
      <c r="D30916" s="28"/>
      <c r="F30916" s="28"/>
      <c r="H30916" s="28"/>
    </row>
    <row r="30917" spans="4:8" x14ac:dyDescent="0.25">
      <c r="D30917" s="28"/>
      <c r="F30917" s="28"/>
      <c r="H30917" s="28"/>
    </row>
    <row r="30918" spans="4:8" x14ac:dyDescent="0.25">
      <c r="D30918" s="28"/>
      <c r="F30918" s="28"/>
      <c r="H30918" s="28"/>
    </row>
    <row r="30919" spans="4:8" x14ac:dyDescent="0.25">
      <c r="D30919" s="28"/>
      <c r="F30919" s="28"/>
      <c r="H30919" s="28"/>
    </row>
    <row r="30920" spans="4:8" x14ac:dyDescent="0.25">
      <c r="D30920" s="28"/>
      <c r="F30920" s="28"/>
      <c r="H30920" s="28"/>
    </row>
    <row r="30921" spans="4:8" x14ac:dyDescent="0.25">
      <c r="D30921" s="28"/>
      <c r="F30921" s="28"/>
      <c r="H30921" s="28"/>
    </row>
    <row r="30922" spans="4:8" x14ac:dyDescent="0.25">
      <c r="D30922" s="28"/>
      <c r="F30922" s="28"/>
      <c r="H30922" s="28"/>
    </row>
    <row r="30923" spans="4:8" x14ac:dyDescent="0.25">
      <c r="D30923" s="28"/>
      <c r="F30923" s="28"/>
      <c r="H30923" s="28"/>
    </row>
    <row r="30924" spans="4:8" x14ac:dyDescent="0.25">
      <c r="D30924" s="28"/>
      <c r="F30924" s="28"/>
      <c r="H30924" s="28"/>
    </row>
    <row r="30925" spans="4:8" x14ac:dyDescent="0.25">
      <c r="D30925" s="28"/>
      <c r="F30925" s="28"/>
      <c r="H30925" s="28"/>
    </row>
    <row r="30926" spans="4:8" x14ac:dyDescent="0.25">
      <c r="D30926" s="28"/>
      <c r="F30926" s="28"/>
      <c r="H30926" s="28"/>
    </row>
    <row r="30927" spans="4:8" x14ac:dyDescent="0.25">
      <c r="D30927" s="28"/>
      <c r="F30927" s="28"/>
      <c r="H30927" s="28"/>
    </row>
    <row r="30928" spans="4:8" x14ac:dyDescent="0.25">
      <c r="D30928" s="28"/>
      <c r="F30928" s="28"/>
      <c r="H30928" s="28"/>
    </row>
    <row r="30929" spans="4:8" x14ac:dyDescent="0.25">
      <c r="D30929" s="28"/>
      <c r="F30929" s="28"/>
      <c r="H30929" s="28"/>
    </row>
    <row r="30930" spans="4:8" x14ac:dyDescent="0.25">
      <c r="D30930" s="28"/>
      <c r="F30930" s="28"/>
      <c r="H30930" s="28"/>
    </row>
    <row r="30931" spans="4:8" x14ac:dyDescent="0.25">
      <c r="D30931" s="28"/>
      <c r="F30931" s="28"/>
      <c r="H30931" s="28"/>
    </row>
    <row r="30932" spans="4:8" x14ac:dyDescent="0.25">
      <c r="D30932" s="28"/>
      <c r="F30932" s="28"/>
      <c r="H30932" s="28"/>
    </row>
    <row r="30933" spans="4:8" x14ac:dyDescent="0.25">
      <c r="D30933" s="28"/>
      <c r="F30933" s="28"/>
      <c r="H30933" s="28"/>
    </row>
    <row r="30934" spans="4:8" x14ac:dyDescent="0.25">
      <c r="D30934" s="28"/>
      <c r="F30934" s="28"/>
      <c r="H30934" s="28"/>
    </row>
    <row r="30935" spans="4:8" x14ac:dyDescent="0.25">
      <c r="D30935" s="28"/>
      <c r="F30935" s="28"/>
      <c r="H30935" s="28"/>
    </row>
    <row r="30936" spans="4:8" x14ac:dyDescent="0.25">
      <c r="D30936" s="28"/>
      <c r="F30936" s="28"/>
      <c r="H30936" s="28"/>
    </row>
    <row r="30937" spans="4:8" x14ac:dyDescent="0.25">
      <c r="D30937" s="28"/>
      <c r="F30937" s="28"/>
      <c r="H30937" s="28"/>
    </row>
    <row r="30938" spans="4:8" x14ac:dyDescent="0.25">
      <c r="D30938" s="28"/>
      <c r="F30938" s="28"/>
      <c r="H30938" s="28"/>
    </row>
    <row r="30939" spans="4:8" x14ac:dyDescent="0.25">
      <c r="D30939" s="28"/>
      <c r="F30939" s="28"/>
      <c r="H30939" s="28"/>
    </row>
    <row r="30940" spans="4:8" x14ac:dyDescent="0.25">
      <c r="D30940" s="28"/>
      <c r="F30940" s="28"/>
      <c r="H30940" s="28"/>
    </row>
    <row r="30941" spans="4:8" x14ac:dyDescent="0.25">
      <c r="D30941" s="28"/>
      <c r="F30941" s="28"/>
      <c r="H30941" s="28"/>
    </row>
    <row r="30942" spans="4:8" x14ac:dyDescent="0.25">
      <c r="D30942" s="28"/>
      <c r="F30942" s="28"/>
      <c r="H30942" s="28"/>
    </row>
    <row r="30943" spans="4:8" x14ac:dyDescent="0.25">
      <c r="D30943" s="28"/>
      <c r="F30943" s="28"/>
      <c r="H30943" s="28"/>
    </row>
    <row r="30944" spans="4:8" x14ac:dyDescent="0.25">
      <c r="D30944" s="28"/>
      <c r="F30944" s="28"/>
      <c r="H30944" s="28"/>
    </row>
    <row r="30945" spans="4:8" x14ac:dyDescent="0.25">
      <c r="D30945" s="28"/>
      <c r="F30945" s="28"/>
      <c r="H30945" s="28"/>
    </row>
    <row r="30946" spans="4:8" x14ac:dyDescent="0.25">
      <c r="D30946" s="28"/>
      <c r="F30946" s="28"/>
      <c r="H30946" s="28"/>
    </row>
    <row r="30947" spans="4:8" x14ac:dyDescent="0.25">
      <c r="D30947" s="28"/>
      <c r="F30947" s="28"/>
      <c r="H30947" s="28"/>
    </row>
    <row r="30948" spans="4:8" x14ac:dyDescent="0.25">
      <c r="D30948" s="28"/>
      <c r="F30948" s="28"/>
      <c r="H30948" s="28"/>
    </row>
    <row r="30949" spans="4:8" x14ac:dyDescent="0.25">
      <c r="D30949" s="28"/>
      <c r="F30949" s="28"/>
      <c r="H30949" s="28"/>
    </row>
    <row r="30950" spans="4:8" x14ac:dyDescent="0.25">
      <c r="D30950" s="28"/>
      <c r="F30950" s="28"/>
      <c r="H30950" s="28"/>
    </row>
    <row r="30951" spans="4:8" x14ac:dyDescent="0.25">
      <c r="D30951" s="28"/>
      <c r="F30951" s="28"/>
      <c r="H30951" s="28"/>
    </row>
    <row r="30952" spans="4:8" x14ac:dyDescent="0.25">
      <c r="D30952" s="28"/>
      <c r="F30952" s="28"/>
      <c r="H30952" s="28"/>
    </row>
    <row r="30953" spans="4:8" x14ac:dyDescent="0.25">
      <c r="D30953" s="28"/>
      <c r="F30953" s="28"/>
      <c r="H30953" s="28"/>
    </row>
    <row r="30954" spans="4:8" x14ac:dyDescent="0.25">
      <c r="D30954" s="28"/>
      <c r="F30954" s="28"/>
      <c r="H30954" s="28"/>
    </row>
    <row r="30955" spans="4:8" x14ac:dyDescent="0.25">
      <c r="D30955" s="28"/>
      <c r="F30955" s="28"/>
      <c r="H30955" s="28"/>
    </row>
    <row r="30956" spans="4:8" x14ac:dyDescent="0.25">
      <c r="D30956" s="28"/>
      <c r="F30956" s="28"/>
      <c r="H30956" s="28"/>
    </row>
    <row r="30957" spans="4:8" x14ac:dyDescent="0.25">
      <c r="D30957" s="28"/>
      <c r="F30957" s="28"/>
      <c r="H30957" s="28"/>
    </row>
    <row r="30958" spans="4:8" x14ac:dyDescent="0.25">
      <c r="D30958" s="28"/>
      <c r="F30958" s="28"/>
      <c r="H30958" s="28"/>
    </row>
    <row r="30959" spans="4:8" x14ac:dyDescent="0.25">
      <c r="D30959" s="28"/>
      <c r="F30959" s="28"/>
      <c r="H30959" s="28"/>
    </row>
    <row r="30960" spans="4:8" x14ac:dyDescent="0.25">
      <c r="D30960" s="28"/>
      <c r="F30960" s="28"/>
      <c r="H30960" s="28"/>
    </row>
    <row r="30961" spans="4:8" x14ac:dyDescent="0.25">
      <c r="D30961" s="28"/>
      <c r="F30961" s="28"/>
      <c r="H30961" s="28"/>
    </row>
    <row r="30962" spans="4:8" x14ac:dyDescent="0.25">
      <c r="D30962" s="28"/>
      <c r="F30962" s="28"/>
      <c r="H30962" s="28"/>
    </row>
    <row r="30963" spans="4:8" x14ac:dyDescent="0.25">
      <c r="D30963" s="28"/>
      <c r="F30963" s="28"/>
      <c r="H30963" s="28"/>
    </row>
    <row r="30964" spans="4:8" x14ac:dyDescent="0.25">
      <c r="D30964" s="28"/>
      <c r="F30964" s="28"/>
      <c r="H30964" s="28"/>
    </row>
    <row r="30965" spans="4:8" x14ac:dyDescent="0.25">
      <c r="D30965" s="28"/>
      <c r="F30965" s="28"/>
      <c r="H30965" s="28"/>
    </row>
    <row r="30966" spans="4:8" x14ac:dyDescent="0.25">
      <c r="D30966" s="28"/>
      <c r="F30966" s="28"/>
      <c r="H30966" s="28"/>
    </row>
    <row r="30967" spans="4:8" x14ac:dyDescent="0.25">
      <c r="D30967" s="28"/>
      <c r="F30967" s="28"/>
      <c r="H30967" s="28"/>
    </row>
    <row r="30968" spans="4:8" x14ac:dyDescent="0.25">
      <c r="D30968" s="28"/>
      <c r="F30968" s="28"/>
      <c r="H30968" s="28"/>
    </row>
    <row r="30969" spans="4:8" x14ac:dyDescent="0.25">
      <c r="D30969" s="28"/>
      <c r="F30969" s="28"/>
      <c r="H30969" s="28"/>
    </row>
    <row r="30970" spans="4:8" x14ac:dyDescent="0.25">
      <c r="D30970" s="28"/>
      <c r="F30970" s="28"/>
      <c r="H30970" s="28"/>
    </row>
    <row r="30971" spans="4:8" x14ac:dyDescent="0.25">
      <c r="D30971" s="28"/>
      <c r="F30971" s="28"/>
      <c r="H30971" s="28"/>
    </row>
    <row r="30972" spans="4:8" x14ac:dyDescent="0.25">
      <c r="D30972" s="28"/>
      <c r="F30972" s="28"/>
      <c r="H30972" s="28"/>
    </row>
    <row r="30973" spans="4:8" x14ac:dyDescent="0.25">
      <c r="D30973" s="28"/>
      <c r="F30973" s="28"/>
      <c r="H30973" s="28"/>
    </row>
    <row r="30974" spans="4:8" x14ac:dyDescent="0.25">
      <c r="D30974" s="28"/>
      <c r="F30974" s="28"/>
      <c r="H30974" s="28"/>
    </row>
    <row r="30975" spans="4:8" x14ac:dyDescent="0.25">
      <c r="D30975" s="28"/>
      <c r="F30975" s="28"/>
      <c r="H30975" s="28"/>
    </row>
    <row r="30976" spans="4:8" x14ac:dyDescent="0.25">
      <c r="D30976" s="28"/>
      <c r="F30976" s="28"/>
      <c r="H30976" s="28"/>
    </row>
    <row r="30977" spans="4:8" x14ac:dyDescent="0.25">
      <c r="D30977" s="28"/>
      <c r="F30977" s="28"/>
      <c r="H30977" s="28"/>
    </row>
    <row r="30978" spans="4:8" x14ac:dyDescent="0.25">
      <c r="D30978" s="28"/>
      <c r="F30978" s="28"/>
      <c r="H30978" s="28"/>
    </row>
    <row r="30979" spans="4:8" x14ac:dyDescent="0.25">
      <c r="D30979" s="28"/>
      <c r="F30979" s="28"/>
      <c r="H30979" s="28"/>
    </row>
    <row r="30980" spans="4:8" x14ac:dyDescent="0.25">
      <c r="D30980" s="28"/>
      <c r="F30980" s="28"/>
      <c r="H30980" s="28"/>
    </row>
    <row r="30981" spans="4:8" x14ac:dyDescent="0.25">
      <c r="D30981" s="28"/>
      <c r="F30981" s="28"/>
      <c r="H30981" s="28"/>
    </row>
    <row r="30982" spans="4:8" x14ac:dyDescent="0.25">
      <c r="D30982" s="28"/>
      <c r="F30982" s="28"/>
      <c r="H30982" s="28"/>
    </row>
    <row r="30983" spans="4:8" x14ac:dyDescent="0.25">
      <c r="D30983" s="28"/>
      <c r="F30983" s="28"/>
      <c r="H30983" s="28"/>
    </row>
    <row r="30984" spans="4:8" x14ac:dyDescent="0.25">
      <c r="D30984" s="28"/>
      <c r="F30984" s="28"/>
      <c r="H30984" s="28"/>
    </row>
    <row r="30985" spans="4:8" x14ac:dyDescent="0.25">
      <c r="D30985" s="28"/>
      <c r="F30985" s="28"/>
      <c r="H30985" s="28"/>
    </row>
    <row r="30986" spans="4:8" x14ac:dyDescent="0.25">
      <c r="D30986" s="28"/>
      <c r="F30986" s="28"/>
      <c r="H30986" s="28"/>
    </row>
    <row r="30987" spans="4:8" x14ac:dyDescent="0.25">
      <c r="D30987" s="28"/>
      <c r="F30987" s="28"/>
      <c r="H30987" s="28"/>
    </row>
    <row r="30988" spans="4:8" x14ac:dyDescent="0.25">
      <c r="D30988" s="28"/>
      <c r="F30988" s="28"/>
      <c r="H30988" s="28"/>
    </row>
    <row r="30989" spans="4:8" x14ac:dyDescent="0.25">
      <c r="D30989" s="28"/>
      <c r="F30989" s="28"/>
      <c r="H30989" s="28"/>
    </row>
    <row r="30990" spans="4:8" x14ac:dyDescent="0.25">
      <c r="D30990" s="28"/>
      <c r="F30990" s="28"/>
      <c r="H30990" s="28"/>
    </row>
    <row r="30991" spans="4:8" x14ac:dyDescent="0.25">
      <c r="D30991" s="28"/>
      <c r="F30991" s="28"/>
      <c r="H30991" s="28"/>
    </row>
    <row r="30992" spans="4:8" x14ac:dyDescent="0.25">
      <c r="D30992" s="28"/>
      <c r="F30992" s="28"/>
      <c r="H30992" s="28"/>
    </row>
    <row r="30993" spans="4:8" x14ac:dyDescent="0.25">
      <c r="D30993" s="28"/>
      <c r="F30993" s="28"/>
      <c r="H30993" s="28"/>
    </row>
    <row r="30994" spans="4:8" x14ac:dyDescent="0.25">
      <c r="D30994" s="28"/>
      <c r="F30994" s="28"/>
      <c r="H30994" s="28"/>
    </row>
    <row r="30995" spans="4:8" x14ac:dyDescent="0.25">
      <c r="D30995" s="28"/>
      <c r="F30995" s="28"/>
      <c r="H30995" s="28"/>
    </row>
    <row r="30996" spans="4:8" x14ac:dyDescent="0.25">
      <c r="D30996" s="28"/>
      <c r="F30996" s="28"/>
      <c r="H30996" s="28"/>
    </row>
    <row r="30997" spans="4:8" x14ac:dyDescent="0.25">
      <c r="D30997" s="28"/>
      <c r="F30997" s="28"/>
      <c r="H30997" s="28"/>
    </row>
    <row r="30998" spans="4:8" x14ac:dyDescent="0.25">
      <c r="D30998" s="28"/>
      <c r="F30998" s="28"/>
      <c r="H30998" s="28"/>
    </row>
    <row r="30999" spans="4:8" x14ac:dyDescent="0.25">
      <c r="D30999" s="28"/>
      <c r="F30999" s="28"/>
      <c r="H30999" s="28"/>
    </row>
    <row r="31000" spans="4:8" x14ac:dyDescent="0.25">
      <c r="D31000" s="28"/>
      <c r="F31000" s="28"/>
      <c r="H31000" s="28"/>
    </row>
    <row r="31001" spans="4:8" x14ac:dyDescent="0.25">
      <c r="D31001" s="28"/>
      <c r="F31001" s="28"/>
      <c r="H31001" s="28"/>
    </row>
    <row r="31002" spans="4:8" x14ac:dyDescent="0.25">
      <c r="D31002" s="28"/>
      <c r="F31002" s="28"/>
      <c r="H31002" s="28"/>
    </row>
    <row r="31003" spans="4:8" x14ac:dyDescent="0.25">
      <c r="D31003" s="28"/>
      <c r="F31003" s="28"/>
      <c r="H31003" s="28"/>
    </row>
    <row r="31004" spans="4:8" x14ac:dyDescent="0.25">
      <c r="D31004" s="28"/>
      <c r="F31004" s="28"/>
      <c r="H31004" s="28"/>
    </row>
    <row r="31005" spans="4:8" x14ac:dyDescent="0.25">
      <c r="D31005" s="28"/>
      <c r="F31005" s="28"/>
      <c r="H31005" s="28"/>
    </row>
    <row r="31006" spans="4:8" x14ac:dyDescent="0.25">
      <c r="D31006" s="28"/>
      <c r="F31006" s="28"/>
      <c r="H31006" s="28"/>
    </row>
    <row r="31007" spans="4:8" x14ac:dyDescent="0.25">
      <c r="D31007" s="28"/>
      <c r="F31007" s="28"/>
      <c r="H31007" s="28"/>
    </row>
    <row r="31008" spans="4:8" x14ac:dyDescent="0.25">
      <c r="D31008" s="28"/>
      <c r="F31008" s="28"/>
      <c r="H31008" s="28"/>
    </row>
    <row r="31009" spans="4:8" x14ac:dyDescent="0.25">
      <c r="D31009" s="28"/>
      <c r="F31009" s="28"/>
      <c r="H31009" s="28"/>
    </row>
    <row r="31010" spans="4:8" x14ac:dyDescent="0.25">
      <c r="D31010" s="28"/>
      <c r="F31010" s="28"/>
      <c r="H31010" s="28"/>
    </row>
    <row r="31011" spans="4:8" x14ac:dyDescent="0.25">
      <c r="D31011" s="28"/>
      <c r="F31011" s="28"/>
      <c r="H31011" s="28"/>
    </row>
    <row r="31012" spans="4:8" x14ac:dyDescent="0.25">
      <c r="D31012" s="28"/>
      <c r="F31012" s="28"/>
      <c r="H31012" s="28"/>
    </row>
    <row r="31013" spans="4:8" x14ac:dyDescent="0.25">
      <c r="D31013" s="28"/>
      <c r="F31013" s="28"/>
      <c r="H31013" s="28"/>
    </row>
    <row r="31014" spans="4:8" x14ac:dyDescent="0.25">
      <c r="D31014" s="28"/>
      <c r="F31014" s="28"/>
      <c r="H31014" s="28"/>
    </row>
    <row r="31015" spans="4:8" x14ac:dyDescent="0.25">
      <c r="D31015" s="28"/>
      <c r="F31015" s="28"/>
      <c r="H31015" s="28"/>
    </row>
    <row r="31016" spans="4:8" x14ac:dyDescent="0.25">
      <c r="D31016" s="28"/>
      <c r="F31016" s="28"/>
      <c r="H31016" s="28"/>
    </row>
    <row r="31017" spans="4:8" x14ac:dyDescent="0.25">
      <c r="D31017" s="28"/>
      <c r="F31017" s="28"/>
      <c r="H31017" s="28"/>
    </row>
    <row r="31018" spans="4:8" x14ac:dyDescent="0.25">
      <c r="D31018" s="28"/>
      <c r="F31018" s="28"/>
      <c r="H31018" s="28"/>
    </row>
    <row r="31019" spans="4:8" x14ac:dyDescent="0.25">
      <c r="D31019" s="28"/>
      <c r="F31019" s="28"/>
      <c r="H31019" s="28"/>
    </row>
    <row r="31020" spans="4:8" x14ac:dyDescent="0.25">
      <c r="D31020" s="28"/>
      <c r="F31020" s="28"/>
      <c r="H31020" s="28"/>
    </row>
    <row r="31021" spans="4:8" x14ac:dyDescent="0.25">
      <c r="D31021" s="28"/>
      <c r="F31021" s="28"/>
      <c r="H31021" s="28"/>
    </row>
    <row r="31022" spans="4:8" x14ac:dyDescent="0.25">
      <c r="D31022" s="28"/>
      <c r="F31022" s="28"/>
      <c r="H31022" s="28"/>
    </row>
    <row r="31023" spans="4:8" x14ac:dyDescent="0.25">
      <c r="D31023" s="28"/>
      <c r="F31023" s="28"/>
      <c r="H31023" s="28"/>
    </row>
    <row r="31024" spans="4:8" x14ac:dyDescent="0.25">
      <c r="D31024" s="28"/>
      <c r="F31024" s="28"/>
      <c r="H31024" s="28"/>
    </row>
    <row r="31025" spans="4:8" x14ac:dyDescent="0.25">
      <c r="D31025" s="28"/>
      <c r="F31025" s="28"/>
      <c r="H31025" s="28"/>
    </row>
    <row r="31026" spans="4:8" x14ac:dyDescent="0.25">
      <c r="D31026" s="28"/>
      <c r="F31026" s="28"/>
      <c r="H31026" s="28"/>
    </row>
    <row r="31027" spans="4:8" x14ac:dyDescent="0.25">
      <c r="D31027" s="28"/>
      <c r="F31027" s="28"/>
      <c r="H31027" s="28"/>
    </row>
    <row r="31028" spans="4:8" x14ac:dyDescent="0.25">
      <c r="D31028" s="28"/>
      <c r="F31028" s="28"/>
      <c r="H31028" s="28"/>
    </row>
    <row r="31029" spans="4:8" x14ac:dyDescent="0.25">
      <c r="D31029" s="28"/>
      <c r="F31029" s="28"/>
      <c r="H31029" s="28"/>
    </row>
    <row r="31030" spans="4:8" x14ac:dyDescent="0.25">
      <c r="D31030" s="28"/>
      <c r="F31030" s="28"/>
      <c r="H31030" s="28"/>
    </row>
    <row r="31031" spans="4:8" x14ac:dyDescent="0.25">
      <c r="D31031" s="28"/>
      <c r="F31031" s="28"/>
      <c r="H31031" s="28"/>
    </row>
    <row r="31032" spans="4:8" x14ac:dyDescent="0.25">
      <c r="D31032" s="28"/>
      <c r="F31032" s="28"/>
      <c r="H31032" s="28"/>
    </row>
    <row r="31033" spans="4:8" x14ac:dyDescent="0.25">
      <c r="D31033" s="28"/>
      <c r="F31033" s="28"/>
      <c r="H31033" s="28"/>
    </row>
    <row r="31034" spans="4:8" x14ac:dyDescent="0.25">
      <c r="D31034" s="28"/>
      <c r="F31034" s="28"/>
      <c r="H31034" s="28"/>
    </row>
    <row r="31035" spans="4:8" x14ac:dyDescent="0.25">
      <c r="D31035" s="28"/>
      <c r="F31035" s="28"/>
      <c r="H31035" s="28"/>
    </row>
    <row r="31036" spans="4:8" x14ac:dyDescent="0.25">
      <c r="D31036" s="28"/>
      <c r="F31036" s="28"/>
      <c r="H31036" s="28"/>
    </row>
    <row r="31037" spans="4:8" x14ac:dyDescent="0.25">
      <c r="D31037" s="28"/>
      <c r="F31037" s="28"/>
      <c r="H31037" s="28"/>
    </row>
    <row r="31038" spans="4:8" x14ac:dyDescent="0.25">
      <c r="D31038" s="28"/>
      <c r="F31038" s="28"/>
      <c r="H31038" s="28"/>
    </row>
    <row r="31039" spans="4:8" x14ac:dyDescent="0.25">
      <c r="D31039" s="28"/>
      <c r="F31039" s="28"/>
      <c r="H31039" s="28"/>
    </row>
    <row r="31040" spans="4:8" x14ac:dyDescent="0.25">
      <c r="D31040" s="28"/>
      <c r="F31040" s="28"/>
      <c r="H31040" s="28"/>
    </row>
    <row r="31041" spans="4:8" x14ac:dyDescent="0.25">
      <c r="D31041" s="28"/>
      <c r="F31041" s="28"/>
      <c r="H31041" s="28"/>
    </row>
    <row r="31042" spans="4:8" x14ac:dyDescent="0.25">
      <c r="D31042" s="28"/>
      <c r="F31042" s="28"/>
      <c r="H31042" s="28"/>
    </row>
    <row r="31043" spans="4:8" x14ac:dyDescent="0.25">
      <c r="D31043" s="28"/>
      <c r="F31043" s="28"/>
      <c r="H31043" s="28"/>
    </row>
    <row r="31044" spans="4:8" x14ac:dyDescent="0.25">
      <c r="D31044" s="28"/>
      <c r="F31044" s="28"/>
      <c r="H31044" s="28"/>
    </row>
    <row r="31045" spans="4:8" x14ac:dyDescent="0.25">
      <c r="D31045" s="28"/>
      <c r="F31045" s="28"/>
      <c r="H31045" s="28"/>
    </row>
    <row r="31046" spans="4:8" x14ac:dyDescent="0.25">
      <c r="D31046" s="28"/>
      <c r="F31046" s="28"/>
      <c r="H31046" s="28"/>
    </row>
    <row r="31047" spans="4:8" x14ac:dyDescent="0.25">
      <c r="D31047" s="28"/>
      <c r="F31047" s="28"/>
      <c r="H31047" s="28"/>
    </row>
    <row r="31048" spans="4:8" x14ac:dyDescent="0.25">
      <c r="D31048" s="28"/>
      <c r="F31048" s="28"/>
      <c r="H31048" s="28"/>
    </row>
    <row r="31049" spans="4:8" x14ac:dyDescent="0.25">
      <c r="D31049" s="28"/>
      <c r="F31049" s="28"/>
      <c r="H31049" s="28"/>
    </row>
    <row r="31050" spans="4:8" x14ac:dyDescent="0.25">
      <c r="D31050" s="28"/>
      <c r="F31050" s="28"/>
      <c r="H31050" s="28"/>
    </row>
    <row r="31051" spans="4:8" x14ac:dyDescent="0.25">
      <c r="D31051" s="28"/>
      <c r="F31051" s="28"/>
      <c r="H31051" s="28"/>
    </row>
    <row r="31052" spans="4:8" x14ac:dyDescent="0.25">
      <c r="D31052" s="28"/>
      <c r="F31052" s="28"/>
      <c r="H31052" s="28"/>
    </row>
    <row r="31053" spans="4:8" x14ac:dyDescent="0.25">
      <c r="D31053" s="28"/>
      <c r="F31053" s="28"/>
      <c r="H31053" s="28"/>
    </row>
    <row r="31054" spans="4:8" x14ac:dyDescent="0.25">
      <c r="D31054" s="28"/>
      <c r="F31054" s="28"/>
      <c r="H31054" s="28"/>
    </row>
    <row r="31055" spans="4:8" x14ac:dyDescent="0.25">
      <c r="D31055" s="28"/>
      <c r="F31055" s="28"/>
      <c r="H31055" s="28"/>
    </row>
    <row r="31056" spans="4:8" x14ac:dyDescent="0.25">
      <c r="D31056" s="28"/>
      <c r="F31056" s="28"/>
      <c r="H31056" s="28"/>
    </row>
    <row r="31057" spans="4:8" x14ac:dyDescent="0.25">
      <c r="D31057" s="28"/>
      <c r="F31057" s="28"/>
      <c r="H31057" s="28"/>
    </row>
    <row r="31058" spans="4:8" x14ac:dyDescent="0.25">
      <c r="D31058" s="28"/>
      <c r="F31058" s="28"/>
      <c r="H31058" s="28"/>
    </row>
    <row r="31059" spans="4:8" x14ac:dyDescent="0.25">
      <c r="D31059" s="28"/>
      <c r="F31059" s="28"/>
      <c r="H31059" s="28"/>
    </row>
    <row r="31060" spans="4:8" x14ac:dyDescent="0.25">
      <c r="D31060" s="28"/>
      <c r="F31060" s="28"/>
      <c r="H31060" s="28"/>
    </row>
    <row r="31061" spans="4:8" x14ac:dyDescent="0.25">
      <c r="D31061" s="28"/>
      <c r="F31061" s="28"/>
      <c r="H31061" s="28"/>
    </row>
    <row r="31062" spans="4:8" x14ac:dyDescent="0.25">
      <c r="D31062" s="28"/>
      <c r="F31062" s="28"/>
      <c r="H31062" s="28"/>
    </row>
    <row r="31063" spans="4:8" x14ac:dyDescent="0.25">
      <c r="D31063" s="28"/>
      <c r="F31063" s="28"/>
      <c r="H31063" s="28"/>
    </row>
    <row r="31064" spans="4:8" x14ac:dyDescent="0.25">
      <c r="D31064" s="28"/>
      <c r="F31064" s="28"/>
      <c r="H31064" s="28"/>
    </row>
    <row r="31065" spans="4:8" x14ac:dyDescent="0.25">
      <c r="D31065" s="28"/>
      <c r="F31065" s="28"/>
      <c r="H31065" s="28"/>
    </row>
    <row r="31066" spans="4:8" x14ac:dyDescent="0.25">
      <c r="D31066" s="28"/>
      <c r="F31066" s="28"/>
      <c r="H31066" s="28"/>
    </row>
    <row r="31067" spans="4:8" x14ac:dyDescent="0.25">
      <c r="D31067" s="28"/>
      <c r="F31067" s="28"/>
      <c r="H31067" s="28"/>
    </row>
    <row r="31068" spans="4:8" x14ac:dyDescent="0.25">
      <c r="D31068" s="28"/>
      <c r="F31068" s="28"/>
      <c r="H31068" s="28"/>
    </row>
    <row r="31069" spans="4:8" x14ac:dyDescent="0.25">
      <c r="D31069" s="28"/>
      <c r="F31069" s="28"/>
      <c r="H31069" s="28"/>
    </row>
    <row r="31070" spans="4:8" x14ac:dyDescent="0.25">
      <c r="D31070" s="28"/>
      <c r="F31070" s="28"/>
      <c r="H31070" s="28"/>
    </row>
    <row r="31071" spans="4:8" x14ac:dyDescent="0.25">
      <c r="D31071" s="28"/>
      <c r="F31071" s="28"/>
      <c r="H31071" s="28"/>
    </row>
    <row r="31072" spans="4:8" x14ac:dyDescent="0.25">
      <c r="D31072" s="28"/>
      <c r="F31072" s="28"/>
      <c r="H31072" s="28"/>
    </row>
    <row r="31073" spans="4:8" x14ac:dyDescent="0.25">
      <c r="D31073" s="28"/>
      <c r="F31073" s="28"/>
      <c r="H31073" s="28"/>
    </row>
    <row r="31074" spans="4:8" x14ac:dyDescent="0.25">
      <c r="D31074" s="28"/>
      <c r="F31074" s="28"/>
      <c r="H31074" s="28"/>
    </row>
    <row r="31075" spans="4:8" x14ac:dyDescent="0.25">
      <c r="D31075" s="28"/>
      <c r="F31075" s="28"/>
      <c r="H31075" s="28"/>
    </row>
    <row r="31076" spans="4:8" x14ac:dyDescent="0.25">
      <c r="D31076" s="28"/>
      <c r="F31076" s="28"/>
      <c r="H31076" s="28"/>
    </row>
    <row r="31077" spans="4:8" x14ac:dyDescent="0.25">
      <c r="D31077" s="28"/>
      <c r="F31077" s="28"/>
      <c r="H31077" s="28"/>
    </row>
    <row r="31078" spans="4:8" x14ac:dyDescent="0.25">
      <c r="D31078" s="28"/>
      <c r="F31078" s="28"/>
      <c r="H31078" s="28"/>
    </row>
    <row r="31079" spans="4:8" x14ac:dyDescent="0.25">
      <c r="D31079" s="28"/>
      <c r="F31079" s="28"/>
      <c r="H31079" s="28"/>
    </row>
    <row r="31080" spans="4:8" x14ac:dyDescent="0.25">
      <c r="D31080" s="28"/>
      <c r="F31080" s="28"/>
      <c r="H31080" s="28"/>
    </row>
    <row r="31081" spans="4:8" x14ac:dyDescent="0.25">
      <c r="D31081" s="28"/>
      <c r="F31081" s="28"/>
      <c r="H31081" s="28"/>
    </row>
    <row r="31082" spans="4:8" x14ac:dyDescent="0.25">
      <c r="D31082" s="28"/>
      <c r="F31082" s="28"/>
      <c r="H31082" s="28"/>
    </row>
    <row r="31083" spans="4:8" x14ac:dyDescent="0.25">
      <c r="D31083" s="28"/>
      <c r="F31083" s="28"/>
      <c r="H31083" s="28"/>
    </row>
    <row r="31084" spans="4:8" x14ac:dyDescent="0.25">
      <c r="D31084" s="28"/>
      <c r="F31084" s="28"/>
      <c r="H31084" s="28"/>
    </row>
    <row r="31085" spans="4:8" x14ac:dyDescent="0.25">
      <c r="D31085" s="28"/>
      <c r="F31085" s="28"/>
      <c r="H31085" s="28"/>
    </row>
    <row r="31086" spans="4:8" x14ac:dyDescent="0.25">
      <c r="D31086" s="28"/>
      <c r="F31086" s="28"/>
      <c r="H31086" s="28"/>
    </row>
    <row r="31087" spans="4:8" x14ac:dyDescent="0.25">
      <c r="D31087" s="28"/>
      <c r="F31087" s="28"/>
      <c r="H31087" s="28"/>
    </row>
    <row r="31088" spans="4:8" x14ac:dyDescent="0.25">
      <c r="D31088" s="28"/>
      <c r="F31088" s="28"/>
      <c r="H31088" s="28"/>
    </row>
    <row r="31089" spans="4:8" x14ac:dyDescent="0.25">
      <c r="D31089" s="28"/>
      <c r="F31089" s="28"/>
      <c r="H31089" s="28"/>
    </row>
    <row r="31090" spans="4:8" x14ac:dyDescent="0.25">
      <c r="D31090" s="28"/>
      <c r="F31090" s="28"/>
      <c r="H31090" s="28"/>
    </row>
    <row r="31091" spans="4:8" x14ac:dyDescent="0.25">
      <c r="D31091" s="28"/>
      <c r="F31091" s="28"/>
      <c r="H31091" s="28"/>
    </row>
    <row r="31092" spans="4:8" x14ac:dyDescent="0.25">
      <c r="D31092" s="28"/>
      <c r="F31092" s="28"/>
      <c r="H31092" s="28"/>
    </row>
    <row r="31093" spans="4:8" x14ac:dyDescent="0.25">
      <c r="D31093" s="28"/>
      <c r="F31093" s="28"/>
      <c r="H31093" s="28"/>
    </row>
    <row r="31094" spans="4:8" x14ac:dyDescent="0.25">
      <c r="D31094" s="28"/>
      <c r="F31094" s="28"/>
      <c r="H31094" s="28"/>
    </row>
    <row r="31095" spans="4:8" x14ac:dyDescent="0.25">
      <c r="D31095" s="28"/>
      <c r="F31095" s="28"/>
      <c r="H31095" s="28"/>
    </row>
    <row r="31096" spans="4:8" x14ac:dyDescent="0.25">
      <c r="D31096" s="28"/>
      <c r="F31096" s="28"/>
      <c r="H31096" s="28"/>
    </row>
    <row r="31097" spans="4:8" x14ac:dyDescent="0.25">
      <c r="D31097" s="28"/>
      <c r="F31097" s="28"/>
      <c r="H31097" s="28"/>
    </row>
    <row r="31098" spans="4:8" x14ac:dyDescent="0.25">
      <c r="D31098" s="28"/>
      <c r="F31098" s="28"/>
      <c r="H31098" s="28"/>
    </row>
    <row r="31099" spans="4:8" x14ac:dyDescent="0.25">
      <c r="D31099" s="28"/>
      <c r="F31099" s="28"/>
      <c r="H31099" s="28"/>
    </row>
    <row r="31100" spans="4:8" x14ac:dyDescent="0.25">
      <c r="D31100" s="28"/>
      <c r="F31100" s="28"/>
      <c r="H31100" s="28"/>
    </row>
    <row r="31101" spans="4:8" x14ac:dyDescent="0.25">
      <c r="D31101" s="28"/>
      <c r="F31101" s="28"/>
      <c r="H31101" s="28"/>
    </row>
    <row r="31102" spans="4:8" x14ac:dyDescent="0.25">
      <c r="D31102" s="28"/>
      <c r="F31102" s="28"/>
      <c r="H31102" s="28"/>
    </row>
    <row r="31103" spans="4:8" x14ac:dyDescent="0.25">
      <c r="D31103" s="28"/>
      <c r="F31103" s="28"/>
      <c r="H31103" s="28"/>
    </row>
    <row r="31104" spans="4:8" x14ac:dyDescent="0.25">
      <c r="D31104" s="28"/>
      <c r="F31104" s="28"/>
      <c r="H31104" s="28"/>
    </row>
    <row r="31105" spans="4:8" x14ac:dyDescent="0.25">
      <c r="D31105" s="28"/>
      <c r="F31105" s="28"/>
      <c r="H31105" s="28"/>
    </row>
    <row r="31106" spans="4:8" x14ac:dyDescent="0.25">
      <c r="D31106" s="28"/>
      <c r="F31106" s="28"/>
      <c r="H31106" s="28"/>
    </row>
    <row r="31107" spans="4:8" x14ac:dyDescent="0.25">
      <c r="D31107" s="28"/>
      <c r="F31107" s="28"/>
      <c r="H31107" s="28"/>
    </row>
    <row r="31108" spans="4:8" x14ac:dyDescent="0.25">
      <c r="D31108" s="28"/>
      <c r="F31108" s="28"/>
      <c r="H31108" s="28"/>
    </row>
    <row r="31109" spans="4:8" x14ac:dyDescent="0.25">
      <c r="D31109" s="28"/>
      <c r="F31109" s="28"/>
      <c r="H31109" s="28"/>
    </row>
    <row r="31110" spans="4:8" x14ac:dyDescent="0.25">
      <c r="D31110" s="28"/>
      <c r="F31110" s="28"/>
      <c r="H31110" s="28"/>
    </row>
    <row r="31111" spans="4:8" x14ac:dyDescent="0.25">
      <c r="D31111" s="28"/>
      <c r="F31111" s="28"/>
      <c r="H31111" s="28"/>
    </row>
    <row r="31112" spans="4:8" x14ac:dyDescent="0.25">
      <c r="D31112" s="28"/>
      <c r="F31112" s="28"/>
      <c r="H31112" s="28"/>
    </row>
    <row r="31113" spans="4:8" x14ac:dyDescent="0.25">
      <c r="D31113" s="28"/>
      <c r="F31113" s="28"/>
      <c r="H31113" s="28"/>
    </row>
    <row r="31114" spans="4:8" x14ac:dyDescent="0.25">
      <c r="D31114" s="28"/>
      <c r="F31114" s="28"/>
      <c r="H31114" s="28"/>
    </row>
    <row r="31115" spans="4:8" x14ac:dyDescent="0.25">
      <c r="D31115" s="28"/>
      <c r="F31115" s="28"/>
      <c r="H31115" s="28"/>
    </row>
    <row r="31116" spans="4:8" x14ac:dyDescent="0.25">
      <c r="D31116" s="28"/>
      <c r="F31116" s="28"/>
      <c r="H31116" s="28"/>
    </row>
    <row r="31117" spans="4:8" x14ac:dyDescent="0.25">
      <c r="D31117" s="28"/>
      <c r="F31117" s="28"/>
      <c r="H31117" s="28"/>
    </row>
    <row r="31118" spans="4:8" x14ac:dyDescent="0.25">
      <c r="D31118" s="28"/>
      <c r="F31118" s="28"/>
      <c r="H31118" s="28"/>
    </row>
    <row r="31119" spans="4:8" x14ac:dyDescent="0.25">
      <c r="D31119" s="28"/>
      <c r="F31119" s="28"/>
      <c r="H31119" s="28"/>
    </row>
    <row r="31120" spans="4:8" x14ac:dyDescent="0.25">
      <c r="D31120" s="28"/>
      <c r="F31120" s="28"/>
      <c r="H31120" s="28"/>
    </row>
    <row r="31121" spans="4:8" x14ac:dyDescent="0.25">
      <c r="D31121" s="28"/>
      <c r="F31121" s="28"/>
      <c r="H31121" s="28"/>
    </row>
    <row r="31122" spans="4:8" x14ac:dyDescent="0.25">
      <c r="D31122" s="28"/>
      <c r="F31122" s="28"/>
      <c r="H31122" s="28"/>
    </row>
    <row r="31123" spans="4:8" x14ac:dyDescent="0.25">
      <c r="D31123" s="28"/>
      <c r="F31123" s="28"/>
      <c r="H31123" s="28"/>
    </row>
    <row r="31124" spans="4:8" x14ac:dyDescent="0.25">
      <c r="D31124" s="28"/>
      <c r="F31124" s="28"/>
      <c r="H31124" s="28"/>
    </row>
    <row r="31125" spans="4:8" x14ac:dyDescent="0.25">
      <c r="D31125" s="28"/>
      <c r="F31125" s="28"/>
      <c r="H31125" s="28"/>
    </row>
    <row r="31126" spans="4:8" x14ac:dyDescent="0.25">
      <c r="D31126" s="28"/>
      <c r="F31126" s="28"/>
      <c r="H31126" s="28"/>
    </row>
    <row r="31127" spans="4:8" x14ac:dyDescent="0.25">
      <c r="D31127" s="28"/>
      <c r="F31127" s="28"/>
      <c r="H31127" s="28"/>
    </row>
    <row r="31128" spans="4:8" x14ac:dyDescent="0.25">
      <c r="D31128" s="28"/>
      <c r="F31128" s="28"/>
      <c r="H31128" s="28"/>
    </row>
    <row r="31129" spans="4:8" x14ac:dyDescent="0.25">
      <c r="D31129" s="28"/>
      <c r="F31129" s="28"/>
      <c r="H31129" s="28"/>
    </row>
    <row r="31130" spans="4:8" x14ac:dyDescent="0.25">
      <c r="D31130" s="28"/>
      <c r="F31130" s="28"/>
      <c r="H31130" s="28"/>
    </row>
    <row r="31131" spans="4:8" x14ac:dyDescent="0.25">
      <c r="D31131" s="28"/>
      <c r="F31131" s="28"/>
      <c r="H31131" s="28"/>
    </row>
    <row r="31132" spans="4:8" x14ac:dyDescent="0.25">
      <c r="D31132" s="28"/>
      <c r="F31132" s="28"/>
      <c r="H31132" s="28"/>
    </row>
    <row r="31133" spans="4:8" x14ac:dyDescent="0.25">
      <c r="D31133" s="28"/>
      <c r="F31133" s="28"/>
      <c r="H31133" s="28"/>
    </row>
    <row r="31134" spans="4:8" x14ac:dyDescent="0.25">
      <c r="D31134" s="28"/>
      <c r="F31134" s="28"/>
      <c r="H31134" s="28"/>
    </row>
    <row r="31135" spans="4:8" x14ac:dyDescent="0.25">
      <c r="D31135" s="28"/>
      <c r="F31135" s="28"/>
      <c r="H31135" s="28"/>
    </row>
    <row r="31136" spans="4:8" x14ac:dyDescent="0.25">
      <c r="D31136" s="28"/>
      <c r="F31136" s="28"/>
      <c r="H31136" s="28"/>
    </row>
    <row r="31137" spans="4:8" x14ac:dyDescent="0.25">
      <c r="D31137" s="28"/>
      <c r="F31137" s="28"/>
      <c r="H31137" s="28"/>
    </row>
    <row r="31138" spans="4:8" x14ac:dyDescent="0.25">
      <c r="D31138" s="28"/>
      <c r="F31138" s="28"/>
      <c r="H31138" s="28"/>
    </row>
    <row r="31139" spans="4:8" x14ac:dyDescent="0.25">
      <c r="D31139" s="28"/>
      <c r="F31139" s="28"/>
      <c r="H31139" s="28"/>
    </row>
    <row r="31140" spans="4:8" x14ac:dyDescent="0.25">
      <c r="D31140" s="28"/>
      <c r="F31140" s="28"/>
      <c r="H31140" s="28"/>
    </row>
    <row r="31141" spans="4:8" x14ac:dyDescent="0.25">
      <c r="D31141" s="28"/>
      <c r="F31141" s="28"/>
      <c r="H31141" s="28"/>
    </row>
    <row r="31142" spans="4:8" x14ac:dyDescent="0.25">
      <c r="D31142" s="28"/>
      <c r="F31142" s="28"/>
      <c r="H31142" s="28"/>
    </row>
    <row r="31143" spans="4:8" x14ac:dyDescent="0.25">
      <c r="D31143" s="28"/>
      <c r="F31143" s="28"/>
      <c r="H31143" s="28"/>
    </row>
    <row r="31144" spans="4:8" x14ac:dyDescent="0.25">
      <c r="D31144" s="28"/>
      <c r="F31144" s="28"/>
      <c r="H31144" s="28"/>
    </row>
    <row r="31145" spans="4:8" x14ac:dyDescent="0.25">
      <c r="D31145" s="28"/>
      <c r="F31145" s="28"/>
      <c r="H31145" s="28"/>
    </row>
    <row r="31146" spans="4:8" x14ac:dyDescent="0.25">
      <c r="D31146" s="28"/>
      <c r="F31146" s="28"/>
      <c r="H31146" s="28"/>
    </row>
    <row r="31147" spans="4:8" x14ac:dyDescent="0.25">
      <c r="D31147" s="28"/>
      <c r="F31147" s="28"/>
      <c r="H31147" s="28"/>
    </row>
    <row r="31148" spans="4:8" x14ac:dyDescent="0.25">
      <c r="D31148" s="28"/>
      <c r="F31148" s="28"/>
      <c r="H31148" s="28"/>
    </row>
    <row r="31149" spans="4:8" x14ac:dyDescent="0.25">
      <c r="D31149" s="28"/>
      <c r="F31149" s="28"/>
      <c r="H31149" s="28"/>
    </row>
    <row r="31150" spans="4:8" x14ac:dyDescent="0.25">
      <c r="D31150" s="28"/>
      <c r="F31150" s="28"/>
      <c r="H31150" s="28"/>
    </row>
    <row r="31151" spans="4:8" x14ac:dyDescent="0.25">
      <c r="D31151" s="28"/>
      <c r="F31151" s="28"/>
      <c r="H31151" s="28"/>
    </row>
    <row r="31152" spans="4:8" x14ac:dyDescent="0.25">
      <c r="D31152" s="28"/>
      <c r="F31152" s="28"/>
      <c r="H31152" s="28"/>
    </row>
    <row r="31153" spans="4:8" x14ac:dyDescent="0.25">
      <c r="D31153" s="28"/>
      <c r="F31153" s="28"/>
      <c r="H31153" s="28"/>
    </row>
    <row r="31154" spans="4:8" x14ac:dyDescent="0.25">
      <c r="D31154" s="28"/>
      <c r="F31154" s="28"/>
      <c r="H31154" s="28"/>
    </row>
    <row r="31155" spans="4:8" x14ac:dyDescent="0.25">
      <c r="D31155" s="28"/>
      <c r="F31155" s="28"/>
      <c r="H31155" s="28"/>
    </row>
    <row r="31156" spans="4:8" x14ac:dyDescent="0.25">
      <c r="D31156" s="28"/>
      <c r="F31156" s="28"/>
      <c r="H31156" s="28"/>
    </row>
    <row r="31157" spans="4:8" x14ac:dyDescent="0.25">
      <c r="D31157" s="28"/>
      <c r="F31157" s="28"/>
      <c r="H31157" s="28"/>
    </row>
    <row r="31158" spans="4:8" x14ac:dyDescent="0.25">
      <c r="D31158" s="28"/>
      <c r="F31158" s="28"/>
      <c r="H31158" s="28"/>
    </row>
    <row r="31159" spans="4:8" x14ac:dyDescent="0.25">
      <c r="D31159" s="28"/>
      <c r="F31159" s="28"/>
      <c r="H31159" s="28"/>
    </row>
    <row r="31160" spans="4:8" x14ac:dyDescent="0.25">
      <c r="D31160" s="28"/>
      <c r="F31160" s="28"/>
      <c r="H31160" s="28"/>
    </row>
    <row r="31161" spans="4:8" x14ac:dyDescent="0.25">
      <c r="D31161" s="28"/>
      <c r="F31161" s="28"/>
      <c r="H31161" s="28"/>
    </row>
    <row r="31162" spans="4:8" x14ac:dyDescent="0.25">
      <c r="D31162" s="28"/>
      <c r="F31162" s="28"/>
      <c r="H31162" s="28"/>
    </row>
    <row r="31163" spans="4:8" x14ac:dyDescent="0.25">
      <c r="D31163" s="28"/>
      <c r="F31163" s="28"/>
      <c r="H31163" s="28"/>
    </row>
    <row r="31164" spans="4:8" x14ac:dyDescent="0.25">
      <c r="D31164" s="28"/>
      <c r="F31164" s="28"/>
      <c r="H31164" s="28"/>
    </row>
    <row r="31165" spans="4:8" x14ac:dyDescent="0.25">
      <c r="D31165" s="28"/>
      <c r="F31165" s="28"/>
      <c r="H31165" s="28"/>
    </row>
    <row r="31166" spans="4:8" x14ac:dyDescent="0.25">
      <c r="D31166" s="28"/>
      <c r="F31166" s="28"/>
      <c r="H31166" s="28"/>
    </row>
    <row r="31167" spans="4:8" x14ac:dyDescent="0.25">
      <c r="D31167" s="28"/>
      <c r="F31167" s="28"/>
      <c r="H31167" s="28"/>
    </row>
    <row r="31168" spans="4:8" x14ac:dyDescent="0.25">
      <c r="D31168" s="28"/>
      <c r="F31168" s="28"/>
      <c r="H31168" s="28"/>
    </row>
    <row r="31169" spans="4:8" x14ac:dyDescent="0.25">
      <c r="D31169" s="28"/>
      <c r="F31169" s="28"/>
      <c r="H31169" s="28"/>
    </row>
    <row r="31170" spans="4:8" x14ac:dyDescent="0.25">
      <c r="D31170" s="28"/>
      <c r="F31170" s="28"/>
      <c r="H31170" s="28"/>
    </row>
    <row r="31171" spans="4:8" x14ac:dyDescent="0.25">
      <c r="D31171" s="28"/>
      <c r="F31171" s="28"/>
      <c r="H31171" s="28"/>
    </row>
    <row r="31172" spans="4:8" x14ac:dyDescent="0.25">
      <c r="D31172" s="28"/>
      <c r="F31172" s="28"/>
      <c r="H31172" s="28"/>
    </row>
    <row r="31173" spans="4:8" x14ac:dyDescent="0.25">
      <c r="D31173" s="28"/>
      <c r="F31173" s="28"/>
      <c r="H31173" s="28"/>
    </row>
    <row r="31174" spans="4:8" x14ac:dyDescent="0.25">
      <c r="D31174" s="28"/>
      <c r="F31174" s="28"/>
      <c r="H31174" s="28"/>
    </row>
    <row r="31175" spans="4:8" x14ac:dyDescent="0.25">
      <c r="D31175" s="28"/>
      <c r="F31175" s="28"/>
      <c r="H31175" s="28"/>
    </row>
    <row r="31176" spans="4:8" x14ac:dyDescent="0.25">
      <c r="D31176" s="28"/>
      <c r="F31176" s="28"/>
      <c r="H31176" s="28"/>
    </row>
    <row r="31177" spans="4:8" x14ac:dyDescent="0.25">
      <c r="D31177" s="28"/>
      <c r="F31177" s="28"/>
      <c r="H31177" s="28"/>
    </row>
    <row r="31178" spans="4:8" x14ac:dyDescent="0.25">
      <c r="D31178" s="28"/>
      <c r="F31178" s="28"/>
      <c r="H31178" s="28"/>
    </row>
    <row r="31179" spans="4:8" x14ac:dyDescent="0.25">
      <c r="D31179" s="28"/>
      <c r="F31179" s="28"/>
      <c r="H31179" s="28"/>
    </row>
    <row r="31180" spans="4:8" x14ac:dyDescent="0.25">
      <c r="D31180" s="28"/>
      <c r="F31180" s="28"/>
      <c r="H31180" s="28"/>
    </row>
    <row r="31181" spans="4:8" x14ac:dyDescent="0.25">
      <c r="D31181" s="28"/>
      <c r="F31181" s="28"/>
      <c r="H31181" s="28"/>
    </row>
    <row r="31182" spans="4:8" x14ac:dyDescent="0.25">
      <c r="D31182" s="28"/>
      <c r="F31182" s="28"/>
      <c r="H31182" s="28"/>
    </row>
    <row r="31183" spans="4:8" x14ac:dyDescent="0.25">
      <c r="D31183" s="28"/>
      <c r="F31183" s="28"/>
      <c r="H31183" s="28"/>
    </row>
    <row r="31184" spans="4:8" x14ac:dyDescent="0.25">
      <c r="D31184" s="28"/>
      <c r="F31184" s="28"/>
      <c r="H31184" s="28"/>
    </row>
    <row r="31185" spans="4:8" x14ac:dyDescent="0.25">
      <c r="D31185" s="28"/>
      <c r="F31185" s="28"/>
      <c r="H31185" s="28"/>
    </row>
    <row r="31186" spans="4:8" x14ac:dyDescent="0.25">
      <c r="D31186" s="28"/>
      <c r="F31186" s="28"/>
      <c r="H31186" s="28"/>
    </row>
    <row r="31187" spans="4:8" x14ac:dyDescent="0.25">
      <c r="D31187" s="28"/>
      <c r="F31187" s="28"/>
      <c r="H31187" s="28"/>
    </row>
    <row r="31188" spans="4:8" x14ac:dyDescent="0.25">
      <c r="D31188" s="28"/>
      <c r="F31188" s="28"/>
      <c r="H31188" s="28"/>
    </row>
    <row r="31189" spans="4:8" x14ac:dyDescent="0.25">
      <c r="D31189" s="28"/>
      <c r="F31189" s="28"/>
      <c r="H31189" s="28"/>
    </row>
    <row r="31190" spans="4:8" x14ac:dyDescent="0.25">
      <c r="D31190" s="28"/>
      <c r="F31190" s="28"/>
      <c r="H31190" s="28"/>
    </row>
    <row r="31191" spans="4:8" x14ac:dyDescent="0.25">
      <c r="D31191" s="28"/>
      <c r="F31191" s="28"/>
      <c r="H31191" s="28"/>
    </row>
    <row r="31192" spans="4:8" x14ac:dyDescent="0.25">
      <c r="D31192" s="28"/>
      <c r="F31192" s="28"/>
      <c r="H31192" s="28"/>
    </row>
    <row r="31193" spans="4:8" x14ac:dyDescent="0.25">
      <c r="D31193" s="28"/>
      <c r="F31193" s="28"/>
      <c r="H31193" s="28"/>
    </row>
    <row r="31194" spans="4:8" x14ac:dyDescent="0.25">
      <c r="D31194" s="28"/>
      <c r="F31194" s="28"/>
      <c r="H31194" s="28"/>
    </row>
    <row r="31195" spans="4:8" x14ac:dyDescent="0.25">
      <c r="D31195" s="28"/>
      <c r="F31195" s="28"/>
      <c r="H31195" s="28"/>
    </row>
    <row r="31196" spans="4:8" x14ac:dyDescent="0.25">
      <c r="D31196" s="28"/>
      <c r="F31196" s="28"/>
      <c r="H31196" s="28"/>
    </row>
    <row r="31197" spans="4:8" x14ac:dyDescent="0.25">
      <c r="D31197" s="28"/>
      <c r="F31197" s="28"/>
      <c r="H31197" s="28"/>
    </row>
    <row r="31198" spans="4:8" x14ac:dyDescent="0.25">
      <c r="D31198" s="28"/>
      <c r="F31198" s="28"/>
      <c r="H31198" s="28"/>
    </row>
    <row r="31199" spans="4:8" x14ac:dyDescent="0.25">
      <c r="D31199" s="28"/>
      <c r="F31199" s="28"/>
      <c r="H31199" s="28"/>
    </row>
    <row r="31200" spans="4:8" x14ac:dyDescent="0.25">
      <c r="D31200" s="28"/>
      <c r="F31200" s="28"/>
      <c r="H31200" s="28"/>
    </row>
    <row r="31201" spans="4:8" x14ac:dyDescent="0.25">
      <c r="D31201" s="28"/>
      <c r="F31201" s="28"/>
      <c r="H31201" s="28"/>
    </row>
    <row r="31202" spans="4:8" x14ac:dyDescent="0.25">
      <c r="D31202" s="28"/>
      <c r="F31202" s="28"/>
      <c r="H31202" s="28"/>
    </row>
    <row r="31203" spans="4:8" x14ac:dyDescent="0.25">
      <c r="D31203" s="28"/>
      <c r="F31203" s="28"/>
      <c r="H31203" s="28"/>
    </row>
    <row r="31204" spans="4:8" x14ac:dyDescent="0.25">
      <c r="D31204" s="28"/>
      <c r="F31204" s="28"/>
      <c r="H31204" s="28"/>
    </row>
    <row r="31205" spans="4:8" x14ac:dyDescent="0.25">
      <c r="D31205" s="28"/>
      <c r="F31205" s="28"/>
      <c r="H31205" s="28"/>
    </row>
    <row r="31206" spans="4:8" x14ac:dyDescent="0.25">
      <c r="D31206" s="28"/>
      <c r="F31206" s="28"/>
      <c r="H31206" s="28"/>
    </row>
    <row r="31207" spans="4:8" x14ac:dyDescent="0.25">
      <c r="D31207" s="28"/>
      <c r="F31207" s="28"/>
      <c r="H31207" s="28"/>
    </row>
    <row r="31208" spans="4:8" x14ac:dyDescent="0.25">
      <c r="D31208" s="28"/>
      <c r="F31208" s="28"/>
      <c r="H31208" s="28"/>
    </row>
    <row r="31209" spans="4:8" x14ac:dyDescent="0.25">
      <c r="D31209" s="28"/>
      <c r="F31209" s="28"/>
      <c r="H31209" s="28"/>
    </row>
    <row r="31210" spans="4:8" x14ac:dyDescent="0.25">
      <c r="D31210" s="28"/>
      <c r="F31210" s="28"/>
      <c r="H31210" s="28"/>
    </row>
    <row r="31211" spans="4:8" x14ac:dyDescent="0.25">
      <c r="D31211" s="28"/>
      <c r="F31211" s="28"/>
      <c r="H31211" s="28"/>
    </row>
    <row r="31212" spans="4:8" x14ac:dyDescent="0.25">
      <c r="D31212" s="28"/>
      <c r="F31212" s="28"/>
      <c r="H31212" s="28"/>
    </row>
    <row r="31213" spans="4:8" x14ac:dyDescent="0.25">
      <c r="D31213" s="28"/>
      <c r="F31213" s="28"/>
      <c r="H31213" s="28"/>
    </row>
    <row r="31214" spans="4:8" x14ac:dyDescent="0.25">
      <c r="D31214" s="28"/>
      <c r="F31214" s="28"/>
      <c r="H31214" s="28"/>
    </row>
    <row r="31215" spans="4:8" x14ac:dyDescent="0.25">
      <c r="D31215" s="28"/>
      <c r="F31215" s="28"/>
      <c r="H31215" s="28"/>
    </row>
    <row r="31216" spans="4:8" x14ac:dyDescent="0.25">
      <c r="D31216" s="28"/>
      <c r="F31216" s="28"/>
      <c r="H31216" s="28"/>
    </row>
    <row r="31217" spans="4:8" x14ac:dyDescent="0.25">
      <c r="D31217" s="28"/>
      <c r="F31217" s="28"/>
      <c r="H31217" s="28"/>
    </row>
    <row r="31218" spans="4:8" x14ac:dyDescent="0.25">
      <c r="D31218" s="28"/>
      <c r="F31218" s="28"/>
      <c r="H31218" s="28"/>
    </row>
    <row r="31219" spans="4:8" x14ac:dyDescent="0.25">
      <c r="D31219" s="28"/>
      <c r="F31219" s="28"/>
      <c r="H31219" s="28"/>
    </row>
    <row r="31220" spans="4:8" x14ac:dyDescent="0.25">
      <c r="D31220" s="28"/>
      <c r="F31220" s="28"/>
      <c r="H31220" s="28"/>
    </row>
    <row r="31221" spans="4:8" x14ac:dyDescent="0.25">
      <c r="D31221" s="28"/>
      <c r="F31221" s="28"/>
      <c r="H31221" s="28"/>
    </row>
    <row r="31222" spans="4:8" x14ac:dyDescent="0.25">
      <c r="D31222" s="28"/>
      <c r="F31222" s="28"/>
      <c r="H31222" s="28"/>
    </row>
    <row r="31223" spans="4:8" x14ac:dyDescent="0.25">
      <c r="D31223" s="28"/>
      <c r="F31223" s="28"/>
      <c r="H31223" s="28"/>
    </row>
    <row r="31224" spans="4:8" x14ac:dyDescent="0.25">
      <c r="D31224" s="28"/>
      <c r="F31224" s="28"/>
      <c r="H31224" s="28"/>
    </row>
    <row r="31225" spans="4:8" x14ac:dyDescent="0.25">
      <c r="D31225" s="28"/>
      <c r="F31225" s="28"/>
      <c r="H31225" s="28"/>
    </row>
    <row r="31226" spans="4:8" x14ac:dyDescent="0.25">
      <c r="D31226" s="28"/>
      <c r="F31226" s="28"/>
      <c r="H31226" s="28"/>
    </row>
    <row r="31227" spans="4:8" x14ac:dyDescent="0.25">
      <c r="D31227" s="28"/>
      <c r="F31227" s="28"/>
      <c r="H31227" s="28"/>
    </row>
    <row r="31228" spans="4:8" x14ac:dyDescent="0.25">
      <c r="D31228" s="28"/>
      <c r="F31228" s="28"/>
      <c r="H31228" s="28"/>
    </row>
    <row r="31229" spans="4:8" x14ac:dyDescent="0.25">
      <c r="D31229" s="28"/>
      <c r="F31229" s="28"/>
      <c r="H31229" s="28"/>
    </row>
    <row r="31230" spans="4:8" x14ac:dyDescent="0.25">
      <c r="D31230" s="28"/>
      <c r="F31230" s="28"/>
      <c r="H31230" s="28"/>
    </row>
    <row r="31231" spans="4:8" x14ac:dyDescent="0.25">
      <c r="D31231" s="28"/>
      <c r="F31231" s="28"/>
      <c r="H31231" s="28"/>
    </row>
    <row r="31232" spans="4:8" x14ac:dyDescent="0.25">
      <c r="D31232" s="28"/>
      <c r="F31232" s="28"/>
      <c r="H31232" s="28"/>
    </row>
    <row r="31233" spans="4:8" x14ac:dyDescent="0.25">
      <c r="D31233" s="28"/>
      <c r="F31233" s="28"/>
      <c r="H31233" s="28"/>
    </row>
    <row r="31234" spans="4:8" x14ac:dyDescent="0.25">
      <c r="D31234" s="28"/>
      <c r="F31234" s="28"/>
      <c r="H31234" s="28"/>
    </row>
    <row r="31235" spans="4:8" x14ac:dyDescent="0.25">
      <c r="D31235" s="28"/>
      <c r="F31235" s="28"/>
      <c r="H31235" s="28"/>
    </row>
    <row r="31236" spans="4:8" x14ac:dyDescent="0.25">
      <c r="D31236" s="28"/>
      <c r="F31236" s="28"/>
      <c r="H31236" s="28"/>
    </row>
    <row r="31237" spans="4:8" x14ac:dyDescent="0.25">
      <c r="D31237" s="28"/>
      <c r="F31237" s="28"/>
      <c r="H31237" s="28"/>
    </row>
    <row r="31238" spans="4:8" x14ac:dyDescent="0.25">
      <c r="D31238" s="28"/>
      <c r="F31238" s="28"/>
      <c r="H31238" s="28"/>
    </row>
    <row r="31239" spans="4:8" x14ac:dyDescent="0.25">
      <c r="D31239" s="28"/>
      <c r="F31239" s="28"/>
      <c r="H31239" s="28"/>
    </row>
    <row r="31240" spans="4:8" x14ac:dyDescent="0.25">
      <c r="D31240" s="28"/>
      <c r="F31240" s="28"/>
      <c r="H31240" s="28"/>
    </row>
    <row r="31241" spans="4:8" x14ac:dyDescent="0.25">
      <c r="D31241" s="28"/>
      <c r="F31241" s="28"/>
      <c r="H31241" s="28"/>
    </row>
    <row r="31242" spans="4:8" x14ac:dyDescent="0.25">
      <c r="D31242" s="28"/>
      <c r="F31242" s="28"/>
      <c r="H31242" s="28"/>
    </row>
    <row r="31243" spans="4:8" x14ac:dyDescent="0.25">
      <c r="D31243" s="28"/>
      <c r="F31243" s="28"/>
      <c r="H31243" s="28"/>
    </row>
    <row r="31244" spans="4:8" x14ac:dyDescent="0.25">
      <c r="D31244" s="28"/>
      <c r="F31244" s="28"/>
      <c r="H31244" s="28"/>
    </row>
    <row r="31245" spans="4:8" x14ac:dyDescent="0.25">
      <c r="D31245" s="28"/>
      <c r="F31245" s="28"/>
      <c r="H31245" s="28"/>
    </row>
    <row r="31246" spans="4:8" x14ac:dyDescent="0.25">
      <c r="D31246" s="28"/>
      <c r="F31246" s="28"/>
      <c r="H31246" s="28"/>
    </row>
    <row r="31247" spans="4:8" x14ac:dyDescent="0.25">
      <c r="D31247" s="28"/>
      <c r="F31247" s="28"/>
      <c r="H31247" s="28"/>
    </row>
    <row r="31248" spans="4:8" x14ac:dyDescent="0.25">
      <c r="D31248" s="28"/>
      <c r="F31248" s="28"/>
      <c r="H31248" s="28"/>
    </row>
    <row r="31249" spans="4:8" x14ac:dyDescent="0.25">
      <c r="D31249" s="28"/>
      <c r="F31249" s="28"/>
      <c r="H31249" s="28"/>
    </row>
    <row r="31250" spans="4:8" x14ac:dyDescent="0.25">
      <c r="D31250" s="28"/>
      <c r="F31250" s="28"/>
      <c r="H31250" s="28"/>
    </row>
    <row r="31251" spans="4:8" x14ac:dyDescent="0.25">
      <c r="D31251" s="28"/>
      <c r="F31251" s="28"/>
      <c r="H31251" s="28"/>
    </row>
    <row r="31252" spans="4:8" x14ac:dyDescent="0.25">
      <c r="D31252" s="28"/>
      <c r="F31252" s="28"/>
      <c r="H31252" s="28"/>
    </row>
    <row r="31253" spans="4:8" x14ac:dyDescent="0.25">
      <c r="D31253" s="28"/>
      <c r="F31253" s="28"/>
      <c r="H31253" s="28"/>
    </row>
    <row r="31254" spans="4:8" x14ac:dyDescent="0.25">
      <c r="D31254" s="28"/>
      <c r="F31254" s="28"/>
      <c r="H31254" s="28"/>
    </row>
    <row r="31255" spans="4:8" x14ac:dyDescent="0.25">
      <c r="D31255" s="28"/>
      <c r="F31255" s="28"/>
      <c r="H31255" s="28"/>
    </row>
    <row r="31256" spans="4:8" x14ac:dyDescent="0.25">
      <c r="D31256" s="28"/>
      <c r="F31256" s="28"/>
      <c r="H31256" s="28"/>
    </row>
    <row r="31257" spans="4:8" x14ac:dyDescent="0.25">
      <c r="D31257" s="28"/>
      <c r="F31257" s="28"/>
      <c r="H31257" s="28"/>
    </row>
    <row r="31258" spans="4:8" x14ac:dyDescent="0.25">
      <c r="D31258" s="28"/>
      <c r="F31258" s="28"/>
      <c r="H31258" s="28"/>
    </row>
    <row r="31259" spans="4:8" x14ac:dyDescent="0.25">
      <c r="D31259" s="28"/>
      <c r="F31259" s="28"/>
      <c r="H31259" s="28"/>
    </row>
    <row r="31260" spans="4:8" x14ac:dyDescent="0.25">
      <c r="D31260" s="28"/>
      <c r="F31260" s="28"/>
      <c r="H31260" s="28"/>
    </row>
    <row r="31261" spans="4:8" x14ac:dyDescent="0.25">
      <c r="D31261" s="28"/>
      <c r="F31261" s="28"/>
      <c r="H31261" s="28"/>
    </row>
    <row r="31262" spans="4:8" x14ac:dyDescent="0.25">
      <c r="D31262" s="28"/>
      <c r="F31262" s="28"/>
      <c r="H31262" s="28"/>
    </row>
    <row r="31263" spans="4:8" x14ac:dyDescent="0.25">
      <c r="D31263" s="28"/>
      <c r="F31263" s="28"/>
      <c r="H31263" s="28"/>
    </row>
    <row r="31264" spans="4:8" x14ac:dyDescent="0.25">
      <c r="D31264" s="28"/>
      <c r="F31264" s="28"/>
      <c r="H31264" s="28"/>
    </row>
    <row r="31265" spans="4:8" x14ac:dyDescent="0.25">
      <c r="D31265" s="28"/>
      <c r="F31265" s="28"/>
      <c r="H31265" s="28"/>
    </row>
    <row r="31266" spans="4:8" x14ac:dyDescent="0.25">
      <c r="D31266" s="28"/>
      <c r="F31266" s="28"/>
      <c r="H31266" s="28"/>
    </row>
    <row r="31267" spans="4:8" x14ac:dyDescent="0.25">
      <c r="D31267" s="28"/>
      <c r="F31267" s="28"/>
      <c r="H31267" s="28"/>
    </row>
    <row r="31268" spans="4:8" x14ac:dyDescent="0.25">
      <c r="D31268" s="28"/>
      <c r="F31268" s="28"/>
      <c r="H31268" s="28"/>
    </row>
    <row r="31269" spans="4:8" x14ac:dyDescent="0.25">
      <c r="D31269" s="28"/>
      <c r="F31269" s="28"/>
      <c r="H31269" s="28"/>
    </row>
    <row r="31270" spans="4:8" x14ac:dyDescent="0.25">
      <c r="D31270" s="28"/>
      <c r="F31270" s="28"/>
      <c r="H31270" s="28"/>
    </row>
    <row r="31271" spans="4:8" x14ac:dyDescent="0.25">
      <c r="D31271" s="28"/>
      <c r="F31271" s="28"/>
      <c r="H31271" s="28"/>
    </row>
    <row r="31272" spans="4:8" x14ac:dyDescent="0.25">
      <c r="D31272" s="28"/>
      <c r="F31272" s="28"/>
      <c r="H31272" s="28"/>
    </row>
    <row r="31273" spans="4:8" x14ac:dyDescent="0.25">
      <c r="D31273" s="28"/>
      <c r="F31273" s="28"/>
      <c r="H31273" s="28"/>
    </row>
    <row r="31274" spans="4:8" x14ac:dyDescent="0.25">
      <c r="D31274" s="28"/>
      <c r="F31274" s="28"/>
      <c r="H31274" s="28"/>
    </row>
    <row r="31275" spans="4:8" x14ac:dyDescent="0.25">
      <c r="D31275" s="28"/>
      <c r="F31275" s="28"/>
      <c r="H31275" s="28"/>
    </row>
    <row r="31276" spans="4:8" x14ac:dyDescent="0.25">
      <c r="D31276" s="28"/>
      <c r="F31276" s="28"/>
      <c r="H31276" s="28"/>
    </row>
    <row r="31277" spans="4:8" x14ac:dyDescent="0.25">
      <c r="D31277" s="28"/>
      <c r="F31277" s="28"/>
      <c r="H31277" s="28"/>
    </row>
    <row r="31278" spans="4:8" x14ac:dyDescent="0.25">
      <c r="D31278" s="28"/>
      <c r="F31278" s="28"/>
      <c r="H31278" s="28"/>
    </row>
    <row r="31279" spans="4:8" x14ac:dyDescent="0.25">
      <c r="D31279" s="28"/>
      <c r="F31279" s="28"/>
      <c r="H31279" s="28"/>
    </row>
    <row r="31280" spans="4:8" x14ac:dyDescent="0.25">
      <c r="D31280" s="28"/>
      <c r="F31280" s="28"/>
      <c r="H31280" s="28"/>
    </row>
    <row r="31281" spans="4:8" x14ac:dyDescent="0.25">
      <c r="D31281" s="28"/>
      <c r="F31281" s="28"/>
      <c r="H31281" s="28"/>
    </row>
    <row r="31282" spans="4:8" x14ac:dyDescent="0.25">
      <c r="D31282" s="28"/>
      <c r="F31282" s="28"/>
      <c r="H31282" s="28"/>
    </row>
    <row r="31283" spans="4:8" x14ac:dyDescent="0.25">
      <c r="D31283" s="28"/>
      <c r="F31283" s="28"/>
      <c r="H31283" s="28"/>
    </row>
    <row r="31284" spans="4:8" x14ac:dyDescent="0.25">
      <c r="D31284" s="28"/>
      <c r="F31284" s="28"/>
      <c r="H31284" s="28"/>
    </row>
    <row r="31285" spans="4:8" x14ac:dyDescent="0.25">
      <c r="D31285" s="28"/>
      <c r="F31285" s="28"/>
      <c r="H31285" s="28"/>
    </row>
    <row r="31286" spans="4:8" x14ac:dyDescent="0.25">
      <c r="D31286" s="28"/>
      <c r="F31286" s="28"/>
      <c r="H31286" s="28"/>
    </row>
    <row r="31287" spans="4:8" x14ac:dyDescent="0.25">
      <c r="D31287" s="28"/>
      <c r="F31287" s="28"/>
      <c r="H31287" s="28"/>
    </row>
    <row r="31288" spans="4:8" x14ac:dyDescent="0.25">
      <c r="D31288" s="28"/>
      <c r="F31288" s="28"/>
      <c r="H31288" s="28"/>
    </row>
    <row r="31289" spans="4:8" x14ac:dyDescent="0.25">
      <c r="D31289" s="28"/>
      <c r="F31289" s="28"/>
      <c r="H31289" s="28"/>
    </row>
    <row r="31290" spans="4:8" x14ac:dyDescent="0.25">
      <c r="D31290" s="28"/>
      <c r="F31290" s="28"/>
      <c r="H31290" s="28"/>
    </row>
    <row r="31291" spans="4:8" x14ac:dyDescent="0.25">
      <c r="D31291" s="28"/>
      <c r="F31291" s="28"/>
      <c r="H31291" s="28"/>
    </row>
    <row r="31292" spans="4:8" x14ac:dyDescent="0.25">
      <c r="D31292" s="28"/>
      <c r="F31292" s="28"/>
      <c r="H31292" s="28"/>
    </row>
    <row r="31293" spans="4:8" x14ac:dyDescent="0.25">
      <c r="D31293" s="28"/>
      <c r="F31293" s="28"/>
      <c r="H31293" s="28"/>
    </row>
    <row r="31294" spans="4:8" x14ac:dyDescent="0.25">
      <c r="D31294" s="28"/>
      <c r="F31294" s="28"/>
      <c r="H31294" s="28"/>
    </row>
    <row r="31295" spans="4:8" x14ac:dyDescent="0.25">
      <c r="D31295" s="28"/>
      <c r="F31295" s="28"/>
      <c r="H31295" s="28"/>
    </row>
    <row r="31296" spans="4:8" x14ac:dyDescent="0.25">
      <c r="D31296" s="28"/>
      <c r="F31296" s="28"/>
      <c r="H31296" s="28"/>
    </row>
    <row r="31297" spans="4:8" x14ac:dyDescent="0.25">
      <c r="D31297" s="28"/>
      <c r="F31297" s="28"/>
      <c r="H31297" s="28"/>
    </row>
    <row r="31298" spans="4:8" x14ac:dyDescent="0.25">
      <c r="D31298" s="28"/>
      <c r="F31298" s="28"/>
      <c r="H31298" s="28"/>
    </row>
    <row r="31299" spans="4:8" x14ac:dyDescent="0.25">
      <c r="D31299" s="28"/>
      <c r="F31299" s="28"/>
      <c r="H31299" s="28"/>
    </row>
    <row r="31300" spans="4:8" x14ac:dyDescent="0.25">
      <c r="D31300" s="28"/>
      <c r="F31300" s="28"/>
      <c r="H31300" s="28"/>
    </row>
    <row r="31301" spans="4:8" x14ac:dyDescent="0.25">
      <c r="D31301" s="28"/>
      <c r="F31301" s="28"/>
      <c r="H31301" s="28"/>
    </row>
    <row r="31302" spans="4:8" x14ac:dyDescent="0.25">
      <c r="D31302" s="28"/>
      <c r="F31302" s="28"/>
      <c r="H31302" s="28"/>
    </row>
    <row r="31303" spans="4:8" x14ac:dyDescent="0.25">
      <c r="D31303" s="28"/>
      <c r="F31303" s="28"/>
      <c r="H31303" s="28"/>
    </row>
    <row r="31304" spans="4:8" x14ac:dyDescent="0.25">
      <c r="D31304" s="28"/>
      <c r="F31304" s="28"/>
      <c r="H31304" s="28"/>
    </row>
    <row r="31305" spans="4:8" x14ac:dyDescent="0.25">
      <c r="D31305" s="28"/>
      <c r="F31305" s="28"/>
      <c r="H31305" s="28"/>
    </row>
    <row r="31306" spans="4:8" x14ac:dyDescent="0.25">
      <c r="D31306" s="28"/>
      <c r="F31306" s="28"/>
      <c r="H31306" s="28"/>
    </row>
    <row r="31307" spans="4:8" x14ac:dyDescent="0.25">
      <c r="D31307" s="28"/>
      <c r="F31307" s="28"/>
      <c r="H31307" s="28"/>
    </row>
    <row r="31308" spans="4:8" x14ac:dyDescent="0.25">
      <c r="D31308" s="28"/>
      <c r="F31308" s="28"/>
      <c r="H31308" s="28"/>
    </row>
    <row r="31309" spans="4:8" x14ac:dyDescent="0.25">
      <c r="D31309" s="28"/>
      <c r="F31309" s="28"/>
      <c r="H31309" s="28"/>
    </row>
    <row r="31310" spans="4:8" x14ac:dyDescent="0.25">
      <c r="D31310" s="28"/>
      <c r="F31310" s="28"/>
      <c r="H31310" s="28"/>
    </row>
    <row r="31311" spans="4:8" x14ac:dyDescent="0.25">
      <c r="D31311" s="28"/>
      <c r="F31311" s="28"/>
      <c r="H31311" s="28"/>
    </row>
    <row r="31312" spans="4:8" x14ac:dyDescent="0.25">
      <c r="D31312" s="28"/>
      <c r="F31312" s="28"/>
      <c r="H31312" s="28"/>
    </row>
    <row r="31313" spans="4:8" x14ac:dyDescent="0.25">
      <c r="D31313" s="28"/>
      <c r="F31313" s="28"/>
      <c r="H31313" s="28"/>
    </row>
    <row r="31314" spans="4:8" x14ac:dyDescent="0.25">
      <c r="D31314" s="28"/>
      <c r="F31314" s="28"/>
      <c r="H31314" s="28"/>
    </row>
    <row r="31315" spans="4:8" x14ac:dyDescent="0.25">
      <c r="D31315" s="28"/>
      <c r="F31315" s="28"/>
      <c r="H31315" s="28"/>
    </row>
    <row r="31316" spans="4:8" x14ac:dyDescent="0.25">
      <c r="D31316" s="28"/>
      <c r="F31316" s="28"/>
      <c r="H31316" s="28"/>
    </row>
    <row r="31317" spans="4:8" x14ac:dyDescent="0.25">
      <c r="D31317" s="28"/>
      <c r="F31317" s="28"/>
      <c r="H31317" s="28"/>
    </row>
    <row r="31318" spans="4:8" x14ac:dyDescent="0.25">
      <c r="D31318" s="28"/>
      <c r="F31318" s="28"/>
      <c r="H31318" s="28"/>
    </row>
    <row r="31319" spans="4:8" x14ac:dyDescent="0.25">
      <c r="D31319" s="28"/>
      <c r="F31319" s="28"/>
      <c r="H31319" s="28"/>
    </row>
    <row r="31320" spans="4:8" x14ac:dyDescent="0.25">
      <c r="D31320" s="28"/>
      <c r="F31320" s="28"/>
      <c r="H31320" s="28"/>
    </row>
    <row r="31321" spans="4:8" x14ac:dyDescent="0.25">
      <c r="D31321" s="28"/>
      <c r="F31321" s="28"/>
      <c r="H31321" s="28"/>
    </row>
    <row r="31322" spans="4:8" x14ac:dyDescent="0.25">
      <c r="D31322" s="28"/>
      <c r="F31322" s="28"/>
      <c r="H31322" s="28"/>
    </row>
    <row r="31323" spans="4:8" x14ac:dyDescent="0.25">
      <c r="D31323" s="28"/>
      <c r="F31323" s="28"/>
      <c r="H31323" s="28"/>
    </row>
    <row r="31324" spans="4:8" x14ac:dyDescent="0.25">
      <c r="D31324" s="28"/>
      <c r="F31324" s="28"/>
      <c r="H31324" s="28"/>
    </row>
    <row r="31325" spans="4:8" x14ac:dyDescent="0.25">
      <c r="D31325" s="28"/>
      <c r="F31325" s="28"/>
      <c r="H31325" s="28"/>
    </row>
    <row r="31326" spans="4:8" x14ac:dyDescent="0.25">
      <c r="D31326" s="28"/>
      <c r="F31326" s="28"/>
      <c r="H31326" s="28"/>
    </row>
    <row r="31327" spans="4:8" x14ac:dyDescent="0.25">
      <c r="D31327" s="28"/>
      <c r="F31327" s="28"/>
      <c r="H31327" s="28"/>
    </row>
    <row r="31328" spans="4:8" x14ac:dyDescent="0.25">
      <c r="D31328" s="28"/>
      <c r="F31328" s="28"/>
      <c r="H31328" s="28"/>
    </row>
    <row r="31329" spans="4:8" x14ac:dyDescent="0.25">
      <c r="D31329" s="28"/>
      <c r="F31329" s="28"/>
      <c r="H31329" s="28"/>
    </row>
    <row r="31330" spans="4:8" x14ac:dyDescent="0.25">
      <c r="D31330" s="28"/>
      <c r="F31330" s="28"/>
      <c r="H31330" s="28"/>
    </row>
    <row r="31331" spans="4:8" x14ac:dyDescent="0.25">
      <c r="D31331" s="28"/>
      <c r="F31331" s="28"/>
      <c r="H31331" s="28"/>
    </row>
    <row r="31332" spans="4:8" x14ac:dyDescent="0.25">
      <c r="D31332" s="28"/>
      <c r="F31332" s="28"/>
      <c r="H31332" s="28"/>
    </row>
    <row r="31333" spans="4:8" x14ac:dyDescent="0.25">
      <c r="D31333" s="28"/>
      <c r="F31333" s="28"/>
      <c r="H31333" s="28"/>
    </row>
    <row r="31334" spans="4:8" x14ac:dyDescent="0.25">
      <c r="D31334" s="28"/>
      <c r="F31334" s="28"/>
      <c r="H31334" s="28"/>
    </row>
    <row r="31335" spans="4:8" x14ac:dyDescent="0.25">
      <c r="D31335" s="28"/>
      <c r="F31335" s="28"/>
      <c r="H31335" s="28"/>
    </row>
    <row r="31336" spans="4:8" x14ac:dyDescent="0.25">
      <c r="D31336" s="28"/>
      <c r="F31336" s="28"/>
      <c r="H31336" s="28"/>
    </row>
    <row r="31337" spans="4:8" x14ac:dyDescent="0.25">
      <c r="D31337" s="28"/>
      <c r="F31337" s="28"/>
      <c r="H31337" s="28"/>
    </row>
    <row r="31338" spans="4:8" x14ac:dyDescent="0.25">
      <c r="D31338" s="28"/>
      <c r="F31338" s="28"/>
      <c r="H31338" s="28"/>
    </row>
    <row r="31339" spans="4:8" x14ac:dyDescent="0.25">
      <c r="D31339" s="28"/>
      <c r="F31339" s="28"/>
      <c r="H31339" s="28"/>
    </row>
    <row r="31340" spans="4:8" x14ac:dyDescent="0.25">
      <c r="D31340" s="28"/>
      <c r="F31340" s="28"/>
      <c r="H31340" s="28"/>
    </row>
    <row r="31341" spans="4:8" x14ac:dyDescent="0.25">
      <c r="D31341" s="28"/>
      <c r="F31341" s="28"/>
      <c r="H31341" s="28"/>
    </row>
    <row r="31342" spans="4:8" x14ac:dyDescent="0.25">
      <c r="D31342" s="28"/>
      <c r="F31342" s="28"/>
      <c r="H31342" s="28"/>
    </row>
    <row r="31343" spans="4:8" x14ac:dyDescent="0.25">
      <c r="D31343" s="28"/>
      <c r="F31343" s="28"/>
      <c r="H31343" s="28"/>
    </row>
    <row r="31344" spans="4:8" x14ac:dyDescent="0.25">
      <c r="D31344" s="28"/>
      <c r="F31344" s="28"/>
      <c r="H31344" s="28"/>
    </row>
    <row r="31345" spans="4:8" x14ac:dyDescent="0.25">
      <c r="D31345" s="28"/>
      <c r="F31345" s="28"/>
      <c r="H31345" s="28"/>
    </row>
    <row r="31346" spans="4:8" x14ac:dyDescent="0.25">
      <c r="D31346" s="28"/>
      <c r="F31346" s="28"/>
      <c r="H31346" s="28"/>
    </row>
    <row r="31347" spans="4:8" x14ac:dyDescent="0.25">
      <c r="D31347" s="28"/>
      <c r="F31347" s="28"/>
      <c r="H31347" s="28"/>
    </row>
    <row r="31348" spans="4:8" x14ac:dyDescent="0.25">
      <c r="D31348" s="28"/>
      <c r="F31348" s="28"/>
      <c r="H31348" s="28"/>
    </row>
    <row r="31349" spans="4:8" x14ac:dyDescent="0.25">
      <c r="D31349" s="28"/>
      <c r="F31349" s="28"/>
      <c r="H31349" s="28"/>
    </row>
    <row r="31350" spans="4:8" x14ac:dyDescent="0.25">
      <c r="D31350" s="28"/>
      <c r="F31350" s="28"/>
      <c r="H31350" s="28"/>
    </row>
    <row r="31351" spans="4:8" x14ac:dyDescent="0.25">
      <c r="D31351" s="28"/>
      <c r="F31351" s="28"/>
      <c r="H31351" s="28"/>
    </row>
    <row r="31352" spans="4:8" x14ac:dyDescent="0.25">
      <c r="D31352" s="28"/>
      <c r="F31352" s="28"/>
      <c r="H31352" s="28"/>
    </row>
    <row r="31353" spans="4:8" x14ac:dyDescent="0.25">
      <c r="D31353" s="28"/>
      <c r="F31353" s="28"/>
      <c r="H31353" s="28"/>
    </row>
    <row r="31354" spans="4:8" x14ac:dyDescent="0.25">
      <c r="D31354" s="28"/>
      <c r="F31354" s="28"/>
      <c r="H31354" s="28"/>
    </row>
    <row r="31355" spans="4:8" x14ac:dyDescent="0.25">
      <c r="D31355" s="28"/>
      <c r="F31355" s="28"/>
      <c r="H31355" s="28"/>
    </row>
    <row r="31356" spans="4:8" x14ac:dyDescent="0.25">
      <c r="D31356" s="28"/>
      <c r="F31356" s="28"/>
      <c r="H31356" s="28"/>
    </row>
    <row r="31357" spans="4:8" x14ac:dyDescent="0.25">
      <c r="D31357" s="28"/>
      <c r="F31357" s="28"/>
      <c r="H31357" s="28"/>
    </row>
    <row r="31358" spans="4:8" x14ac:dyDescent="0.25">
      <c r="D31358" s="28"/>
      <c r="F31358" s="28"/>
      <c r="H31358" s="28"/>
    </row>
    <row r="31359" spans="4:8" x14ac:dyDescent="0.25">
      <c r="D31359" s="28"/>
      <c r="F31359" s="28"/>
      <c r="H31359" s="28"/>
    </row>
    <row r="31360" spans="4:8" x14ac:dyDescent="0.25">
      <c r="D31360" s="28"/>
      <c r="F31360" s="28"/>
      <c r="H31360" s="28"/>
    </row>
    <row r="31361" spans="4:8" x14ac:dyDescent="0.25">
      <c r="D31361" s="28"/>
      <c r="F31361" s="28"/>
      <c r="H31361" s="28"/>
    </row>
    <row r="31362" spans="4:8" x14ac:dyDescent="0.25">
      <c r="D31362" s="28"/>
      <c r="F31362" s="28"/>
      <c r="H31362" s="28"/>
    </row>
    <row r="31363" spans="4:8" x14ac:dyDescent="0.25">
      <c r="D31363" s="28"/>
      <c r="F31363" s="28"/>
      <c r="H31363" s="28"/>
    </row>
    <row r="31364" spans="4:8" x14ac:dyDescent="0.25">
      <c r="D31364" s="28"/>
      <c r="F31364" s="28"/>
      <c r="H31364" s="28"/>
    </row>
    <row r="31365" spans="4:8" x14ac:dyDescent="0.25">
      <c r="D31365" s="28"/>
      <c r="F31365" s="28"/>
      <c r="H31365" s="28"/>
    </row>
    <row r="31366" spans="4:8" x14ac:dyDescent="0.25">
      <c r="D31366" s="28"/>
      <c r="F31366" s="28"/>
      <c r="H31366" s="28"/>
    </row>
    <row r="31367" spans="4:8" x14ac:dyDescent="0.25">
      <c r="D31367" s="28"/>
      <c r="F31367" s="28"/>
      <c r="H31367" s="28"/>
    </row>
    <row r="31368" spans="4:8" x14ac:dyDescent="0.25">
      <c r="D31368" s="28"/>
      <c r="F31368" s="28"/>
      <c r="H31368" s="28"/>
    </row>
    <row r="31369" spans="4:8" x14ac:dyDescent="0.25">
      <c r="D31369" s="28"/>
      <c r="F31369" s="28"/>
      <c r="H31369" s="28"/>
    </row>
    <row r="31370" spans="4:8" x14ac:dyDescent="0.25">
      <c r="D31370" s="28"/>
      <c r="F31370" s="28"/>
      <c r="H31370" s="28"/>
    </row>
    <row r="31371" spans="4:8" x14ac:dyDescent="0.25">
      <c r="D31371" s="28"/>
      <c r="F31371" s="28"/>
      <c r="H31371" s="28"/>
    </row>
    <row r="31372" spans="4:8" x14ac:dyDescent="0.25">
      <c r="D31372" s="28"/>
      <c r="F31372" s="28"/>
      <c r="H31372" s="28"/>
    </row>
    <row r="31373" spans="4:8" x14ac:dyDescent="0.25">
      <c r="D31373" s="28"/>
      <c r="F31373" s="28"/>
      <c r="H31373" s="28"/>
    </row>
    <row r="31374" spans="4:8" x14ac:dyDescent="0.25">
      <c r="D31374" s="28"/>
      <c r="F31374" s="28"/>
      <c r="H31374" s="28"/>
    </row>
    <row r="31375" spans="4:8" x14ac:dyDescent="0.25">
      <c r="D31375" s="28"/>
      <c r="F31375" s="28"/>
      <c r="H31375" s="28"/>
    </row>
    <row r="31376" spans="4:8" x14ac:dyDescent="0.25">
      <c r="D31376" s="28"/>
      <c r="F31376" s="28"/>
      <c r="H31376" s="28"/>
    </row>
    <row r="31377" spans="4:8" x14ac:dyDescent="0.25">
      <c r="D31377" s="28"/>
      <c r="F31377" s="28"/>
      <c r="H31377" s="28"/>
    </row>
    <row r="31378" spans="4:8" x14ac:dyDescent="0.25">
      <c r="D31378" s="28"/>
      <c r="F31378" s="28"/>
      <c r="H31378" s="28"/>
    </row>
    <row r="31379" spans="4:8" x14ac:dyDescent="0.25">
      <c r="D31379" s="28"/>
      <c r="F31379" s="28"/>
      <c r="H31379" s="28"/>
    </row>
    <row r="31380" spans="4:8" x14ac:dyDescent="0.25">
      <c r="D31380" s="28"/>
      <c r="F31380" s="28"/>
      <c r="H31380" s="28"/>
    </row>
    <row r="31381" spans="4:8" x14ac:dyDescent="0.25">
      <c r="D31381" s="28"/>
      <c r="F31381" s="28"/>
      <c r="H31381" s="28"/>
    </row>
    <row r="31382" spans="4:8" x14ac:dyDescent="0.25">
      <c r="D31382" s="28"/>
      <c r="F31382" s="28"/>
      <c r="H31382" s="28"/>
    </row>
    <row r="31383" spans="4:8" x14ac:dyDescent="0.25">
      <c r="D31383" s="28"/>
      <c r="F31383" s="28"/>
      <c r="H31383" s="28"/>
    </row>
    <row r="31384" spans="4:8" x14ac:dyDescent="0.25">
      <c r="D31384" s="28"/>
      <c r="F31384" s="28"/>
      <c r="H31384" s="28"/>
    </row>
    <row r="31385" spans="4:8" x14ac:dyDescent="0.25">
      <c r="D31385" s="28"/>
      <c r="F31385" s="28"/>
      <c r="H31385" s="28"/>
    </row>
    <row r="31386" spans="4:8" x14ac:dyDescent="0.25">
      <c r="D31386" s="28"/>
      <c r="F31386" s="28"/>
      <c r="H31386" s="28"/>
    </row>
    <row r="31387" spans="4:8" x14ac:dyDescent="0.25">
      <c r="D31387" s="28"/>
      <c r="F31387" s="28"/>
      <c r="H31387" s="28"/>
    </row>
    <row r="31388" spans="4:8" x14ac:dyDescent="0.25">
      <c r="D31388" s="28"/>
      <c r="F31388" s="28"/>
      <c r="H31388" s="28"/>
    </row>
    <row r="31389" spans="4:8" x14ac:dyDescent="0.25">
      <c r="D31389" s="28"/>
      <c r="F31389" s="28"/>
      <c r="H31389" s="28"/>
    </row>
    <row r="31390" spans="4:8" x14ac:dyDescent="0.25">
      <c r="D31390" s="28"/>
      <c r="F31390" s="28"/>
      <c r="H31390" s="28"/>
    </row>
    <row r="31391" spans="4:8" x14ac:dyDescent="0.25">
      <c r="D31391" s="28"/>
      <c r="F31391" s="28"/>
      <c r="H31391" s="28"/>
    </row>
    <row r="31392" spans="4:8" x14ac:dyDescent="0.25">
      <c r="D31392" s="28"/>
      <c r="F31392" s="28"/>
      <c r="H31392" s="28"/>
    </row>
    <row r="31393" spans="4:8" x14ac:dyDescent="0.25">
      <c r="D31393" s="28"/>
      <c r="F31393" s="28"/>
      <c r="H31393" s="28"/>
    </row>
    <row r="31394" spans="4:8" x14ac:dyDescent="0.25">
      <c r="D31394" s="28"/>
      <c r="F31394" s="28"/>
      <c r="H31394" s="28"/>
    </row>
    <row r="31395" spans="4:8" x14ac:dyDescent="0.25">
      <c r="D31395" s="28"/>
      <c r="F31395" s="28"/>
      <c r="H31395" s="28"/>
    </row>
    <row r="31396" spans="4:8" x14ac:dyDescent="0.25">
      <c r="D31396" s="28"/>
      <c r="F31396" s="28"/>
      <c r="H31396" s="28"/>
    </row>
    <row r="31397" spans="4:8" x14ac:dyDescent="0.25">
      <c r="D31397" s="28"/>
      <c r="F31397" s="28"/>
      <c r="H31397" s="28"/>
    </row>
    <row r="31398" spans="4:8" x14ac:dyDescent="0.25">
      <c r="D31398" s="28"/>
      <c r="F31398" s="28"/>
      <c r="H31398" s="28"/>
    </row>
    <row r="31399" spans="4:8" x14ac:dyDescent="0.25">
      <c r="D31399" s="28"/>
      <c r="F31399" s="28"/>
      <c r="H31399" s="28"/>
    </row>
    <row r="31400" spans="4:8" x14ac:dyDescent="0.25">
      <c r="D31400" s="28"/>
      <c r="F31400" s="28"/>
      <c r="H31400" s="28"/>
    </row>
    <row r="31401" spans="4:8" x14ac:dyDescent="0.25">
      <c r="D31401" s="28"/>
      <c r="F31401" s="28"/>
      <c r="H31401" s="28"/>
    </row>
    <row r="31402" spans="4:8" x14ac:dyDescent="0.25">
      <c r="D31402" s="28"/>
      <c r="F31402" s="28"/>
      <c r="H31402" s="28"/>
    </row>
    <row r="31403" spans="4:8" x14ac:dyDescent="0.25">
      <c r="D31403" s="28"/>
      <c r="F31403" s="28"/>
      <c r="H31403" s="28"/>
    </row>
    <row r="31404" spans="4:8" x14ac:dyDescent="0.25">
      <c r="D31404" s="28"/>
      <c r="F31404" s="28"/>
      <c r="H31404" s="28"/>
    </row>
    <row r="31405" spans="4:8" x14ac:dyDescent="0.25">
      <c r="D31405" s="28"/>
      <c r="F31405" s="28"/>
      <c r="H31405" s="28"/>
    </row>
    <row r="31406" spans="4:8" x14ac:dyDescent="0.25">
      <c r="D31406" s="28"/>
      <c r="F31406" s="28"/>
      <c r="H31406" s="28"/>
    </row>
    <row r="31407" spans="4:8" x14ac:dyDescent="0.25">
      <c r="D31407" s="28"/>
      <c r="F31407" s="28"/>
      <c r="H31407" s="28"/>
    </row>
    <row r="31408" spans="4:8" x14ac:dyDescent="0.25">
      <c r="D31408" s="28"/>
      <c r="F31408" s="28"/>
      <c r="H31408" s="28"/>
    </row>
    <row r="31409" spans="4:8" x14ac:dyDescent="0.25">
      <c r="D31409" s="28"/>
      <c r="F31409" s="28"/>
      <c r="H31409" s="28"/>
    </row>
    <row r="31410" spans="4:8" x14ac:dyDescent="0.25">
      <c r="D31410" s="28"/>
      <c r="F31410" s="28"/>
      <c r="H31410" s="28"/>
    </row>
    <row r="31411" spans="4:8" x14ac:dyDescent="0.25">
      <c r="D31411" s="28"/>
      <c r="F31411" s="28"/>
      <c r="H31411" s="28"/>
    </row>
    <row r="31412" spans="4:8" x14ac:dyDescent="0.25">
      <c r="D31412" s="28"/>
      <c r="F31412" s="28"/>
      <c r="H31412" s="28"/>
    </row>
    <row r="31413" spans="4:8" x14ac:dyDescent="0.25">
      <c r="D31413" s="28"/>
      <c r="F31413" s="28"/>
      <c r="H31413" s="28"/>
    </row>
    <row r="31414" spans="4:8" x14ac:dyDescent="0.25">
      <c r="D31414" s="28"/>
      <c r="F31414" s="28"/>
      <c r="H31414" s="28"/>
    </row>
    <row r="31415" spans="4:8" x14ac:dyDescent="0.25">
      <c r="D31415" s="28"/>
      <c r="F31415" s="28"/>
      <c r="H31415" s="28"/>
    </row>
    <row r="31416" spans="4:8" x14ac:dyDescent="0.25">
      <c r="D31416" s="28"/>
      <c r="F31416" s="28"/>
      <c r="H31416" s="28"/>
    </row>
    <row r="31417" spans="4:8" x14ac:dyDescent="0.25">
      <c r="D31417" s="28"/>
      <c r="F31417" s="28"/>
      <c r="H31417" s="28"/>
    </row>
    <row r="31418" spans="4:8" x14ac:dyDescent="0.25">
      <c r="D31418" s="28"/>
      <c r="F31418" s="28"/>
      <c r="H31418" s="28"/>
    </row>
    <row r="31419" spans="4:8" x14ac:dyDescent="0.25">
      <c r="D31419" s="28"/>
      <c r="F31419" s="28"/>
      <c r="H31419" s="28"/>
    </row>
    <row r="31420" spans="4:8" x14ac:dyDescent="0.25">
      <c r="D31420" s="28"/>
      <c r="F31420" s="28"/>
      <c r="H31420" s="28"/>
    </row>
    <row r="31421" spans="4:8" x14ac:dyDescent="0.25">
      <c r="D31421" s="28"/>
      <c r="F31421" s="28"/>
      <c r="H31421" s="28"/>
    </row>
    <row r="31422" spans="4:8" x14ac:dyDescent="0.25">
      <c r="D31422" s="28"/>
      <c r="F31422" s="28"/>
      <c r="H31422" s="28"/>
    </row>
    <row r="31423" spans="4:8" x14ac:dyDescent="0.25">
      <c r="D31423" s="28"/>
      <c r="F31423" s="28"/>
      <c r="H31423" s="28"/>
    </row>
    <row r="31424" spans="4:8" x14ac:dyDescent="0.25">
      <c r="D31424" s="28"/>
      <c r="F31424" s="28"/>
      <c r="H31424" s="28"/>
    </row>
    <row r="31425" spans="4:8" x14ac:dyDescent="0.25">
      <c r="D31425" s="28"/>
      <c r="F31425" s="28"/>
      <c r="H31425" s="28"/>
    </row>
    <row r="31426" spans="4:8" x14ac:dyDescent="0.25">
      <c r="D31426" s="28"/>
      <c r="F31426" s="28"/>
      <c r="H31426" s="28"/>
    </row>
    <row r="31427" spans="4:8" x14ac:dyDescent="0.25">
      <c r="D31427" s="28"/>
      <c r="F31427" s="28"/>
      <c r="H31427" s="28"/>
    </row>
    <row r="31428" spans="4:8" x14ac:dyDescent="0.25">
      <c r="D31428" s="28"/>
      <c r="F31428" s="28"/>
      <c r="H31428" s="28"/>
    </row>
    <row r="31429" spans="4:8" x14ac:dyDescent="0.25">
      <c r="D31429" s="28"/>
      <c r="F31429" s="28"/>
      <c r="H31429" s="28"/>
    </row>
    <row r="31430" spans="4:8" x14ac:dyDescent="0.25">
      <c r="D31430" s="28"/>
      <c r="F31430" s="28"/>
      <c r="H31430" s="28"/>
    </row>
    <row r="31431" spans="4:8" x14ac:dyDescent="0.25">
      <c r="D31431" s="28"/>
      <c r="F31431" s="28"/>
      <c r="H31431" s="28"/>
    </row>
    <row r="31432" spans="4:8" x14ac:dyDescent="0.25">
      <c r="D31432" s="28"/>
      <c r="F31432" s="28"/>
      <c r="H31432" s="28"/>
    </row>
    <row r="31433" spans="4:8" x14ac:dyDescent="0.25">
      <c r="D31433" s="28"/>
      <c r="F31433" s="28"/>
      <c r="H31433" s="28"/>
    </row>
    <row r="31434" spans="4:8" x14ac:dyDescent="0.25">
      <c r="D31434" s="28"/>
      <c r="F31434" s="28"/>
      <c r="H31434" s="28"/>
    </row>
    <row r="31435" spans="4:8" x14ac:dyDescent="0.25">
      <c r="D31435" s="28"/>
      <c r="F31435" s="28"/>
      <c r="H31435" s="28"/>
    </row>
    <row r="31436" spans="4:8" x14ac:dyDescent="0.25">
      <c r="D31436" s="28"/>
      <c r="F31436" s="28"/>
      <c r="H31436" s="28"/>
    </row>
    <row r="31437" spans="4:8" x14ac:dyDescent="0.25">
      <c r="D31437" s="28"/>
      <c r="F31437" s="28"/>
      <c r="H31437" s="28"/>
    </row>
    <row r="31438" spans="4:8" x14ac:dyDescent="0.25">
      <c r="D31438" s="28"/>
      <c r="F31438" s="28"/>
      <c r="H31438" s="28"/>
    </row>
    <row r="31439" spans="4:8" x14ac:dyDescent="0.25">
      <c r="D31439" s="28"/>
      <c r="F31439" s="28"/>
      <c r="H31439" s="28"/>
    </row>
    <row r="31440" spans="4:8" x14ac:dyDescent="0.25">
      <c r="D31440" s="28"/>
      <c r="F31440" s="28"/>
      <c r="H31440" s="28"/>
    </row>
    <row r="31441" spans="4:8" x14ac:dyDescent="0.25">
      <c r="D31441" s="28"/>
      <c r="F31441" s="28"/>
      <c r="H31441" s="28"/>
    </row>
    <row r="31442" spans="4:8" x14ac:dyDescent="0.25">
      <c r="D31442" s="28"/>
      <c r="F31442" s="28"/>
      <c r="H31442" s="28"/>
    </row>
    <row r="31443" spans="4:8" x14ac:dyDescent="0.25">
      <c r="D31443" s="28"/>
      <c r="F31443" s="28"/>
      <c r="H31443" s="28"/>
    </row>
    <row r="31444" spans="4:8" x14ac:dyDescent="0.25">
      <c r="D31444" s="28"/>
      <c r="F31444" s="28"/>
      <c r="H31444" s="28"/>
    </row>
    <row r="31445" spans="4:8" x14ac:dyDescent="0.25">
      <c r="D31445" s="28"/>
      <c r="F31445" s="28"/>
      <c r="H31445" s="28"/>
    </row>
    <row r="31446" spans="4:8" x14ac:dyDescent="0.25">
      <c r="D31446" s="28"/>
      <c r="F31446" s="28"/>
      <c r="H31446" s="28"/>
    </row>
    <row r="31447" spans="4:8" x14ac:dyDescent="0.25">
      <c r="D31447" s="28"/>
      <c r="F31447" s="28"/>
      <c r="H31447" s="28"/>
    </row>
    <row r="31448" spans="4:8" x14ac:dyDescent="0.25">
      <c r="D31448" s="28"/>
      <c r="F31448" s="28"/>
      <c r="H31448" s="28"/>
    </row>
    <row r="31449" spans="4:8" x14ac:dyDescent="0.25">
      <c r="D31449" s="28"/>
      <c r="F31449" s="28"/>
      <c r="H31449" s="28"/>
    </row>
    <row r="31450" spans="4:8" x14ac:dyDescent="0.25">
      <c r="D31450" s="28"/>
      <c r="F31450" s="28"/>
      <c r="H31450" s="28"/>
    </row>
    <row r="31451" spans="4:8" x14ac:dyDescent="0.25">
      <c r="D31451" s="28"/>
      <c r="F31451" s="28"/>
      <c r="H31451" s="28"/>
    </row>
    <row r="31452" spans="4:8" x14ac:dyDescent="0.25">
      <c r="D31452" s="28"/>
      <c r="F31452" s="28"/>
      <c r="H31452" s="28"/>
    </row>
    <row r="31453" spans="4:8" x14ac:dyDescent="0.25">
      <c r="D31453" s="28"/>
      <c r="F31453" s="28"/>
      <c r="H31453" s="28"/>
    </row>
    <row r="31454" spans="4:8" x14ac:dyDescent="0.25">
      <c r="D31454" s="28"/>
      <c r="F31454" s="28"/>
      <c r="H31454" s="28"/>
    </row>
    <row r="31455" spans="4:8" x14ac:dyDescent="0.25">
      <c r="D31455" s="28"/>
      <c r="F31455" s="28"/>
      <c r="H31455" s="28"/>
    </row>
    <row r="31456" spans="4:8" x14ac:dyDescent="0.25">
      <c r="D31456" s="28"/>
      <c r="F31456" s="28"/>
      <c r="H31456" s="28"/>
    </row>
    <row r="31457" spans="4:8" x14ac:dyDescent="0.25">
      <c r="D31457" s="28"/>
      <c r="F31457" s="28"/>
      <c r="H31457" s="28"/>
    </row>
    <row r="31458" spans="4:8" x14ac:dyDescent="0.25">
      <c r="D31458" s="28"/>
      <c r="F31458" s="28"/>
      <c r="H31458" s="28"/>
    </row>
    <row r="31459" spans="4:8" x14ac:dyDescent="0.25">
      <c r="D31459" s="28"/>
      <c r="F31459" s="28"/>
      <c r="H31459" s="28"/>
    </row>
    <row r="31460" spans="4:8" x14ac:dyDescent="0.25">
      <c r="D31460" s="28"/>
      <c r="F31460" s="28"/>
      <c r="H31460" s="28"/>
    </row>
    <row r="31461" spans="4:8" x14ac:dyDescent="0.25">
      <c r="D31461" s="28"/>
      <c r="F31461" s="28"/>
      <c r="H31461" s="28"/>
    </row>
    <row r="31462" spans="4:8" x14ac:dyDescent="0.25">
      <c r="D31462" s="28"/>
      <c r="F31462" s="28"/>
      <c r="H31462" s="28"/>
    </row>
    <row r="31463" spans="4:8" x14ac:dyDescent="0.25">
      <c r="D31463" s="28"/>
      <c r="F31463" s="28"/>
      <c r="H31463" s="28"/>
    </row>
    <row r="31464" spans="4:8" x14ac:dyDescent="0.25">
      <c r="D31464" s="28"/>
      <c r="F31464" s="28"/>
      <c r="H31464" s="28"/>
    </row>
    <row r="31465" spans="4:8" x14ac:dyDescent="0.25">
      <c r="D31465" s="28"/>
      <c r="F31465" s="28"/>
      <c r="H31465" s="28"/>
    </row>
    <row r="31466" spans="4:8" x14ac:dyDescent="0.25">
      <c r="D31466" s="28"/>
      <c r="F31466" s="28"/>
      <c r="H31466" s="28"/>
    </row>
    <row r="31467" spans="4:8" x14ac:dyDescent="0.25">
      <c r="D31467" s="28"/>
      <c r="F31467" s="28"/>
      <c r="H31467" s="28"/>
    </row>
    <row r="31468" spans="4:8" x14ac:dyDescent="0.25">
      <c r="D31468" s="28"/>
      <c r="F31468" s="28"/>
      <c r="H31468" s="28"/>
    </row>
    <row r="31469" spans="4:8" x14ac:dyDescent="0.25">
      <c r="D31469" s="28"/>
      <c r="F31469" s="28"/>
      <c r="H31469" s="28"/>
    </row>
    <row r="31470" spans="4:8" x14ac:dyDescent="0.25">
      <c r="D31470" s="28"/>
      <c r="F31470" s="28"/>
      <c r="H31470" s="28"/>
    </row>
    <row r="31471" spans="4:8" x14ac:dyDescent="0.25">
      <c r="D31471" s="28"/>
      <c r="F31471" s="28"/>
      <c r="H31471" s="28"/>
    </row>
    <row r="31472" spans="4:8" x14ac:dyDescent="0.25">
      <c r="D31472" s="28"/>
      <c r="F31472" s="28"/>
      <c r="H31472" s="28"/>
    </row>
    <row r="31473" spans="4:8" x14ac:dyDescent="0.25">
      <c r="D31473" s="28"/>
      <c r="F31473" s="28"/>
      <c r="H31473" s="28"/>
    </row>
    <row r="31474" spans="4:8" x14ac:dyDescent="0.25">
      <c r="D31474" s="28"/>
      <c r="F31474" s="28"/>
      <c r="H31474" s="28"/>
    </row>
    <row r="31475" spans="4:8" x14ac:dyDescent="0.25">
      <c r="D31475" s="28"/>
      <c r="F31475" s="28"/>
      <c r="H31475" s="28"/>
    </row>
    <row r="31476" spans="4:8" x14ac:dyDescent="0.25">
      <c r="D31476" s="28"/>
      <c r="F31476" s="28"/>
      <c r="H31476" s="28"/>
    </row>
    <row r="31477" spans="4:8" x14ac:dyDescent="0.25">
      <c r="D31477" s="28"/>
      <c r="F31477" s="28"/>
      <c r="H31477" s="28"/>
    </row>
    <row r="31478" spans="4:8" x14ac:dyDescent="0.25">
      <c r="D31478" s="28"/>
      <c r="F31478" s="28"/>
      <c r="H31478" s="28"/>
    </row>
    <row r="31479" spans="4:8" x14ac:dyDescent="0.25">
      <c r="D31479" s="28"/>
      <c r="F31479" s="28"/>
      <c r="H31479" s="28"/>
    </row>
    <row r="31480" spans="4:8" x14ac:dyDescent="0.25">
      <c r="D31480" s="28"/>
      <c r="F31480" s="28"/>
      <c r="H31480" s="28"/>
    </row>
    <row r="31481" spans="4:8" x14ac:dyDescent="0.25">
      <c r="D31481" s="28"/>
      <c r="F31481" s="28"/>
      <c r="H31481" s="28"/>
    </row>
    <row r="31482" spans="4:8" x14ac:dyDescent="0.25">
      <c r="D31482" s="28"/>
      <c r="F31482" s="28"/>
      <c r="H31482" s="28"/>
    </row>
    <row r="31483" spans="4:8" x14ac:dyDescent="0.25">
      <c r="D31483" s="28"/>
      <c r="F31483" s="28"/>
      <c r="H31483" s="28"/>
    </row>
    <row r="31484" spans="4:8" x14ac:dyDescent="0.25">
      <c r="D31484" s="28"/>
      <c r="F31484" s="28"/>
      <c r="H31484" s="28"/>
    </row>
    <row r="31485" spans="4:8" x14ac:dyDescent="0.25">
      <c r="D31485" s="28"/>
      <c r="F31485" s="28"/>
      <c r="H31485" s="28"/>
    </row>
    <row r="31486" spans="4:8" x14ac:dyDescent="0.25">
      <c r="D31486" s="28"/>
      <c r="F31486" s="28"/>
      <c r="H31486" s="28"/>
    </row>
    <row r="31487" spans="4:8" x14ac:dyDescent="0.25">
      <c r="D31487" s="28"/>
      <c r="F31487" s="28"/>
      <c r="H31487" s="28"/>
    </row>
    <row r="31488" spans="4:8" x14ac:dyDescent="0.25">
      <c r="D31488" s="28"/>
      <c r="F31488" s="28"/>
      <c r="H31488" s="28"/>
    </row>
    <row r="31489" spans="4:8" x14ac:dyDescent="0.25">
      <c r="D31489" s="28"/>
      <c r="F31489" s="28"/>
      <c r="H31489" s="28"/>
    </row>
    <row r="31490" spans="4:8" x14ac:dyDescent="0.25">
      <c r="D31490" s="28"/>
      <c r="F31490" s="28"/>
      <c r="H31490" s="28"/>
    </row>
    <row r="31491" spans="4:8" x14ac:dyDescent="0.25">
      <c r="D31491" s="28"/>
      <c r="F31491" s="28"/>
      <c r="H31491" s="28"/>
    </row>
    <row r="31492" spans="4:8" x14ac:dyDescent="0.25">
      <c r="D31492" s="28"/>
      <c r="F31492" s="28"/>
      <c r="H31492" s="28"/>
    </row>
    <row r="31493" spans="4:8" x14ac:dyDescent="0.25">
      <c r="D31493" s="28"/>
      <c r="F31493" s="28"/>
      <c r="H31493" s="28"/>
    </row>
    <row r="31494" spans="4:8" x14ac:dyDescent="0.25">
      <c r="D31494" s="28"/>
      <c r="F31494" s="28"/>
      <c r="H31494" s="28"/>
    </row>
    <row r="31495" spans="4:8" x14ac:dyDescent="0.25">
      <c r="D31495" s="28"/>
      <c r="F31495" s="28"/>
      <c r="H31495" s="28"/>
    </row>
    <row r="31496" spans="4:8" x14ac:dyDescent="0.25">
      <c r="D31496" s="28"/>
      <c r="F31496" s="28"/>
      <c r="H31496" s="28"/>
    </row>
    <row r="31497" spans="4:8" x14ac:dyDescent="0.25">
      <c r="D31497" s="28"/>
      <c r="F31497" s="28"/>
      <c r="H31497" s="28"/>
    </row>
    <row r="31498" spans="4:8" x14ac:dyDescent="0.25">
      <c r="D31498" s="28"/>
      <c r="F31498" s="28"/>
      <c r="H31498" s="28"/>
    </row>
    <row r="31499" spans="4:8" x14ac:dyDescent="0.25">
      <c r="D31499" s="28"/>
      <c r="F31499" s="28"/>
      <c r="H31499" s="28"/>
    </row>
    <row r="31500" spans="4:8" x14ac:dyDescent="0.25">
      <c r="D31500" s="28"/>
      <c r="F31500" s="28"/>
      <c r="H31500" s="28"/>
    </row>
    <row r="31501" spans="4:8" x14ac:dyDescent="0.25">
      <c r="D31501" s="28"/>
      <c r="F31501" s="28"/>
      <c r="H31501" s="28"/>
    </row>
    <row r="31502" spans="4:8" x14ac:dyDescent="0.25">
      <c r="D31502" s="28"/>
      <c r="F31502" s="28"/>
      <c r="H31502" s="28"/>
    </row>
    <row r="31503" spans="4:8" x14ac:dyDescent="0.25">
      <c r="D31503" s="28"/>
      <c r="F31503" s="28"/>
      <c r="H31503" s="28"/>
    </row>
    <row r="31504" spans="4:8" x14ac:dyDescent="0.25">
      <c r="D31504" s="28"/>
      <c r="F31504" s="28"/>
      <c r="H31504" s="28"/>
    </row>
    <row r="31505" spans="4:8" x14ac:dyDescent="0.25">
      <c r="D31505" s="28"/>
      <c r="F31505" s="28"/>
      <c r="H31505" s="28"/>
    </row>
    <row r="31506" spans="4:8" x14ac:dyDescent="0.25">
      <c r="D31506" s="28"/>
      <c r="F31506" s="28"/>
      <c r="H31506" s="28"/>
    </row>
    <row r="31507" spans="4:8" x14ac:dyDescent="0.25">
      <c r="D31507" s="28"/>
      <c r="F31507" s="28"/>
      <c r="H31507" s="28"/>
    </row>
    <row r="31508" spans="4:8" x14ac:dyDescent="0.25">
      <c r="D31508" s="28"/>
      <c r="F31508" s="28"/>
      <c r="H31508" s="28"/>
    </row>
    <row r="31509" spans="4:8" x14ac:dyDescent="0.25">
      <c r="D31509" s="28"/>
      <c r="F31509" s="28"/>
      <c r="H31509" s="28"/>
    </row>
    <row r="31510" spans="4:8" x14ac:dyDescent="0.25">
      <c r="D31510" s="28"/>
      <c r="F31510" s="28"/>
      <c r="H31510" s="28"/>
    </row>
    <row r="31511" spans="4:8" x14ac:dyDescent="0.25">
      <c r="D31511" s="28"/>
      <c r="F31511" s="28"/>
      <c r="H31511" s="28"/>
    </row>
    <row r="31512" spans="4:8" x14ac:dyDescent="0.25">
      <c r="D31512" s="28"/>
      <c r="F31512" s="28"/>
      <c r="H31512" s="28"/>
    </row>
    <row r="31513" spans="4:8" x14ac:dyDescent="0.25">
      <c r="D31513" s="28"/>
      <c r="F31513" s="28"/>
      <c r="H31513" s="28"/>
    </row>
    <row r="31514" spans="4:8" x14ac:dyDescent="0.25">
      <c r="D31514" s="28"/>
      <c r="F31514" s="28"/>
      <c r="H31514" s="28"/>
    </row>
    <row r="31515" spans="4:8" x14ac:dyDescent="0.25">
      <c r="D31515" s="28"/>
      <c r="F31515" s="28"/>
      <c r="H31515" s="28"/>
    </row>
    <row r="31516" spans="4:8" x14ac:dyDescent="0.25">
      <c r="D31516" s="28"/>
      <c r="F31516" s="28"/>
      <c r="H31516" s="28"/>
    </row>
    <row r="31517" spans="4:8" x14ac:dyDescent="0.25">
      <c r="D31517" s="28"/>
      <c r="F31517" s="28"/>
      <c r="H31517" s="28"/>
    </row>
    <row r="31518" spans="4:8" x14ac:dyDescent="0.25">
      <c r="D31518" s="28"/>
      <c r="F31518" s="28"/>
      <c r="H31518" s="28"/>
    </row>
    <row r="31519" spans="4:8" x14ac:dyDescent="0.25">
      <c r="D31519" s="28"/>
      <c r="F31519" s="28"/>
      <c r="H31519" s="28"/>
    </row>
    <row r="31520" spans="4:8" x14ac:dyDescent="0.25">
      <c r="D31520" s="28"/>
      <c r="F31520" s="28"/>
      <c r="H31520" s="28"/>
    </row>
    <row r="31521" spans="4:8" x14ac:dyDescent="0.25">
      <c r="D31521" s="28"/>
      <c r="F31521" s="28"/>
      <c r="H31521" s="28"/>
    </row>
    <row r="31522" spans="4:8" x14ac:dyDescent="0.25">
      <c r="D31522" s="28"/>
      <c r="F31522" s="28"/>
      <c r="H31522" s="28"/>
    </row>
    <row r="31523" spans="4:8" x14ac:dyDescent="0.25">
      <c r="D31523" s="28"/>
      <c r="F31523" s="28"/>
      <c r="H31523" s="28"/>
    </row>
    <row r="31524" spans="4:8" x14ac:dyDescent="0.25">
      <c r="D31524" s="28"/>
      <c r="F31524" s="28"/>
      <c r="H31524" s="28"/>
    </row>
    <row r="31525" spans="4:8" x14ac:dyDescent="0.25">
      <c r="D31525" s="28"/>
      <c r="F31525" s="28"/>
      <c r="H31525" s="28"/>
    </row>
    <row r="31526" spans="4:8" x14ac:dyDescent="0.25">
      <c r="D31526" s="28"/>
      <c r="F31526" s="28"/>
      <c r="H31526" s="28"/>
    </row>
    <row r="31527" spans="4:8" x14ac:dyDescent="0.25">
      <c r="D31527" s="28"/>
      <c r="F31527" s="28"/>
      <c r="H31527" s="28"/>
    </row>
    <row r="31528" spans="4:8" x14ac:dyDescent="0.25">
      <c r="D31528" s="28"/>
      <c r="F31528" s="28"/>
      <c r="H31528" s="28"/>
    </row>
    <row r="31529" spans="4:8" x14ac:dyDescent="0.25">
      <c r="D31529" s="28"/>
      <c r="F31529" s="28"/>
      <c r="H31529" s="28"/>
    </row>
    <row r="31530" spans="4:8" x14ac:dyDescent="0.25">
      <c r="D31530" s="28"/>
      <c r="F31530" s="28"/>
      <c r="H31530" s="28"/>
    </row>
    <row r="31531" spans="4:8" x14ac:dyDescent="0.25">
      <c r="D31531" s="28"/>
      <c r="F31531" s="28"/>
      <c r="H31531" s="28"/>
    </row>
    <row r="31532" spans="4:8" x14ac:dyDescent="0.25">
      <c r="D31532" s="28"/>
      <c r="F31532" s="28"/>
      <c r="H31532" s="28"/>
    </row>
    <row r="31533" spans="4:8" x14ac:dyDescent="0.25">
      <c r="D31533" s="28"/>
      <c r="F31533" s="28"/>
      <c r="H31533" s="28"/>
    </row>
    <row r="31534" spans="4:8" x14ac:dyDescent="0.25">
      <c r="D31534" s="28"/>
      <c r="F31534" s="28"/>
      <c r="H31534" s="28"/>
    </row>
    <row r="31535" spans="4:8" x14ac:dyDescent="0.25">
      <c r="D31535" s="28"/>
      <c r="F31535" s="28"/>
      <c r="H31535" s="28"/>
    </row>
    <row r="31536" spans="4:8" x14ac:dyDescent="0.25">
      <c r="D31536" s="28"/>
      <c r="F31536" s="28"/>
      <c r="H31536" s="28"/>
    </row>
    <row r="31537" spans="4:8" x14ac:dyDescent="0.25">
      <c r="D31537" s="28"/>
      <c r="F31537" s="28"/>
      <c r="H31537" s="28"/>
    </row>
    <row r="31538" spans="4:8" x14ac:dyDescent="0.25">
      <c r="D31538" s="28"/>
      <c r="F31538" s="28"/>
      <c r="H31538" s="28"/>
    </row>
    <row r="31539" spans="4:8" x14ac:dyDescent="0.25">
      <c r="D31539" s="28"/>
      <c r="F31539" s="28"/>
      <c r="H31539" s="28"/>
    </row>
    <row r="31540" spans="4:8" x14ac:dyDescent="0.25">
      <c r="D31540" s="28"/>
      <c r="F31540" s="28"/>
      <c r="H31540" s="28"/>
    </row>
    <row r="31541" spans="4:8" x14ac:dyDescent="0.25">
      <c r="D31541" s="28"/>
      <c r="F31541" s="28"/>
      <c r="H31541" s="28"/>
    </row>
    <row r="31542" spans="4:8" x14ac:dyDescent="0.25">
      <c r="D31542" s="28"/>
      <c r="F31542" s="28"/>
      <c r="H31542" s="28"/>
    </row>
    <row r="31543" spans="4:8" x14ac:dyDescent="0.25">
      <c r="D31543" s="28"/>
      <c r="F31543" s="28"/>
      <c r="H31543" s="28"/>
    </row>
    <row r="31544" spans="4:8" x14ac:dyDescent="0.25">
      <c r="D31544" s="28"/>
      <c r="F31544" s="28"/>
      <c r="H31544" s="28"/>
    </row>
    <row r="31545" spans="4:8" x14ac:dyDescent="0.25">
      <c r="D31545" s="28"/>
      <c r="F31545" s="28"/>
      <c r="H31545" s="28"/>
    </row>
    <row r="31546" spans="4:8" x14ac:dyDescent="0.25">
      <c r="D31546" s="28"/>
      <c r="F31546" s="28"/>
      <c r="H31546" s="28"/>
    </row>
    <row r="31547" spans="4:8" x14ac:dyDescent="0.25">
      <c r="D31547" s="28"/>
      <c r="F31547" s="28"/>
      <c r="H31547" s="28"/>
    </row>
    <row r="31548" spans="4:8" x14ac:dyDescent="0.25">
      <c r="D31548" s="28"/>
      <c r="F31548" s="28"/>
      <c r="H31548" s="28"/>
    </row>
    <row r="31549" spans="4:8" x14ac:dyDescent="0.25">
      <c r="D31549" s="28"/>
      <c r="F31549" s="28"/>
      <c r="H31549" s="28"/>
    </row>
    <row r="31550" spans="4:8" x14ac:dyDescent="0.25">
      <c r="D31550" s="28"/>
      <c r="F31550" s="28"/>
      <c r="H31550" s="28"/>
    </row>
    <row r="31551" spans="4:8" x14ac:dyDescent="0.25">
      <c r="D31551" s="28"/>
      <c r="F31551" s="28"/>
      <c r="H31551" s="28"/>
    </row>
    <row r="31552" spans="4:8" x14ac:dyDescent="0.25">
      <c r="D31552" s="28"/>
      <c r="F31552" s="28"/>
      <c r="H31552" s="28"/>
    </row>
    <row r="31553" spans="4:8" x14ac:dyDescent="0.25">
      <c r="D31553" s="28"/>
      <c r="F31553" s="28"/>
      <c r="H31553" s="28"/>
    </row>
    <row r="31554" spans="4:8" x14ac:dyDescent="0.25">
      <c r="D31554" s="28"/>
      <c r="F31554" s="28"/>
      <c r="H31554" s="28"/>
    </row>
    <row r="31555" spans="4:8" x14ac:dyDescent="0.25">
      <c r="D31555" s="28"/>
      <c r="F31555" s="28"/>
      <c r="H31555" s="28"/>
    </row>
    <row r="31556" spans="4:8" x14ac:dyDescent="0.25">
      <c r="D31556" s="28"/>
      <c r="F31556" s="28"/>
      <c r="H31556" s="28"/>
    </row>
    <row r="31557" spans="4:8" x14ac:dyDescent="0.25">
      <c r="D31557" s="28"/>
      <c r="F31557" s="28"/>
      <c r="H31557" s="28"/>
    </row>
    <row r="31558" spans="4:8" x14ac:dyDescent="0.25">
      <c r="D31558" s="28"/>
      <c r="F31558" s="28"/>
      <c r="H31558" s="28"/>
    </row>
    <row r="31559" spans="4:8" x14ac:dyDescent="0.25">
      <c r="D31559" s="28"/>
      <c r="F31559" s="28"/>
      <c r="H31559" s="28"/>
    </row>
    <row r="31560" spans="4:8" x14ac:dyDescent="0.25">
      <c r="D31560" s="28"/>
      <c r="F31560" s="28"/>
      <c r="H31560" s="28"/>
    </row>
    <row r="31561" spans="4:8" x14ac:dyDescent="0.25">
      <c r="D31561" s="28"/>
      <c r="F31561" s="28"/>
      <c r="H31561" s="28"/>
    </row>
    <row r="31562" spans="4:8" x14ac:dyDescent="0.25">
      <c r="D31562" s="28"/>
      <c r="F31562" s="28"/>
      <c r="H31562" s="28"/>
    </row>
    <row r="31563" spans="4:8" x14ac:dyDescent="0.25">
      <c r="D31563" s="28"/>
      <c r="F31563" s="28"/>
      <c r="H31563" s="28"/>
    </row>
    <row r="31564" spans="4:8" x14ac:dyDescent="0.25">
      <c r="D31564" s="28"/>
      <c r="F31564" s="28"/>
      <c r="H31564" s="28"/>
    </row>
    <row r="31565" spans="4:8" x14ac:dyDescent="0.25">
      <c r="D31565" s="28"/>
      <c r="F31565" s="28"/>
      <c r="H31565" s="28"/>
    </row>
    <row r="31566" spans="4:8" x14ac:dyDescent="0.25">
      <c r="D31566" s="28"/>
      <c r="F31566" s="28"/>
      <c r="H31566" s="28"/>
    </row>
    <row r="31567" spans="4:8" x14ac:dyDescent="0.25">
      <c r="D31567" s="28"/>
      <c r="F31567" s="28"/>
      <c r="H31567" s="28"/>
    </row>
    <row r="31568" spans="4:8" x14ac:dyDescent="0.25">
      <c r="D31568" s="28"/>
      <c r="F31568" s="28"/>
      <c r="H31568" s="28"/>
    </row>
    <row r="31569" spans="4:8" x14ac:dyDescent="0.25">
      <c r="D31569" s="28"/>
      <c r="F31569" s="28"/>
      <c r="H31569" s="28"/>
    </row>
    <row r="31570" spans="4:8" x14ac:dyDescent="0.25">
      <c r="D31570" s="28"/>
      <c r="F31570" s="28"/>
      <c r="H31570" s="28"/>
    </row>
    <row r="31571" spans="4:8" x14ac:dyDescent="0.25">
      <c r="D31571" s="28"/>
      <c r="F31571" s="28"/>
      <c r="H31571" s="28"/>
    </row>
    <row r="31572" spans="4:8" x14ac:dyDescent="0.25">
      <c r="D31572" s="28"/>
      <c r="F31572" s="28"/>
      <c r="H31572" s="28"/>
    </row>
    <row r="31573" spans="4:8" x14ac:dyDescent="0.25">
      <c r="D31573" s="28"/>
      <c r="F31573" s="28"/>
      <c r="H31573" s="28"/>
    </row>
    <row r="31574" spans="4:8" x14ac:dyDescent="0.25">
      <c r="D31574" s="28"/>
      <c r="F31574" s="28"/>
      <c r="H31574" s="28"/>
    </row>
    <row r="31575" spans="4:8" x14ac:dyDescent="0.25">
      <c r="D31575" s="28"/>
      <c r="F31575" s="28"/>
      <c r="H31575" s="28"/>
    </row>
    <row r="31576" spans="4:8" x14ac:dyDescent="0.25">
      <c r="D31576" s="28"/>
      <c r="F31576" s="28"/>
      <c r="H31576" s="28"/>
    </row>
    <row r="31577" spans="4:8" x14ac:dyDescent="0.25">
      <c r="D31577" s="28"/>
      <c r="F31577" s="28"/>
      <c r="H31577" s="28"/>
    </row>
    <row r="31578" spans="4:8" x14ac:dyDescent="0.25">
      <c r="D31578" s="28"/>
      <c r="F31578" s="28"/>
      <c r="H31578" s="28"/>
    </row>
    <row r="31579" spans="4:8" x14ac:dyDescent="0.25">
      <c r="D31579" s="28"/>
      <c r="F31579" s="28"/>
      <c r="H31579" s="28"/>
    </row>
    <row r="31580" spans="4:8" x14ac:dyDescent="0.25">
      <c r="D31580" s="28"/>
      <c r="F31580" s="28"/>
      <c r="H31580" s="28"/>
    </row>
    <row r="31581" spans="4:8" x14ac:dyDescent="0.25">
      <c r="D31581" s="28"/>
      <c r="F31581" s="28"/>
      <c r="H31581" s="28"/>
    </row>
    <row r="31582" spans="4:8" x14ac:dyDescent="0.25">
      <c r="D31582" s="28"/>
      <c r="F31582" s="28"/>
      <c r="H31582" s="28"/>
    </row>
    <row r="31583" spans="4:8" x14ac:dyDescent="0.25">
      <c r="D31583" s="28"/>
      <c r="F31583" s="28"/>
      <c r="H31583" s="28"/>
    </row>
    <row r="31584" spans="4:8" x14ac:dyDescent="0.25">
      <c r="D31584" s="28"/>
      <c r="F31584" s="28"/>
      <c r="H31584" s="28"/>
    </row>
    <row r="31585" spans="4:8" x14ac:dyDescent="0.25">
      <c r="D31585" s="28"/>
      <c r="F31585" s="28"/>
      <c r="H31585" s="28"/>
    </row>
    <row r="31586" spans="4:8" x14ac:dyDescent="0.25">
      <c r="D31586" s="28"/>
      <c r="F31586" s="28"/>
      <c r="H31586" s="28"/>
    </row>
    <row r="31587" spans="4:8" x14ac:dyDescent="0.25">
      <c r="D31587" s="28"/>
      <c r="F31587" s="28"/>
      <c r="H31587" s="28"/>
    </row>
    <row r="31588" spans="4:8" x14ac:dyDescent="0.25">
      <c r="D31588" s="28"/>
      <c r="F31588" s="28"/>
      <c r="H31588" s="28"/>
    </row>
    <row r="31589" spans="4:8" x14ac:dyDescent="0.25">
      <c r="D31589" s="28"/>
      <c r="F31589" s="28"/>
      <c r="H31589" s="28"/>
    </row>
    <row r="31590" spans="4:8" x14ac:dyDescent="0.25">
      <c r="D31590" s="28"/>
      <c r="F31590" s="28"/>
      <c r="H31590" s="28"/>
    </row>
    <row r="31591" spans="4:8" x14ac:dyDescent="0.25">
      <c r="D31591" s="28"/>
      <c r="F31591" s="28"/>
      <c r="H31591" s="28"/>
    </row>
    <row r="31592" spans="4:8" x14ac:dyDescent="0.25">
      <c r="D31592" s="28"/>
      <c r="F31592" s="28"/>
      <c r="H31592" s="28"/>
    </row>
    <row r="31593" spans="4:8" x14ac:dyDescent="0.25">
      <c r="D31593" s="28"/>
      <c r="F31593" s="28"/>
      <c r="H31593" s="28"/>
    </row>
    <row r="31594" spans="4:8" x14ac:dyDescent="0.25">
      <c r="D31594" s="28"/>
      <c r="F31594" s="28"/>
      <c r="H31594" s="28"/>
    </row>
    <row r="31595" spans="4:8" x14ac:dyDescent="0.25">
      <c r="D31595" s="28"/>
      <c r="F31595" s="28"/>
      <c r="H31595" s="28"/>
    </row>
    <row r="31596" spans="4:8" x14ac:dyDescent="0.25">
      <c r="D31596" s="28"/>
      <c r="F31596" s="28"/>
      <c r="H31596" s="28"/>
    </row>
    <row r="31597" spans="4:8" x14ac:dyDescent="0.25">
      <c r="D31597" s="28"/>
      <c r="F31597" s="28"/>
      <c r="H31597" s="28"/>
    </row>
    <row r="31598" spans="4:8" x14ac:dyDescent="0.25">
      <c r="D31598" s="28"/>
      <c r="F31598" s="28"/>
      <c r="H31598" s="28"/>
    </row>
    <row r="31599" spans="4:8" x14ac:dyDescent="0.25">
      <c r="D31599" s="28"/>
      <c r="F31599" s="28"/>
      <c r="H31599" s="28"/>
    </row>
    <row r="31600" spans="4:8" x14ac:dyDescent="0.25">
      <c r="D31600" s="28"/>
      <c r="F31600" s="28"/>
      <c r="H31600" s="28"/>
    </row>
    <row r="31601" spans="4:8" x14ac:dyDescent="0.25">
      <c r="D31601" s="28"/>
      <c r="F31601" s="28"/>
      <c r="H31601" s="28"/>
    </row>
    <row r="31602" spans="4:8" x14ac:dyDescent="0.25">
      <c r="D31602" s="28"/>
      <c r="F31602" s="28"/>
      <c r="H31602" s="28"/>
    </row>
    <row r="31603" spans="4:8" x14ac:dyDescent="0.25">
      <c r="D31603" s="28"/>
      <c r="F31603" s="28"/>
      <c r="H31603" s="28"/>
    </row>
    <row r="31604" spans="4:8" x14ac:dyDescent="0.25">
      <c r="D31604" s="28"/>
      <c r="F31604" s="28"/>
      <c r="H31604" s="28"/>
    </row>
    <row r="31605" spans="4:8" x14ac:dyDescent="0.25">
      <c r="D31605" s="28"/>
      <c r="F31605" s="28"/>
      <c r="H31605" s="28"/>
    </row>
    <row r="31606" spans="4:8" x14ac:dyDescent="0.25">
      <c r="D31606" s="28"/>
      <c r="F31606" s="28"/>
      <c r="H31606" s="28"/>
    </row>
    <row r="31607" spans="4:8" x14ac:dyDescent="0.25">
      <c r="D31607" s="28"/>
      <c r="F31607" s="28"/>
      <c r="H31607" s="28"/>
    </row>
    <row r="31608" spans="4:8" x14ac:dyDescent="0.25">
      <c r="D31608" s="28"/>
      <c r="F31608" s="28"/>
      <c r="H31608" s="28"/>
    </row>
    <row r="31609" spans="4:8" x14ac:dyDescent="0.25">
      <c r="D31609" s="28"/>
      <c r="F31609" s="28"/>
      <c r="H31609" s="28"/>
    </row>
    <row r="31610" spans="4:8" x14ac:dyDescent="0.25">
      <c r="D31610" s="28"/>
      <c r="F31610" s="28"/>
      <c r="H31610" s="28"/>
    </row>
    <row r="31611" spans="4:8" x14ac:dyDescent="0.25">
      <c r="D31611" s="28"/>
      <c r="F31611" s="28"/>
      <c r="H31611" s="28"/>
    </row>
    <row r="31612" spans="4:8" x14ac:dyDescent="0.25">
      <c r="D31612" s="28"/>
      <c r="F31612" s="28"/>
      <c r="H31612" s="28"/>
    </row>
    <row r="31613" spans="4:8" x14ac:dyDescent="0.25">
      <c r="D31613" s="28"/>
      <c r="F31613" s="28"/>
      <c r="H31613" s="28"/>
    </row>
    <row r="31614" spans="4:8" x14ac:dyDescent="0.25">
      <c r="D31614" s="28"/>
      <c r="F31614" s="28"/>
      <c r="H31614" s="28"/>
    </row>
    <row r="31615" spans="4:8" x14ac:dyDescent="0.25">
      <c r="D31615" s="28"/>
      <c r="F31615" s="28"/>
      <c r="H31615" s="28"/>
    </row>
    <row r="31616" spans="4:8" x14ac:dyDescent="0.25">
      <c r="D31616" s="28"/>
      <c r="F31616" s="28"/>
      <c r="H31616" s="28"/>
    </row>
    <row r="31617" spans="4:8" x14ac:dyDescent="0.25">
      <c r="D31617" s="28"/>
      <c r="F31617" s="28"/>
      <c r="H31617" s="28"/>
    </row>
    <row r="31618" spans="4:8" x14ac:dyDescent="0.25">
      <c r="D31618" s="28"/>
      <c r="F31618" s="28"/>
      <c r="H31618" s="28"/>
    </row>
    <row r="31619" spans="4:8" x14ac:dyDescent="0.25">
      <c r="D31619" s="28"/>
      <c r="F31619" s="28"/>
      <c r="H31619" s="28"/>
    </row>
    <row r="31620" spans="4:8" x14ac:dyDescent="0.25">
      <c r="D31620" s="28"/>
      <c r="F31620" s="28"/>
      <c r="H31620" s="28"/>
    </row>
    <row r="31621" spans="4:8" x14ac:dyDescent="0.25">
      <c r="D31621" s="28"/>
      <c r="F31621" s="28"/>
      <c r="H31621" s="28"/>
    </row>
    <row r="31622" spans="4:8" x14ac:dyDescent="0.25">
      <c r="D31622" s="28"/>
      <c r="F31622" s="28"/>
      <c r="H31622" s="28"/>
    </row>
    <row r="31623" spans="4:8" x14ac:dyDescent="0.25">
      <c r="D31623" s="28"/>
      <c r="F31623" s="28"/>
      <c r="H31623" s="28"/>
    </row>
    <row r="31624" spans="4:8" x14ac:dyDescent="0.25">
      <c r="D31624" s="28"/>
      <c r="F31624" s="28"/>
      <c r="H31624" s="28"/>
    </row>
    <row r="31625" spans="4:8" x14ac:dyDescent="0.25">
      <c r="D31625" s="28"/>
      <c r="F31625" s="28"/>
      <c r="H31625" s="28"/>
    </row>
    <row r="31626" spans="4:8" x14ac:dyDescent="0.25">
      <c r="D31626" s="28"/>
      <c r="F31626" s="28"/>
      <c r="H31626" s="28"/>
    </row>
    <row r="31627" spans="4:8" x14ac:dyDescent="0.25">
      <c r="D31627" s="28"/>
      <c r="F31627" s="28"/>
      <c r="H31627" s="28"/>
    </row>
    <row r="31628" spans="4:8" x14ac:dyDescent="0.25">
      <c r="D31628" s="28"/>
      <c r="F31628" s="28"/>
      <c r="H31628" s="28"/>
    </row>
    <row r="31629" spans="4:8" x14ac:dyDescent="0.25">
      <c r="D31629" s="28"/>
      <c r="F31629" s="28"/>
      <c r="H31629" s="28"/>
    </row>
    <row r="31630" spans="4:8" x14ac:dyDescent="0.25">
      <c r="D31630" s="28"/>
      <c r="F31630" s="28"/>
      <c r="H31630" s="28"/>
    </row>
    <row r="31631" spans="4:8" x14ac:dyDescent="0.25">
      <c r="D31631" s="28"/>
      <c r="F31631" s="28"/>
      <c r="H31631" s="28"/>
    </row>
    <row r="31632" spans="4:8" x14ac:dyDescent="0.25">
      <c r="D31632" s="28"/>
      <c r="F31632" s="28"/>
      <c r="H31632" s="28"/>
    </row>
    <row r="31633" spans="4:8" x14ac:dyDescent="0.25">
      <c r="D31633" s="28"/>
      <c r="F31633" s="28"/>
      <c r="H31633" s="28"/>
    </row>
    <row r="31634" spans="4:8" x14ac:dyDescent="0.25">
      <c r="D31634" s="28"/>
      <c r="F31634" s="28"/>
      <c r="H31634" s="28"/>
    </row>
    <row r="31635" spans="4:8" x14ac:dyDescent="0.25">
      <c r="D31635" s="28"/>
      <c r="F31635" s="28"/>
      <c r="H31635" s="28"/>
    </row>
    <row r="31636" spans="4:8" x14ac:dyDescent="0.25">
      <c r="D31636" s="28"/>
      <c r="F31636" s="28"/>
      <c r="H31636" s="28"/>
    </row>
    <row r="31637" spans="4:8" x14ac:dyDescent="0.25">
      <c r="D31637" s="28"/>
      <c r="F31637" s="28"/>
      <c r="H31637" s="28"/>
    </row>
    <row r="31638" spans="4:8" x14ac:dyDescent="0.25">
      <c r="D31638" s="28"/>
      <c r="F31638" s="28"/>
      <c r="H31638" s="28"/>
    </row>
    <row r="31639" spans="4:8" x14ac:dyDescent="0.25">
      <c r="D31639" s="28"/>
      <c r="F31639" s="28"/>
      <c r="H31639" s="28"/>
    </row>
    <row r="31640" spans="4:8" x14ac:dyDescent="0.25">
      <c r="D31640" s="28"/>
      <c r="F31640" s="28"/>
      <c r="H31640" s="28"/>
    </row>
    <row r="31641" spans="4:8" x14ac:dyDescent="0.25">
      <c r="D31641" s="28"/>
      <c r="F31641" s="28"/>
      <c r="H31641" s="28"/>
    </row>
    <row r="31642" spans="4:8" x14ac:dyDescent="0.25">
      <c r="D31642" s="28"/>
      <c r="F31642" s="28"/>
      <c r="H31642" s="28"/>
    </row>
    <row r="31643" spans="4:8" x14ac:dyDescent="0.25">
      <c r="D31643" s="28"/>
      <c r="F31643" s="28"/>
      <c r="H31643" s="28"/>
    </row>
    <row r="31644" spans="4:8" x14ac:dyDescent="0.25">
      <c r="D31644" s="28"/>
      <c r="F31644" s="28"/>
      <c r="H31644" s="28"/>
    </row>
    <row r="31645" spans="4:8" x14ac:dyDescent="0.25">
      <c r="D31645" s="28"/>
      <c r="F31645" s="28"/>
      <c r="H31645" s="28"/>
    </row>
    <row r="31646" spans="4:8" x14ac:dyDescent="0.25">
      <c r="D31646" s="28"/>
      <c r="F31646" s="28"/>
      <c r="H31646" s="28"/>
    </row>
    <row r="31647" spans="4:8" x14ac:dyDescent="0.25">
      <c r="D31647" s="28"/>
      <c r="F31647" s="28"/>
      <c r="H31647" s="28"/>
    </row>
    <row r="31648" spans="4:8" x14ac:dyDescent="0.25">
      <c r="D31648" s="28"/>
      <c r="F31648" s="28"/>
      <c r="H31648" s="28"/>
    </row>
    <row r="31649" spans="4:8" x14ac:dyDescent="0.25">
      <c r="D31649" s="28"/>
      <c r="F31649" s="28"/>
      <c r="H31649" s="28"/>
    </row>
    <row r="31650" spans="4:8" x14ac:dyDescent="0.25">
      <c r="D31650" s="28"/>
      <c r="F31650" s="28"/>
      <c r="H31650" s="28"/>
    </row>
    <row r="31651" spans="4:8" x14ac:dyDescent="0.25">
      <c r="D31651" s="28"/>
      <c r="F31651" s="28"/>
      <c r="H31651" s="28"/>
    </row>
    <row r="31652" spans="4:8" x14ac:dyDescent="0.25">
      <c r="D31652" s="28"/>
      <c r="F31652" s="28"/>
      <c r="H31652" s="28"/>
    </row>
    <row r="31653" spans="4:8" x14ac:dyDescent="0.25">
      <c r="D31653" s="28"/>
      <c r="F31653" s="28"/>
      <c r="H31653" s="28"/>
    </row>
    <row r="31654" spans="4:8" x14ac:dyDescent="0.25">
      <c r="D31654" s="28"/>
      <c r="F31654" s="28"/>
      <c r="H31654" s="28"/>
    </row>
    <row r="31655" spans="4:8" x14ac:dyDescent="0.25">
      <c r="D31655" s="28"/>
      <c r="F31655" s="28"/>
      <c r="H31655" s="28"/>
    </row>
    <row r="31656" spans="4:8" x14ac:dyDescent="0.25">
      <c r="D31656" s="28"/>
      <c r="F31656" s="28"/>
      <c r="H31656" s="28"/>
    </row>
    <row r="31657" spans="4:8" x14ac:dyDescent="0.25">
      <c r="D31657" s="28"/>
      <c r="F31657" s="28"/>
      <c r="H31657" s="28"/>
    </row>
    <row r="31658" spans="4:8" x14ac:dyDescent="0.25">
      <c r="D31658" s="28"/>
      <c r="F31658" s="28"/>
      <c r="H31658" s="28"/>
    </row>
    <row r="31659" spans="4:8" x14ac:dyDescent="0.25">
      <c r="D31659" s="28"/>
      <c r="F31659" s="28"/>
      <c r="H31659" s="28"/>
    </row>
    <row r="31660" spans="4:8" x14ac:dyDescent="0.25">
      <c r="D31660" s="28"/>
      <c r="F31660" s="28"/>
      <c r="H31660" s="28"/>
    </row>
    <row r="31661" spans="4:8" x14ac:dyDescent="0.25">
      <c r="D31661" s="28"/>
      <c r="F31661" s="28"/>
      <c r="H31661" s="28"/>
    </row>
    <row r="31662" spans="4:8" x14ac:dyDescent="0.25">
      <c r="D31662" s="28"/>
      <c r="F31662" s="28"/>
      <c r="H31662" s="28"/>
    </row>
    <row r="31663" spans="4:8" x14ac:dyDescent="0.25">
      <c r="D31663" s="28"/>
      <c r="F31663" s="28"/>
      <c r="H31663" s="28"/>
    </row>
    <row r="31664" spans="4:8" x14ac:dyDescent="0.25">
      <c r="D31664" s="28"/>
      <c r="F31664" s="28"/>
      <c r="H31664" s="28"/>
    </row>
    <row r="31665" spans="4:8" x14ac:dyDescent="0.25">
      <c r="D31665" s="28"/>
      <c r="F31665" s="28"/>
      <c r="H31665" s="28"/>
    </row>
    <row r="31666" spans="4:8" x14ac:dyDescent="0.25">
      <c r="D31666" s="28"/>
      <c r="F31666" s="28"/>
      <c r="H31666" s="28"/>
    </row>
    <row r="31667" spans="4:8" x14ac:dyDescent="0.25">
      <c r="D31667" s="28"/>
      <c r="F31667" s="28"/>
      <c r="H31667" s="28"/>
    </row>
    <row r="31668" spans="4:8" x14ac:dyDescent="0.25">
      <c r="D31668" s="28"/>
      <c r="F31668" s="28"/>
      <c r="H31668" s="28"/>
    </row>
    <row r="31669" spans="4:8" x14ac:dyDescent="0.25">
      <c r="D31669" s="28"/>
      <c r="F31669" s="28"/>
      <c r="H31669" s="28"/>
    </row>
    <row r="31670" spans="4:8" x14ac:dyDescent="0.25">
      <c r="D31670" s="28"/>
      <c r="F31670" s="28"/>
      <c r="H31670" s="28"/>
    </row>
    <row r="31671" spans="4:8" x14ac:dyDescent="0.25">
      <c r="D31671" s="28"/>
      <c r="F31671" s="28"/>
      <c r="H31671" s="28"/>
    </row>
    <row r="31672" spans="4:8" x14ac:dyDescent="0.25">
      <c r="D31672" s="28"/>
      <c r="F31672" s="28"/>
      <c r="H31672" s="28"/>
    </row>
    <row r="31673" spans="4:8" x14ac:dyDescent="0.25">
      <c r="D31673" s="28"/>
      <c r="F31673" s="28"/>
      <c r="H31673" s="28"/>
    </row>
    <row r="31674" spans="4:8" x14ac:dyDescent="0.25">
      <c r="D31674" s="28"/>
      <c r="F31674" s="28"/>
      <c r="H31674" s="28"/>
    </row>
    <row r="31675" spans="4:8" x14ac:dyDescent="0.25">
      <c r="D31675" s="28"/>
      <c r="F31675" s="28"/>
      <c r="H31675" s="28"/>
    </row>
    <row r="31676" spans="4:8" x14ac:dyDescent="0.25">
      <c r="D31676" s="28"/>
      <c r="F31676" s="28"/>
      <c r="H31676" s="28"/>
    </row>
    <row r="31677" spans="4:8" x14ac:dyDescent="0.25">
      <c r="D31677" s="28"/>
      <c r="F31677" s="28"/>
      <c r="H31677" s="28"/>
    </row>
    <row r="31678" spans="4:8" x14ac:dyDescent="0.25">
      <c r="D31678" s="28"/>
      <c r="F31678" s="28"/>
      <c r="H31678" s="28"/>
    </row>
    <row r="31679" spans="4:8" x14ac:dyDescent="0.25">
      <c r="D31679" s="28"/>
      <c r="F31679" s="28"/>
      <c r="H31679" s="28"/>
    </row>
    <row r="31680" spans="4:8" x14ac:dyDescent="0.25">
      <c r="D31680" s="28"/>
      <c r="F31680" s="28"/>
      <c r="H31680" s="28"/>
    </row>
    <row r="31681" spans="4:8" x14ac:dyDescent="0.25">
      <c r="D31681" s="28"/>
      <c r="F31681" s="28"/>
      <c r="H31681" s="28"/>
    </row>
    <row r="31682" spans="4:8" x14ac:dyDescent="0.25">
      <c r="D31682" s="28"/>
      <c r="F31682" s="28"/>
      <c r="H31682" s="28"/>
    </row>
    <row r="31683" spans="4:8" x14ac:dyDescent="0.25">
      <c r="D31683" s="28"/>
      <c r="F31683" s="28"/>
      <c r="H31683" s="28"/>
    </row>
    <row r="31684" spans="4:8" x14ac:dyDescent="0.25">
      <c r="D31684" s="28"/>
      <c r="F31684" s="28"/>
      <c r="H31684" s="28"/>
    </row>
    <row r="31685" spans="4:8" x14ac:dyDescent="0.25">
      <c r="D31685" s="28"/>
      <c r="F31685" s="28"/>
      <c r="H31685" s="28"/>
    </row>
    <row r="31686" spans="4:8" x14ac:dyDescent="0.25">
      <c r="D31686" s="28"/>
      <c r="F31686" s="28"/>
      <c r="H31686" s="28"/>
    </row>
    <row r="31687" spans="4:8" x14ac:dyDescent="0.25">
      <c r="D31687" s="28"/>
      <c r="F31687" s="28"/>
      <c r="H31687" s="28"/>
    </row>
    <row r="31688" spans="4:8" x14ac:dyDescent="0.25">
      <c r="D31688" s="28"/>
      <c r="F31688" s="28"/>
      <c r="H31688" s="28"/>
    </row>
    <row r="31689" spans="4:8" x14ac:dyDescent="0.25">
      <c r="D31689" s="28"/>
      <c r="F31689" s="28"/>
      <c r="H31689" s="28"/>
    </row>
    <row r="31690" spans="4:8" x14ac:dyDescent="0.25">
      <c r="D31690" s="28"/>
      <c r="F31690" s="28"/>
      <c r="H31690" s="28"/>
    </row>
    <row r="31691" spans="4:8" x14ac:dyDescent="0.25">
      <c r="D31691" s="28"/>
      <c r="F31691" s="28"/>
      <c r="H31691" s="28"/>
    </row>
    <row r="31692" spans="4:8" x14ac:dyDescent="0.25">
      <c r="D31692" s="28"/>
      <c r="F31692" s="28"/>
      <c r="H31692" s="28"/>
    </row>
    <row r="31693" spans="4:8" x14ac:dyDescent="0.25">
      <c r="D31693" s="28"/>
      <c r="F31693" s="28"/>
      <c r="H31693" s="28"/>
    </row>
    <row r="31694" spans="4:8" x14ac:dyDescent="0.25">
      <c r="D31694" s="28"/>
      <c r="F31694" s="28"/>
      <c r="H31694" s="28"/>
    </row>
    <row r="31695" spans="4:8" x14ac:dyDescent="0.25">
      <c r="D31695" s="28"/>
      <c r="F31695" s="28"/>
      <c r="H31695" s="28"/>
    </row>
    <row r="31696" spans="4:8" x14ac:dyDescent="0.25">
      <c r="D31696" s="28"/>
      <c r="F31696" s="28"/>
      <c r="H31696" s="28"/>
    </row>
    <row r="31697" spans="4:8" x14ac:dyDescent="0.25">
      <c r="D31697" s="28"/>
      <c r="F31697" s="28"/>
      <c r="H31697" s="28"/>
    </row>
    <row r="31698" spans="4:8" x14ac:dyDescent="0.25">
      <c r="D31698" s="28"/>
      <c r="F31698" s="28"/>
      <c r="H31698" s="28"/>
    </row>
    <row r="31699" spans="4:8" x14ac:dyDescent="0.25">
      <c r="D31699" s="28"/>
      <c r="F31699" s="28"/>
      <c r="H31699" s="28"/>
    </row>
    <row r="31700" spans="4:8" x14ac:dyDescent="0.25">
      <c r="D31700" s="28"/>
      <c r="F31700" s="28"/>
      <c r="H31700" s="28"/>
    </row>
    <row r="31701" spans="4:8" x14ac:dyDescent="0.25">
      <c r="D31701" s="28"/>
      <c r="F31701" s="28"/>
      <c r="H31701" s="28"/>
    </row>
    <row r="31702" spans="4:8" x14ac:dyDescent="0.25">
      <c r="D31702" s="28"/>
      <c r="F31702" s="28"/>
      <c r="H31702" s="28"/>
    </row>
    <row r="31703" spans="4:8" x14ac:dyDescent="0.25">
      <c r="D31703" s="28"/>
      <c r="F31703" s="28"/>
      <c r="H31703" s="28"/>
    </row>
    <row r="31704" spans="4:8" x14ac:dyDescent="0.25">
      <c r="D31704" s="28"/>
      <c r="F31704" s="28"/>
      <c r="H31704" s="28"/>
    </row>
    <row r="31705" spans="4:8" x14ac:dyDescent="0.25">
      <c r="D31705" s="28"/>
      <c r="F31705" s="28"/>
      <c r="H31705" s="28"/>
    </row>
    <row r="31706" spans="4:8" x14ac:dyDescent="0.25">
      <c r="D31706" s="28"/>
      <c r="F31706" s="28"/>
      <c r="H31706" s="28"/>
    </row>
    <row r="31707" spans="4:8" x14ac:dyDescent="0.25">
      <c r="D31707" s="28"/>
      <c r="F31707" s="28"/>
      <c r="H31707" s="28"/>
    </row>
    <row r="31708" spans="4:8" x14ac:dyDescent="0.25">
      <c r="D31708" s="28"/>
      <c r="F31708" s="28"/>
      <c r="H31708" s="28"/>
    </row>
    <row r="31709" spans="4:8" x14ac:dyDescent="0.25">
      <c r="D31709" s="28"/>
      <c r="F31709" s="28"/>
      <c r="H31709" s="28"/>
    </row>
    <row r="31710" spans="4:8" x14ac:dyDescent="0.25">
      <c r="D31710" s="28"/>
      <c r="F31710" s="28"/>
      <c r="H31710" s="28"/>
    </row>
    <row r="31711" spans="4:8" x14ac:dyDescent="0.25">
      <c r="D31711" s="28"/>
      <c r="F31711" s="28"/>
      <c r="H31711" s="28"/>
    </row>
    <row r="31712" spans="4:8" x14ac:dyDescent="0.25">
      <c r="D31712" s="28"/>
      <c r="F31712" s="28"/>
      <c r="H31712" s="28"/>
    </row>
    <row r="31713" spans="4:8" x14ac:dyDescent="0.25">
      <c r="D31713" s="28"/>
      <c r="F31713" s="28"/>
      <c r="H31713" s="28"/>
    </row>
    <row r="31714" spans="4:8" x14ac:dyDescent="0.25">
      <c r="D31714" s="28"/>
      <c r="F31714" s="28"/>
      <c r="H31714" s="28"/>
    </row>
    <row r="31715" spans="4:8" x14ac:dyDescent="0.25">
      <c r="D31715" s="28"/>
      <c r="F31715" s="28"/>
      <c r="H31715" s="28"/>
    </row>
    <row r="31716" spans="4:8" x14ac:dyDescent="0.25">
      <c r="D31716" s="28"/>
      <c r="F31716" s="28"/>
      <c r="H31716" s="28"/>
    </row>
    <row r="31717" spans="4:8" x14ac:dyDescent="0.25">
      <c r="D31717" s="28"/>
      <c r="F31717" s="28"/>
      <c r="H31717" s="28"/>
    </row>
    <row r="31718" spans="4:8" x14ac:dyDescent="0.25">
      <c r="D31718" s="28"/>
      <c r="F31718" s="28"/>
      <c r="H31718" s="28"/>
    </row>
    <row r="31719" spans="4:8" x14ac:dyDescent="0.25">
      <c r="D31719" s="28"/>
      <c r="F31719" s="28"/>
      <c r="H31719" s="28"/>
    </row>
    <row r="31720" spans="4:8" x14ac:dyDescent="0.25">
      <c r="D31720" s="28"/>
      <c r="F31720" s="28"/>
      <c r="H31720" s="28"/>
    </row>
    <row r="31721" spans="4:8" x14ac:dyDescent="0.25">
      <c r="D31721" s="28"/>
      <c r="F31721" s="28"/>
      <c r="H31721" s="28"/>
    </row>
    <row r="31722" spans="4:8" x14ac:dyDescent="0.25">
      <c r="D31722" s="28"/>
      <c r="F31722" s="28"/>
      <c r="H31722" s="28"/>
    </row>
    <row r="31723" spans="4:8" x14ac:dyDescent="0.25">
      <c r="D31723" s="28"/>
      <c r="F31723" s="28"/>
      <c r="H31723" s="28"/>
    </row>
    <row r="31724" spans="4:8" x14ac:dyDescent="0.25">
      <c r="D31724" s="28"/>
      <c r="F31724" s="28"/>
      <c r="H31724" s="28"/>
    </row>
    <row r="31725" spans="4:8" x14ac:dyDescent="0.25">
      <c r="D31725" s="28"/>
      <c r="F31725" s="28"/>
      <c r="H31725" s="28"/>
    </row>
    <row r="31726" spans="4:8" x14ac:dyDescent="0.25">
      <c r="D31726" s="28"/>
      <c r="F31726" s="28"/>
      <c r="H31726" s="28"/>
    </row>
    <row r="31727" spans="4:8" x14ac:dyDescent="0.25">
      <c r="D31727" s="28"/>
      <c r="F31727" s="28"/>
      <c r="H31727" s="28"/>
    </row>
    <row r="31728" spans="4:8" x14ac:dyDescent="0.25">
      <c r="D31728" s="28"/>
      <c r="F31728" s="28"/>
      <c r="H31728" s="28"/>
    </row>
    <row r="31729" spans="4:8" x14ac:dyDescent="0.25">
      <c r="D31729" s="28"/>
      <c r="F31729" s="28"/>
      <c r="H31729" s="28"/>
    </row>
    <row r="31730" spans="4:8" x14ac:dyDescent="0.25">
      <c r="D31730" s="28"/>
      <c r="F31730" s="28"/>
      <c r="H31730" s="28"/>
    </row>
    <row r="31731" spans="4:8" x14ac:dyDescent="0.25">
      <c r="D31731" s="28"/>
      <c r="F31731" s="28"/>
      <c r="H31731" s="28"/>
    </row>
    <row r="31732" spans="4:8" x14ac:dyDescent="0.25">
      <c r="D31732" s="28"/>
      <c r="F31732" s="28"/>
      <c r="H31732" s="28"/>
    </row>
    <row r="31733" spans="4:8" x14ac:dyDescent="0.25">
      <c r="D31733" s="28"/>
      <c r="F31733" s="28"/>
      <c r="H31733" s="28"/>
    </row>
    <row r="31734" spans="4:8" x14ac:dyDescent="0.25">
      <c r="D31734" s="28"/>
      <c r="F31734" s="28"/>
      <c r="H31734" s="28"/>
    </row>
    <row r="31735" spans="4:8" x14ac:dyDescent="0.25">
      <c r="D31735" s="28"/>
      <c r="F31735" s="28"/>
      <c r="H31735" s="28"/>
    </row>
    <row r="31736" spans="4:8" x14ac:dyDescent="0.25">
      <c r="D31736" s="28"/>
      <c r="F31736" s="28"/>
      <c r="H31736" s="28"/>
    </row>
    <row r="31737" spans="4:8" x14ac:dyDescent="0.25">
      <c r="D31737" s="28"/>
      <c r="F31737" s="28"/>
      <c r="H31737" s="28"/>
    </row>
    <row r="31738" spans="4:8" x14ac:dyDescent="0.25">
      <c r="D31738" s="28"/>
      <c r="F31738" s="28"/>
      <c r="H31738" s="28"/>
    </row>
    <row r="31739" spans="4:8" x14ac:dyDescent="0.25">
      <c r="D31739" s="28"/>
      <c r="F31739" s="28"/>
      <c r="H31739" s="28"/>
    </row>
    <row r="31740" spans="4:8" x14ac:dyDescent="0.25">
      <c r="D31740" s="28"/>
      <c r="F31740" s="28"/>
      <c r="H31740" s="28"/>
    </row>
    <row r="31741" spans="4:8" x14ac:dyDescent="0.25">
      <c r="D31741" s="28"/>
      <c r="F31741" s="28"/>
      <c r="H31741" s="28"/>
    </row>
    <row r="31742" spans="4:8" x14ac:dyDescent="0.25">
      <c r="D31742" s="28"/>
      <c r="F31742" s="28"/>
      <c r="H31742" s="28"/>
    </row>
    <row r="31743" spans="4:8" x14ac:dyDescent="0.25">
      <c r="D31743" s="28"/>
      <c r="F31743" s="28"/>
      <c r="H31743" s="28"/>
    </row>
    <row r="31744" spans="4:8" x14ac:dyDescent="0.25">
      <c r="D31744" s="28"/>
      <c r="F31744" s="28"/>
      <c r="H31744" s="28"/>
    </row>
    <row r="31745" spans="4:8" x14ac:dyDescent="0.25">
      <c r="D31745" s="28"/>
      <c r="F31745" s="28"/>
      <c r="H31745" s="28"/>
    </row>
    <row r="31746" spans="4:8" x14ac:dyDescent="0.25">
      <c r="D31746" s="28"/>
      <c r="F31746" s="28"/>
      <c r="H31746" s="28"/>
    </row>
    <row r="31747" spans="4:8" x14ac:dyDescent="0.25">
      <c r="D31747" s="28"/>
      <c r="F31747" s="28"/>
      <c r="H31747" s="28"/>
    </row>
    <row r="31748" spans="4:8" x14ac:dyDescent="0.25">
      <c r="D31748" s="28"/>
      <c r="F31748" s="28"/>
      <c r="H31748" s="28"/>
    </row>
    <row r="31749" spans="4:8" x14ac:dyDescent="0.25">
      <c r="D31749" s="28"/>
      <c r="F31749" s="28"/>
      <c r="H31749" s="28"/>
    </row>
    <row r="31750" spans="4:8" x14ac:dyDescent="0.25">
      <c r="D31750" s="28"/>
      <c r="F31750" s="28"/>
      <c r="H31750" s="28"/>
    </row>
    <row r="31751" spans="4:8" x14ac:dyDescent="0.25">
      <c r="D31751" s="28"/>
      <c r="F31751" s="28"/>
      <c r="H31751" s="28"/>
    </row>
    <row r="31752" spans="4:8" x14ac:dyDescent="0.25">
      <c r="D31752" s="28"/>
      <c r="F31752" s="28"/>
      <c r="H31752" s="28"/>
    </row>
    <row r="31753" spans="4:8" x14ac:dyDescent="0.25">
      <c r="D31753" s="28"/>
      <c r="F31753" s="28"/>
      <c r="H31753" s="28"/>
    </row>
    <row r="31754" spans="4:8" x14ac:dyDescent="0.25">
      <c r="D31754" s="28"/>
      <c r="F31754" s="28"/>
      <c r="H31754" s="28"/>
    </row>
    <row r="31755" spans="4:8" x14ac:dyDescent="0.25">
      <c r="D31755" s="28"/>
      <c r="F31755" s="28"/>
      <c r="H31755" s="28"/>
    </row>
    <row r="31756" spans="4:8" x14ac:dyDescent="0.25">
      <c r="D31756" s="28"/>
      <c r="F31756" s="28"/>
      <c r="H31756" s="28"/>
    </row>
    <row r="31757" spans="4:8" x14ac:dyDescent="0.25">
      <c r="D31757" s="28"/>
      <c r="F31757" s="28"/>
      <c r="H31757" s="28"/>
    </row>
    <row r="31758" spans="4:8" x14ac:dyDescent="0.25">
      <c r="D31758" s="28"/>
      <c r="F31758" s="28"/>
      <c r="H31758" s="28"/>
    </row>
    <row r="31759" spans="4:8" x14ac:dyDescent="0.25">
      <c r="D31759" s="28"/>
      <c r="F31759" s="28"/>
      <c r="H31759" s="28"/>
    </row>
    <row r="31760" spans="4:8" x14ac:dyDescent="0.25">
      <c r="D31760" s="28"/>
      <c r="F31760" s="28"/>
      <c r="H31760" s="28"/>
    </row>
    <row r="31761" spans="4:8" x14ac:dyDescent="0.25">
      <c r="D31761" s="28"/>
      <c r="F31761" s="28"/>
      <c r="H31761" s="28"/>
    </row>
    <row r="31762" spans="4:8" x14ac:dyDescent="0.25">
      <c r="D31762" s="28"/>
      <c r="F31762" s="28"/>
      <c r="H31762" s="28"/>
    </row>
    <row r="31763" spans="4:8" x14ac:dyDescent="0.25">
      <c r="D31763" s="28"/>
      <c r="F31763" s="28"/>
      <c r="H31763" s="28"/>
    </row>
    <row r="31764" spans="4:8" x14ac:dyDescent="0.25">
      <c r="D31764" s="28"/>
      <c r="F31764" s="28"/>
      <c r="H31764" s="28"/>
    </row>
    <row r="31765" spans="4:8" x14ac:dyDescent="0.25">
      <c r="D31765" s="28"/>
      <c r="F31765" s="28"/>
      <c r="H31765" s="28"/>
    </row>
    <row r="31766" spans="4:8" x14ac:dyDescent="0.25">
      <c r="D31766" s="28"/>
      <c r="F31766" s="28"/>
      <c r="H31766" s="28"/>
    </row>
    <row r="31767" spans="4:8" x14ac:dyDescent="0.25">
      <c r="D31767" s="28"/>
      <c r="F31767" s="28"/>
      <c r="H31767" s="28"/>
    </row>
    <row r="31768" spans="4:8" x14ac:dyDescent="0.25">
      <c r="D31768" s="28"/>
      <c r="F31768" s="28"/>
      <c r="H31768" s="28"/>
    </row>
    <row r="31769" spans="4:8" x14ac:dyDescent="0.25">
      <c r="D31769" s="28"/>
      <c r="F31769" s="28"/>
      <c r="H31769" s="28"/>
    </row>
    <row r="31770" spans="4:8" x14ac:dyDescent="0.25">
      <c r="D31770" s="28"/>
      <c r="F31770" s="28"/>
      <c r="H31770" s="28"/>
    </row>
    <row r="31771" spans="4:8" x14ac:dyDescent="0.25">
      <c r="D31771" s="28"/>
      <c r="F31771" s="28"/>
      <c r="H31771" s="28"/>
    </row>
    <row r="31772" spans="4:8" x14ac:dyDescent="0.25">
      <c r="D31772" s="28"/>
      <c r="F31772" s="28"/>
      <c r="H31772" s="28"/>
    </row>
    <row r="31773" spans="4:8" x14ac:dyDescent="0.25">
      <c r="D31773" s="28"/>
      <c r="F31773" s="28"/>
      <c r="H31773" s="28"/>
    </row>
    <row r="31774" spans="4:8" x14ac:dyDescent="0.25">
      <c r="D31774" s="28"/>
      <c r="F31774" s="28"/>
      <c r="H31774" s="28"/>
    </row>
    <row r="31775" spans="4:8" x14ac:dyDescent="0.25">
      <c r="D31775" s="28"/>
      <c r="F31775" s="28"/>
      <c r="H31775" s="28"/>
    </row>
    <row r="31776" spans="4:8" x14ac:dyDescent="0.25">
      <c r="D31776" s="28"/>
      <c r="F31776" s="28"/>
      <c r="H31776" s="28"/>
    </row>
    <row r="31777" spans="4:8" x14ac:dyDescent="0.25">
      <c r="D31777" s="28"/>
      <c r="F31777" s="28"/>
      <c r="H31777" s="28"/>
    </row>
    <row r="31778" spans="4:8" x14ac:dyDescent="0.25">
      <c r="D31778" s="28"/>
      <c r="F31778" s="28"/>
      <c r="H31778" s="28"/>
    </row>
    <row r="31779" spans="4:8" x14ac:dyDescent="0.25">
      <c r="D31779" s="28"/>
      <c r="F31779" s="28"/>
      <c r="H31779" s="28"/>
    </row>
    <row r="31780" spans="4:8" x14ac:dyDescent="0.25">
      <c r="D31780" s="28"/>
      <c r="F31780" s="28"/>
      <c r="H31780" s="28"/>
    </row>
    <row r="31781" spans="4:8" x14ac:dyDescent="0.25">
      <c r="D31781" s="28"/>
      <c r="F31781" s="28"/>
      <c r="H31781" s="28"/>
    </row>
    <row r="31782" spans="4:8" x14ac:dyDescent="0.25">
      <c r="D31782" s="28"/>
      <c r="F31782" s="28"/>
      <c r="H31782" s="28"/>
    </row>
    <row r="31783" spans="4:8" x14ac:dyDescent="0.25">
      <c r="D31783" s="28"/>
      <c r="F31783" s="28"/>
      <c r="H31783" s="28"/>
    </row>
    <row r="31784" spans="4:8" x14ac:dyDescent="0.25">
      <c r="D31784" s="28"/>
      <c r="F31784" s="28"/>
      <c r="H31784" s="28"/>
    </row>
    <row r="31785" spans="4:8" x14ac:dyDescent="0.25">
      <c r="D31785" s="28"/>
      <c r="F31785" s="28"/>
      <c r="H31785" s="28"/>
    </row>
    <row r="31786" spans="4:8" x14ac:dyDescent="0.25">
      <c r="D31786" s="28"/>
      <c r="F31786" s="28"/>
      <c r="H31786" s="28"/>
    </row>
    <row r="31787" spans="4:8" x14ac:dyDescent="0.25">
      <c r="D31787" s="28"/>
      <c r="F31787" s="28"/>
      <c r="H31787" s="28"/>
    </row>
    <row r="31788" spans="4:8" x14ac:dyDescent="0.25">
      <c r="D31788" s="28"/>
      <c r="F31788" s="28"/>
      <c r="H31788" s="28"/>
    </row>
    <row r="31789" spans="4:8" x14ac:dyDescent="0.25">
      <c r="D31789" s="28"/>
      <c r="F31789" s="28"/>
      <c r="H31789" s="28"/>
    </row>
    <row r="31790" spans="4:8" x14ac:dyDescent="0.25">
      <c r="D31790" s="28"/>
      <c r="F31790" s="28"/>
      <c r="H31790" s="28"/>
    </row>
    <row r="31791" spans="4:8" x14ac:dyDescent="0.25">
      <c r="D31791" s="28"/>
      <c r="F31791" s="28"/>
      <c r="H31791" s="28"/>
    </row>
    <row r="31792" spans="4:8" x14ac:dyDescent="0.25">
      <c r="D31792" s="28"/>
      <c r="F31792" s="28"/>
      <c r="H31792" s="28"/>
    </row>
    <row r="31793" spans="4:8" x14ac:dyDescent="0.25">
      <c r="D31793" s="28"/>
      <c r="F31793" s="28"/>
      <c r="H31793" s="28"/>
    </row>
    <row r="31794" spans="4:8" x14ac:dyDescent="0.25">
      <c r="D31794" s="28"/>
      <c r="F31794" s="28"/>
      <c r="H31794" s="28"/>
    </row>
    <row r="31795" spans="4:8" x14ac:dyDescent="0.25">
      <c r="D31795" s="28"/>
      <c r="F31795" s="28"/>
      <c r="H31795" s="28"/>
    </row>
    <row r="31796" spans="4:8" x14ac:dyDescent="0.25">
      <c r="D31796" s="28"/>
      <c r="F31796" s="28"/>
      <c r="H31796" s="28"/>
    </row>
    <row r="31797" spans="4:8" x14ac:dyDescent="0.25">
      <c r="D31797" s="28"/>
      <c r="F31797" s="28"/>
      <c r="H31797" s="28"/>
    </row>
    <row r="31798" spans="4:8" x14ac:dyDescent="0.25">
      <c r="D31798" s="28"/>
      <c r="F31798" s="28"/>
      <c r="H31798" s="28"/>
    </row>
    <row r="31799" spans="4:8" x14ac:dyDescent="0.25">
      <c r="D31799" s="28"/>
      <c r="F31799" s="28"/>
      <c r="H31799" s="28"/>
    </row>
    <row r="31800" spans="4:8" x14ac:dyDescent="0.25">
      <c r="D31800" s="28"/>
      <c r="F31800" s="28"/>
      <c r="H31800" s="28"/>
    </row>
    <row r="31801" spans="4:8" x14ac:dyDescent="0.25">
      <c r="D31801" s="28"/>
      <c r="F31801" s="28"/>
      <c r="H31801" s="28"/>
    </row>
    <row r="31802" spans="4:8" x14ac:dyDescent="0.25">
      <c r="D31802" s="28"/>
      <c r="F31802" s="28"/>
      <c r="H31802" s="28"/>
    </row>
    <row r="31803" spans="4:8" x14ac:dyDescent="0.25">
      <c r="D31803" s="28"/>
      <c r="F31803" s="28"/>
      <c r="H31803" s="28"/>
    </row>
    <row r="31804" spans="4:8" x14ac:dyDescent="0.25">
      <c r="D31804" s="28"/>
      <c r="F31804" s="28"/>
      <c r="H31804" s="28"/>
    </row>
    <row r="31805" spans="4:8" x14ac:dyDescent="0.25">
      <c r="D31805" s="28"/>
      <c r="F31805" s="28"/>
      <c r="H31805" s="28"/>
    </row>
    <row r="31806" spans="4:8" x14ac:dyDescent="0.25">
      <c r="D31806" s="28"/>
      <c r="F31806" s="28"/>
      <c r="H31806" s="28"/>
    </row>
    <row r="31807" spans="4:8" x14ac:dyDescent="0.25">
      <c r="D31807" s="28"/>
      <c r="F31807" s="28"/>
      <c r="H31807" s="28"/>
    </row>
    <row r="31808" spans="4:8" x14ac:dyDescent="0.25">
      <c r="D31808" s="28"/>
      <c r="F31808" s="28"/>
      <c r="H31808" s="28"/>
    </row>
    <row r="31809" spans="4:8" x14ac:dyDescent="0.25">
      <c r="D31809" s="28"/>
      <c r="F31809" s="28"/>
      <c r="H31809" s="28"/>
    </row>
    <row r="31810" spans="4:8" x14ac:dyDescent="0.25">
      <c r="D31810" s="28"/>
      <c r="F31810" s="28"/>
      <c r="H31810" s="28"/>
    </row>
    <row r="31811" spans="4:8" x14ac:dyDescent="0.25">
      <c r="D31811" s="28"/>
      <c r="F31811" s="28"/>
      <c r="H31811" s="28"/>
    </row>
    <row r="31812" spans="4:8" x14ac:dyDescent="0.25">
      <c r="D31812" s="28"/>
      <c r="F31812" s="28"/>
      <c r="H31812" s="28"/>
    </row>
    <row r="31813" spans="4:8" x14ac:dyDescent="0.25">
      <c r="D31813" s="28"/>
      <c r="F31813" s="28"/>
      <c r="H31813" s="28"/>
    </row>
    <row r="31814" spans="4:8" x14ac:dyDescent="0.25">
      <c r="D31814" s="28"/>
      <c r="F31814" s="28"/>
      <c r="H31814" s="28"/>
    </row>
    <row r="31815" spans="4:8" x14ac:dyDescent="0.25">
      <c r="D31815" s="28"/>
      <c r="F31815" s="28"/>
      <c r="H31815" s="28"/>
    </row>
    <row r="31816" spans="4:8" x14ac:dyDescent="0.25">
      <c r="D31816" s="28"/>
      <c r="F31816" s="28"/>
      <c r="H31816" s="28"/>
    </row>
    <row r="31817" spans="4:8" x14ac:dyDescent="0.25">
      <c r="D31817" s="28"/>
      <c r="F31817" s="28"/>
      <c r="H31817" s="28"/>
    </row>
    <row r="31818" spans="4:8" x14ac:dyDescent="0.25">
      <c r="D31818" s="28"/>
      <c r="F31818" s="28"/>
      <c r="H31818" s="28"/>
    </row>
    <row r="31819" spans="4:8" x14ac:dyDescent="0.25">
      <c r="D31819" s="28"/>
      <c r="F31819" s="28"/>
      <c r="H31819" s="28"/>
    </row>
    <row r="31820" spans="4:8" x14ac:dyDescent="0.25">
      <c r="D31820" s="28"/>
      <c r="F31820" s="28"/>
      <c r="H31820" s="28"/>
    </row>
    <row r="31821" spans="4:8" x14ac:dyDescent="0.25">
      <c r="D31821" s="28"/>
      <c r="F31821" s="28"/>
      <c r="H31821" s="28"/>
    </row>
    <row r="31822" spans="4:8" x14ac:dyDescent="0.25">
      <c r="D31822" s="28"/>
      <c r="F31822" s="28"/>
      <c r="H31822" s="28"/>
    </row>
    <row r="31823" spans="4:8" x14ac:dyDescent="0.25">
      <c r="D31823" s="28"/>
      <c r="F31823" s="28"/>
      <c r="H31823" s="28"/>
    </row>
    <row r="31824" spans="4:8" x14ac:dyDescent="0.25">
      <c r="D31824" s="28"/>
      <c r="F31824" s="28"/>
      <c r="H31824" s="28"/>
    </row>
    <row r="31825" spans="4:8" x14ac:dyDescent="0.25">
      <c r="D31825" s="28"/>
      <c r="F31825" s="28"/>
      <c r="H31825" s="28"/>
    </row>
    <row r="31826" spans="4:8" x14ac:dyDescent="0.25">
      <c r="D31826" s="28"/>
      <c r="F31826" s="28"/>
      <c r="H31826" s="28"/>
    </row>
    <row r="31827" spans="4:8" x14ac:dyDescent="0.25">
      <c r="D31827" s="28"/>
      <c r="F31827" s="28"/>
      <c r="H31827" s="28"/>
    </row>
    <row r="31828" spans="4:8" x14ac:dyDescent="0.25">
      <c r="D31828" s="28"/>
      <c r="F31828" s="28"/>
      <c r="H31828" s="28"/>
    </row>
    <row r="31829" spans="4:8" x14ac:dyDescent="0.25">
      <c r="D31829" s="28"/>
      <c r="F31829" s="28"/>
      <c r="H31829" s="28"/>
    </row>
    <row r="31830" spans="4:8" x14ac:dyDescent="0.25">
      <c r="D31830" s="28"/>
      <c r="F31830" s="28"/>
      <c r="H31830" s="28"/>
    </row>
    <row r="31831" spans="4:8" x14ac:dyDescent="0.25">
      <c r="D31831" s="28"/>
      <c r="F31831" s="28"/>
      <c r="H31831" s="28"/>
    </row>
    <row r="31832" spans="4:8" x14ac:dyDescent="0.25">
      <c r="D31832" s="28"/>
      <c r="F31832" s="28"/>
      <c r="H31832" s="28"/>
    </row>
    <row r="31833" spans="4:8" x14ac:dyDescent="0.25">
      <c r="D31833" s="28"/>
      <c r="F31833" s="28"/>
      <c r="H31833" s="28"/>
    </row>
    <row r="31834" spans="4:8" x14ac:dyDescent="0.25">
      <c r="D31834" s="28"/>
      <c r="F31834" s="28"/>
      <c r="H31834" s="28"/>
    </row>
    <row r="31835" spans="4:8" x14ac:dyDescent="0.25">
      <c r="D31835" s="28"/>
      <c r="F31835" s="28"/>
      <c r="H31835" s="28"/>
    </row>
    <row r="31836" spans="4:8" x14ac:dyDescent="0.25">
      <c r="D31836" s="28"/>
      <c r="F31836" s="28"/>
      <c r="H31836" s="28"/>
    </row>
    <row r="31837" spans="4:8" x14ac:dyDescent="0.25">
      <c r="D31837" s="28"/>
      <c r="F31837" s="28"/>
      <c r="H31837" s="28"/>
    </row>
    <row r="31838" spans="4:8" x14ac:dyDescent="0.25">
      <c r="D31838" s="28"/>
      <c r="F31838" s="28"/>
      <c r="H31838" s="28"/>
    </row>
    <row r="31839" spans="4:8" x14ac:dyDescent="0.25">
      <c r="D31839" s="28"/>
      <c r="F31839" s="28"/>
      <c r="H31839" s="28"/>
    </row>
    <row r="31840" spans="4:8" x14ac:dyDescent="0.25">
      <c r="D31840" s="28"/>
      <c r="F31840" s="28"/>
      <c r="H31840" s="28"/>
    </row>
    <row r="31841" spans="4:8" x14ac:dyDescent="0.25">
      <c r="D31841" s="28"/>
      <c r="F31841" s="28"/>
      <c r="H31841" s="28"/>
    </row>
    <row r="31842" spans="4:8" x14ac:dyDescent="0.25">
      <c r="D31842" s="28"/>
      <c r="F31842" s="28"/>
      <c r="H31842" s="28"/>
    </row>
    <row r="31843" spans="4:8" x14ac:dyDescent="0.25">
      <c r="D31843" s="28"/>
      <c r="F31843" s="28"/>
      <c r="H31843" s="28"/>
    </row>
    <row r="31844" spans="4:8" x14ac:dyDescent="0.25">
      <c r="D31844" s="28"/>
      <c r="F31844" s="28"/>
      <c r="H31844" s="28"/>
    </row>
    <row r="31845" spans="4:8" x14ac:dyDescent="0.25">
      <c r="D31845" s="28"/>
      <c r="F31845" s="28"/>
      <c r="H31845" s="28"/>
    </row>
    <row r="31846" spans="4:8" x14ac:dyDescent="0.25">
      <c r="D31846" s="28"/>
      <c r="F31846" s="28"/>
      <c r="H31846" s="28"/>
    </row>
    <row r="31847" spans="4:8" x14ac:dyDescent="0.25">
      <c r="D31847" s="28"/>
      <c r="F31847" s="28"/>
      <c r="H31847" s="28"/>
    </row>
    <row r="31848" spans="4:8" x14ac:dyDescent="0.25">
      <c r="D31848" s="28"/>
      <c r="F31848" s="28"/>
      <c r="H31848" s="28"/>
    </row>
    <row r="31849" spans="4:8" x14ac:dyDescent="0.25">
      <c r="D31849" s="28"/>
      <c r="F31849" s="28"/>
      <c r="H31849" s="28"/>
    </row>
    <row r="31850" spans="4:8" x14ac:dyDescent="0.25">
      <c r="D31850" s="28"/>
      <c r="F31850" s="28"/>
      <c r="H31850" s="28"/>
    </row>
    <row r="31851" spans="4:8" x14ac:dyDescent="0.25">
      <c r="D31851" s="28"/>
      <c r="F31851" s="28"/>
      <c r="H31851" s="28"/>
    </row>
    <row r="31852" spans="4:8" x14ac:dyDescent="0.25">
      <c r="D31852" s="28"/>
      <c r="F31852" s="28"/>
      <c r="H31852" s="28"/>
    </row>
    <row r="31853" spans="4:8" x14ac:dyDescent="0.25">
      <c r="D31853" s="28"/>
      <c r="F31853" s="28"/>
      <c r="H31853" s="28"/>
    </row>
    <row r="31854" spans="4:8" x14ac:dyDescent="0.25">
      <c r="D31854" s="28"/>
      <c r="F31854" s="28"/>
      <c r="H31854" s="28"/>
    </row>
    <row r="31855" spans="4:8" x14ac:dyDescent="0.25">
      <c r="D31855" s="28"/>
      <c r="F31855" s="28"/>
      <c r="H31855" s="28"/>
    </row>
    <row r="31856" spans="4:8" x14ac:dyDescent="0.25">
      <c r="D31856" s="28"/>
      <c r="F31856" s="28"/>
      <c r="H31856" s="28"/>
    </row>
    <row r="31857" spans="4:8" x14ac:dyDescent="0.25">
      <c r="D31857" s="28"/>
      <c r="F31857" s="28"/>
      <c r="H31857" s="28"/>
    </row>
    <row r="31858" spans="4:8" x14ac:dyDescent="0.25">
      <c r="D31858" s="28"/>
      <c r="F31858" s="28"/>
      <c r="H31858" s="28"/>
    </row>
    <row r="31859" spans="4:8" x14ac:dyDescent="0.25">
      <c r="D31859" s="28"/>
      <c r="F31859" s="28"/>
      <c r="H31859" s="28"/>
    </row>
    <row r="31860" spans="4:8" x14ac:dyDescent="0.25">
      <c r="D31860" s="28"/>
      <c r="F31860" s="28"/>
      <c r="H31860" s="28"/>
    </row>
    <row r="31861" spans="4:8" x14ac:dyDescent="0.25">
      <c r="D31861" s="28"/>
      <c r="F31861" s="28"/>
      <c r="H31861" s="28"/>
    </row>
    <row r="31862" spans="4:8" x14ac:dyDescent="0.25">
      <c r="D31862" s="28"/>
      <c r="F31862" s="28"/>
      <c r="H31862" s="28"/>
    </row>
    <row r="31863" spans="4:8" x14ac:dyDescent="0.25">
      <c r="D31863" s="28"/>
      <c r="F31863" s="28"/>
      <c r="H31863" s="28"/>
    </row>
    <row r="31864" spans="4:8" x14ac:dyDescent="0.25">
      <c r="D31864" s="28"/>
      <c r="F31864" s="28"/>
      <c r="H31864" s="28"/>
    </row>
    <row r="31865" spans="4:8" x14ac:dyDescent="0.25">
      <c r="D31865" s="28"/>
      <c r="F31865" s="28"/>
      <c r="H31865" s="28"/>
    </row>
    <row r="31866" spans="4:8" x14ac:dyDescent="0.25">
      <c r="D31866" s="28"/>
      <c r="F31866" s="28"/>
      <c r="H31866" s="28"/>
    </row>
    <row r="31867" spans="4:8" x14ac:dyDescent="0.25">
      <c r="D31867" s="28"/>
      <c r="F31867" s="28"/>
      <c r="H31867" s="28"/>
    </row>
    <row r="31868" spans="4:8" x14ac:dyDescent="0.25">
      <c r="D31868" s="28"/>
      <c r="F31868" s="28"/>
      <c r="H31868" s="28"/>
    </row>
    <row r="31869" spans="4:8" x14ac:dyDescent="0.25">
      <c r="D31869" s="28"/>
      <c r="F31869" s="28"/>
      <c r="H31869" s="28"/>
    </row>
    <row r="31870" spans="4:8" x14ac:dyDescent="0.25">
      <c r="D31870" s="28"/>
      <c r="F31870" s="28"/>
      <c r="H31870" s="28"/>
    </row>
    <row r="31871" spans="4:8" x14ac:dyDescent="0.25">
      <c r="D31871" s="28"/>
      <c r="F31871" s="28"/>
      <c r="H31871" s="28"/>
    </row>
    <row r="31872" spans="4:8" x14ac:dyDescent="0.25">
      <c r="D31872" s="28"/>
      <c r="F31872" s="28"/>
      <c r="H31872" s="28"/>
    </row>
    <row r="31873" spans="4:8" x14ac:dyDescent="0.25">
      <c r="D31873" s="28"/>
      <c r="F31873" s="28"/>
      <c r="H31873" s="28"/>
    </row>
    <row r="31874" spans="4:8" x14ac:dyDescent="0.25">
      <c r="D31874" s="28"/>
      <c r="F31874" s="28"/>
      <c r="H31874" s="28"/>
    </row>
    <row r="31875" spans="4:8" x14ac:dyDescent="0.25">
      <c r="D31875" s="28"/>
      <c r="F31875" s="28"/>
      <c r="H31875" s="28"/>
    </row>
    <row r="31876" spans="4:8" x14ac:dyDescent="0.25">
      <c r="D31876" s="28"/>
      <c r="F31876" s="28"/>
      <c r="H31876" s="28"/>
    </row>
    <row r="31877" spans="4:8" x14ac:dyDescent="0.25">
      <c r="D31877" s="28"/>
      <c r="F31877" s="28"/>
      <c r="H31877" s="28"/>
    </row>
    <row r="31878" spans="4:8" x14ac:dyDescent="0.25">
      <c r="D31878" s="28"/>
      <c r="F31878" s="28"/>
      <c r="H31878" s="28"/>
    </row>
    <row r="31879" spans="4:8" x14ac:dyDescent="0.25">
      <c r="D31879" s="28"/>
      <c r="F31879" s="28"/>
      <c r="H31879" s="28"/>
    </row>
    <row r="31880" spans="4:8" x14ac:dyDescent="0.25">
      <c r="D31880" s="28"/>
      <c r="F31880" s="28"/>
      <c r="H31880" s="28"/>
    </row>
    <row r="31881" spans="4:8" x14ac:dyDescent="0.25">
      <c r="D31881" s="28"/>
      <c r="F31881" s="28"/>
      <c r="H31881" s="28"/>
    </row>
    <row r="31882" spans="4:8" x14ac:dyDescent="0.25">
      <c r="D31882" s="28"/>
      <c r="F31882" s="28"/>
      <c r="H31882" s="28"/>
    </row>
    <row r="31883" spans="4:8" x14ac:dyDescent="0.25">
      <c r="D31883" s="28"/>
      <c r="F31883" s="28"/>
      <c r="H31883" s="28"/>
    </row>
    <row r="31884" spans="4:8" x14ac:dyDescent="0.25">
      <c r="D31884" s="28"/>
      <c r="F31884" s="28"/>
      <c r="H31884" s="28"/>
    </row>
    <row r="31885" spans="4:8" x14ac:dyDescent="0.25">
      <c r="D31885" s="28"/>
      <c r="F31885" s="28"/>
      <c r="H31885" s="28"/>
    </row>
    <row r="31886" spans="4:8" x14ac:dyDescent="0.25">
      <c r="D31886" s="28"/>
      <c r="F31886" s="28"/>
      <c r="H31886" s="28"/>
    </row>
    <row r="31887" spans="4:8" x14ac:dyDescent="0.25">
      <c r="D31887" s="28"/>
      <c r="F31887" s="28"/>
      <c r="H31887" s="28"/>
    </row>
    <row r="31888" spans="4:8" x14ac:dyDescent="0.25">
      <c r="D31888" s="28"/>
      <c r="F31888" s="28"/>
      <c r="H31888" s="28"/>
    </row>
    <row r="31889" spans="4:8" x14ac:dyDescent="0.25">
      <c r="D31889" s="28"/>
      <c r="F31889" s="28"/>
      <c r="H31889" s="28"/>
    </row>
    <row r="31890" spans="4:8" x14ac:dyDescent="0.25">
      <c r="D31890" s="28"/>
      <c r="F31890" s="28"/>
      <c r="H31890" s="28"/>
    </row>
    <row r="31891" spans="4:8" x14ac:dyDescent="0.25">
      <c r="D31891" s="28"/>
      <c r="F31891" s="28"/>
      <c r="H31891" s="28"/>
    </row>
    <row r="31892" spans="4:8" x14ac:dyDescent="0.25">
      <c r="D31892" s="28"/>
      <c r="F31892" s="28"/>
      <c r="H31892" s="28"/>
    </row>
    <row r="31893" spans="4:8" x14ac:dyDescent="0.25">
      <c r="D31893" s="28"/>
      <c r="F31893" s="28"/>
      <c r="H31893" s="28"/>
    </row>
    <row r="31894" spans="4:8" x14ac:dyDescent="0.25">
      <c r="D31894" s="28"/>
      <c r="F31894" s="28"/>
      <c r="H31894" s="28"/>
    </row>
    <row r="31895" spans="4:8" x14ac:dyDescent="0.25">
      <c r="D31895" s="28"/>
      <c r="F31895" s="28"/>
      <c r="H31895" s="28"/>
    </row>
    <row r="31896" spans="4:8" x14ac:dyDescent="0.25">
      <c r="D31896" s="28"/>
      <c r="F31896" s="28"/>
      <c r="H31896" s="28"/>
    </row>
    <row r="31897" spans="4:8" x14ac:dyDescent="0.25">
      <c r="D31897" s="28"/>
      <c r="F31897" s="28"/>
      <c r="H31897" s="28"/>
    </row>
    <row r="31898" spans="4:8" x14ac:dyDescent="0.25">
      <c r="D31898" s="28"/>
      <c r="F31898" s="28"/>
      <c r="H31898" s="28"/>
    </row>
    <row r="31899" spans="4:8" x14ac:dyDescent="0.25">
      <c r="D31899" s="28"/>
      <c r="F31899" s="28"/>
      <c r="H31899" s="28"/>
    </row>
    <row r="31900" spans="4:8" x14ac:dyDescent="0.25">
      <c r="D31900" s="28"/>
      <c r="F31900" s="28"/>
      <c r="H31900" s="28"/>
    </row>
    <row r="31901" spans="4:8" x14ac:dyDescent="0.25">
      <c r="D31901" s="28"/>
      <c r="F31901" s="28"/>
      <c r="H31901" s="28"/>
    </row>
    <row r="31902" spans="4:8" x14ac:dyDescent="0.25">
      <c r="D31902" s="28"/>
      <c r="F31902" s="28"/>
      <c r="H31902" s="28"/>
    </row>
    <row r="31903" spans="4:8" x14ac:dyDescent="0.25">
      <c r="D31903" s="28"/>
      <c r="F31903" s="28"/>
      <c r="H31903" s="28"/>
    </row>
    <row r="31904" spans="4:8" x14ac:dyDescent="0.25">
      <c r="D31904" s="28"/>
      <c r="F31904" s="28"/>
      <c r="H31904" s="28"/>
    </row>
    <row r="31905" spans="4:8" x14ac:dyDescent="0.25">
      <c r="D31905" s="28"/>
      <c r="F31905" s="28"/>
      <c r="H31905" s="28"/>
    </row>
    <row r="31906" spans="4:8" x14ac:dyDescent="0.25">
      <c r="D31906" s="28"/>
      <c r="F31906" s="28"/>
      <c r="H31906" s="28"/>
    </row>
    <row r="31907" spans="4:8" x14ac:dyDescent="0.25">
      <c r="D31907" s="28"/>
      <c r="F31907" s="28"/>
      <c r="H31907" s="28"/>
    </row>
    <row r="31908" spans="4:8" x14ac:dyDescent="0.25">
      <c r="D31908" s="28"/>
      <c r="F31908" s="28"/>
      <c r="H31908" s="28"/>
    </row>
    <row r="31909" spans="4:8" x14ac:dyDescent="0.25">
      <c r="D31909" s="28"/>
      <c r="F31909" s="28"/>
      <c r="H31909" s="28"/>
    </row>
    <row r="31910" spans="4:8" x14ac:dyDescent="0.25">
      <c r="D31910" s="28"/>
      <c r="F31910" s="28"/>
      <c r="H31910" s="28"/>
    </row>
    <row r="31911" spans="4:8" x14ac:dyDescent="0.25">
      <c r="D31911" s="28"/>
      <c r="F31911" s="28"/>
      <c r="H31911" s="28"/>
    </row>
    <row r="31912" spans="4:8" x14ac:dyDescent="0.25">
      <c r="D31912" s="28"/>
      <c r="F31912" s="28"/>
      <c r="H31912" s="28"/>
    </row>
    <row r="31913" spans="4:8" x14ac:dyDescent="0.25">
      <c r="D31913" s="28"/>
      <c r="F31913" s="28"/>
      <c r="H31913" s="28"/>
    </row>
    <row r="31914" spans="4:8" x14ac:dyDescent="0.25">
      <c r="D31914" s="28"/>
      <c r="F31914" s="28"/>
      <c r="H31914" s="28"/>
    </row>
    <row r="31915" spans="4:8" x14ac:dyDescent="0.25">
      <c r="D31915" s="28"/>
      <c r="F31915" s="28"/>
      <c r="H31915" s="28"/>
    </row>
    <row r="31916" spans="4:8" x14ac:dyDescent="0.25">
      <c r="D31916" s="28"/>
      <c r="F31916" s="28"/>
      <c r="H31916" s="28"/>
    </row>
    <row r="31917" spans="4:8" x14ac:dyDescent="0.25">
      <c r="D31917" s="28"/>
      <c r="F31917" s="28"/>
      <c r="H31917" s="28"/>
    </row>
    <row r="31918" spans="4:8" x14ac:dyDescent="0.25">
      <c r="D31918" s="28"/>
      <c r="F31918" s="28"/>
      <c r="H31918" s="28"/>
    </row>
    <row r="31919" spans="4:8" x14ac:dyDescent="0.25">
      <c r="D31919" s="28"/>
      <c r="F31919" s="28"/>
      <c r="H31919" s="28"/>
    </row>
    <row r="31920" spans="4:8" x14ac:dyDescent="0.25">
      <c r="D31920" s="28"/>
      <c r="F31920" s="28"/>
      <c r="H31920" s="28"/>
    </row>
    <row r="31921" spans="4:8" x14ac:dyDescent="0.25">
      <c r="D31921" s="28"/>
      <c r="F31921" s="28"/>
      <c r="H31921" s="28"/>
    </row>
    <row r="31922" spans="4:8" x14ac:dyDescent="0.25">
      <c r="D31922" s="28"/>
      <c r="F31922" s="28"/>
      <c r="H31922" s="28"/>
    </row>
    <row r="31923" spans="4:8" x14ac:dyDescent="0.25">
      <c r="D31923" s="28"/>
      <c r="F31923" s="28"/>
      <c r="H31923" s="28"/>
    </row>
    <row r="31924" spans="4:8" x14ac:dyDescent="0.25">
      <c r="D31924" s="28"/>
      <c r="F31924" s="28"/>
      <c r="H31924" s="28"/>
    </row>
    <row r="31925" spans="4:8" x14ac:dyDescent="0.25">
      <c r="D31925" s="28"/>
      <c r="F31925" s="28"/>
      <c r="H31925" s="28"/>
    </row>
    <row r="31926" spans="4:8" x14ac:dyDescent="0.25">
      <c r="D31926" s="28"/>
      <c r="F31926" s="28"/>
      <c r="H31926" s="28"/>
    </row>
    <row r="31927" spans="4:8" x14ac:dyDescent="0.25">
      <c r="D31927" s="28"/>
      <c r="F31927" s="28"/>
      <c r="H31927" s="28"/>
    </row>
    <row r="31928" spans="4:8" x14ac:dyDescent="0.25">
      <c r="D31928" s="28"/>
      <c r="F31928" s="28"/>
      <c r="H31928" s="28"/>
    </row>
    <row r="31929" spans="4:8" x14ac:dyDescent="0.25">
      <c r="D31929" s="28"/>
      <c r="F31929" s="28"/>
      <c r="H31929" s="28"/>
    </row>
    <row r="31930" spans="4:8" x14ac:dyDescent="0.25">
      <c r="D31930" s="28"/>
      <c r="F31930" s="28"/>
      <c r="H31930" s="28"/>
    </row>
    <row r="31931" spans="4:8" x14ac:dyDescent="0.25">
      <c r="D31931" s="28"/>
      <c r="F31931" s="28"/>
      <c r="H31931" s="28"/>
    </row>
    <row r="31932" spans="4:8" x14ac:dyDescent="0.25">
      <c r="D31932" s="28"/>
      <c r="F31932" s="28"/>
      <c r="H31932" s="28"/>
    </row>
    <row r="31933" spans="4:8" x14ac:dyDescent="0.25">
      <c r="D31933" s="28"/>
      <c r="F31933" s="28"/>
      <c r="H31933" s="28"/>
    </row>
    <row r="31934" spans="4:8" x14ac:dyDescent="0.25">
      <c r="D31934" s="28"/>
      <c r="F31934" s="28"/>
      <c r="H31934" s="28"/>
    </row>
    <row r="31935" spans="4:8" x14ac:dyDescent="0.25">
      <c r="D31935" s="28"/>
      <c r="F31935" s="28"/>
      <c r="H31935" s="28"/>
    </row>
    <row r="31936" spans="4:8" x14ac:dyDescent="0.25">
      <c r="D31936" s="28"/>
      <c r="F31936" s="28"/>
      <c r="H31936" s="28"/>
    </row>
    <row r="31937" spans="4:8" x14ac:dyDescent="0.25">
      <c r="D31937" s="28"/>
      <c r="F31937" s="28"/>
      <c r="H31937" s="28"/>
    </row>
    <row r="31938" spans="4:8" x14ac:dyDescent="0.25">
      <c r="D31938" s="28"/>
      <c r="F31938" s="28"/>
      <c r="H31938" s="28"/>
    </row>
    <row r="31939" spans="4:8" x14ac:dyDescent="0.25">
      <c r="D31939" s="28"/>
      <c r="F31939" s="28"/>
      <c r="H31939" s="28"/>
    </row>
    <row r="31940" spans="4:8" x14ac:dyDescent="0.25">
      <c r="D31940" s="28"/>
      <c r="F31940" s="28"/>
      <c r="H31940" s="28"/>
    </row>
    <row r="31941" spans="4:8" x14ac:dyDescent="0.25">
      <c r="D31941" s="28"/>
      <c r="F31941" s="28"/>
      <c r="H31941" s="28"/>
    </row>
    <row r="31942" spans="4:8" x14ac:dyDescent="0.25">
      <c r="D31942" s="28"/>
      <c r="F31942" s="28"/>
      <c r="H31942" s="28"/>
    </row>
    <row r="31943" spans="4:8" x14ac:dyDescent="0.25">
      <c r="D31943" s="28"/>
      <c r="F31943" s="28"/>
      <c r="H31943" s="28"/>
    </row>
    <row r="31944" spans="4:8" x14ac:dyDescent="0.25">
      <c r="D31944" s="28"/>
      <c r="F31944" s="28"/>
      <c r="H31944" s="28"/>
    </row>
    <row r="31945" spans="4:8" x14ac:dyDescent="0.25">
      <c r="D31945" s="28"/>
      <c r="F31945" s="28"/>
      <c r="H31945" s="28"/>
    </row>
    <row r="31946" spans="4:8" x14ac:dyDescent="0.25">
      <c r="D31946" s="28"/>
      <c r="F31946" s="28"/>
      <c r="H31946" s="28"/>
    </row>
    <row r="31947" spans="4:8" x14ac:dyDescent="0.25">
      <c r="D31947" s="28"/>
      <c r="F31947" s="28"/>
      <c r="H31947" s="28"/>
    </row>
    <row r="31948" spans="4:8" x14ac:dyDescent="0.25">
      <c r="D31948" s="28"/>
      <c r="F31948" s="28"/>
      <c r="H31948" s="28"/>
    </row>
    <row r="31949" spans="4:8" x14ac:dyDescent="0.25">
      <c r="D31949" s="28"/>
      <c r="F31949" s="28"/>
      <c r="H31949" s="28"/>
    </row>
    <row r="31950" spans="4:8" x14ac:dyDescent="0.25">
      <c r="D31950" s="28"/>
      <c r="F31950" s="28"/>
      <c r="H31950" s="28"/>
    </row>
    <row r="31951" spans="4:8" x14ac:dyDescent="0.25">
      <c r="D31951" s="28"/>
      <c r="F31951" s="28"/>
      <c r="H31951" s="28"/>
    </row>
    <row r="31952" spans="4:8" x14ac:dyDescent="0.25">
      <c r="D31952" s="28"/>
      <c r="F31952" s="28"/>
      <c r="H31952" s="28"/>
    </row>
    <row r="31953" spans="4:8" x14ac:dyDescent="0.25">
      <c r="D31953" s="28"/>
      <c r="F31953" s="28"/>
      <c r="H31953" s="28"/>
    </row>
    <row r="31954" spans="4:8" x14ac:dyDescent="0.25">
      <c r="D31954" s="28"/>
      <c r="F31954" s="28"/>
      <c r="H31954" s="28"/>
    </row>
    <row r="31955" spans="4:8" x14ac:dyDescent="0.25">
      <c r="D31955" s="28"/>
      <c r="F31955" s="28"/>
      <c r="H31955" s="28"/>
    </row>
    <row r="31956" spans="4:8" x14ac:dyDescent="0.25">
      <c r="D31956" s="28"/>
      <c r="F31956" s="28"/>
      <c r="H31956" s="28"/>
    </row>
    <row r="31957" spans="4:8" x14ac:dyDescent="0.25">
      <c r="D31957" s="28"/>
      <c r="F31957" s="28"/>
      <c r="H31957" s="28"/>
    </row>
    <row r="31958" spans="4:8" x14ac:dyDescent="0.25">
      <c r="D31958" s="28"/>
      <c r="F31958" s="28"/>
      <c r="H31958" s="28"/>
    </row>
    <row r="31959" spans="4:8" x14ac:dyDescent="0.25">
      <c r="D31959" s="28"/>
      <c r="F31959" s="28"/>
      <c r="H31959" s="28"/>
    </row>
    <row r="31960" spans="4:8" x14ac:dyDescent="0.25">
      <c r="D31960" s="28"/>
      <c r="F31960" s="28"/>
      <c r="H31960" s="28"/>
    </row>
    <row r="31961" spans="4:8" x14ac:dyDescent="0.25">
      <c r="D31961" s="28"/>
      <c r="F31961" s="28"/>
      <c r="H31961" s="28"/>
    </row>
    <row r="31962" spans="4:8" x14ac:dyDescent="0.25">
      <c r="D31962" s="28"/>
      <c r="F31962" s="28"/>
      <c r="H31962" s="28"/>
    </row>
    <row r="31963" spans="4:8" x14ac:dyDescent="0.25">
      <c r="D31963" s="28"/>
      <c r="F31963" s="28"/>
      <c r="H31963" s="28"/>
    </row>
    <row r="31964" spans="4:8" x14ac:dyDescent="0.25">
      <c r="D31964" s="28"/>
      <c r="F31964" s="28"/>
      <c r="H31964" s="28"/>
    </row>
    <row r="31965" spans="4:8" x14ac:dyDescent="0.25">
      <c r="D31965" s="28"/>
      <c r="F31965" s="28"/>
      <c r="H31965" s="28"/>
    </row>
    <row r="31966" spans="4:8" x14ac:dyDescent="0.25">
      <c r="D31966" s="28"/>
      <c r="F31966" s="28"/>
      <c r="H31966" s="28"/>
    </row>
    <row r="31967" spans="4:8" x14ac:dyDescent="0.25">
      <c r="D31967" s="28"/>
      <c r="F31967" s="28"/>
      <c r="H31967" s="28"/>
    </row>
    <row r="31968" spans="4:8" x14ac:dyDescent="0.25">
      <c r="D31968" s="28"/>
      <c r="F31968" s="28"/>
      <c r="H31968" s="28"/>
    </row>
    <row r="31969" spans="4:8" x14ac:dyDescent="0.25">
      <c r="D31969" s="28"/>
      <c r="F31969" s="28"/>
      <c r="H31969" s="28"/>
    </row>
    <row r="31970" spans="4:8" x14ac:dyDescent="0.25">
      <c r="D31970" s="28"/>
      <c r="F31970" s="28"/>
      <c r="H31970" s="28"/>
    </row>
    <row r="31971" spans="4:8" x14ac:dyDescent="0.25">
      <c r="D31971" s="28"/>
      <c r="F31971" s="28"/>
      <c r="H31971" s="28"/>
    </row>
    <row r="31972" spans="4:8" x14ac:dyDescent="0.25">
      <c r="D31972" s="28"/>
      <c r="F31972" s="28"/>
      <c r="H31972" s="28"/>
    </row>
    <row r="31973" spans="4:8" x14ac:dyDescent="0.25">
      <c r="D31973" s="28"/>
      <c r="F31973" s="28"/>
      <c r="H31973" s="28"/>
    </row>
    <row r="31974" spans="4:8" x14ac:dyDescent="0.25">
      <c r="D31974" s="28"/>
      <c r="F31974" s="28"/>
      <c r="H31974" s="28"/>
    </row>
    <row r="31975" spans="4:8" x14ac:dyDescent="0.25">
      <c r="D31975" s="28"/>
      <c r="F31975" s="28"/>
      <c r="H31975" s="28"/>
    </row>
    <row r="31976" spans="4:8" x14ac:dyDescent="0.25">
      <c r="D31976" s="28"/>
      <c r="F31976" s="28"/>
      <c r="H31976" s="28"/>
    </row>
    <row r="31977" spans="4:8" x14ac:dyDescent="0.25">
      <c r="D31977" s="28"/>
      <c r="F31977" s="28"/>
      <c r="H31977" s="28"/>
    </row>
    <row r="31978" spans="4:8" x14ac:dyDescent="0.25">
      <c r="D31978" s="28"/>
      <c r="F31978" s="28"/>
      <c r="H31978" s="28"/>
    </row>
    <row r="31979" spans="4:8" x14ac:dyDescent="0.25">
      <c r="D31979" s="28"/>
      <c r="F31979" s="28"/>
      <c r="H31979" s="28"/>
    </row>
    <row r="31980" spans="4:8" x14ac:dyDescent="0.25">
      <c r="D31980" s="28"/>
      <c r="F31980" s="28"/>
      <c r="H31980" s="28"/>
    </row>
    <row r="31981" spans="4:8" x14ac:dyDescent="0.25">
      <c r="D31981" s="28"/>
      <c r="F31981" s="28"/>
      <c r="H31981" s="28"/>
    </row>
    <row r="31982" spans="4:8" x14ac:dyDescent="0.25">
      <c r="D31982" s="28"/>
      <c r="F31982" s="28"/>
      <c r="H31982" s="28"/>
    </row>
    <row r="31983" spans="4:8" x14ac:dyDescent="0.25">
      <c r="D31983" s="28"/>
      <c r="F31983" s="28"/>
      <c r="H31983" s="28"/>
    </row>
    <row r="31984" spans="4:8" x14ac:dyDescent="0.25">
      <c r="D31984" s="28"/>
      <c r="F31984" s="28"/>
      <c r="H31984" s="28"/>
    </row>
    <row r="31985" spans="4:8" x14ac:dyDescent="0.25">
      <c r="D31985" s="28"/>
      <c r="F31985" s="28"/>
      <c r="H31985" s="28"/>
    </row>
    <row r="31986" spans="4:8" x14ac:dyDescent="0.25">
      <c r="D31986" s="28"/>
      <c r="F31986" s="28"/>
      <c r="H31986" s="28"/>
    </row>
    <row r="31987" spans="4:8" x14ac:dyDescent="0.25">
      <c r="D31987" s="28"/>
      <c r="F31987" s="28"/>
      <c r="H31987" s="28"/>
    </row>
    <row r="31988" spans="4:8" x14ac:dyDescent="0.25">
      <c r="D31988" s="28"/>
      <c r="F31988" s="28"/>
      <c r="H31988" s="28"/>
    </row>
    <row r="31989" spans="4:8" x14ac:dyDescent="0.25">
      <c r="D31989" s="28"/>
      <c r="F31989" s="28"/>
      <c r="H31989" s="28"/>
    </row>
    <row r="31990" spans="4:8" x14ac:dyDescent="0.25">
      <c r="D31990" s="28"/>
      <c r="F31990" s="28"/>
      <c r="H31990" s="28"/>
    </row>
    <row r="31991" spans="4:8" x14ac:dyDescent="0.25">
      <c r="D31991" s="28"/>
      <c r="F31991" s="28"/>
      <c r="H31991" s="28"/>
    </row>
    <row r="31992" spans="4:8" x14ac:dyDescent="0.25">
      <c r="D31992" s="28"/>
      <c r="F31992" s="28"/>
      <c r="H31992" s="28"/>
    </row>
    <row r="31993" spans="4:8" x14ac:dyDescent="0.25">
      <c r="D31993" s="28"/>
      <c r="F31993" s="28"/>
      <c r="H31993" s="28"/>
    </row>
    <row r="31994" spans="4:8" x14ac:dyDescent="0.25">
      <c r="D31994" s="28"/>
      <c r="F31994" s="28"/>
      <c r="H31994" s="28"/>
    </row>
    <row r="31995" spans="4:8" x14ac:dyDescent="0.25">
      <c r="D31995" s="28"/>
      <c r="F31995" s="28"/>
      <c r="H31995" s="28"/>
    </row>
    <row r="31996" spans="4:8" x14ac:dyDescent="0.25">
      <c r="D31996" s="28"/>
      <c r="F31996" s="28"/>
      <c r="H31996" s="28"/>
    </row>
    <row r="31997" spans="4:8" x14ac:dyDescent="0.25">
      <c r="D31997" s="28"/>
      <c r="F31997" s="28"/>
      <c r="H31997" s="28"/>
    </row>
    <row r="31998" spans="4:8" x14ac:dyDescent="0.25">
      <c r="D31998" s="28"/>
      <c r="F31998" s="28"/>
      <c r="H31998" s="28"/>
    </row>
    <row r="31999" spans="4:8" x14ac:dyDescent="0.25">
      <c r="D31999" s="28"/>
      <c r="F31999" s="28"/>
      <c r="H31999" s="28"/>
    </row>
    <row r="32000" spans="4:8" x14ac:dyDescent="0.25">
      <c r="D32000" s="28"/>
      <c r="F32000" s="28"/>
      <c r="H32000" s="28"/>
    </row>
    <row r="32001" spans="4:8" x14ac:dyDescent="0.25">
      <c r="D32001" s="28"/>
      <c r="F32001" s="28"/>
      <c r="H32001" s="28"/>
    </row>
    <row r="32002" spans="4:8" x14ac:dyDescent="0.25">
      <c r="D32002" s="28"/>
      <c r="F32002" s="28"/>
      <c r="H32002" s="28"/>
    </row>
    <row r="32003" spans="4:8" x14ac:dyDescent="0.25">
      <c r="D32003" s="28"/>
      <c r="F32003" s="28"/>
      <c r="H32003" s="28"/>
    </row>
    <row r="32004" spans="4:8" x14ac:dyDescent="0.25">
      <c r="D32004" s="28"/>
      <c r="F32004" s="28"/>
      <c r="H32004" s="28"/>
    </row>
    <row r="32005" spans="4:8" x14ac:dyDescent="0.25">
      <c r="D32005" s="28"/>
      <c r="F32005" s="28"/>
      <c r="H32005" s="28"/>
    </row>
    <row r="32006" spans="4:8" x14ac:dyDescent="0.25">
      <c r="D32006" s="28"/>
      <c r="F32006" s="28"/>
      <c r="H32006" s="28"/>
    </row>
    <row r="32007" spans="4:8" x14ac:dyDescent="0.25">
      <c r="D32007" s="28"/>
      <c r="F32007" s="28"/>
      <c r="H32007" s="28"/>
    </row>
    <row r="32008" spans="4:8" x14ac:dyDescent="0.25">
      <c r="D32008" s="28"/>
      <c r="F32008" s="28"/>
      <c r="H32008" s="28"/>
    </row>
    <row r="32009" spans="4:8" x14ac:dyDescent="0.25">
      <c r="D32009" s="28"/>
      <c r="F32009" s="28"/>
      <c r="H32009" s="28"/>
    </row>
    <row r="32010" spans="4:8" x14ac:dyDescent="0.25">
      <c r="D32010" s="28"/>
      <c r="F32010" s="28"/>
      <c r="H32010" s="28"/>
    </row>
    <row r="32011" spans="4:8" x14ac:dyDescent="0.25">
      <c r="D32011" s="28"/>
      <c r="F32011" s="28"/>
      <c r="H32011" s="28"/>
    </row>
    <row r="32012" spans="4:8" x14ac:dyDescent="0.25">
      <c r="D32012" s="28"/>
      <c r="F32012" s="28"/>
      <c r="H32012" s="28"/>
    </row>
    <row r="32013" spans="4:8" x14ac:dyDescent="0.25">
      <c r="D32013" s="28"/>
      <c r="F32013" s="28"/>
      <c r="H32013" s="28"/>
    </row>
    <row r="32014" spans="4:8" x14ac:dyDescent="0.25">
      <c r="D32014" s="28"/>
      <c r="F32014" s="28"/>
      <c r="H32014" s="28"/>
    </row>
    <row r="32015" spans="4:8" x14ac:dyDescent="0.25">
      <c r="D32015" s="28"/>
      <c r="F32015" s="28"/>
      <c r="H32015" s="28"/>
    </row>
    <row r="32016" spans="4:8" x14ac:dyDescent="0.25">
      <c r="D32016" s="28"/>
      <c r="F32016" s="28"/>
      <c r="H32016" s="28"/>
    </row>
    <row r="32017" spans="4:8" x14ac:dyDescent="0.25">
      <c r="D32017" s="28"/>
      <c r="F32017" s="28"/>
      <c r="H32017" s="28"/>
    </row>
    <row r="32018" spans="4:8" x14ac:dyDescent="0.25">
      <c r="D32018" s="28"/>
      <c r="F32018" s="28"/>
      <c r="H32018" s="28"/>
    </row>
    <row r="32019" spans="4:8" x14ac:dyDescent="0.25">
      <c r="D32019" s="28"/>
      <c r="F32019" s="28"/>
      <c r="H32019" s="28"/>
    </row>
    <row r="32020" spans="4:8" x14ac:dyDescent="0.25">
      <c r="D32020" s="28"/>
      <c r="F32020" s="28"/>
      <c r="H32020" s="28"/>
    </row>
    <row r="32021" spans="4:8" x14ac:dyDescent="0.25">
      <c r="D32021" s="28"/>
      <c r="F32021" s="28"/>
      <c r="H32021" s="28"/>
    </row>
    <row r="32022" spans="4:8" x14ac:dyDescent="0.25">
      <c r="D32022" s="28"/>
      <c r="F32022" s="28"/>
      <c r="H32022" s="28"/>
    </row>
    <row r="32023" spans="4:8" x14ac:dyDescent="0.25">
      <c r="D32023" s="28"/>
      <c r="F32023" s="28"/>
      <c r="H32023" s="28"/>
    </row>
    <row r="32024" spans="4:8" x14ac:dyDescent="0.25">
      <c r="D32024" s="28"/>
      <c r="F32024" s="28"/>
      <c r="H32024" s="28"/>
    </row>
    <row r="32025" spans="4:8" x14ac:dyDescent="0.25">
      <c r="D32025" s="28"/>
      <c r="F32025" s="28"/>
      <c r="H32025" s="28"/>
    </row>
    <row r="32026" spans="4:8" x14ac:dyDescent="0.25">
      <c r="D32026" s="28"/>
      <c r="F32026" s="28"/>
      <c r="H32026" s="28"/>
    </row>
    <row r="32027" spans="4:8" x14ac:dyDescent="0.25">
      <c r="D32027" s="28"/>
      <c r="F32027" s="28"/>
      <c r="H32027" s="28"/>
    </row>
    <row r="32028" spans="4:8" x14ac:dyDescent="0.25">
      <c r="D32028" s="28"/>
      <c r="F32028" s="28"/>
      <c r="H32028" s="28"/>
    </row>
    <row r="32029" spans="4:8" x14ac:dyDescent="0.25">
      <c r="D32029" s="28"/>
      <c r="F32029" s="28"/>
      <c r="H32029" s="28"/>
    </row>
    <row r="32030" spans="4:8" x14ac:dyDescent="0.25">
      <c r="D32030" s="28"/>
      <c r="F32030" s="28"/>
      <c r="H32030" s="28"/>
    </row>
    <row r="32031" spans="4:8" x14ac:dyDescent="0.25">
      <c r="D32031" s="28"/>
      <c r="F32031" s="28"/>
      <c r="H32031" s="28"/>
    </row>
    <row r="32032" spans="4:8" x14ac:dyDescent="0.25">
      <c r="D32032" s="28"/>
      <c r="F32032" s="28"/>
      <c r="H32032" s="28"/>
    </row>
    <row r="32033" spans="4:8" x14ac:dyDescent="0.25">
      <c r="D32033" s="28"/>
      <c r="F32033" s="28"/>
      <c r="H32033" s="28"/>
    </row>
    <row r="32034" spans="4:8" x14ac:dyDescent="0.25">
      <c r="D32034" s="28"/>
      <c r="F32034" s="28"/>
      <c r="H32034" s="28"/>
    </row>
    <row r="32035" spans="4:8" x14ac:dyDescent="0.25">
      <c r="D32035" s="28"/>
      <c r="F32035" s="28"/>
      <c r="H32035" s="28"/>
    </row>
    <row r="32036" spans="4:8" x14ac:dyDescent="0.25">
      <c r="D32036" s="28"/>
      <c r="F32036" s="28"/>
      <c r="H32036" s="28"/>
    </row>
    <row r="32037" spans="4:8" x14ac:dyDescent="0.25">
      <c r="D32037" s="28"/>
      <c r="F32037" s="28"/>
      <c r="H32037" s="28"/>
    </row>
    <row r="32038" spans="4:8" x14ac:dyDescent="0.25">
      <c r="D32038" s="28"/>
      <c r="F32038" s="28"/>
      <c r="H32038" s="28"/>
    </row>
    <row r="32039" spans="4:8" x14ac:dyDescent="0.25">
      <c r="D32039" s="28"/>
      <c r="F32039" s="28"/>
      <c r="H32039" s="28"/>
    </row>
    <row r="32040" spans="4:8" x14ac:dyDescent="0.25">
      <c r="D32040" s="28"/>
      <c r="F32040" s="28"/>
      <c r="H32040" s="28"/>
    </row>
    <row r="32041" spans="4:8" x14ac:dyDescent="0.25">
      <c r="D32041" s="28"/>
      <c r="F32041" s="28"/>
      <c r="H32041" s="28"/>
    </row>
    <row r="32042" spans="4:8" x14ac:dyDescent="0.25">
      <c r="D32042" s="28"/>
      <c r="F32042" s="28"/>
      <c r="H32042" s="28"/>
    </row>
    <row r="32043" spans="4:8" x14ac:dyDescent="0.25">
      <c r="D32043" s="28"/>
      <c r="F32043" s="28"/>
      <c r="H32043" s="28"/>
    </row>
    <row r="32044" spans="4:8" x14ac:dyDescent="0.25">
      <c r="D32044" s="28"/>
      <c r="F32044" s="28"/>
      <c r="H32044" s="28"/>
    </row>
    <row r="32045" spans="4:8" x14ac:dyDescent="0.25">
      <c r="D32045" s="28"/>
      <c r="F32045" s="28"/>
      <c r="H32045" s="28"/>
    </row>
    <row r="32046" spans="4:8" x14ac:dyDescent="0.25">
      <c r="D32046" s="28"/>
      <c r="F32046" s="28"/>
      <c r="H32046" s="28"/>
    </row>
    <row r="32047" spans="4:8" x14ac:dyDescent="0.25">
      <c r="D32047" s="28"/>
      <c r="F32047" s="28"/>
      <c r="H32047" s="28"/>
    </row>
    <row r="32048" spans="4:8" x14ac:dyDescent="0.25">
      <c r="D32048" s="28"/>
      <c r="F32048" s="28"/>
      <c r="H32048" s="28"/>
    </row>
    <row r="32049" spans="4:8" x14ac:dyDescent="0.25">
      <c r="D32049" s="28"/>
      <c r="F32049" s="28"/>
      <c r="H32049" s="28"/>
    </row>
    <row r="32050" spans="4:8" x14ac:dyDescent="0.25">
      <c r="D32050" s="28"/>
      <c r="F32050" s="28"/>
      <c r="H32050" s="28"/>
    </row>
    <row r="32051" spans="4:8" x14ac:dyDescent="0.25">
      <c r="D32051" s="28"/>
      <c r="F32051" s="28"/>
      <c r="H32051" s="28"/>
    </row>
    <row r="32052" spans="4:8" x14ac:dyDescent="0.25">
      <c r="D32052" s="28"/>
      <c r="F32052" s="28"/>
      <c r="H32052" s="28"/>
    </row>
    <row r="32053" spans="4:8" x14ac:dyDescent="0.25">
      <c r="D32053" s="28"/>
      <c r="F32053" s="28"/>
      <c r="H32053" s="28"/>
    </row>
    <row r="32054" spans="4:8" x14ac:dyDescent="0.25">
      <c r="D32054" s="28"/>
      <c r="F32054" s="28"/>
      <c r="H32054" s="28"/>
    </row>
    <row r="32055" spans="4:8" x14ac:dyDescent="0.25">
      <c r="D32055" s="28"/>
      <c r="F32055" s="28"/>
      <c r="H32055" s="28"/>
    </row>
    <row r="32056" spans="4:8" x14ac:dyDescent="0.25">
      <c r="D32056" s="28"/>
      <c r="F32056" s="28"/>
      <c r="H32056" s="28"/>
    </row>
    <row r="32057" spans="4:8" x14ac:dyDescent="0.25">
      <c r="D32057" s="28"/>
      <c r="F32057" s="28"/>
      <c r="H32057" s="28"/>
    </row>
    <row r="32058" spans="4:8" x14ac:dyDescent="0.25">
      <c r="D32058" s="28"/>
      <c r="F32058" s="28"/>
      <c r="H32058" s="28"/>
    </row>
    <row r="32059" spans="4:8" x14ac:dyDescent="0.25">
      <c r="D32059" s="28"/>
      <c r="F32059" s="28"/>
      <c r="H32059" s="28"/>
    </row>
    <row r="32060" spans="4:8" x14ac:dyDescent="0.25">
      <c r="D32060" s="28"/>
      <c r="F32060" s="28"/>
      <c r="H32060" s="28"/>
    </row>
    <row r="32061" spans="4:8" x14ac:dyDescent="0.25">
      <c r="D32061" s="28"/>
      <c r="F32061" s="28"/>
      <c r="H32061" s="28"/>
    </row>
    <row r="32062" spans="4:8" x14ac:dyDescent="0.25">
      <c r="D32062" s="28"/>
      <c r="F32062" s="28"/>
      <c r="H32062" s="28"/>
    </row>
    <row r="32063" spans="4:8" x14ac:dyDescent="0.25">
      <c r="D32063" s="28"/>
      <c r="F32063" s="28"/>
      <c r="H32063" s="28"/>
    </row>
    <row r="32064" spans="4:8" x14ac:dyDescent="0.25">
      <c r="D32064" s="28"/>
      <c r="F32064" s="28"/>
      <c r="H32064" s="28"/>
    </row>
    <row r="32065" spans="4:8" x14ac:dyDescent="0.25">
      <c r="D32065" s="28"/>
      <c r="F32065" s="28"/>
      <c r="H32065" s="28"/>
    </row>
    <row r="32066" spans="4:8" x14ac:dyDescent="0.25">
      <c r="D32066" s="28"/>
      <c r="F32066" s="28"/>
      <c r="H32066" s="28"/>
    </row>
    <row r="32067" spans="4:8" x14ac:dyDescent="0.25">
      <c r="D32067" s="28"/>
      <c r="F32067" s="28"/>
      <c r="H32067" s="28"/>
    </row>
    <row r="32068" spans="4:8" x14ac:dyDescent="0.25">
      <c r="D32068" s="28"/>
      <c r="F32068" s="28"/>
      <c r="H32068" s="28"/>
    </row>
    <row r="32069" spans="4:8" x14ac:dyDescent="0.25">
      <c r="D32069" s="28"/>
      <c r="F32069" s="28"/>
      <c r="H32069" s="28"/>
    </row>
    <row r="32070" spans="4:8" x14ac:dyDescent="0.25">
      <c r="D32070" s="28"/>
      <c r="F32070" s="28"/>
      <c r="H32070" s="28"/>
    </row>
    <row r="32071" spans="4:8" x14ac:dyDescent="0.25">
      <c r="D32071" s="28"/>
      <c r="F32071" s="28"/>
      <c r="H32071" s="28"/>
    </row>
    <row r="32072" spans="4:8" x14ac:dyDescent="0.25">
      <c r="D32072" s="28"/>
      <c r="F32072" s="28"/>
      <c r="H32072" s="28"/>
    </row>
    <row r="32073" spans="4:8" x14ac:dyDescent="0.25">
      <c r="D32073" s="28"/>
      <c r="F32073" s="28"/>
      <c r="H32073" s="28"/>
    </row>
    <row r="32074" spans="4:8" x14ac:dyDescent="0.25">
      <c r="D32074" s="28"/>
      <c r="F32074" s="28"/>
      <c r="H32074" s="28"/>
    </row>
    <row r="32075" spans="4:8" x14ac:dyDescent="0.25">
      <c r="D32075" s="28"/>
      <c r="F32075" s="28"/>
      <c r="H32075" s="28"/>
    </row>
    <row r="32076" spans="4:8" x14ac:dyDescent="0.25">
      <c r="D32076" s="28"/>
      <c r="F32076" s="28"/>
      <c r="H32076" s="28"/>
    </row>
    <row r="32077" spans="4:8" x14ac:dyDescent="0.25">
      <c r="D32077" s="28"/>
      <c r="F32077" s="28"/>
      <c r="H32077" s="28"/>
    </row>
    <row r="32078" spans="4:8" x14ac:dyDescent="0.25">
      <c r="D32078" s="28"/>
      <c r="F32078" s="28"/>
      <c r="H32078" s="28"/>
    </row>
    <row r="32079" spans="4:8" x14ac:dyDescent="0.25">
      <c r="D32079" s="28"/>
      <c r="F32079" s="28"/>
      <c r="H32079" s="28"/>
    </row>
    <row r="32080" spans="4:8" x14ac:dyDescent="0.25">
      <c r="D32080" s="28"/>
      <c r="F32080" s="28"/>
      <c r="H32080" s="28"/>
    </row>
    <row r="32081" spans="4:8" x14ac:dyDescent="0.25">
      <c r="D32081" s="28"/>
      <c r="F32081" s="28"/>
      <c r="H32081" s="28"/>
    </row>
    <row r="32082" spans="4:8" x14ac:dyDescent="0.25">
      <c r="D32082" s="28"/>
      <c r="F32082" s="28"/>
      <c r="H32082" s="28"/>
    </row>
    <row r="32083" spans="4:8" x14ac:dyDescent="0.25">
      <c r="D32083" s="28"/>
      <c r="F32083" s="28"/>
      <c r="H32083" s="28"/>
    </row>
    <row r="32084" spans="4:8" x14ac:dyDescent="0.25">
      <c r="D32084" s="28"/>
      <c r="F32084" s="28"/>
      <c r="H32084" s="28"/>
    </row>
    <row r="32085" spans="4:8" x14ac:dyDescent="0.25">
      <c r="D32085" s="28"/>
      <c r="F32085" s="28"/>
      <c r="H32085" s="28"/>
    </row>
    <row r="32086" spans="4:8" x14ac:dyDescent="0.25">
      <c r="D32086" s="28"/>
      <c r="F32086" s="28"/>
      <c r="H32086" s="28"/>
    </row>
    <row r="32087" spans="4:8" x14ac:dyDescent="0.25">
      <c r="D32087" s="28"/>
      <c r="F32087" s="28"/>
      <c r="H32087" s="28"/>
    </row>
    <row r="32088" spans="4:8" x14ac:dyDescent="0.25">
      <c r="D32088" s="28"/>
      <c r="F32088" s="28"/>
      <c r="H32088" s="28"/>
    </row>
    <row r="32089" spans="4:8" x14ac:dyDescent="0.25">
      <c r="D32089" s="28"/>
      <c r="F32089" s="28"/>
      <c r="H32089" s="28"/>
    </row>
    <row r="32090" spans="4:8" x14ac:dyDescent="0.25">
      <c r="D32090" s="28"/>
      <c r="F32090" s="28"/>
      <c r="H32090" s="28"/>
    </row>
    <row r="32091" spans="4:8" x14ac:dyDescent="0.25">
      <c r="D32091" s="28"/>
      <c r="F32091" s="28"/>
      <c r="H32091" s="28"/>
    </row>
    <row r="32092" spans="4:8" x14ac:dyDescent="0.25">
      <c r="D32092" s="28"/>
      <c r="F32092" s="28"/>
      <c r="H32092" s="28"/>
    </row>
    <row r="32093" spans="4:8" x14ac:dyDescent="0.25">
      <c r="D32093" s="28"/>
      <c r="F32093" s="28"/>
      <c r="H32093" s="28"/>
    </row>
    <row r="32094" spans="4:8" x14ac:dyDescent="0.25">
      <c r="D32094" s="28"/>
      <c r="F32094" s="28"/>
      <c r="H32094" s="28"/>
    </row>
    <row r="32095" spans="4:8" x14ac:dyDescent="0.25">
      <c r="D32095" s="28"/>
      <c r="F32095" s="28"/>
      <c r="H32095" s="28"/>
    </row>
    <row r="32096" spans="4:8" x14ac:dyDescent="0.25">
      <c r="D32096" s="28"/>
      <c r="F32096" s="28"/>
      <c r="H32096" s="28"/>
    </row>
    <row r="32097" spans="4:8" x14ac:dyDescent="0.25">
      <c r="D32097" s="28"/>
      <c r="F32097" s="28"/>
      <c r="H32097" s="28"/>
    </row>
    <row r="32098" spans="4:8" x14ac:dyDescent="0.25">
      <c r="D32098" s="28"/>
      <c r="F32098" s="28"/>
      <c r="H32098" s="28"/>
    </row>
    <row r="32099" spans="4:8" x14ac:dyDescent="0.25">
      <c r="D32099" s="28"/>
      <c r="F32099" s="28"/>
      <c r="H32099" s="28"/>
    </row>
    <row r="32100" spans="4:8" x14ac:dyDescent="0.25">
      <c r="D32100" s="28"/>
      <c r="F32100" s="28"/>
      <c r="H32100" s="28"/>
    </row>
    <row r="32101" spans="4:8" x14ac:dyDescent="0.25">
      <c r="D32101" s="28"/>
      <c r="F32101" s="28"/>
      <c r="H32101" s="28"/>
    </row>
    <row r="32102" spans="4:8" x14ac:dyDescent="0.25">
      <c r="D32102" s="28"/>
      <c r="F32102" s="28"/>
      <c r="H32102" s="28"/>
    </row>
    <row r="32103" spans="4:8" x14ac:dyDescent="0.25">
      <c r="D32103" s="28"/>
      <c r="F32103" s="28"/>
      <c r="H32103" s="28"/>
    </row>
    <row r="32104" spans="4:8" x14ac:dyDescent="0.25">
      <c r="D32104" s="28"/>
      <c r="F32104" s="28"/>
      <c r="H32104" s="28"/>
    </row>
    <row r="32105" spans="4:8" x14ac:dyDescent="0.25">
      <c r="D32105" s="28"/>
      <c r="F32105" s="28"/>
      <c r="H32105" s="28"/>
    </row>
    <row r="32106" spans="4:8" x14ac:dyDescent="0.25">
      <c r="D32106" s="28"/>
      <c r="F32106" s="28"/>
      <c r="H32106" s="28"/>
    </row>
    <row r="32107" spans="4:8" x14ac:dyDescent="0.25">
      <c r="D32107" s="28"/>
      <c r="F32107" s="28"/>
      <c r="H32107" s="28"/>
    </row>
    <row r="32108" spans="4:8" x14ac:dyDescent="0.25">
      <c r="D32108" s="28"/>
      <c r="F32108" s="28"/>
      <c r="H32108" s="28"/>
    </row>
    <row r="32109" spans="4:8" x14ac:dyDescent="0.25">
      <c r="D32109" s="28"/>
      <c r="F32109" s="28"/>
      <c r="H32109" s="28"/>
    </row>
    <row r="32110" spans="4:8" x14ac:dyDescent="0.25">
      <c r="D32110" s="28"/>
      <c r="F32110" s="28"/>
      <c r="H32110" s="28"/>
    </row>
    <row r="32111" spans="4:8" x14ac:dyDescent="0.25">
      <c r="D32111" s="28"/>
      <c r="F32111" s="28"/>
      <c r="H32111" s="28"/>
    </row>
    <row r="32112" spans="4:8" x14ac:dyDescent="0.25">
      <c r="D32112" s="28"/>
      <c r="F32112" s="28"/>
      <c r="H32112" s="28"/>
    </row>
    <row r="32113" spans="4:8" x14ac:dyDescent="0.25">
      <c r="D32113" s="28"/>
      <c r="F32113" s="28"/>
      <c r="H32113" s="28"/>
    </row>
    <row r="32114" spans="4:8" x14ac:dyDescent="0.25">
      <c r="D32114" s="28"/>
      <c r="F32114" s="28"/>
      <c r="H32114" s="28"/>
    </row>
    <row r="32115" spans="4:8" x14ac:dyDescent="0.25">
      <c r="D32115" s="28"/>
      <c r="F32115" s="28"/>
      <c r="H32115" s="28"/>
    </row>
    <row r="32116" spans="4:8" x14ac:dyDescent="0.25">
      <c r="D32116" s="28"/>
      <c r="F32116" s="28"/>
      <c r="H32116" s="28"/>
    </row>
    <row r="32117" spans="4:8" x14ac:dyDescent="0.25">
      <c r="D32117" s="28"/>
      <c r="F32117" s="28"/>
      <c r="H32117" s="28"/>
    </row>
    <row r="32118" spans="4:8" x14ac:dyDescent="0.25">
      <c r="D32118" s="28"/>
      <c r="F32118" s="28"/>
      <c r="H32118" s="28"/>
    </row>
    <row r="32119" spans="4:8" x14ac:dyDescent="0.25">
      <c r="D32119" s="28"/>
      <c r="F32119" s="28"/>
      <c r="H32119" s="28"/>
    </row>
    <row r="32120" spans="4:8" x14ac:dyDescent="0.25">
      <c r="D32120" s="28"/>
      <c r="F32120" s="28"/>
      <c r="H32120" s="28"/>
    </row>
    <row r="32121" spans="4:8" x14ac:dyDescent="0.25">
      <c r="D32121" s="28"/>
      <c r="F32121" s="28"/>
      <c r="H32121" s="28"/>
    </row>
    <row r="32122" spans="4:8" x14ac:dyDescent="0.25">
      <c r="D32122" s="28"/>
      <c r="F32122" s="28"/>
      <c r="H32122" s="28"/>
    </row>
    <row r="32123" spans="4:8" x14ac:dyDescent="0.25">
      <c r="D32123" s="28"/>
      <c r="F32123" s="28"/>
      <c r="H32123" s="28"/>
    </row>
    <row r="32124" spans="4:8" x14ac:dyDescent="0.25">
      <c r="D32124" s="28"/>
      <c r="F32124" s="28"/>
      <c r="H32124" s="28"/>
    </row>
    <row r="32125" spans="4:8" x14ac:dyDescent="0.25">
      <c r="D32125" s="28"/>
      <c r="F32125" s="28"/>
      <c r="H32125" s="28"/>
    </row>
    <row r="32126" spans="4:8" x14ac:dyDescent="0.25">
      <c r="D32126" s="28"/>
      <c r="F32126" s="28"/>
      <c r="H32126" s="28"/>
    </row>
    <row r="32127" spans="4:8" x14ac:dyDescent="0.25">
      <c r="D32127" s="28"/>
      <c r="F32127" s="28"/>
      <c r="H32127" s="28"/>
    </row>
    <row r="32128" spans="4:8" x14ac:dyDescent="0.25">
      <c r="D32128" s="28"/>
      <c r="F32128" s="28"/>
      <c r="H32128" s="28"/>
    </row>
    <row r="32129" spans="4:8" x14ac:dyDescent="0.25">
      <c r="D32129" s="28"/>
      <c r="F32129" s="28"/>
      <c r="H32129" s="28"/>
    </row>
    <row r="32130" spans="4:8" x14ac:dyDescent="0.25">
      <c r="D32130" s="28"/>
      <c r="F32130" s="28"/>
      <c r="H32130" s="28"/>
    </row>
    <row r="32131" spans="4:8" x14ac:dyDescent="0.25">
      <c r="D32131" s="28"/>
      <c r="F32131" s="28"/>
      <c r="H32131" s="28"/>
    </row>
    <row r="32132" spans="4:8" x14ac:dyDescent="0.25">
      <c r="D32132" s="28"/>
      <c r="F32132" s="28"/>
      <c r="H32132" s="28"/>
    </row>
    <row r="32133" spans="4:8" x14ac:dyDescent="0.25">
      <c r="D32133" s="28"/>
      <c r="F32133" s="28"/>
      <c r="H32133" s="28"/>
    </row>
    <row r="32134" spans="4:8" x14ac:dyDescent="0.25">
      <c r="D32134" s="28"/>
      <c r="F32134" s="28"/>
      <c r="H32134" s="28"/>
    </row>
    <row r="32135" spans="4:8" x14ac:dyDescent="0.25">
      <c r="D32135" s="28"/>
      <c r="F32135" s="28"/>
      <c r="H32135" s="28"/>
    </row>
    <row r="32136" spans="4:8" x14ac:dyDescent="0.25">
      <c r="D32136" s="28"/>
      <c r="F32136" s="28"/>
      <c r="H32136" s="28"/>
    </row>
    <row r="32137" spans="4:8" x14ac:dyDescent="0.25">
      <c r="D32137" s="28"/>
      <c r="F32137" s="28"/>
      <c r="H32137" s="28"/>
    </row>
    <row r="32138" spans="4:8" x14ac:dyDescent="0.25">
      <c r="D32138" s="28"/>
      <c r="F32138" s="28"/>
      <c r="H32138" s="28"/>
    </row>
    <row r="32139" spans="4:8" x14ac:dyDescent="0.25">
      <c r="D32139" s="28"/>
      <c r="F32139" s="28"/>
      <c r="H32139" s="28"/>
    </row>
    <row r="32140" spans="4:8" x14ac:dyDescent="0.25">
      <c r="D32140" s="28"/>
      <c r="F32140" s="28"/>
      <c r="H32140" s="28"/>
    </row>
    <row r="32141" spans="4:8" x14ac:dyDescent="0.25">
      <c r="D32141" s="28"/>
      <c r="F32141" s="28"/>
      <c r="H32141" s="28"/>
    </row>
    <row r="32142" spans="4:8" x14ac:dyDescent="0.25">
      <c r="D32142" s="28"/>
      <c r="F32142" s="28"/>
      <c r="H32142" s="28"/>
    </row>
    <row r="32143" spans="4:8" x14ac:dyDescent="0.25">
      <c r="D32143" s="28"/>
      <c r="F32143" s="28"/>
      <c r="H32143" s="28"/>
    </row>
    <row r="32144" spans="4:8" x14ac:dyDescent="0.25">
      <c r="D32144" s="28"/>
      <c r="F32144" s="28"/>
      <c r="H32144" s="28"/>
    </row>
    <row r="32145" spans="4:8" x14ac:dyDescent="0.25">
      <c r="D32145" s="28"/>
      <c r="F32145" s="28"/>
      <c r="H32145" s="28"/>
    </row>
    <row r="32146" spans="4:8" x14ac:dyDescent="0.25">
      <c r="D32146" s="28"/>
      <c r="F32146" s="28"/>
      <c r="H32146" s="28"/>
    </row>
    <row r="32147" spans="4:8" x14ac:dyDescent="0.25">
      <c r="D32147" s="28"/>
      <c r="F32147" s="28"/>
      <c r="H32147" s="28"/>
    </row>
    <row r="32148" spans="4:8" x14ac:dyDescent="0.25">
      <c r="D32148" s="28"/>
      <c r="F32148" s="28"/>
      <c r="H32148" s="28"/>
    </row>
    <row r="32149" spans="4:8" x14ac:dyDescent="0.25">
      <c r="D32149" s="28"/>
      <c r="F32149" s="28"/>
      <c r="H32149" s="28"/>
    </row>
    <row r="32150" spans="4:8" x14ac:dyDescent="0.25">
      <c r="D32150" s="28"/>
      <c r="F32150" s="28"/>
      <c r="H32150" s="28"/>
    </row>
    <row r="32151" spans="4:8" x14ac:dyDescent="0.25">
      <c r="D32151" s="28"/>
      <c r="F32151" s="28"/>
      <c r="H32151" s="28"/>
    </row>
    <row r="32152" spans="4:8" x14ac:dyDescent="0.25">
      <c r="D32152" s="28"/>
      <c r="F32152" s="28"/>
      <c r="H32152" s="28"/>
    </row>
    <row r="32153" spans="4:8" x14ac:dyDescent="0.25">
      <c r="D32153" s="28"/>
      <c r="F32153" s="28"/>
      <c r="H32153" s="28"/>
    </row>
    <row r="32154" spans="4:8" x14ac:dyDescent="0.25">
      <c r="D32154" s="28"/>
      <c r="F32154" s="28"/>
      <c r="H32154" s="28"/>
    </row>
    <row r="32155" spans="4:8" x14ac:dyDescent="0.25">
      <c r="D32155" s="28"/>
      <c r="F32155" s="28"/>
      <c r="H32155" s="28"/>
    </row>
    <row r="32156" spans="4:8" x14ac:dyDescent="0.25">
      <c r="D32156" s="28"/>
      <c r="F32156" s="28"/>
      <c r="H32156" s="28"/>
    </row>
    <row r="32157" spans="4:8" x14ac:dyDescent="0.25">
      <c r="D32157" s="28"/>
      <c r="F32157" s="28"/>
      <c r="H32157" s="28"/>
    </row>
    <row r="32158" spans="4:8" x14ac:dyDescent="0.25">
      <c r="D32158" s="28"/>
      <c r="F32158" s="28"/>
      <c r="H32158" s="28"/>
    </row>
    <row r="32159" spans="4:8" x14ac:dyDescent="0.25">
      <c r="D32159" s="28"/>
      <c r="F32159" s="28"/>
      <c r="H32159" s="28"/>
    </row>
    <row r="32160" spans="4:8" x14ac:dyDescent="0.25">
      <c r="D32160" s="28"/>
      <c r="F32160" s="28"/>
      <c r="H32160" s="28"/>
    </row>
    <row r="32161" spans="4:8" x14ac:dyDescent="0.25">
      <c r="D32161" s="28"/>
      <c r="F32161" s="28"/>
      <c r="H32161" s="28"/>
    </row>
    <row r="32162" spans="4:8" x14ac:dyDescent="0.25">
      <c r="D32162" s="28"/>
      <c r="F32162" s="28"/>
      <c r="H32162" s="28"/>
    </row>
    <row r="32163" spans="4:8" x14ac:dyDescent="0.25">
      <c r="D32163" s="28"/>
      <c r="F32163" s="28"/>
      <c r="H32163" s="28"/>
    </row>
    <row r="32164" spans="4:8" x14ac:dyDescent="0.25">
      <c r="D32164" s="28"/>
      <c r="F32164" s="28"/>
      <c r="H32164" s="28"/>
    </row>
    <row r="32165" spans="4:8" x14ac:dyDescent="0.25">
      <c r="D32165" s="28"/>
      <c r="F32165" s="28"/>
      <c r="H32165" s="28"/>
    </row>
    <row r="32166" spans="4:8" x14ac:dyDescent="0.25">
      <c r="D32166" s="28"/>
      <c r="F32166" s="28"/>
      <c r="H32166" s="28"/>
    </row>
    <row r="32167" spans="4:8" x14ac:dyDescent="0.25">
      <c r="D32167" s="28"/>
      <c r="F32167" s="28"/>
      <c r="H32167" s="28"/>
    </row>
    <row r="32168" spans="4:8" x14ac:dyDescent="0.25">
      <c r="D32168" s="28"/>
      <c r="F32168" s="28"/>
      <c r="H32168" s="28"/>
    </row>
    <row r="32169" spans="4:8" x14ac:dyDescent="0.25">
      <c r="D32169" s="28"/>
      <c r="F32169" s="28"/>
      <c r="H32169" s="28"/>
    </row>
    <row r="32170" spans="4:8" x14ac:dyDescent="0.25">
      <c r="D32170" s="28"/>
      <c r="F32170" s="28"/>
      <c r="H32170" s="28"/>
    </row>
    <row r="32171" spans="4:8" x14ac:dyDescent="0.25">
      <c r="D32171" s="28"/>
      <c r="F32171" s="28"/>
      <c r="H32171" s="28"/>
    </row>
    <row r="32172" spans="4:8" x14ac:dyDescent="0.25">
      <c r="D32172" s="28"/>
      <c r="F32172" s="28"/>
      <c r="H32172" s="28"/>
    </row>
    <row r="32173" spans="4:8" x14ac:dyDescent="0.25">
      <c r="D32173" s="28"/>
      <c r="F32173" s="28"/>
      <c r="H32173" s="28"/>
    </row>
    <row r="32174" spans="4:8" x14ac:dyDescent="0.25">
      <c r="D32174" s="28"/>
      <c r="F32174" s="28"/>
      <c r="H32174" s="28"/>
    </row>
    <row r="32175" spans="4:8" x14ac:dyDescent="0.25">
      <c r="D32175" s="28"/>
      <c r="F32175" s="28"/>
      <c r="H32175" s="28"/>
    </row>
    <row r="32176" spans="4:8" x14ac:dyDescent="0.25">
      <c r="D32176" s="28"/>
      <c r="F32176" s="28"/>
      <c r="H32176" s="28"/>
    </row>
    <row r="32177" spans="4:8" x14ac:dyDescent="0.25">
      <c r="D32177" s="28"/>
      <c r="F32177" s="28"/>
      <c r="H32177" s="28"/>
    </row>
    <row r="32178" spans="4:8" x14ac:dyDescent="0.25">
      <c r="D32178" s="28"/>
      <c r="F32178" s="28"/>
      <c r="H32178" s="28"/>
    </row>
    <row r="32179" spans="4:8" x14ac:dyDescent="0.25">
      <c r="D32179" s="28"/>
      <c r="F32179" s="28"/>
      <c r="H32179" s="28"/>
    </row>
    <row r="32180" spans="4:8" x14ac:dyDescent="0.25">
      <c r="D32180" s="28"/>
      <c r="F32180" s="28"/>
      <c r="H32180" s="28"/>
    </row>
    <row r="32181" spans="4:8" x14ac:dyDescent="0.25">
      <c r="D32181" s="28"/>
      <c r="F32181" s="28"/>
      <c r="H32181" s="28"/>
    </row>
    <row r="32182" spans="4:8" x14ac:dyDescent="0.25">
      <c r="D32182" s="28"/>
      <c r="F32182" s="28"/>
      <c r="H32182" s="28"/>
    </row>
    <row r="32183" spans="4:8" x14ac:dyDescent="0.25">
      <c r="D32183" s="28"/>
      <c r="F32183" s="28"/>
      <c r="H32183" s="28"/>
    </row>
    <row r="32184" spans="4:8" x14ac:dyDescent="0.25">
      <c r="D32184" s="28"/>
      <c r="F32184" s="28"/>
      <c r="H32184" s="28"/>
    </row>
    <row r="32185" spans="4:8" x14ac:dyDescent="0.25">
      <c r="D32185" s="28"/>
      <c r="F32185" s="28"/>
      <c r="H32185" s="28"/>
    </row>
    <row r="32186" spans="4:8" x14ac:dyDescent="0.25">
      <c r="D32186" s="28"/>
      <c r="F32186" s="28"/>
      <c r="H32186" s="28"/>
    </row>
    <row r="32187" spans="4:8" x14ac:dyDescent="0.25">
      <c r="D32187" s="28"/>
      <c r="F32187" s="28"/>
      <c r="H32187" s="28"/>
    </row>
    <row r="32188" spans="4:8" x14ac:dyDescent="0.25">
      <c r="D32188" s="28"/>
      <c r="F32188" s="28"/>
      <c r="H32188" s="28"/>
    </row>
    <row r="32189" spans="4:8" x14ac:dyDescent="0.25">
      <c r="D32189" s="28"/>
      <c r="F32189" s="28"/>
      <c r="H32189" s="28"/>
    </row>
    <row r="32190" spans="4:8" x14ac:dyDescent="0.25">
      <c r="D32190" s="28"/>
      <c r="F32190" s="28"/>
      <c r="H32190" s="28"/>
    </row>
    <row r="32191" spans="4:8" x14ac:dyDescent="0.25">
      <c r="D32191" s="28"/>
      <c r="F32191" s="28"/>
      <c r="H32191" s="28"/>
    </row>
    <row r="32192" spans="4:8" x14ac:dyDescent="0.25">
      <c r="D32192" s="28"/>
      <c r="F32192" s="28"/>
      <c r="H32192" s="28"/>
    </row>
    <row r="32193" spans="4:8" x14ac:dyDescent="0.25">
      <c r="D32193" s="28"/>
      <c r="F32193" s="28"/>
      <c r="H32193" s="28"/>
    </row>
    <row r="32194" spans="4:8" x14ac:dyDescent="0.25">
      <c r="D32194" s="28"/>
      <c r="F32194" s="28"/>
      <c r="H32194" s="28"/>
    </row>
    <row r="32195" spans="4:8" x14ac:dyDescent="0.25">
      <c r="D32195" s="28"/>
      <c r="F32195" s="28"/>
      <c r="H32195" s="28"/>
    </row>
    <row r="32196" spans="4:8" x14ac:dyDescent="0.25">
      <c r="D32196" s="28"/>
      <c r="F32196" s="28"/>
      <c r="H32196" s="28"/>
    </row>
    <row r="32197" spans="4:8" x14ac:dyDescent="0.25">
      <c r="D32197" s="28"/>
      <c r="F32197" s="28"/>
      <c r="H32197" s="28"/>
    </row>
    <row r="32198" spans="4:8" x14ac:dyDescent="0.25">
      <c r="D32198" s="28"/>
      <c r="F32198" s="28"/>
      <c r="H32198" s="28"/>
    </row>
    <row r="32199" spans="4:8" x14ac:dyDescent="0.25">
      <c r="D32199" s="28"/>
      <c r="F32199" s="28"/>
      <c r="H32199" s="28"/>
    </row>
    <row r="32200" spans="4:8" x14ac:dyDescent="0.25">
      <c r="D32200" s="28"/>
      <c r="F32200" s="28"/>
      <c r="H32200" s="28"/>
    </row>
    <row r="32201" spans="4:8" x14ac:dyDescent="0.25">
      <c r="D32201" s="28"/>
      <c r="F32201" s="28"/>
      <c r="H32201" s="28"/>
    </row>
    <row r="32202" spans="4:8" x14ac:dyDescent="0.25">
      <c r="D32202" s="28"/>
      <c r="F32202" s="28"/>
      <c r="H32202" s="28"/>
    </row>
    <row r="32203" spans="4:8" x14ac:dyDescent="0.25">
      <c r="D32203" s="28"/>
      <c r="F32203" s="28"/>
      <c r="H32203" s="28"/>
    </row>
    <row r="32204" spans="4:8" x14ac:dyDescent="0.25">
      <c r="D32204" s="28"/>
      <c r="F32204" s="28"/>
      <c r="H32204" s="28"/>
    </row>
    <row r="32205" spans="4:8" x14ac:dyDescent="0.25">
      <c r="D32205" s="28"/>
      <c r="F32205" s="28"/>
      <c r="H32205" s="28"/>
    </row>
    <row r="32206" spans="4:8" x14ac:dyDescent="0.25">
      <c r="D32206" s="28"/>
      <c r="F32206" s="28"/>
      <c r="H32206" s="28"/>
    </row>
    <row r="32207" spans="4:8" x14ac:dyDescent="0.25">
      <c r="D32207" s="28"/>
      <c r="F32207" s="28"/>
      <c r="H32207" s="28"/>
    </row>
    <row r="32208" spans="4:8" x14ac:dyDescent="0.25">
      <c r="D32208" s="28"/>
      <c r="F32208" s="28"/>
      <c r="H32208" s="28"/>
    </row>
    <row r="32209" spans="4:8" x14ac:dyDescent="0.25">
      <c r="D32209" s="28"/>
      <c r="F32209" s="28"/>
      <c r="H32209" s="28"/>
    </row>
    <row r="32210" spans="4:8" x14ac:dyDescent="0.25">
      <c r="D32210" s="28"/>
      <c r="F32210" s="28"/>
      <c r="H32210" s="28"/>
    </row>
    <row r="32211" spans="4:8" x14ac:dyDescent="0.25">
      <c r="D32211" s="28"/>
      <c r="F32211" s="28"/>
      <c r="H32211" s="28"/>
    </row>
    <row r="32212" spans="4:8" x14ac:dyDescent="0.25">
      <c r="D32212" s="28"/>
      <c r="F32212" s="28"/>
      <c r="H32212" s="28"/>
    </row>
    <row r="32213" spans="4:8" x14ac:dyDescent="0.25">
      <c r="D32213" s="28"/>
      <c r="F32213" s="28"/>
      <c r="H32213" s="28"/>
    </row>
    <row r="32214" spans="4:8" x14ac:dyDescent="0.25">
      <c r="D32214" s="28"/>
      <c r="F32214" s="28"/>
      <c r="H32214" s="28"/>
    </row>
    <row r="32215" spans="4:8" x14ac:dyDescent="0.25">
      <c r="D32215" s="28"/>
      <c r="F32215" s="28"/>
      <c r="H32215" s="28"/>
    </row>
    <row r="32216" spans="4:8" x14ac:dyDescent="0.25">
      <c r="D32216" s="28"/>
      <c r="F32216" s="28"/>
      <c r="H32216" s="28"/>
    </row>
    <row r="32217" spans="4:8" x14ac:dyDescent="0.25">
      <c r="D32217" s="28"/>
      <c r="F32217" s="28"/>
      <c r="H32217" s="28"/>
    </row>
    <row r="32218" spans="4:8" x14ac:dyDescent="0.25">
      <c r="D32218" s="28"/>
      <c r="F32218" s="28"/>
      <c r="H32218" s="28"/>
    </row>
    <row r="32219" spans="4:8" x14ac:dyDescent="0.25">
      <c r="D32219" s="28"/>
      <c r="F32219" s="28"/>
      <c r="H32219" s="28"/>
    </row>
    <row r="32220" spans="4:8" x14ac:dyDescent="0.25">
      <c r="D32220" s="28"/>
      <c r="F32220" s="28"/>
      <c r="H32220" s="28"/>
    </row>
    <row r="32221" spans="4:8" x14ac:dyDescent="0.25">
      <c r="D32221" s="28"/>
      <c r="F32221" s="28"/>
      <c r="H32221" s="28"/>
    </row>
    <row r="32222" spans="4:8" x14ac:dyDescent="0.25">
      <c r="D32222" s="28"/>
      <c r="F32222" s="28"/>
      <c r="H32222" s="28"/>
    </row>
    <row r="32223" spans="4:8" x14ac:dyDescent="0.25">
      <c r="D32223" s="28"/>
      <c r="F32223" s="28"/>
      <c r="H32223" s="28"/>
    </row>
    <row r="32224" spans="4:8" x14ac:dyDescent="0.25">
      <c r="D32224" s="28"/>
      <c r="F32224" s="28"/>
      <c r="H32224" s="28"/>
    </row>
    <row r="32225" spans="4:8" x14ac:dyDescent="0.25">
      <c r="D32225" s="28"/>
      <c r="F32225" s="28"/>
      <c r="H32225" s="28"/>
    </row>
    <row r="32226" spans="4:8" x14ac:dyDescent="0.25">
      <c r="D32226" s="28"/>
      <c r="F32226" s="28"/>
      <c r="H32226" s="28"/>
    </row>
    <row r="32227" spans="4:8" x14ac:dyDescent="0.25">
      <c r="D32227" s="28"/>
      <c r="F32227" s="28"/>
      <c r="H32227" s="28"/>
    </row>
    <row r="32228" spans="4:8" x14ac:dyDescent="0.25">
      <c r="D32228" s="28"/>
      <c r="F32228" s="28"/>
      <c r="H32228" s="28"/>
    </row>
    <row r="32229" spans="4:8" x14ac:dyDescent="0.25">
      <c r="D32229" s="28"/>
      <c r="F32229" s="28"/>
      <c r="H32229" s="28"/>
    </row>
    <row r="32230" spans="4:8" x14ac:dyDescent="0.25">
      <c r="D32230" s="28"/>
      <c r="F32230" s="28"/>
      <c r="H32230" s="28"/>
    </row>
    <row r="32231" spans="4:8" x14ac:dyDescent="0.25">
      <c r="D32231" s="28"/>
      <c r="F32231" s="28"/>
      <c r="H32231" s="28"/>
    </row>
    <row r="32232" spans="4:8" x14ac:dyDescent="0.25">
      <c r="D32232" s="28"/>
      <c r="F32232" s="28"/>
      <c r="H32232" s="28"/>
    </row>
    <row r="32233" spans="4:8" x14ac:dyDescent="0.25">
      <c r="D32233" s="28"/>
      <c r="F32233" s="28"/>
      <c r="H32233" s="28"/>
    </row>
    <row r="32234" spans="4:8" x14ac:dyDescent="0.25">
      <c r="D32234" s="28"/>
      <c r="F32234" s="28"/>
      <c r="H32234" s="28"/>
    </row>
    <row r="32235" spans="4:8" x14ac:dyDescent="0.25">
      <c r="D32235" s="28"/>
      <c r="F32235" s="28"/>
      <c r="H32235" s="28"/>
    </row>
    <row r="32236" spans="4:8" x14ac:dyDescent="0.25">
      <c r="D32236" s="28"/>
      <c r="F32236" s="28"/>
      <c r="H32236" s="28"/>
    </row>
    <row r="32237" spans="4:8" x14ac:dyDescent="0.25">
      <c r="D32237" s="28"/>
      <c r="F32237" s="28"/>
      <c r="H32237" s="28"/>
    </row>
    <row r="32238" spans="4:8" x14ac:dyDescent="0.25">
      <c r="D32238" s="28"/>
      <c r="F32238" s="28"/>
      <c r="H32238" s="28"/>
    </row>
    <row r="32239" spans="4:8" x14ac:dyDescent="0.25">
      <c r="D32239" s="28"/>
      <c r="F32239" s="28"/>
      <c r="H32239" s="28"/>
    </row>
    <row r="32240" spans="4:8" x14ac:dyDescent="0.25">
      <c r="D32240" s="28"/>
      <c r="F32240" s="28"/>
      <c r="H32240" s="28"/>
    </row>
    <row r="32241" spans="4:8" x14ac:dyDescent="0.25">
      <c r="D32241" s="28"/>
      <c r="F32241" s="28"/>
      <c r="H32241" s="28"/>
    </row>
    <row r="32242" spans="4:8" x14ac:dyDescent="0.25">
      <c r="D32242" s="28"/>
      <c r="F32242" s="28"/>
      <c r="H32242" s="28"/>
    </row>
    <row r="32243" spans="4:8" x14ac:dyDescent="0.25">
      <c r="D32243" s="28"/>
      <c r="F32243" s="28"/>
      <c r="H32243" s="28"/>
    </row>
    <row r="32244" spans="4:8" x14ac:dyDescent="0.25">
      <c r="D32244" s="28"/>
      <c r="F32244" s="28"/>
      <c r="H32244" s="28"/>
    </row>
    <row r="32245" spans="4:8" x14ac:dyDescent="0.25">
      <c r="D32245" s="28"/>
      <c r="F32245" s="28"/>
      <c r="H32245" s="28"/>
    </row>
    <row r="32246" spans="4:8" x14ac:dyDescent="0.25">
      <c r="D32246" s="28"/>
      <c r="F32246" s="28"/>
      <c r="H32246" s="28"/>
    </row>
    <row r="32247" spans="4:8" x14ac:dyDescent="0.25">
      <c r="D32247" s="28"/>
      <c r="F32247" s="28"/>
      <c r="H32247" s="28"/>
    </row>
    <row r="32248" spans="4:8" x14ac:dyDescent="0.25">
      <c r="D32248" s="28"/>
      <c r="F32248" s="28"/>
      <c r="H32248" s="28"/>
    </row>
    <row r="32249" spans="4:8" x14ac:dyDescent="0.25">
      <c r="D32249" s="28"/>
      <c r="F32249" s="28"/>
      <c r="H32249" s="28"/>
    </row>
    <row r="32250" spans="4:8" x14ac:dyDescent="0.25">
      <c r="D32250" s="28"/>
      <c r="F32250" s="28"/>
      <c r="H32250" s="28"/>
    </row>
    <row r="32251" spans="4:8" x14ac:dyDescent="0.25">
      <c r="D32251" s="28"/>
      <c r="F32251" s="28"/>
      <c r="H32251" s="28"/>
    </row>
    <row r="32252" spans="4:8" x14ac:dyDescent="0.25">
      <c r="D32252" s="28"/>
      <c r="F32252" s="28"/>
      <c r="H32252" s="28"/>
    </row>
    <row r="32253" spans="4:8" x14ac:dyDescent="0.25">
      <c r="D32253" s="28"/>
      <c r="F32253" s="28"/>
      <c r="H32253" s="28"/>
    </row>
    <row r="32254" spans="4:8" x14ac:dyDescent="0.25">
      <c r="D32254" s="28"/>
      <c r="F32254" s="28"/>
      <c r="H32254" s="28"/>
    </row>
    <row r="32255" spans="4:8" x14ac:dyDescent="0.25">
      <c r="D32255" s="28"/>
      <c r="F32255" s="28"/>
      <c r="H32255" s="28"/>
    </row>
    <row r="32256" spans="4:8" x14ac:dyDescent="0.25">
      <c r="D32256" s="28"/>
      <c r="F32256" s="28"/>
      <c r="H32256" s="28"/>
    </row>
    <row r="32257" spans="4:8" x14ac:dyDescent="0.25">
      <c r="D32257" s="28"/>
      <c r="F32257" s="28"/>
      <c r="H32257" s="28"/>
    </row>
    <row r="32258" spans="4:8" x14ac:dyDescent="0.25">
      <c r="D32258" s="28"/>
      <c r="F32258" s="28"/>
      <c r="H32258" s="28"/>
    </row>
    <row r="32259" spans="4:8" x14ac:dyDescent="0.25">
      <c r="D32259" s="28"/>
      <c r="F32259" s="28"/>
      <c r="H32259" s="28"/>
    </row>
    <row r="32260" spans="4:8" x14ac:dyDescent="0.25">
      <c r="D32260" s="28"/>
      <c r="F32260" s="28"/>
      <c r="H32260" s="28"/>
    </row>
    <row r="32261" spans="4:8" x14ac:dyDescent="0.25">
      <c r="D32261" s="28"/>
      <c r="F32261" s="28"/>
      <c r="H32261" s="28"/>
    </row>
    <row r="32262" spans="4:8" x14ac:dyDescent="0.25">
      <c r="D32262" s="28"/>
      <c r="F32262" s="28"/>
      <c r="H32262" s="28"/>
    </row>
    <row r="32263" spans="4:8" x14ac:dyDescent="0.25">
      <c r="D32263" s="28"/>
      <c r="F32263" s="28"/>
      <c r="H32263" s="28"/>
    </row>
    <row r="32264" spans="4:8" x14ac:dyDescent="0.25">
      <c r="D32264" s="28"/>
      <c r="F32264" s="28"/>
      <c r="H32264" s="28"/>
    </row>
    <row r="32265" spans="4:8" x14ac:dyDescent="0.25">
      <c r="D32265" s="28"/>
      <c r="F32265" s="28"/>
      <c r="H32265" s="28"/>
    </row>
    <row r="32266" spans="4:8" x14ac:dyDescent="0.25">
      <c r="D32266" s="28"/>
      <c r="F32266" s="28"/>
      <c r="H32266" s="28"/>
    </row>
    <row r="32267" spans="4:8" x14ac:dyDescent="0.25">
      <c r="D32267" s="28"/>
      <c r="F32267" s="28"/>
      <c r="H32267" s="28"/>
    </row>
    <row r="32268" spans="4:8" x14ac:dyDescent="0.25">
      <c r="D32268" s="28"/>
      <c r="F32268" s="28"/>
      <c r="H32268" s="28"/>
    </row>
    <row r="32269" spans="4:8" x14ac:dyDescent="0.25">
      <c r="D32269" s="28"/>
      <c r="F32269" s="28"/>
      <c r="H32269" s="28"/>
    </row>
    <row r="32270" spans="4:8" x14ac:dyDescent="0.25">
      <c r="D32270" s="28"/>
      <c r="F32270" s="28"/>
      <c r="H32270" s="28"/>
    </row>
    <row r="32271" spans="4:8" x14ac:dyDescent="0.25">
      <c r="D32271" s="28"/>
      <c r="F32271" s="28"/>
      <c r="H32271" s="28"/>
    </row>
    <row r="32272" spans="4:8" x14ac:dyDescent="0.25">
      <c r="D32272" s="28"/>
      <c r="F32272" s="28"/>
      <c r="H32272" s="28"/>
    </row>
    <row r="32273" spans="4:8" x14ac:dyDescent="0.25">
      <c r="D32273" s="28"/>
      <c r="F32273" s="28"/>
      <c r="H32273" s="28"/>
    </row>
    <row r="32274" spans="4:8" x14ac:dyDescent="0.25">
      <c r="D32274" s="28"/>
      <c r="F32274" s="28"/>
      <c r="H32274" s="28"/>
    </row>
    <row r="32275" spans="4:8" x14ac:dyDescent="0.25">
      <c r="D32275" s="28"/>
      <c r="F32275" s="28"/>
      <c r="H32275" s="28"/>
    </row>
    <row r="32276" spans="4:8" x14ac:dyDescent="0.25">
      <c r="D32276" s="28"/>
      <c r="F32276" s="28"/>
      <c r="H32276" s="28"/>
    </row>
    <row r="32277" spans="4:8" x14ac:dyDescent="0.25">
      <c r="D32277" s="28"/>
      <c r="F32277" s="28"/>
      <c r="H32277" s="28"/>
    </row>
    <row r="32278" spans="4:8" x14ac:dyDescent="0.25">
      <c r="D32278" s="28"/>
      <c r="F32278" s="28"/>
      <c r="H32278" s="28"/>
    </row>
    <row r="32279" spans="4:8" x14ac:dyDescent="0.25">
      <c r="D32279" s="28"/>
      <c r="F32279" s="28"/>
      <c r="H32279" s="28"/>
    </row>
    <row r="32280" spans="4:8" x14ac:dyDescent="0.25">
      <c r="D32280" s="28"/>
      <c r="F32280" s="28"/>
      <c r="H32280" s="28"/>
    </row>
    <row r="32281" spans="4:8" x14ac:dyDescent="0.25">
      <c r="D32281" s="28"/>
      <c r="F32281" s="28"/>
      <c r="H32281" s="28"/>
    </row>
    <row r="32282" spans="4:8" x14ac:dyDescent="0.25">
      <c r="D32282" s="28"/>
      <c r="F32282" s="28"/>
      <c r="H32282" s="28"/>
    </row>
    <row r="32283" spans="4:8" x14ac:dyDescent="0.25">
      <c r="D32283" s="28"/>
      <c r="F32283" s="28"/>
      <c r="H32283" s="28"/>
    </row>
    <row r="32284" spans="4:8" x14ac:dyDescent="0.25">
      <c r="D32284" s="28"/>
      <c r="F32284" s="28"/>
      <c r="H32284" s="28"/>
    </row>
    <row r="32285" spans="4:8" x14ac:dyDescent="0.25">
      <c r="D32285" s="28"/>
      <c r="F32285" s="28"/>
      <c r="H32285" s="28"/>
    </row>
    <row r="32286" spans="4:8" x14ac:dyDescent="0.25">
      <c r="D32286" s="28"/>
      <c r="F32286" s="28"/>
      <c r="H32286" s="28"/>
    </row>
    <row r="32287" spans="4:8" x14ac:dyDescent="0.25">
      <c r="D32287" s="28"/>
      <c r="F32287" s="28"/>
      <c r="H32287" s="28"/>
    </row>
    <row r="32288" spans="4:8" x14ac:dyDescent="0.25">
      <c r="D32288" s="28"/>
      <c r="F32288" s="28"/>
      <c r="H32288" s="28"/>
    </row>
    <row r="32289" spans="4:8" x14ac:dyDescent="0.25">
      <c r="D32289" s="28"/>
      <c r="F32289" s="28"/>
      <c r="H32289" s="28"/>
    </row>
    <row r="32290" spans="4:8" x14ac:dyDescent="0.25">
      <c r="D32290" s="28"/>
      <c r="F32290" s="28"/>
      <c r="H32290" s="28"/>
    </row>
    <row r="32291" spans="4:8" x14ac:dyDescent="0.25">
      <c r="D32291" s="28"/>
      <c r="F32291" s="28"/>
      <c r="H32291" s="28"/>
    </row>
    <row r="32292" spans="4:8" x14ac:dyDescent="0.25">
      <c r="D32292" s="28"/>
      <c r="F32292" s="28"/>
      <c r="H32292" s="28"/>
    </row>
    <row r="32293" spans="4:8" x14ac:dyDescent="0.25">
      <c r="D32293" s="28"/>
      <c r="F32293" s="28"/>
      <c r="H32293" s="28"/>
    </row>
    <row r="32294" spans="4:8" x14ac:dyDescent="0.25">
      <c r="D32294" s="28"/>
      <c r="F32294" s="28"/>
      <c r="H32294" s="28"/>
    </row>
    <row r="32295" spans="4:8" x14ac:dyDescent="0.25">
      <c r="D32295" s="28"/>
      <c r="F32295" s="28"/>
      <c r="H32295" s="28"/>
    </row>
    <row r="32296" spans="4:8" x14ac:dyDescent="0.25">
      <c r="D32296" s="28"/>
      <c r="F32296" s="28"/>
      <c r="H32296" s="28"/>
    </row>
    <row r="32297" spans="4:8" x14ac:dyDescent="0.25">
      <c r="D32297" s="28"/>
      <c r="F32297" s="28"/>
      <c r="H32297" s="28"/>
    </row>
    <row r="32298" spans="4:8" x14ac:dyDescent="0.25">
      <c r="D32298" s="28"/>
      <c r="F32298" s="28"/>
      <c r="H32298" s="28"/>
    </row>
    <row r="32299" spans="4:8" x14ac:dyDescent="0.25">
      <c r="D32299" s="28"/>
      <c r="F32299" s="28"/>
      <c r="H32299" s="28"/>
    </row>
    <row r="32300" spans="4:8" x14ac:dyDescent="0.25">
      <c r="D32300" s="28"/>
      <c r="F32300" s="28"/>
      <c r="H32300" s="28"/>
    </row>
    <row r="32301" spans="4:8" x14ac:dyDescent="0.25">
      <c r="D32301" s="28"/>
      <c r="F32301" s="28"/>
      <c r="H32301" s="28"/>
    </row>
    <row r="32302" spans="4:8" x14ac:dyDescent="0.25">
      <c r="D32302" s="28"/>
      <c r="F32302" s="28"/>
      <c r="H32302" s="28"/>
    </row>
    <row r="32303" spans="4:8" x14ac:dyDescent="0.25">
      <c r="D32303" s="28"/>
      <c r="F32303" s="28"/>
      <c r="H32303" s="28"/>
    </row>
    <row r="32304" spans="4:8" x14ac:dyDescent="0.25">
      <c r="D32304" s="28"/>
      <c r="F32304" s="28"/>
      <c r="H32304" s="28"/>
    </row>
    <row r="32305" spans="4:8" x14ac:dyDescent="0.25">
      <c r="D32305" s="28"/>
      <c r="F32305" s="28"/>
      <c r="H32305" s="28"/>
    </row>
    <row r="32306" spans="4:8" x14ac:dyDescent="0.25">
      <c r="D32306" s="28"/>
      <c r="F32306" s="28"/>
      <c r="H32306" s="28"/>
    </row>
    <row r="32307" spans="4:8" x14ac:dyDescent="0.25">
      <c r="D32307" s="28"/>
      <c r="F32307" s="28"/>
      <c r="H32307" s="28"/>
    </row>
    <row r="32308" spans="4:8" x14ac:dyDescent="0.25">
      <c r="D32308" s="28"/>
      <c r="F32308" s="28"/>
      <c r="H32308" s="28"/>
    </row>
    <row r="32309" spans="4:8" x14ac:dyDescent="0.25">
      <c r="D32309" s="28"/>
      <c r="F32309" s="28"/>
      <c r="H32309" s="28"/>
    </row>
    <row r="32310" spans="4:8" x14ac:dyDescent="0.25">
      <c r="D32310" s="28"/>
      <c r="F32310" s="28"/>
      <c r="H32310" s="28"/>
    </row>
    <row r="32311" spans="4:8" x14ac:dyDescent="0.25">
      <c r="D32311" s="28"/>
      <c r="F32311" s="28"/>
      <c r="H32311" s="28"/>
    </row>
    <row r="32312" spans="4:8" x14ac:dyDescent="0.25">
      <c r="D32312" s="28"/>
      <c r="F32312" s="28"/>
      <c r="H32312" s="28"/>
    </row>
    <row r="32313" spans="4:8" x14ac:dyDescent="0.25">
      <c r="D32313" s="28"/>
      <c r="F32313" s="28"/>
      <c r="H32313" s="28"/>
    </row>
    <row r="32314" spans="4:8" x14ac:dyDescent="0.25">
      <c r="D32314" s="28"/>
      <c r="F32314" s="28"/>
      <c r="H32314" s="28"/>
    </row>
    <row r="32315" spans="4:8" x14ac:dyDescent="0.25">
      <c r="D32315" s="28"/>
      <c r="F32315" s="28"/>
      <c r="H32315" s="28"/>
    </row>
    <row r="32316" spans="4:8" x14ac:dyDescent="0.25">
      <c r="D32316" s="28"/>
      <c r="F32316" s="28"/>
      <c r="H32316" s="28"/>
    </row>
    <row r="32317" spans="4:8" x14ac:dyDescent="0.25">
      <c r="D32317" s="28"/>
      <c r="F32317" s="28"/>
      <c r="H32317" s="28"/>
    </row>
    <row r="32318" spans="4:8" x14ac:dyDescent="0.25">
      <c r="D32318" s="28"/>
      <c r="F32318" s="28"/>
      <c r="H32318" s="28"/>
    </row>
    <row r="32319" spans="4:8" x14ac:dyDescent="0.25">
      <c r="D32319" s="28"/>
      <c r="F32319" s="28"/>
      <c r="H32319" s="28"/>
    </row>
    <row r="32320" spans="4:8" x14ac:dyDescent="0.25">
      <c r="D32320" s="28"/>
      <c r="F32320" s="28"/>
      <c r="H32320" s="28"/>
    </row>
    <row r="32321" spans="4:8" x14ac:dyDescent="0.25">
      <c r="D32321" s="28"/>
      <c r="F32321" s="28"/>
      <c r="H32321" s="28"/>
    </row>
    <row r="32322" spans="4:8" x14ac:dyDescent="0.25">
      <c r="D32322" s="28"/>
      <c r="F32322" s="28"/>
      <c r="H32322" s="28"/>
    </row>
    <row r="32323" spans="4:8" x14ac:dyDescent="0.25">
      <c r="D32323" s="28"/>
      <c r="F32323" s="28"/>
      <c r="H32323" s="28"/>
    </row>
    <row r="32324" spans="4:8" x14ac:dyDescent="0.25">
      <c r="D32324" s="28"/>
      <c r="F32324" s="28"/>
      <c r="H32324" s="28"/>
    </row>
    <row r="32325" spans="4:8" x14ac:dyDescent="0.25">
      <c r="D32325" s="28"/>
      <c r="F32325" s="28"/>
      <c r="H32325" s="28"/>
    </row>
    <row r="32326" spans="4:8" x14ac:dyDescent="0.25">
      <c r="D32326" s="28"/>
      <c r="F32326" s="28"/>
      <c r="H32326" s="28"/>
    </row>
    <row r="32327" spans="4:8" x14ac:dyDescent="0.25">
      <c r="D32327" s="28"/>
      <c r="F32327" s="28"/>
      <c r="H32327" s="28"/>
    </row>
    <row r="32328" spans="4:8" x14ac:dyDescent="0.25">
      <c r="D32328" s="28"/>
      <c r="F32328" s="28"/>
      <c r="H32328" s="28"/>
    </row>
    <row r="32329" spans="4:8" x14ac:dyDescent="0.25">
      <c r="D32329" s="28"/>
      <c r="F32329" s="28"/>
      <c r="H32329" s="28"/>
    </row>
    <row r="32330" spans="4:8" x14ac:dyDescent="0.25">
      <c r="D32330" s="28"/>
      <c r="F32330" s="28"/>
      <c r="H32330" s="28"/>
    </row>
    <row r="32331" spans="4:8" x14ac:dyDescent="0.25">
      <c r="D32331" s="28"/>
      <c r="F32331" s="28"/>
      <c r="H32331" s="28"/>
    </row>
    <row r="32332" spans="4:8" x14ac:dyDescent="0.25">
      <c r="D32332" s="28"/>
      <c r="F32332" s="28"/>
      <c r="H32332" s="28"/>
    </row>
    <row r="32333" spans="4:8" x14ac:dyDescent="0.25">
      <c r="D32333" s="28"/>
      <c r="F32333" s="28"/>
      <c r="H32333" s="28"/>
    </row>
    <row r="32334" spans="4:8" x14ac:dyDescent="0.25">
      <c r="D32334" s="28"/>
      <c r="F32334" s="28"/>
      <c r="H32334" s="28"/>
    </row>
    <row r="32335" spans="4:8" x14ac:dyDescent="0.25">
      <c r="D32335" s="28"/>
      <c r="F32335" s="28"/>
      <c r="H32335" s="28"/>
    </row>
    <row r="32336" spans="4:8" x14ac:dyDescent="0.25">
      <c r="D32336" s="28"/>
      <c r="F32336" s="28"/>
      <c r="H32336" s="28"/>
    </row>
    <row r="32337" spans="4:8" x14ac:dyDescent="0.25">
      <c r="D32337" s="28"/>
      <c r="F32337" s="28"/>
      <c r="H32337" s="28"/>
    </row>
    <row r="32338" spans="4:8" x14ac:dyDescent="0.25">
      <c r="D32338" s="28"/>
      <c r="F32338" s="28"/>
      <c r="H32338" s="28"/>
    </row>
    <row r="32339" spans="4:8" x14ac:dyDescent="0.25">
      <c r="D32339" s="28"/>
      <c r="F32339" s="28"/>
      <c r="H32339" s="28"/>
    </row>
    <row r="32340" spans="4:8" x14ac:dyDescent="0.25">
      <c r="D32340" s="28"/>
      <c r="F32340" s="28"/>
      <c r="H32340" s="28"/>
    </row>
    <row r="32341" spans="4:8" x14ac:dyDescent="0.25">
      <c r="D32341" s="28"/>
      <c r="F32341" s="28"/>
      <c r="H32341" s="28"/>
    </row>
    <row r="32342" spans="4:8" x14ac:dyDescent="0.25">
      <c r="D32342" s="28"/>
      <c r="F32342" s="28"/>
      <c r="H32342" s="28"/>
    </row>
    <row r="32343" spans="4:8" x14ac:dyDescent="0.25">
      <c r="D32343" s="28"/>
      <c r="F32343" s="28"/>
      <c r="H32343" s="28"/>
    </row>
    <row r="32344" spans="4:8" x14ac:dyDescent="0.25">
      <c r="D32344" s="28"/>
      <c r="F32344" s="28"/>
      <c r="H32344" s="28"/>
    </row>
    <row r="32345" spans="4:8" x14ac:dyDescent="0.25">
      <c r="D32345" s="28"/>
      <c r="F32345" s="28"/>
      <c r="H32345" s="28"/>
    </row>
    <row r="32346" spans="4:8" x14ac:dyDescent="0.25">
      <c r="D32346" s="28"/>
      <c r="F32346" s="28"/>
      <c r="H32346" s="28"/>
    </row>
    <row r="32347" spans="4:8" x14ac:dyDescent="0.25">
      <c r="D32347" s="28"/>
      <c r="F32347" s="28"/>
      <c r="H32347" s="28"/>
    </row>
    <row r="32348" spans="4:8" x14ac:dyDescent="0.25">
      <c r="D32348" s="28"/>
      <c r="F32348" s="28"/>
      <c r="H32348" s="28"/>
    </row>
    <row r="32349" spans="4:8" x14ac:dyDescent="0.25">
      <c r="D32349" s="28"/>
      <c r="F32349" s="28"/>
      <c r="H32349" s="28"/>
    </row>
    <row r="32350" spans="4:8" x14ac:dyDescent="0.25">
      <c r="D32350" s="28"/>
      <c r="F32350" s="28"/>
      <c r="H32350" s="28"/>
    </row>
    <row r="32351" spans="4:8" x14ac:dyDescent="0.25">
      <c r="D32351" s="28"/>
      <c r="F32351" s="28"/>
      <c r="H32351" s="28"/>
    </row>
    <row r="32352" spans="4:8" x14ac:dyDescent="0.25">
      <c r="D32352" s="28"/>
      <c r="F32352" s="28"/>
      <c r="H32352" s="28"/>
    </row>
    <row r="32353" spans="4:8" x14ac:dyDescent="0.25">
      <c r="D32353" s="28"/>
      <c r="F32353" s="28"/>
      <c r="H32353" s="28"/>
    </row>
    <row r="32354" spans="4:8" x14ac:dyDescent="0.25">
      <c r="D32354" s="28"/>
      <c r="F32354" s="28"/>
      <c r="H32354" s="28"/>
    </row>
    <row r="32355" spans="4:8" x14ac:dyDescent="0.25">
      <c r="D32355" s="28"/>
      <c r="F32355" s="28"/>
      <c r="H32355" s="28"/>
    </row>
    <row r="32356" spans="4:8" x14ac:dyDescent="0.25">
      <c r="D32356" s="28"/>
      <c r="F32356" s="28"/>
      <c r="H32356" s="28"/>
    </row>
    <row r="32357" spans="4:8" x14ac:dyDescent="0.25">
      <c r="D32357" s="28"/>
      <c r="F32357" s="28"/>
      <c r="H32357" s="28"/>
    </row>
    <row r="32358" spans="4:8" x14ac:dyDescent="0.25">
      <c r="D32358" s="28"/>
      <c r="F32358" s="28"/>
      <c r="H32358" s="28"/>
    </row>
    <row r="32359" spans="4:8" x14ac:dyDescent="0.25">
      <c r="D32359" s="28"/>
      <c r="F32359" s="28"/>
      <c r="H32359" s="28"/>
    </row>
    <row r="32360" spans="4:8" x14ac:dyDescent="0.25">
      <c r="D32360" s="28"/>
      <c r="F32360" s="28"/>
      <c r="H32360" s="28"/>
    </row>
    <row r="32361" spans="4:8" x14ac:dyDescent="0.25">
      <c r="D32361" s="28"/>
      <c r="F32361" s="28"/>
      <c r="H32361" s="28"/>
    </row>
    <row r="32362" spans="4:8" x14ac:dyDescent="0.25">
      <c r="D32362" s="28"/>
      <c r="F32362" s="28"/>
      <c r="H32362" s="28"/>
    </row>
    <row r="32363" spans="4:8" x14ac:dyDescent="0.25">
      <c r="D32363" s="28"/>
      <c r="F32363" s="28"/>
      <c r="H32363" s="28"/>
    </row>
    <row r="32364" spans="4:8" x14ac:dyDescent="0.25">
      <c r="D32364" s="28"/>
      <c r="F32364" s="28"/>
      <c r="H32364" s="28"/>
    </row>
    <row r="32365" spans="4:8" x14ac:dyDescent="0.25">
      <c r="D32365" s="28"/>
      <c r="F32365" s="28"/>
      <c r="H32365" s="28"/>
    </row>
    <row r="32366" spans="4:8" x14ac:dyDescent="0.25">
      <c r="D32366" s="28"/>
      <c r="F32366" s="28"/>
      <c r="H32366" s="28"/>
    </row>
    <row r="32367" spans="4:8" x14ac:dyDescent="0.25">
      <c r="D32367" s="28"/>
      <c r="F32367" s="28"/>
      <c r="H32367" s="28"/>
    </row>
    <row r="32368" spans="4:8" x14ac:dyDescent="0.25">
      <c r="D32368" s="28"/>
      <c r="F32368" s="28"/>
      <c r="H32368" s="28"/>
    </row>
    <row r="32369" spans="4:8" x14ac:dyDescent="0.25">
      <c r="D32369" s="28"/>
      <c r="F32369" s="28"/>
      <c r="H32369" s="28"/>
    </row>
    <row r="32370" spans="4:8" x14ac:dyDescent="0.25">
      <c r="D32370" s="28"/>
      <c r="F32370" s="28"/>
      <c r="H32370" s="28"/>
    </row>
    <row r="32371" spans="4:8" x14ac:dyDescent="0.25">
      <c r="D32371" s="28"/>
      <c r="F32371" s="28"/>
      <c r="H32371" s="28"/>
    </row>
    <row r="32372" spans="4:8" x14ac:dyDescent="0.25">
      <c r="D32372" s="28"/>
      <c r="F32372" s="28"/>
      <c r="H32372" s="28"/>
    </row>
    <row r="32373" spans="4:8" x14ac:dyDescent="0.25">
      <c r="D32373" s="28"/>
      <c r="F32373" s="28"/>
      <c r="H32373" s="28"/>
    </row>
    <row r="32374" spans="4:8" x14ac:dyDescent="0.25">
      <c r="D32374" s="28"/>
      <c r="F32374" s="28"/>
      <c r="H32374" s="28"/>
    </row>
    <row r="32375" spans="4:8" x14ac:dyDescent="0.25">
      <c r="D32375" s="28"/>
      <c r="F32375" s="28"/>
      <c r="H32375" s="28"/>
    </row>
    <row r="32376" spans="4:8" x14ac:dyDescent="0.25">
      <c r="D32376" s="28"/>
      <c r="F32376" s="28"/>
      <c r="H32376" s="28"/>
    </row>
    <row r="32377" spans="4:8" x14ac:dyDescent="0.25">
      <c r="D32377" s="28"/>
      <c r="F32377" s="28"/>
      <c r="H32377" s="28"/>
    </row>
    <row r="32378" spans="4:8" x14ac:dyDescent="0.25">
      <c r="D32378" s="28"/>
      <c r="F32378" s="28"/>
      <c r="H32378" s="28"/>
    </row>
    <row r="32379" spans="4:8" x14ac:dyDescent="0.25">
      <c r="D32379" s="28"/>
      <c r="F32379" s="28"/>
      <c r="H32379" s="28"/>
    </row>
    <row r="32380" spans="4:8" x14ac:dyDescent="0.25">
      <c r="D32380" s="28"/>
      <c r="F32380" s="28"/>
      <c r="H32380" s="28"/>
    </row>
    <row r="32381" spans="4:8" x14ac:dyDescent="0.25">
      <c r="D32381" s="28"/>
      <c r="F32381" s="28"/>
      <c r="H32381" s="28"/>
    </row>
    <row r="32382" spans="4:8" x14ac:dyDescent="0.25">
      <c r="D32382" s="28"/>
      <c r="F32382" s="28"/>
      <c r="H32382" s="28"/>
    </row>
    <row r="32383" spans="4:8" x14ac:dyDescent="0.25">
      <c r="D32383" s="28"/>
      <c r="F32383" s="28"/>
      <c r="H32383" s="28"/>
    </row>
    <row r="32384" spans="4:8" x14ac:dyDescent="0.25">
      <c r="D32384" s="28"/>
      <c r="F32384" s="28"/>
      <c r="H32384" s="28"/>
    </row>
    <row r="32385" spans="4:8" x14ac:dyDescent="0.25">
      <c r="D32385" s="28"/>
      <c r="F32385" s="28"/>
      <c r="H32385" s="28"/>
    </row>
    <row r="32386" spans="4:8" x14ac:dyDescent="0.25">
      <c r="D32386" s="28"/>
      <c r="F32386" s="28"/>
      <c r="H32386" s="28"/>
    </row>
    <row r="32387" spans="4:8" x14ac:dyDescent="0.25">
      <c r="D32387" s="28"/>
      <c r="F32387" s="28"/>
      <c r="H32387" s="28"/>
    </row>
    <row r="32388" spans="4:8" x14ac:dyDescent="0.25">
      <c r="D32388" s="28"/>
      <c r="F32388" s="28"/>
      <c r="H32388" s="28"/>
    </row>
    <row r="32389" spans="4:8" x14ac:dyDescent="0.25">
      <c r="D32389" s="28"/>
      <c r="F32389" s="28"/>
      <c r="H32389" s="28"/>
    </row>
    <row r="32390" spans="4:8" x14ac:dyDescent="0.25">
      <c r="D32390" s="28"/>
      <c r="F32390" s="28"/>
      <c r="H32390" s="28"/>
    </row>
    <row r="32391" spans="4:8" x14ac:dyDescent="0.25">
      <c r="D32391" s="28"/>
      <c r="F32391" s="28"/>
      <c r="H32391" s="28"/>
    </row>
    <row r="32392" spans="4:8" x14ac:dyDescent="0.25">
      <c r="D32392" s="28"/>
      <c r="F32392" s="28"/>
      <c r="H32392" s="28"/>
    </row>
    <row r="32393" spans="4:8" x14ac:dyDescent="0.25">
      <c r="D32393" s="28"/>
      <c r="F32393" s="28"/>
      <c r="H32393" s="28"/>
    </row>
    <row r="32394" spans="4:8" x14ac:dyDescent="0.25">
      <c r="D32394" s="28"/>
      <c r="F32394" s="28"/>
      <c r="H32394" s="28"/>
    </row>
    <row r="32395" spans="4:8" x14ac:dyDescent="0.25">
      <c r="D32395" s="28"/>
      <c r="F32395" s="28"/>
      <c r="H32395" s="28"/>
    </row>
    <row r="32396" spans="4:8" x14ac:dyDescent="0.25">
      <c r="D32396" s="28"/>
      <c r="F32396" s="28"/>
      <c r="H32396" s="28"/>
    </row>
    <row r="32397" spans="4:8" x14ac:dyDescent="0.25">
      <c r="D32397" s="28"/>
      <c r="F32397" s="28"/>
      <c r="H32397" s="28"/>
    </row>
    <row r="32398" spans="4:8" x14ac:dyDescent="0.25">
      <c r="D32398" s="28"/>
      <c r="F32398" s="28"/>
      <c r="H32398" s="28"/>
    </row>
    <row r="32399" spans="4:8" x14ac:dyDescent="0.25">
      <c r="D32399" s="28"/>
      <c r="F32399" s="28"/>
      <c r="H32399" s="28"/>
    </row>
    <row r="32400" spans="4:8" x14ac:dyDescent="0.25">
      <c r="D32400" s="28"/>
      <c r="F32400" s="28"/>
      <c r="H32400" s="28"/>
    </row>
    <row r="32401" spans="4:8" x14ac:dyDescent="0.25">
      <c r="D32401" s="28"/>
      <c r="F32401" s="28"/>
      <c r="H32401" s="28"/>
    </row>
    <row r="32402" spans="4:8" x14ac:dyDescent="0.25">
      <c r="D32402" s="28"/>
      <c r="F32402" s="28"/>
      <c r="H32402" s="28"/>
    </row>
    <row r="32403" spans="4:8" x14ac:dyDescent="0.25">
      <c r="D32403" s="28"/>
      <c r="F32403" s="28"/>
      <c r="H32403" s="28"/>
    </row>
    <row r="32404" spans="4:8" x14ac:dyDescent="0.25">
      <c r="D32404" s="28"/>
      <c r="F32404" s="28"/>
      <c r="H32404" s="28"/>
    </row>
    <row r="32405" spans="4:8" x14ac:dyDescent="0.25">
      <c r="D32405" s="28"/>
      <c r="F32405" s="28"/>
      <c r="H32405" s="28"/>
    </row>
    <row r="32406" spans="4:8" x14ac:dyDescent="0.25">
      <c r="D32406" s="28"/>
      <c r="F32406" s="28"/>
      <c r="H32406" s="28"/>
    </row>
    <row r="32407" spans="4:8" x14ac:dyDescent="0.25">
      <c r="D32407" s="28"/>
      <c r="F32407" s="28"/>
      <c r="H32407" s="28"/>
    </row>
    <row r="32408" spans="4:8" x14ac:dyDescent="0.25">
      <c r="D32408" s="28"/>
      <c r="F32408" s="28"/>
      <c r="H32408" s="28"/>
    </row>
    <row r="32409" spans="4:8" x14ac:dyDescent="0.25">
      <c r="D32409" s="28"/>
      <c r="F32409" s="28"/>
      <c r="H32409" s="28"/>
    </row>
    <row r="32410" spans="4:8" x14ac:dyDescent="0.25">
      <c r="D32410" s="28"/>
      <c r="F32410" s="28"/>
      <c r="H32410" s="28"/>
    </row>
    <row r="32411" spans="4:8" x14ac:dyDescent="0.25">
      <c r="D32411" s="28"/>
      <c r="F32411" s="28"/>
      <c r="H32411" s="28"/>
    </row>
    <row r="32412" spans="4:8" x14ac:dyDescent="0.25">
      <c r="D32412" s="28"/>
      <c r="F32412" s="28"/>
      <c r="H32412" s="28"/>
    </row>
    <row r="32413" spans="4:8" x14ac:dyDescent="0.25">
      <c r="D32413" s="28"/>
      <c r="F32413" s="28"/>
      <c r="H32413" s="28"/>
    </row>
    <row r="32414" spans="4:8" x14ac:dyDescent="0.25">
      <c r="D32414" s="28"/>
      <c r="F32414" s="28"/>
      <c r="H32414" s="28"/>
    </row>
    <row r="32415" spans="4:8" x14ac:dyDescent="0.25">
      <c r="D32415" s="28"/>
      <c r="F32415" s="28"/>
      <c r="H32415" s="28"/>
    </row>
    <row r="32416" spans="4:8" x14ac:dyDescent="0.25">
      <c r="D32416" s="28"/>
      <c r="F32416" s="28"/>
      <c r="H32416" s="28"/>
    </row>
    <row r="32417" spans="4:8" x14ac:dyDescent="0.25">
      <c r="D32417" s="28"/>
      <c r="F32417" s="28"/>
      <c r="H32417" s="28"/>
    </row>
    <row r="32418" spans="4:8" x14ac:dyDescent="0.25">
      <c r="D32418" s="28"/>
      <c r="F32418" s="28"/>
      <c r="H32418" s="28"/>
    </row>
    <row r="32419" spans="4:8" x14ac:dyDescent="0.25">
      <c r="D32419" s="28"/>
      <c r="F32419" s="28"/>
      <c r="H32419" s="28"/>
    </row>
    <row r="32420" spans="4:8" x14ac:dyDescent="0.25">
      <c r="D32420" s="28"/>
      <c r="F32420" s="28"/>
      <c r="H32420" s="28"/>
    </row>
    <row r="32421" spans="4:8" x14ac:dyDescent="0.25">
      <c r="D32421" s="28"/>
      <c r="F32421" s="28"/>
      <c r="H32421" s="28"/>
    </row>
    <row r="32422" spans="4:8" x14ac:dyDescent="0.25">
      <c r="D32422" s="28"/>
      <c r="F32422" s="28"/>
      <c r="H32422" s="28"/>
    </row>
    <row r="32423" spans="4:8" x14ac:dyDescent="0.25">
      <c r="D32423" s="28"/>
      <c r="F32423" s="28"/>
      <c r="H32423" s="28"/>
    </row>
    <row r="32424" spans="4:8" x14ac:dyDescent="0.25">
      <c r="D32424" s="28"/>
      <c r="F32424" s="28"/>
      <c r="H32424" s="28"/>
    </row>
    <row r="32425" spans="4:8" x14ac:dyDescent="0.25">
      <c r="D32425" s="28"/>
      <c r="F32425" s="28"/>
      <c r="H32425" s="28"/>
    </row>
    <row r="32426" spans="4:8" x14ac:dyDescent="0.25">
      <c r="D32426" s="28"/>
      <c r="F32426" s="28"/>
      <c r="H32426" s="28"/>
    </row>
    <row r="32427" spans="4:8" x14ac:dyDescent="0.25">
      <c r="D32427" s="28"/>
      <c r="F32427" s="28"/>
      <c r="H32427" s="28"/>
    </row>
    <row r="32428" spans="4:8" x14ac:dyDescent="0.25">
      <c r="D32428" s="28"/>
      <c r="F32428" s="28"/>
      <c r="H32428" s="28"/>
    </row>
    <row r="32429" spans="4:8" x14ac:dyDescent="0.25">
      <c r="D32429" s="28"/>
      <c r="F32429" s="28"/>
      <c r="H32429" s="28"/>
    </row>
    <row r="32430" spans="4:8" x14ac:dyDescent="0.25">
      <c r="D32430" s="28"/>
      <c r="F32430" s="28"/>
      <c r="H32430" s="28"/>
    </row>
    <row r="32431" spans="4:8" x14ac:dyDescent="0.25">
      <c r="D32431" s="28"/>
      <c r="F32431" s="28"/>
      <c r="H32431" s="28"/>
    </row>
    <row r="32432" spans="4:8" x14ac:dyDescent="0.25">
      <c r="D32432" s="28"/>
      <c r="F32432" s="28"/>
      <c r="H32432" s="28"/>
    </row>
    <row r="32433" spans="4:8" x14ac:dyDescent="0.25">
      <c r="D32433" s="28"/>
      <c r="F32433" s="28"/>
      <c r="H32433" s="28"/>
    </row>
    <row r="32434" spans="4:8" x14ac:dyDescent="0.25">
      <c r="D32434" s="28"/>
      <c r="F32434" s="28"/>
      <c r="H32434" s="28"/>
    </row>
    <row r="32435" spans="4:8" x14ac:dyDescent="0.25">
      <c r="D32435" s="28"/>
      <c r="F32435" s="28"/>
      <c r="H32435" s="28"/>
    </row>
    <row r="32436" spans="4:8" x14ac:dyDescent="0.25">
      <c r="D32436" s="28"/>
      <c r="F32436" s="28"/>
      <c r="H32436" s="28"/>
    </row>
    <row r="32437" spans="4:8" x14ac:dyDescent="0.25">
      <c r="D32437" s="28"/>
      <c r="F32437" s="28"/>
      <c r="H32437" s="28"/>
    </row>
    <row r="32438" spans="4:8" x14ac:dyDescent="0.25">
      <c r="D32438" s="28"/>
      <c r="F32438" s="28"/>
      <c r="H32438" s="28"/>
    </row>
    <row r="32439" spans="4:8" x14ac:dyDescent="0.25">
      <c r="D32439" s="28"/>
      <c r="F32439" s="28"/>
      <c r="H32439" s="28"/>
    </row>
    <row r="32440" spans="4:8" x14ac:dyDescent="0.25">
      <c r="D32440" s="28"/>
      <c r="F32440" s="28"/>
      <c r="H32440" s="28"/>
    </row>
    <row r="32441" spans="4:8" x14ac:dyDescent="0.25">
      <c r="D32441" s="28"/>
      <c r="F32441" s="28"/>
      <c r="H32441" s="28"/>
    </row>
    <row r="32442" spans="4:8" x14ac:dyDescent="0.25">
      <c r="D32442" s="28"/>
      <c r="F32442" s="28"/>
      <c r="H32442" s="28"/>
    </row>
    <row r="32443" spans="4:8" x14ac:dyDescent="0.25">
      <c r="D32443" s="28"/>
      <c r="F32443" s="28"/>
      <c r="H32443" s="28"/>
    </row>
    <row r="32444" spans="4:8" x14ac:dyDescent="0.25">
      <c r="D32444" s="28"/>
      <c r="F32444" s="28"/>
      <c r="H32444" s="28"/>
    </row>
    <row r="32445" spans="4:8" x14ac:dyDescent="0.25">
      <c r="D32445" s="28"/>
      <c r="F32445" s="28"/>
      <c r="H32445" s="28"/>
    </row>
    <row r="32446" spans="4:8" x14ac:dyDescent="0.25">
      <c r="D32446" s="28"/>
      <c r="F32446" s="28"/>
      <c r="H32446" s="28"/>
    </row>
    <row r="32447" spans="4:8" x14ac:dyDescent="0.25">
      <c r="D32447" s="28"/>
      <c r="F32447" s="28"/>
      <c r="H32447" s="28"/>
    </row>
    <row r="32448" spans="4:8" x14ac:dyDescent="0.25">
      <c r="D32448" s="28"/>
      <c r="F32448" s="28"/>
      <c r="H32448" s="28"/>
    </row>
    <row r="32449" spans="4:8" x14ac:dyDescent="0.25">
      <c r="D32449" s="28"/>
      <c r="F32449" s="28"/>
      <c r="H32449" s="28"/>
    </row>
    <row r="32450" spans="4:8" x14ac:dyDescent="0.25">
      <c r="D32450" s="28"/>
      <c r="F32450" s="28"/>
      <c r="H32450" s="28"/>
    </row>
    <row r="32451" spans="4:8" x14ac:dyDescent="0.25">
      <c r="D32451" s="28"/>
      <c r="F32451" s="28"/>
      <c r="H32451" s="28"/>
    </row>
    <row r="32452" spans="4:8" x14ac:dyDescent="0.25">
      <c r="D32452" s="28"/>
      <c r="F32452" s="28"/>
      <c r="H32452" s="28"/>
    </row>
    <row r="32453" spans="4:8" x14ac:dyDescent="0.25">
      <c r="D32453" s="28"/>
      <c r="F32453" s="28"/>
      <c r="H32453" s="28"/>
    </row>
    <row r="32454" spans="4:8" x14ac:dyDescent="0.25">
      <c r="D32454" s="28"/>
      <c r="F32454" s="28"/>
      <c r="H32454" s="28"/>
    </row>
    <row r="32455" spans="4:8" x14ac:dyDescent="0.25">
      <c r="D32455" s="28"/>
      <c r="F32455" s="28"/>
      <c r="H32455" s="28"/>
    </row>
    <row r="32456" spans="4:8" x14ac:dyDescent="0.25">
      <c r="D32456" s="28"/>
      <c r="F32456" s="28"/>
      <c r="H32456" s="28"/>
    </row>
    <row r="32457" spans="4:8" x14ac:dyDescent="0.25">
      <c r="D32457" s="28"/>
      <c r="F32457" s="28"/>
      <c r="H32457" s="28"/>
    </row>
    <row r="32458" spans="4:8" x14ac:dyDescent="0.25">
      <c r="D32458" s="28"/>
      <c r="F32458" s="28"/>
      <c r="H32458" s="28"/>
    </row>
    <row r="32459" spans="4:8" x14ac:dyDescent="0.25">
      <c r="D32459" s="28"/>
      <c r="F32459" s="28"/>
      <c r="H32459" s="28"/>
    </row>
    <row r="32460" spans="4:8" x14ac:dyDescent="0.25">
      <c r="D32460" s="28"/>
      <c r="F32460" s="28"/>
      <c r="H32460" s="28"/>
    </row>
    <row r="32461" spans="4:8" x14ac:dyDescent="0.25">
      <c r="D32461" s="28"/>
      <c r="F32461" s="28"/>
      <c r="H32461" s="28"/>
    </row>
    <row r="32462" spans="4:8" x14ac:dyDescent="0.25">
      <c r="D32462" s="28"/>
      <c r="F32462" s="28"/>
      <c r="H32462" s="28"/>
    </row>
    <row r="32463" spans="4:8" x14ac:dyDescent="0.25">
      <c r="D32463" s="28"/>
      <c r="F32463" s="28"/>
      <c r="H32463" s="28"/>
    </row>
    <row r="32464" spans="4:8" x14ac:dyDescent="0.25">
      <c r="D32464" s="28"/>
      <c r="F32464" s="28"/>
      <c r="H32464" s="28"/>
    </row>
    <row r="32465" spans="4:8" x14ac:dyDescent="0.25">
      <c r="D32465" s="28"/>
      <c r="F32465" s="28"/>
      <c r="H32465" s="28"/>
    </row>
    <row r="32466" spans="4:8" x14ac:dyDescent="0.25">
      <c r="D32466" s="28"/>
      <c r="F32466" s="28"/>
      <c r="H32466" s="28"/>
    </row>
    <row r="32467" spans="4:8" x14ac:dyDescent="0.25">
      <c r="D32467" s="28"/>
      <c r="F32467" s="28"/>
      <c r="H32467" s="28"/>
    </row>
    <row r="32468" spans="4:8" x14ac:dyDescent="0.25">
      <c r="D32468" s="28"/>
      <c r="F32468" s="28"/>
      <c r="H32468" s="28"/>
    </row>
    <row r="32469" spans="4:8" x14ac:dyDescent="0.25">
      <c r="D32469" s="28"/>
      <c r="F32469" s="28"/>
      <c r="H32469" s="28"/>
    </row>
    <row r="32470" spans="4:8" x14ac:dyDescent="0.25">
      <c r="D32470" s="28"/>
      <c r="F32470" s="28"/>
      <c r="H32470" s="28"/>
    </row>
    <row r="32471" spans="4:8" x14ac:dyDescent="0.25">
      <c r="D32471" s="28"/>
      <c r="F32471" s="28"/>
      <c r="H32471" s="28"/>
    </row>
    <row r="32472" spans="4:8" x14ac:dyDescent="0.25">
      <c r="D32472" s="28"/>
      <c r="F32472" s="28"/>
      <c r="H32472" s="28"/>
    </row>
    <row r="32473" spans="4:8" x14ac:dyDescent="0.25">
      <c r="D32473" s="28"/>
      <c r="F32473" s="28"/>
      <c r="H32473" s="28"/>
    </row>
    <row r="32474" spans="4:8" x14ac:dyDescent="0.25">
      <c r="D32474" s="28"/>
      <c r="F32474" s="28"/>
      <c r="H32474" s="28"/>
    </row>
    <row r="32475" spans="4:8" x14ac:dyDescent="0.25">
      <c r="D32475" s="28"/>
      <c r="F32475" s="28"/>
      <c r="H32475" s="28"/>
    </row>
    <row r="32476" spans="4:8" x14ac:dyDescent="0.25">
      <c r="D32476" s="28"/>
      <c r="F32476" s="28"/>
      <c r="H32476" s="28"/>
    </row>
    <row r="32477" spans="4:8" x14ac:dyDescent="0.25">
      <c r="D32477" s="28"/>
      <c r="F32477" s="28"/>
      <c r="H32477" s="28"/>
    </row>
    <row r="32478" spans="4:8" x14ac:dyDescent="0.25">
      <c r="D32478" s="28"/>
      <c r="F32478" s="28"/>
      <c r="H32478" s="28"/>
    </row>
    <row r="32479" spans="4:8" x14ac:dyDescent="0.25">
      <c r="D32479" s="28"/>
      <c r="F32479" s="28"/>
      <c r="H32479" s="28"/>
    </row>
    <row r="32480" spans="4:8" x14ac:dyDescent="0.25">
      <c r="D32480" s="28"/>
      <c r="F32480" s="28"/>
      <c r="H32480" s="28"/>
    </row>
    <row r="32481" spans="4:8" x14ac:dyDescent="0.25">
      <c r="D32481" s="28"/>
      <c r="F32481" s="28"/>
      <c r="H32481" s="28"/>
    </row>
    <row r="32482" spans="4:8" x14ac:dyDescent="0.25">
      <c r="D32482" s="28"/>
      <c r="F32482" s="28"/>
      <c r="H32482" s="28"/>
    </row>
    <row r="32483" spans="4:8" x14ac:dyDescent="0.25">
      <c r="D32483" s="28"/>
      <c r="F32483" s="28"/>
      <c r="H32483" s="28"/>
    </row>
    <row r="32484" spans="4:8" x14ac:dyDescent="0.25">
      <c r="D32484" s="28"/>
      <c r="F32484" s="28"/>
      <c r="H32484" s="28"/>
    </row>
    <row r="32485" spans="4:8" x14ac:dyDescent="0.25">
      <c r="D32485" s="28"/>
      <c r="F32485" s="28"/>
      <c r="H32485" s="28"/>
    </row>
    <row r="32486" spans="4:8" x14ac:dyDescent="0.25">
      <c r="D32486" s="28"/>
      <c r="F32486" s="28"/>
      <c r="H32486" s="28"/>
    </row>
    <row r="32487" spans="4:8" x14ac:dyDescent="0.25">
      <c r="D32487" s="28"/>
      <c r="F32487" s="28"/>
      <c r="H32487" s="28"/>
    </row>
    <row r="32488" spans="4:8" x14ac:dyDescent="0.25">
      <c r="D32488" s="28"/>
      <c r="F32488" s="28"/>
      <c r="H32488" s="28"/>
    </row>
    <row r="32489" spans="4:8" x14ac:dyDescent="0.25">
      <c r="D32489" s="28"/>
      <c r="F32489" s="28"/>
      <c r="H32489" s="28"/>
    </row>
    <row r="32490" spans="4:8" x14ac:dyDescent="0.25">
      <c r="D32490" s="28"/>
      <c r="F32490" s="28"/>
      <c r="H32490" s="28"/>
    </row>
    <row r="32491" spans="4:8" x14ac:dyDescent="0.25">
      <c r="D32491" s="28"/>
      <c r="F32491" s="28"/>
      <c r="H32491" s="28"/>
    </row>
    <row r="32492" spans="4:8" x14ac:dyDescent="0.25">
      <c r="D32492" s="28"/>
      <c r="F32492" s="28"/>
      <c r="H32492" s="28"/>
    </row>
    <row r="32493" spans="4:8" x14ac:dyDescent="0.25">
      <c r="D32493" s="28"/>
      <c r="F32493" s="28"/>
      <c r="H32493" s="28"/>
    </row>
    <row r="32494" spans="4:8" x14ac:dyDescent="0.25">
      <c r="D32494" s="28"/>
      <c r="F32494" s="28"/>
      <c r="H32494" s="28"/>
    </row>
    <row r="32495" spans="4:8" x14ac:dyDescent="0.25">
      <c r="D32495" s="28"/>
      <c r="F32495" s="28"/>
      <c r="H32495" s="28"/>
    </row>
    <row r="32496" spans="4:8" x14ac:dyDescent="0.25">
      <c r="D32496" s="28"/>
      <c r="F32496" s="28"/>
      <c r="H32496" s="28"/>
    </row>
    <row r="32497" spans="4:8" x14ac:dyDescent="0.25">
      <c r="D32497" s="28"/>
      <c r="F32497" s="28"/>
      <c r="H32497" s="28"/>
    </row>
    <row r="32498" spans="4:8" x14ac:dyDescent="0.25">
      <c r="D32498" s="28"/>
      <c r="F32498" s="28"/>
      <c r="H32498" s="28"/>
    </row>
    <row r="32499" spans="4:8" x14ac:dyDescent="0.25">
      <c r="D32499" s="28"/>
      <c r="F32499" s="28"/>
      <c r="H32499" s="28"/>
    </row>
    <row r="32500" spans="4:8" x14ac:dyDescent="0.25">
      <c r="D32500" s="28"/>
      <c r="F32500" s="28"/>
      <c r="H32500" s="28"/>
    </row>
    <row r="32501" spans="4:8" x14ac:dyDescent="0.25">
      <c r="D32501" s="28"/>
      <c r="F32501" s="28"/>
      <c r="H32501" s="28"/>
    </row>
    <row r="32502" spans="4:8" x14ac:dyDescent="0.25">
      <c r="D32502" s="28"/>
      <c r="F32502" s="28"/>
      <c r="H32502" s="28"/>
    </row>
    <row r="32503" spans="4:8" x14ac:dyDescent="0.25">
      <c r="D32503" s="28"/>
      <c r="F32503" s="28"/>
      <c r="H32503" s="28"/>
    </row>
    <row r="32504" spans="4:8" x14ac:dyDescent="0.25">
      <c r="D32504" s="28"/>
      <c r="F32504" s="28"/>
      <c r="H32504" s="28"/>
    </row>
    <row r="32505" spans="4:8" x14ac:dyDescent="0.25">
      <c r="D32505" s="28"/>
      <c r="F32505" s="28"/>
      <c r="H32505" s="28"/>
    </row>
    <row r="32506" spans="4:8" x14ac:dyDescent="0.25">
      <c r="D32506" s="28"/>
      <c r="F32506" s="28"/>
      <c r="H32506" s="28"/>
    </row>
    <row r="32507" spans="4:8" x14ac:dyDescent="0.25">
      <c r="D32507" s="28"/>
      <c r="F32507" s="28"/>
      <c r="H32507" s="28"/>
    </row>
    <row r="32508" spans="4:8" x14ac:dyDescent="0.25">
      <c r="D32508" s="28"/>
      <c r="F32508" s="28"/>
      <c r="H32508" s="28"/>
    </row>
    <row r="32509" spans="4:8" x14ac:dyDescent="0.25">
      <c r="D32509" s="28"/>
      <c r="F32509" s="28"/>
      <c r="H32509" s="28"/>
    </row>
    <row r="32510" spans="4:8" x14ac:dyDescent="0.25">
      <c r="D32510" s="28"/>
      <c r="F32510" s="28"/>
      <c r="H32510" s="28"/>
    </row>
    <row r="32511" spans="4:8" x14ac:dyDescent="0.25">
      <c r="D32511" s="28"/>
      <c r="F32511" s="28"/>
      <c r="H32511" s="28"/>
    </row>
    <row r="32512" spans="4:8" x14ac:dyDescent="0.25">
      <c r="D32512" s="28"/>
      <c r="F32512" s="28"/>
      <c r="H32512" s="28"/>
    </row>
    <row r="32513" spans="4:8" x14ac:dyDescent="0.25">
      <c r="D32513" s="28"/>
      <c r="F32513" s="28"/>
      <c r="H32513" s="28"/>
    </row>
    <row r="32514" spans="4:8" x14ac:dyDescent="0.25">
      <c r="D32514" s="28"/>
      <c r="F32514" s="28"/>
      <c r="H32514" s="28"/>
    </row>
    <row r="32515" spans="4:8" x14ac:dyDescent="0.25">
      <c r="D32515" s="28"/>
      <c r="F32515" s="28"/>
      <c r="H32515" s="28"/>
    </row>
    <row r="32516" spans="4:8" x14ac:dyDescent="0.25">
      <c r="D32516" s="28"/>
      <c r="F32516" s="28"/>
      <c r="H32516" s="28"/>
    </row>
    <row r="32517" spans="4:8" x14ac:dyDescent="0.25">
      <c r="D32517" s="28"/>
      <c r="F32517" s="28"/>
      <c r="H32517" s="28"/>
    </row>
    <row r="32518" spans="4:8" x14ac:dyDescent="0.25">
      <c r="D32518" s="28"/>
      <c r="F32518" s="28"/>
      <c r="H32518" s="28"/>
    </row>
    <row r="32519" spans="4:8" x14ac:dyDescent="0.25">
      <c r="D32519" s="28"/>
      <c r="F32519" s="28"/>
      <c r="H32519" s="28"/>
    </row>
    <row r="32520" spans="4:8" x14ac:dyDescent="0.25">
      <c r="D32520" s="28"/>
      <c r="F32520" s="28"/>
      <c r="H32520" s="28"/>
    </row>
    <row r="32521" spans="4:8" x14ac:dyDescent="0.25">
      <c r="D32521" s="28"/>
      <c r="F32521" s="28"/>
      <c r="H32521" s="28"/>
    </row>
    <row r="32522" spans="4:8" x14ac:dyDescent="0.25">
      <c r="D32522" s="28"/>
      <c r="F32522" s="28"/>
      <c r="H32522" s="28"/>
    </row>
    <row r="32523" spans="4:8" x14ac:dyDescent="0.25">
      <c r="D32523" s="28"/>
      <c r="F32523" s="28"/>
      <c r="H32523" s="28"/>
    </row>
    <row r="32524" spans="4:8" x14ac:dyDescent="0.25">
      <c r="D32524" s="28"/>
      <c r="F32524" s="28"/>
      <c r="H32524" s="28"/>
    </row>
    <row r="32525" spans="4:8" x14ac:dyDescent="0.25">
      <c r="D32525" s="28"/>
      <c r="F32525" s="28"/>
      <c r="H32525" s="28"/>
    </row>
    <row r="32526" spans="4:8" x14ac:dyDescent="0.25">
      <c r="D32526" s="28"/>
      <c r="F32526" s="28"/>
      <c r="H32526" s="28"/>
    </row>
    <row r="32527" spans="4:8" x14ac:dyDescent="0.25">
      <c r="D32527" s="28"/>
      <c r="F32527" s="28"/>
      <c r="H32527" s="28"/>
    </row>
    <row r="32528" spans="4:8" x14ac:dyDescent="0.25">
      <c r="D32528" s="28"/>
      <c r="F32528" s="28"/>
      <c r="H32528" s="28"/>
    </row>
    <row r="32529" spans="4:8" x14ac:dyDescent="0.25">
      <c r="D32529" s="28"/>
      <c r="F32529" s="28"/>
      <c r="H32529" s="28"/>
    </row>
    <row r="32530" spans="4:8" x14ac:dyDescent="0.25">
      <c r="D32530" s="28"/>
      <c r="F32530" s="28"/>
      <c r="H32530" s="28"/>
    </row>
    <row r="32531" spans="4:8" x14ac:dyDescent="0.25">
      <c r="D32531" s="28"/>
      <c r="F32531" s="28"/>
      <c r="H32531" s="28"/>
    </row>
    <row r="32532" spans="4:8" x14ac:dyDescent="0.25">
      <c r="D32532" s="28"/>
      <c r="F32532" s="28"/>
      <c r="H32532" s="28"/>
    </row>
    <row r="32533" spans="4:8" x14ac:dyDescent="0.25">
      <c r="D32533" s="28"/>
      <c r="F32533" s="28"/>
      <c r="H32533" s="28"/>
    </row>
    <row r="32534" spans="4:8" x14ac:dyDescent="0.25">
      <c r="D32534" s="28"/>
      <c r="F32534" s="28"/>
      <c r="H32534" s="28"/>
    </row>
    <row r="32535" spans="4:8" x14ac:dyDescent="0.25">
      <c r="D32535" s="28"/>
      <c r="F32535" s="28"/>
      <c r="H32535" s="28"/>
    </row>
    <row r="32536" spans="4:8" x14ac:dyDescent="0.25">
      <c r="D32536" s="28"/>
      <c r="F32536" s="28"/>
      <c r="H32536" s="28"/>
    </row>
    <row r="32537" spans="4:8" x14ac:dyDescent="0.25">
      <c r="D32537" s="28"/>
      <c r="F32537" s="28"/>
      <c r="H32537" s="28"/>
    </row>
    <row r="32538" spans="4:8" x14ac:dyDescent="0.25">
      <c r="D32538" s="28"/>
      <c r="F32538" s="28"/>
      <c r="H32538" s="28"/>
    </row>
    <row r="32539" spans="4:8" x14ac:dyDescent="0.25">
      <c r="D32539" s="28"/>
      <c r="F32539" s="28"/>
      <c r="H32539" s="28"/>
    </row>
    <row r="32540" spans="4:8" x14ac:dyDescent="0.25">
      <c r="D32540" s="28"/>
      <c r="F32540" s="28"/>
      <c r="H32540" s="28"/>
    </row>
    <row r="32541" spans="4:8" x14ac:dyDescent="0.25">
      <c r="D32541" s="28"/>
      <c r="F32541" s="28"/>
      <c r="H32541" s="28"/>
    </row>
    <row r="32542" spans="4:8" x14ac:dyDescent="0.25">
      <c r="D32542" s="28"/>
      <c r="F32542" s="28"/>
      <c r="H32542" s="28"/>
    </row>
    <row r="32543" spans="4:8" x14ac:dyDescent="0.25">
      <c r="D32543" s="28"/>
      <c r="F32543" s="28"/>
      <c r="H32543" s="28"/>
    </row>
    <row r="32544" spans="4:8" x14ac:dyDescent="0.25">
      <c r="D32544" s="28"/>
      <c r="F32544" s="28"/>
      <c r="H32544" s="28"/>
    </row>
    <row r="32545" spans="4:8" x14ac:dyDescent="0.25">
      <c r="D32545" s="28"/>
      <c r="F32545" s="28"/>
      <c r="H32545" s="28"/>
    </row>
    <row r="32546" spans="4:8" x14ac:dyDescent="0.25">
      <c r="D32546" s="28"/>
      <c r="F32546" s="28"/>
      <c r="H32546" s="28"/>
    </row>
    <row r="32547" spans="4:8" x14ac:dyDescent="0.25">
      <c r="D32547" s="28"/>
      <c r="F32547" s="28"/>
      <c r="H32547" s="28"/>
    </row>
    <row r="32548" spans="4:8" x14ac:dyDescent="0.25">
      <c r="D32548" s="28"/>
      <c r="F32548" s="28"/>
      <c r="H32548" s="28"/>
    </row>
    <row r="32549" spans="4:8" x14ac:dyDescent="0.25">
      <c r="D32549" s="28"/>
      <c r="F32549" s="28"/>
      <c r="H32549" s="28"/>
    </row>
    <row r="32550" spans="4:8" x14ac:dyDescent="0.25">
      <c r="D32550" s="28"/>
      <c r="F32550" s="28"/>
      <c r="H32550" s="28"/>
    </row>
    <row r="32551" spans="4:8" x14ac:dyDescent="0.25">
      <c r="D32551" s="28"/>
      <c r="F32551" s="28"/>
      <c r="H32551" s="28"/>
    </row>
    <row r="32552" spans="4:8" x14ac:dyDescent="0.25">
      <c r="D32552" s="28"/>
      <c r="F32552" s="28"/>
      <c r="H32552" s="28"/>
    </row>
    <row r="32553" spans="4:8" x14ac:dyDescent="0.25">
      <c r="D32553" s="28"/>
      <c r="F32553" s="28"/>
      <c r="H32553" s="28"/>
    </row>
    <row r="32554" spans="4:8" x14ac:dyDescent="0.25">
      <c r="D32554" s="28"/>
      <c r="F32554" s="28"/>
      <c r="H32554" s="28"/>
    </row>
    <row r="32555" spans="4:8" x14ac:dyDescent="0.25">
      <c r="D32555" s="28"/>
      <c r="F32555" s="28"/>
      <c r="H32555" s="28"/>
    </row>
    <row r="32556" spans="4:8" x14ac:dyDescent="0.25">
      <c r="D32556" s="28"/>
      <c r="F32556" s="28"/>
      <c r="H32556" s="28"/>
    </row>
    <row r="32557" spans="4:8" x14ac:dyDescent="0.25">
      <c r="D32557" s="28"/>
      <c r="F32557" s="28"/>
      <c r="H32557" s="28"/>
    </row>
    <row r="32558" spans="4:8" x14ac:dyDescent="0.25">
      <c r="D32558" s="28"/>
      <c r="F32558" s="28"/>
      <c r="H32558" s="28"/>
    </row>
    <row r="32559" spans="4:8" x14ac:dyDescent="0.25">
      <c r="D32559" s="28"/>
      <c r="F32559" s="28"/>
      <c r="H32559" s="28"/>
    </row>
    <row r="32560" spans="4:8" x14ac:dyDescent="0.25">
      <c r="D32560" s="28"/>
      <c r="F32560" s="28"/>
      <c r="H32560" s="28"/>
    </row>
    <row r="32561" spans="4:8" x14ac:dyDescent="0.25">
      <c r="D32561" s="28"/>
      <c r="F32561" s="28"/>
      <c r="H32561" s="28"/>
    </row>
    <row r="32562" spans="4:8" x14ac:dyDescent="0.25">
      <c r="D32562" s="28"/>
      <c r="F32562" s="28"/>
      <c r="H32562" s="28"/>
    </row>
    <row r="32563" spans="4:8" x14ac:dyDescent="0.25">
      <c r="D32563" s="28"/>
      <c r="F32563" s="28"/>
      <c r="H32563" s="28"/>
    </row>
    <row r="32564" spans="4:8" x14ac:dyDescent="0.25">
      <c r="D32564" s="28"/>
      <c r="F32564" s="28"/>
      <c r="H32564" s="28"/>
    </row>
    <row r="32565" spans="4:8" x14ac:dyDescent="0.25">
      <c r="D32565" s="28"/>
      <c r="F32565" s="28"/>
      <c r="H32565" s="28"/>
    </row>
    <row r="32566" spans="4:8" x14ac:dyDescent="0.25">
      <c r="D32566" s="28"/>
      <c r="F32566" s="28"/>
      <c r="H32566" s="28"/>
    </row>
    <row r="32567" spans="4:8" x14ac:dyDescent="0.25">
      <c r="D32567" s="28"/>
      <c r="F32567" s="28"/>
      <c r="H32567" s="28"/>
    </row>
    <row r="32568" spans="4:8" x14ac:dyDescent="0.25">
      <c r="D32568" s="28"/>
      <c r="F32568" s="28"/>
      <c r="H32568" s="28"/>
    </row>
    <row r="32569" spans="4:8" x14ac:dyDescent="0.25">
      <c r="D32569" s="28"/>
      <c r="F32569" s="28"/>
      <c r="H32569" s="28"/>
    </row>
    <row r="32570" spans="4:8" x14ac:dyDescent="0.25">
      <c r="D32570" s="28"/>
      <c r="F32570" s="28"/>
      <c r="H32570" s="28"/>
    </row>
    <row r="32571" spans="4:8" x14ac:dyDescent="0.25">
      <c r="D32571" s="28"/>
      <c r="F32571" s="28"/>
      <c r="H32571" s="28"/>
    </row>
    <row r="32572" spans="4:8" x14ac:dyDescent="0.25">
      <c r="D32572" s="28"/>
      <c r="F32572" s="28"/>
      <c r="H32572" s="28"/>
    </row>
    <row r="32573" spans="4:8" x14ac:dyDescent="0.25">
      <c r="D32573" s="28"/>
      <c r="F32573" s="28"/>
      <c r="H32573" s="28"/>
    </row>
    <row r="32574" spans="4:8" x14ac:dyDescent="0.25">
      <c r="D32574" s="28"/>
      <c r="F32574" s="28"/>
      <c r="H32574" s="28"/>
    </row>
    <row r="32575" spans="4:8" x14ac:dyDescent="0.25">
      <c r="D32575" s="28"/>
      <c r="F32575" s="28"/>
      <c r="H32575" s="28"/>
    </row>
    <row r="32576" spans="4:8" x14ac:dyDescent="0.25">
      <c r="D32576" s="28"/>
      <c r="F32576" s="28"/>
      <c r="H32576" s="28"/>
    </row>
    <row r="32577" spans="4:8" x14ac:dyDescent="0.25">
      <c r="D32577" s="28"/>
      <c r="F32577" s="28"/>
      <c r="H32577" s="28"/>
    </row>
    <row r="32578" spans="4:8" x14ac:dyDescent="0.25">
      <c r="D32578" s="28"/>
      <c r="F32578" s="28"/>
      <c r="H32578" s="28"/>
    </row>
    <row r="32579" spans="4:8" x14ac:dyDescent="0.25">
      <c r="D32579" s="28"/>
      <c r="F32579" s="28"/>
      <c r="H32579" s="28"/>
    </row>
    <row r="32580" spans="4:8" x14ac:dyDescent="0.25">
      <c r="D32580" s="28"/>
      <c r="F32580" s="28"/>
      <c r="H32580" s="28"/>
    </row>
    <row r="32581" spans="4:8" x14ac:dyDescent="0.25">
      <c r="D32581" s="28"/>
      <c r="F32581" s="28"/>
      <c r="H32581" s="28"/>
    </row>
    <row r="32582" spans="4:8" x14ac:dyDescent="0.25">
      <c r="D32582" s="28"/>
      <c r="F32582" s="28"/>
      <c r="H32582" s="28"/>
    </row>
    <row r="32583" spans="4:8" x14ac:dyDescent="0.25">
      <c r="D32583" s="28"/>
      <c r="F32583" s="28"/>
      <c r="H32583" s="28"/>
    </row>
    <row r="32584" spans="4:8" x14ac:dyDescent="0.25">
      <c r="D32584" s="28"/>
      <c r="F32584" s="28"/>
      <c r="H32584" s="28"/>
    </row>
    <row r="32585" spans="4:8" x14ac:dyDescent="0.25">
      <c r="D32585" s="28"/>
      <c r="F32585" s="28"/>
      <c r="H32585" s="28"/>
    </row>
    <row r="32586" spans="4:8" x14ac:dyDescent="0.25">
      <c r="D32586" s="28"/>
      <c r="F32586" s="28"/>
      <c r="H32586" s="28"/>
    </row>
    <row r="32587" spans="4:8" x14ac:dyDescent="0.25">
      <c r="D32587" s="28"/>
      <c r="F32587" s="28"/>
      <c r="H32587" s="28"/>
    </row>
    <row r="32588" spans="4:8" x14ac:dyDescent="0.25">
      <c r="D32588" s="28"/>
      <c r="F32588" s="28"/>
      <c r="H32588" s="28"/>
    </row>
    <row r="32589" spans="4:8" x14ac:dyDescent="0.25">
      <c r="D32589" s="28"/>
      <c r="F32589" s="28"/>
      <c r="H32589" s="28"/>
    </row>
    <row r="32590" spans="4:8" x14ac:dyDescent="0.25">
      <c r="D32590" s="28"/>
      <c r="F32590" s="28"/>
      <c r="H32590" s="28"/>
    </row>
    <row r="32591" spans="4:8" x14ac:dyDescent="0.25">
      <c r="D32591" s="28"/>
      <c r="F32591" s="28"/>
      <c r="H32591" s="28"/>
    </row>
    <row r="32592" spans="4:8" x14ac:dyDescent="0.25">
      <c r="D32592" s="28"/>
      <c r="F32592" s="28"/>
      <c r="H32592" s="28"/>
    </row>
    <row r="32593" spans="4:8" x14ac:dyDescent="0.25">
      <c r="D32593" s="28"/>
      <c r="F32593" s="28"/>
      <c r="H32593" s="28"/>
    </row>
    <row r="32594" spans="4:8" x14ac:dyDescent="0.25">
      <c r="D32594" s="28"/>
      <c r="F32594" s="28"/>
      <c r="H32594" s="28"/>
    </row>
    <row r="32595" spans="4:8" x14ac:dyDescent="0.25">
      <c r="D32595" s="28"/>
      <c r="F32595" s="28"/>
      <c r="H32595" s="28"/>
    </row>
    <row r="32596" spans="4:8" x14ac:dyDescent="0.25">
      <c r="D32596" s="28"/>
      <c r="F32596" s="28"/>
      <c r="H32596" s="28"/>
    </row>
    <row r="32597" spans="4:8" x14ac:dyDescent="0.25">
      <c r="D32597" s="28"/>
      <c r="F32597" s="28"/>
      <c r="H32597" s="28"/>
    </row>
    <row r="32598" spans="4:8" x14ac:dyDescent="0.25">
      <c r="D32598" s="28"/>
      <c r="F32598" s="28"/>
      <c r="H32598" s="28"/>
    </row>
    <row r="32599" spans="4:8" x14ac:dyDescent="0.25">
      <c r="D32599" s="28"/>
      <c r="F32599" s="28"/>
      <c r="H32599" s="28"/>
    </row>
    <row r="32600" spans="4:8" x14ac:dyDescent="0.25">
      <c r="D32600" s="28"/>
      <c r="F32600" s="28"/>
      <c r="H32600" s="28"/>
    </row>
    <row r="32601" spans="4:8" x14ac:dyDescent="0.25">
      <c r="D32601" s="28"/>
      <c r="F32601" s="28"/>
      <c r="H32601" s="28"/>
    </row>
    <row r="32602" spans="4:8" x14ac:dyDescent="0.25">
      <c r="D32602" s="28"/>
      <c r="F32602" s="28"/>
      <c r="H32602" s="28"/>
    </row>
    <row r="32603" spans="4:8" x14ac:dyDescent="0.25">
      <c r="D32603" s="28"/>
      <c r="F32603" s="28"/>
      <c r="H32603" s="28"/>
    </row>
    <row r="32604" spans="4:8" x14ac:dyDescent="0.25">
      <c r="D32604" s="28"/>
      <c r="F32604" s="28"/>
      <c r="H32604" s="28"/>
    </row>
    <row r="32605" spans="4:8" x14ac:dyDescent="0.25">
      <c r="D32605" s="28"/>
      <c r="F32605" s="28"/>
      <c r="H32605" s="28"/>
    </row>
    <row r="32606" spans="4:8" x14ac:dyDescent="0.25">
      <c r="D32606" s="28"/>
      <c r="F32606" s="28"/>
      <c r="H32606" s="28"/>
    </row>
    <row r="32607" spans="4:8" x14ac:dyDescent="0.25">
      <c r="D32607" s="28"/>
      <c r="F32607" s="28"/>
      <c r="H32607" s="28"/>
    </row>
    <row r="32608" spans="4:8" x14ac:dyDescent="0.25">
      <c r="D32608" s="28"/>
      <c r="F32608" s="28"/>
      <c r="H32608" s="28"/>
    </row>
    <row r="32609" spans="4:8" x14ac:dyDescent="0.25">
      <c r="D32609" s="28"/>
      <c r="F32609" s="28"/>
      <c r="H32609" s="28"/>
    </row>
    <row r="32610" spans="4:8" x14ac:dyDescent="0.25">
      <c r="D32610" s="28"/>
      <c r="F32610" s="28"/>
      <c r="H32610" s="28"/>
    </row>
    <row r="32611" spans="4:8" x14ac:dyDescent="0.25">
      <c r="D32611" s="28"/>
      <c r="F32611" s="28"/>
      <c r="H32611" s="28"/>
    </row>
    <row r="32612" spans="4:8" x14ac:dyDescent="0.25">
      <c r="D32612" s="28"/>
      <c r="F32612" s="28"/>
      <c r="H32612" s="28"/>
    </row>
    <row r="32613" spans="4:8" x14ac:dyDescent="0.25">
      <c r="D32613" s="28"/>
      <c r="F32613" s="28"/>
      <c r="H32613" s="28"/>
    </row>
    <row r="32614" spans="4:8" x14ac:dyDescent="0.25">
      <c r="D32614" s="28"/>
      <c r="F32614" s="28"/>
      <c r="H32614" s="28"/>
    </row>
    <row r="32615" spans="4:8" x14ac:dyDescent="0.25">
      <c r="D32615" s="28"/>
      <c r="F32615" s="28"/>
      <c r="H32615" s="28"/>
    </row>
    <row r="32616" spans="4:8" x14ac:dyDescent="0.25">
      <c r="D32616" s="28"/>
      <c r="F32616" s="28"/>
      <c r="H32616" s="28"/>
    </row>
    <row r="32617" spans="4:8" x14ac:dyDescent="0.25">
      <c r="D32617" s="28"/>
      <c r="F32617" s="28"/>
      <c r="H32617" s="28"/>
    </row>
    <row r="32618" spans="4:8" x14ac:dyDescent="0.25">
      <c r="D32618" s="28"/>
      <c r="F32618" s="28"/>
      <c r="H32618" s="28"/>
    </row>
    <row r="32619" spans="4:8" x14ac:dyDescent="0.25">
      <c r="D32619" s="28"/>
      <c r="F32619" s="28"/>
      <c r="H32619" s="28"/>
    </row>
    <row r="32620" spans="4:8" x14ac:dyDescent="0.25">
      <c r="D32620" s="28"/>
      <c r="F32620" s="28"/>
      <c r="H32620" s="28"/>
    </row>
    <row r="32621" spans="4:8" x14ac:dyDescent="0.25">
      <c r="D32621" s="28"/>
      <c r="F32621" s="28"/>
      <c r="H32621" s="28"/>
    </row>
    <row r="32622" spans="4:8" x14ac:dyDescent="0.25">
      <c r="D32622" s="28"/>
      <c r="F32622" s="28"/>
      <c r="H32622" s="28"/>
    </row>
    <row r="32623" spans="4:8" x14ac:dyDescent="0.25">
      <c r="D32623" s="28"/>
      <c r="F32623" s="28"/>
      <c r="H32623" s="28"/>
    </row>
    <row r="32624" spans="4:8" x14ac:dyDescent="0.25">
      <c r="D32624" s="28"/>
      <c r="F32624" s="28"/>
      <c r="H32624" s="28"/>
    </row>
    <row r="32625" spans="4:8" x14ac:dyDescent="0.25">
      <c r="D32625" s="28"/>
      <c r="F32625" s="28"/>
      <c r="H32625" s="28"/>
    </row>
    <row r="32626" spans="4:8" x14ac:dyDescent="0.25">
      <c r="D32626" s="28"/>
      <c r="F32626" s="28"/>
      <c r="H32626" s="28"/>
    </row>
    <row r="32627" spans="4:8" x14ac:dyDescent="0.25">
      <c r="D32627" s="28"/>
      <c r="F32627" s="28"/>
      <c r="H32627" s="28"/>
    </row>
    <row r="32628" spans="4:8" x14ac:dyDescent="0.25">
      <c r="D32628" s="28"/>
      <c r="F32628" s="28"/>
      <c r="H32628" s="28"/>
    </row>
    <row r="32629" spans="4:8" x14ac:dyDescent="0.25">
      <c r="D32629" s="28"/>
      <c r="F32629" s="28"/>
      <c r="H32629" s="28"/>
    </row>
    <row r="32630" spans="4:8" x14ac:dyDescent="0.25">
      <c r="D32630" s="28"/>
      <c r="F32630" s="28"/>
      <c r="H32630" s="28"/>
    </row>
    <row r="32631" spans="4:8" x14ac:dyDescent="0.25">
      <c r="D32631" s="28"/>
      <c r="F32631" s="28"/>
      <c r="H32631" s="28"/>
    </row>
    <row r="32632" spans="4:8" x14ac:dyDescent="0.25">
      <c r="D32632" s="28"/>
      <c r="F32632" s="28"/>
      <c r="H32632" s="28"/>
    </row>
    <row r="32633" spans="4:8" x14ac:dyDescent="0.25">
      <c r="D32633" s="28"/>
      <c r="F32633" s="28"/>
      <c r="H32633" s="28"/>
    </row>
    <row r="32634" spans="4:8" x14ac:dyDescent="0.25">
      <c r="D32634" s="28"/>
      <c r="F32634" s="28"/>
      <c r="H32634" s="28"/>
    </row>
    <row r="32635" spans="4:8" x14ac:dyDescent="0.25">
      <c r="D32635" s="28"/>
      <c r="F32635" s="28"/>
      <c r="H32635" s="28"/>
    </row>
    <row r="32636" spans="4:8" x14ac:dyDescent="0.25">
      <c r="D32636" s="28"/>
      <c r="F32636" s="28"/>
      <c r="H32636" s="28"/>
    </row>
    <row r="32637" spans="4:8" x14ac:dyDescent="0.25">
      <c r="D32637" s="28"/>
      <c r="F32637" s="28"/>
      <c r="H32637" s="28"/>
    </row>
    <row r="32638" spans="4:8" x14ac:dyDescent="0.25">
      <c r="D32638" s="28"/>
      <c r="F32638" s="28"/>
      <c r="H32638" s="28"/>
    </row>
    <row r="32639" spans="4:8" x14ac:dyDescent="0.25">
      <c r="D32639" s="28"/>
      <c r="F32639" s="28"/>
      <c r="H32639" s="28"/>
    </row>
    <row r="32640" spans="4:8" x14ac:dyDescent="0.25">
      <c r="D32640" s="28"/>
      <c r="F32640" s="28"/>
      <c r="H32640" s="28"/>
    </row>
    <row r="32641" spans="4:8" x14ac:dyDescent="0.25">
      <c r="D32641" s="28"/>
      <c r="F32641" s="28"/>
      <c r="H32641" s="28"/>
    </row>
    <row r="32642" spans="4:8" x14ac:dyDescent="0.25">
      <c r="D32642" s="28"/>
      <c r="F32642" s="28"/>
      <c r="H32642" s="28"/>
    </row>
    <row r="32643" spans="4:8" x14ac:dyDescent="0.25">
      <c r="D32643" s="28"/>
      <c r="F32643" s="28"/>
      <c r="H32643" s="28"/>
    </row>
    <row r="32644" spans="4:8" x14ac:dyDescent="0.25">
      <c r="D32644" s="28"/>
      <c r="F32644" s="28"/>
      <c r="H32644" s="28"/>
    </row>
    <row r="32645" spans="4:8" x14ac:dyDescent="0.25">
      <c r="D32645" s="28"/>
      <c r="F32645" s="28"/>
      <c r="H32645" s="28"/>
    </row>
    <row r="32646" spans="4:8" x14ac:dyDescent="0.25">
      <c r="D32646" s="28"/>
      <c r="F32646" s="28"/>
      <c r="H32646" s="28"/>
    </row>
    <row r="32647" spans="4:8" x14ac:dyDescent="0.25">
      <c r="D32647" s="28"/>
      <c r="F32647" s="28"/>
      <c r="H32647" s="28"/>
    </row>
    <row r="32648" spans="4:8" x14ac:dyDescent="0.25">
      <c r="D32648" s="28"/>
      <c r="F32648" s="28"/>
      <c r="H32648" s="28"/>
    </row>
    <row r="32649" spans="4:8" x14ac:dyDescent="0.25">
      <c r="D32649" s="28"/>
      <c r="F32649" s="28"/>
      <c r="H32649" s="28"/>
    </row>
    <row r="32650" spans="4:8" x14ac:dyDescent="0.25">
      <c r="D32650" s="28"/>
      <c r="F32650" s="28"/>
      <c r="H32650" s="28"/>
    </row>
    <row r="32651" spans="4:8" x14ac:dyDescent="0.25">
      <c r="D32651" s="28"/>
      <c r="F32651" s="28"/>
      <c r="H32651" s="28"/>
    </row>
    <row r="32652" spans="4:8" x14ac:dyDescent="0.25">
      <c r="D32652" s="28"/>
      <c r="F32652" s="28"/>
      <c r="H32652" s="28"/>
    </row>
    <row r="32653" spans="4:8" x14ac:dyDescent="0.25">
      <c r="D32653" s="28"/>
      <c r="F32653" s="28"/>
      <c r="H32653" s="28"/>
    </row>
    <row r="32654" spans="4:8" x14ac:dyDescent="0.25">
      <c r="D32654" s="28"/>
      <c r="F32654" s="28"/>
      <c r="H32654" s="28"/>
    </row>
    <row r="32655" spans="4:8" x14ac:dyDescent="0.25">
      <c r="D32655" s="28"/>
      <c r="F32655" s="28"/>
      <c r="H32655" s="28"/>
    </row>
    <row r="32656" spans="4:8" x14ac:dyDescent="0.25">
      <c r="D32656" s="28"/>
      <c r="F32656" s="28"/>
      <c r="H32656" s="28"/>
    </row>
    <row r="32657" spans="4:8" x14ac:dyDescent="0.25">
      <c r="D32657" s="28"/>
      <c r="F32657" s="28"/>
      <c r="H32657" s="28"/>
    </row>
    <row r="32658" spans="4:8" x14ac:dyDescent="0.25">
      <c r="D32658" s="28"/>
      <c r="F32658" s="28"/>
      <c r="H32658" s="28"/>
    </row>
    <row r="32659" spans="4:8" x14ac:dyDescent="0.25">
      <c r="D32659" s="28"/>
      <c r="F32659" s="28"/>
      <c r="H32659" s="28"/>
    </row>
    <row r="32660" spans="4:8" x14ac:dyDescent="0.25">
      <c r="D32660" s="28"/>
      <c r="F32660" s="28"/>
      <c r="H32660" s="28"/>
    </row>
    <row r="32661" spans="4:8" x14ac:dyDescent="0.25">
      <c r="D32661" s="28"/>
      <c r="F32661" s="28"/>
      <c r="H32661" s="28"/>
    </row>
    <row r="32662" spans="4:8" x14ac:dyDescent="0.25">
      <c r="D32662" s="28"/>
      <c r="F32662" s="28"/>
      <c r="H32662" s="28"/>
    </row>
    <row r="32663" spans="4:8" x14ac:dyDescent="0.25">
      <c r="D32663" s="28"/>
      <c r="F32663" s="28"/>
      <c r="H32663" s="28"/>
    </row>
    <row r="32664" spans="4:8" x14ac:dyDescent="0.25">
      <c r="D32664" s="28"/>
      <c r="F32664" s="28"/>
      <c r="H32664" s="28"/>
    </row>
    <row r="32665" spans="4:8" x14ac:dyDescent="0.25">
      <c r="D32665" s="28"/>
      <c r="F32665" s="28"/>
      <c r="H32665" s="28"/>
    </row>
    <row r="32666" spans="4:8" x14ac:dyDescent="0.25">
      <c r="D32666" s="28"/>
      <c r="F32666" s="28"/>
      <c r="H32666" s="28"/>
    </row>
    <row r="32667" spans="4:8" x14ac:dyDescent="0.25">
      <c r="D32667" s="28"/>
      <c r="F32667" s="28"/>
      <c r="H32667" s="28"/>
    </row>
    <row r="32668" spans="4:8" x14ac:dyDescent="0.25">
      <c r="D32668" s="28"/>
      <c r="F32668" s="28"/>
      <c r="H32668" s="28"/>
    </row>
    <row r="32669" spans="4:8" x14ac:dyDescent="0.25">
      <c r="D32669" s="28"/>
      <c r="F32669" s="28"/>
      <c r="H32669" s="28"/>
    </row>
    <row r="32670" spans="4:8" x14ac:dyDescent="0.25">
      <c r="D32670" s="28"/>
      <c r="F32670" s="28"/>
      <c r="H32670" s="28"/>
    </row>
    <row r="32671" spans="4:8" x14ac:dyDescent="0.25">
      <c r="D32671" s="28"/>
      <c r="F32671" s="28"/>
      <c r="H32671" s="28"/>
    </row>
    <row r="32672" spans="4:8" x14ac:dyDescent="0.25">
      <c r="D32672" s="28"/>
      <c r="F32672" s="28"/>
      <c r="H32672" s="28"/>
    </row>
    <row r="32673" spans="4:8" x14ac:dyDescent="0.25">
      <c r="D32673" s="28"/>
      <c r="F32673" s="28"/>
      <c r="H32673" s="28"/>
    </row>
    <row r="32674" spans="4:8" x14ac:dyDescent="0.25">
      <c r="D32674" s="28"/>
      <c r="F32674" s="28"/>
      <c r="H32674" s="28"/>
    </row>
    <row r="32675" spans="4:8" x14ac:dyDescent="0.25">
      <c r="D32675" s="28"/>
      <c r="F32675" s="28"/>
      <c r="H32675" s="28"/>
    </row>
    <row r="32676" spans="4:8" x14ac:dyDescent="0.25">
      <c r="D32676" s="28"/>
      <c r="F32676" s="28"/>
      <c r="H32676" s="28"/>
    </row>
    <row r="32677" spans="4:8" x14ac:dyDescent="0.25">
      <c r="D32677" s="28"/>
      <c r="F32677" s="28"/>
      <c r="H32677" s="28"/>
    </row>
    <row r="32678" spans="4:8" x14ac:dyDescent="0.25">
      <c r="D32678" s="28"/>
      <c r="F32678" s="28"/>
      <c r="H32678" s="28"/>
    </row>
    <row r="32679" spans="4:8" x14ac:dyDescent="0.25">
      <c r="D32679" s="28"/>
      <c r="F32679" s="28"/>
      <c r="H32679" s="28"/>
    </row>
    <row r="32680" spans="4:8" x14ac:dyDescent="0.25">
      <c r="D32680" s="28"/>
      <c r="F32680" s="28"/>
      <c r="H32680" s="28"/>
    </row>
    <row r="32681" spans="4:8" x14ac:dyDescent="0.25">
      <c r="D32681" s="28"/>
      <c r="F32681" s="28"/>
      <c r="H32681" s="28"/>
    </row>
    <row r="32682" spans="4:8" x14ac:dyDescent="0.25">
      <c r="D32682" s="28"/>
      <c r="F32682" s="28"/>
      <c r="H32682" s="28"/>
    </row>
    <row r="32683" spans="4:8" x14ac:dyDescent="0.25">
      <c r="D32683" s="28"/>
      <c r="F32683" s="28"/>
      <c r="H32683" s="28"/>
    </row>
    <row r="32684" spans="4:8" x14ac:dyDescent="0.25">
      <c r="D32684" s="28"/>
      <c r="F32684" s="28"/>
      <c r="H32684" s="28"/>
    </row>
    <row r="32685" spans="4:8" x14ac:dyDescent="0.25">
      <c r="D32685" s="28"/>
      <c r="F32685" s="28"/>
      <c r="H32685" s="28"/>
    </row>
    <row r="32686" spans="4:8" x14ac:dyDescent="0.25">
      <c r="D32686" s="28"/>
      <c r="F32686" s="28"/>
      <c r="H32686" s="28"/>
    </row>
    <row r="32687" spans="4:8" x14ac:dyDescent="0.25">
      <c r="D32687" s="28"/>
      <c r="F32687" s="28"/>
      <c r="H32687" s="28"/>
    </row>
    <row r="32688" spans="4:8" x14ac:dyDescent="0.25">
      <c r="D32688" s="28"/>
      <c r="F32688" s="28"/>
      <c r="H32688" s="28"/>
    </row>
    <row r="32689" spans="4:8" x14ac:dyDescent="0.25">
      <c r="D32689" s="28"/>
      <c r="F32689" s="28"/>
      <c r="H32689" s="28"/>
    </row>
    <row r="32690" spans="4:8" x14ac:dyDescent="0.25">
      <c r="D32690" s="28"/>
      <c r="F32690" s="28"/>
      <c r="H32690" s="28"/>
    </row>
    <row r="32691" spans="4:8" x14ac:dyDescent="0.25">
      <c r="D32691" s="28"/>
      <c r="F32691" s="28"/>
      <c r="H32691" s="28"/>
    </row>
    <row r="32692" spans="4:8" x14ac:dyDescent="0.25">
      <c r="D32692" s="28"/>
      <c r="F32692" s="28"/>
      <c r="H32692" s="28"/>
    </row>
    <row r="32693" spans="4:8" x14ac:dyDescent="0.25">
      <c r="D32693" s="28"/>
      <c r="F32693" s="28"/>
      <c r="H32693" s="28"/>
    </row>
    <row r="32694" spans="4:8" x14ac:dyDescent="0.25">
      <c r="D32694" s="28"/>
      <c r="F32694" s="28"/>
      <c r="H32694" s="28"/>
    </row>
    <row r="32695" spans="4:8" x14ac:dyDescent="0.25">
      <c r="D32695" s="28"/>
      <c r="F32695" s="28"/>
      <c r="H32695" s="28"/>
    </row>
    <row r="32696" spans="4:8" x14ac:dyDescent="0.25">
      <c r="D32696" s="28"/>
      <c r="F32696" s="28"/>
      <c r="H32696" s="28"/>
    </row>
    <row r="32697" spans="4:8" x14ac:dyDescent="0.25">
      <c r="D32697" s="28"/>
      <c r="F32697" s="28"/>
      <c r="H32697" s="28"/>
    </row>
    <row r="32698" spans="4:8" x14ac:dyDescent="0.25">
      <c r="D32698" s="28"/>
      <c r="F32698" s="28"/>
      <c r="H32698" s="28"/>
    </row>
    <row r="32699" spans="4:8" x14ac:dyDescent="0.25">
      <c r="D32699" s="28"/>
      <c r="F32699" s="28"/>
      <c r="H32699" s="28"/>
    </row>
    <row r="32700" spans="4:8" x14ac:dyDescent="0.25">
      <c r="D32700" s="28"/>
      <c r="F32700" s="28"/>
      <c r="H32700" s="28"/>
    </row>
    <row r="32701" spans="4:8" x14ac:dyDescent="0.25">
      <c r="D32701" s="28"/>
      <c r="F32701" s="28"/>
      <c r="H32701" s="28"/>
    </row>
    <row r="32702" spans="4:8" x14ac:dyDescent="0.25">
      <c r="D32702" s="28"/>
      <c r="F32702" s="28"/>
      <c r="H32702" s="28"/>
    </row>
    <row r="32703" spans="4:8" x14ac:dyDescent="0.25">
      <c r="D32703" s="28"/>
      <c r="F32703" s="28"/>
      <c r="H32703" s="28"/>
    </row>
    <row r="32704" spans="4:8" x14ac:dyDescent="0.25">
      <c r="D32704" s="28"/>
      <c r="F32704" s="28"/>
      <c r="H32704" s="28"/>
    </row>
    <row r="32705" spans="4:8" x14ac:dyDescent="0.25">
      <c r="D32705" s="28"/>
      <c r="F32705" s="28"/>
      <c r="H32705" s="28"/>
    </row>
    <row r="32706" spans="4:8" x14ac:dyDescent="0.25">
      <c r="D32706" s="28"/>
      <c r="F32706" s="28"/>
      <c r="H32706" s="28"/>
    </row>
    <row r="32707" spans="4:8" x14ac:dyDescent="0.25">
      <c r="D32707" s="28"/>
      <c r="F32707" s="28"/>
      <c r="H32707" s="28"/>
    </row>
    <row r="32708" spans="4:8" x14ac:dyDescent="0.25">
      <c r="D32708" s="28"/>
      <c r="F32708" s="28"/>
      <c r="H32708" s="28"/>
    </row>
    <row r="32709" spans="4:8" x14ac:dyDescent="0.25">
      <c r="D32709" s="28"/>
      <c r="F32709" s="28"/>
      <c r="H32709" s="28"/>
    </row>
    <row r="32710" spans="4:8" x14ac:dyDescent="0.25">
      <c r="D32710" s="28"/>
      <c r="F32710" s="28"/>
      <c r="H32710" s="28"/>
    </row>
    <row r="32711" spans="4:8" x14ac:dyDescent="0.25">
      <c r="D32711" s="28"/>
      <c r="F32711" s="28"/>
      <c r="H32711" s="28"/>
    </row>
    <row r="32712" spans="4:8" x14ac:dyDescent="0.25">
      <c r="D32712" s="28"/>
      <c r="F32712" s="28"/>
      <c r="H32712" s="28"/>
    </row>
    <row r="32713" spans="4:8" x14ac:dyDescent="0.25">
      <c r="D32713" s="28"/>
      <c r="F32713" s="28"/>
      <c r="H32713" s="28"/>
    </row>
    <row r="32714" spans="4:8" x14ac:dyDescent="0.25">
      <c r="D32714" s="28"/>
      <c r="F32714" s="28"/>
      <c r="H32714" s="28"/>
    </row>
    <row r="32715" spans="4:8" x14ac:dyDescent="0.25">
      <c r="D32715" s="28"/>
      <c r="F32715" s="28"/>
      <c r="H32715" s="28"/>
    </row>
    <row r="32716" spans="4:8" x14ac:dyDescent="0.25">
      <c r="D32716" s="28"/>
      <c r="F32716" s="28"/>
      <c r="H32716" s="28"/>
    </row>
    <row r="32717" spans="4:8" x14ac:dyDescent="0.25">
      <c r="D32717" s="28"/>
      <c r="F32717" s="28"/>
      <c r="H32717" s="28"/>
    </row>
    <row r="32718" spans="4:8" x14ac:dyDescent="0.25">
      <c r="D32718" s="28"/>
      <c r="F32718" s="28"/>
      <c r="H32718" s="28"/>
    </row>
    <row r="32719" spans="4:8" x14ac:dyDescent="0.25">
      <c r="D32719" s="28"/>
      <c r="F32719" s="28"/>
      <c r="H32719" s="28"/>
    </row>
    <row r="32720" spans="4:8" x14ac:dyDescent="0.25">
      <c r="D32720" s="28"/>
      <c r="F32720" s="28"/>
      <c r="H32720" s="28"/>
    </row>
    <row r="32721" spans="4:8" x14ac:dyDescent="0.25">
      <c r="D32721" s="28"/>
      <c r="F32721" s="28"/>
      <c r="H32721" s="28"/>
    </row>
    <row r="32722" spans="4:8" x14ac:dyDescent="0.25">
      <c r="D32722" s="28"/>
      <c r="F32722" s="28"/>
      <c r="H32722" s="28"/>
    </row>
    <row r="32723" spans="4:8" x14ac:dyDescent="0.25">
      <c r="D32723" s="28"/>
      <c r="F32723" s="28"/>
      <c r="H32723" s="28"/>
    </row>
    <row r="32724" spans="4:8" x14ac:dyDescent="0.25">
      <c r="D32724" s="28"/>
      <c r="F32724" s="28"/>
      <c r="H32724" s="28"/>
    </row>
    <row r="32725" spans="4:8" x14ac:dyDescent="0.25">
      <c r="D32725" s="28"/>
      <c r="F32725" s="28"/>
      <c r="H32725" s="28"/>
    </row>
    <row r="32726" spans="4:8" x14ac:dyDescent="0.25">
      <c r="D32726" s="28"/>
      <c r="F32726" s="28"/>
      <c r="H32726" s="28"/>
    </row>
    <row r="32727" spans="4:8" x14ac:dyDescent="0.25">
      <c r="D32727" s="28"/>
      <c r="F32727" s="28"/>
      <c r="H32727" s="28"/>
    </row>
    <row r="32728" spans="4:8" x14ac:dyDescent="0.25">
      <c r="D32728" s="28"/>
      <c r="F32728" s="28"/>
      <c r="H32728" s="28"/>
    </row>
    <row r="32729" spans="4:8" x14ac:dyDescent="0.25">
      <c r="D32729" s="28"/>
      <c r="F32729" s="28"/>
      <c r="H32729" s="28"/>
    </row>
    <row r="32730" spans="4:8" x14ac:dyDescent="0.25">
      <c r="D32730" s="28"/>
      <c r="F32730" s="28"/>
      <c r="H32730" s="28"/>
    </row>
    <row r="32731" spans="4:8" x14ac:dyDescent="0.25">
      <c r="D32731" s="28"/>
      <c r="F32731" s="28"/>
      <c r="H32731" s="28"/>
    </row>
    <row r="32732" spans="4:8" x14ac:dyDescent="0.25">
      <c r="D32732" s="28"/>
      <c r="F32732" s="28"/>
      <c r="H32732" s="28"/>
    </row>
    <row r="32733" spans="4:8" x14ac:dyDescent="0.25">
      <c r="D32733" s="28"/>
      <c r="F32733" s="28"/>
      <c r="H32733" s="28"/>
    </row>
    <row r="32734" spans="4:8" x14ac:dyDescent="0.25">
      <c r="D32734" s="28"/>
      <c r="F32734" s="28"/>
      <c r="H32734" s="28"/>
    </row>
    <row r="32735" spans="4:8" x14ac:dyDescent="0.25">
      <c r="D32735" s="28"/>
      <c r="F32735" s="28"/>
      <c r="H32735" s="28"/>
    </row>
    <row r="32736" spans="4:8" x14ac:dyDescent="0.25">
      <c r="D32736" s="28"/>
      <c r="F32736" s="28"/>
      <c r="H32736" s="28"/>
    </row>
    <row r="32737" spans="4:8" x14ac:dyDescent="0.25">
      <c r="D32737" s="28"/>
      <c r="F32737" s="28"/>
      <c r="H32737" s="28"/>
    </row>
    <row r="32738" spans="4:8" x14ac:dyDescent="0.25">
      <c r="D32738" s="28"/>
      <c r="F32738" s="28"/>
      <c r="H32738" s="28"/>
    </row>
    <row r="32739" spans="4:8" x14ac:dyDescent="0.25">
      <c r="D32739" s="28"/>
      <c r="F32739" s="28"/>
      <c r="H32739" s="28"/>
    </row>
    <row r="32740" spans="4:8" x14ac:dyDescent="0.25">
      <c r="D32740" s="28"/>
      <c r="F32740" s="28"/>
      <c r="H32740" s="28"/>
    </row>
    <row r="32741" spans="4:8" x14ac:dyDescent="0.25">
      <c r="D32741" s="28"/>
      <c r="F32741" s="28"/>
      <c r="H32741" s="28"/>
    </row>
    <row r="32742" spans="4:8" x14ac:dyDescent="0.25">
      <c r="D32742" s="28"/>
      <c r="F32742" s="28"/>
      <c r="H32742" s="28"/>
    </row>
    <row r="32743" spans="4:8" x14ac:dyDescent="0.25">
      <c r="D32743" s="28"/>
      <c r="F32743" s="28"/>
      <c r="H32743" s="28"/>
    </row>
    <row r="32744" spans="4:8" x14ac:dyDescent="0.25">
      <c r="D32744" s="28"/>
      <c r="F32744" s="28"/>
      <c r="H32744" s="28"/>
    </row>
    <row r="32745" spans="4:8" x14ac:dyDescent="0.25">
      <c r="D32745" s="28"/>
      <c r="F32745" s="28"/>
      <c r="H32745" s="28"/>
    </row>
    <row r="32746" spans="4:8" x14ac:dyDescent="0.25">
      <c r="D32746" s="28"/>
      <c r="F32746" s="28"/>
      <c r="H32746" s="28"/>
    </row>
    <row r="32747" spans="4:8" x14ac:dyDescent="0.25">
      <c r="D32747" s="28"/>
      <c r="F32747" s="28"/>
      <c r="H32747" s="28"/>
    </row>
    <row r="32748" spans="4:8" x14ac:dyDescent="0.25">
      <c r="D32748" s="28"/>
      <c r="F32748" s="28"/>
      <c r="H32748" s="28"/>
    </row>
    <row r="32749" spans="4:8" x14ac:dyDescent="0.25">
      <c r="D32749" s="28"/>
      <c r="F32749" s="28"/>
      <c r="H32749" s="28"/>
    </row>
    <row r="32750" spans="4:8" x14ac:dyDescent="0.25">
      <c r="D32750" s="28"/>
      <c r="F32750" s="28"/>
      <c r="H32750" s="28"/>
    </row>
    <row r="32751" spans="4:8" x14ac:dyDescent="0.25">
      <c r="D32751" s="28"/>
      <c r="F32751" s="28"/>
      <c r="H32751" s="28"/>
    </row>
    <row r="32752" spans="4:8" x14ac:dyDescent="0.25">
      <c r="D32752" s="28"/>
      <c r="F32752" s="28"/>
      <c r="H32752" s="28"/>
    </row>
    <row r="32753" spans="4:8" x14ac:dyDescent="0.25">
      <c r="D32753" s="28"/>
      <c r="F32753" s="28"/>
      <c r="H32753" s="28"/>
    </row>
    <row r="32754" spans="4:8" x14ac:dyDescent="0.25">
      <c r="D32754" s="28"/>
      <c r="F32754" s="28"/>
      <c r="H32754" s="28"/>
    </row>
    <row r="32755" spans="4:8" x14ac:dyDescent="0.25">
      <c r="D32755" s="28"/>
      <c r="F32755" s="28"/>
      <c r="H32755" s="28"/>
    </row>
    <row r="32756" spans="4:8" x14ac:dyDescent="0.25">
      <c r="D32756" s="28"/>
      <c r="F32756" s="28"/>
      <c r="H32756" s="28"/>
    </row>
    <row r="32757" spans="4:8" x14ac:dyDescent="0.25">
      <c r="D32757" s="28"/>
      <c r="F32757" s="28"/>
      <c r="H32757" s="28"/>
    </row>
    <row r="32758" spans="4:8" x14ac:dyDescent="0.25">
      <c r="D32758" s="28"/>
      <c r="F32758" s="28"/>
      <c r="H32758" s="28"/>
    </row>
    <row r="32759" spans="4:8" x14ac:dyDescent="0.25">
      <c r="D32759" s="28"/>
      <c r="F32759" s="28"/>
      <c r="H32759" s="28"/>
    </row>
    <row r="32760" spans="4:8" x14ac:dyDescent="0.25">
      <c r="D32760" s="28"/>
      <c r="F32760" s="28"/>
      <c r="H32760" s="28"/>
    </row>
    <row r="32761" spans="4:8" x14ac:dyDescent="0.25">
      <c r="D32761" s="28"/>
      <c r="F32761" s="28"/>
      <c r="H32761" s="28"/>
    </row>
    <row r="32762" spans="4:8" x14ac:dyDescent="0.25">
      <c r="D32762" s="28"/>
      <c r="F32762" s="28"/>
      <c r="H32762" s="28"/>
    </row>
    <row r="32763" spans="4:8" x14ac:dyDescent="0.25">
      <c r="D32763" s="28"/>
      <c r="F32763" s="28"/>
      <c r="H32763" s="28"/>
    </row>
    <row r="32764" spans="4:8" x14ac:dyDescent="0.25">
      <c r="D32764" s="28"/>
      <c r="F32764" s="28"/>
      <c r="H32764" s="28"/>
    </row>
    <row r="32765" spans="4:8" x14ac:dyDescent="0.25">
      <c r="D32765" s="28"/>
      <c r="F32765" s="28"/>
      <c r="H32765" s="28"/>
    </row>
    <row r="32766" spans="4:8" x14ac:dyDescent="0.25">
      <c r="D32766" s="28"/>
      <c r="F32766" s="28"/>
      <c r="H32766" s="28"/>
    </row>
    <row r="32767" spans="4:8" x14ac:dyDescent="0.25">
      <c r="D32767" s="28"/>
      <c r="F32767" s="28"/>
      <c r="H32767" s="28"/>
    </row>
    <row r="32768" spans="4:8" x14ac:dyDescent="0.25">
      <c r="D32768" s="28"/>
      <c r="F32768" s="28"/>
      <c r="H32768" s="28"/>
    </row>
    <row r="32769" spans="4:8" x14ac:dyDescent="0.25">
      <c r="D32769" s="28"/>
      <c r="F32769" s="28"/>
      <c r="H32769" s="28"/>
    </row>
    <row r="32770" spans="4:8" x14ac:dyDescent="0.25">
      <c r="D32770" s="28"/>
      <c r="F32770" s="28"/>
      <c r="H32770" s="28"/>
    </row>
    <row r="32771" spans="4:8" x14ac:dyDescent="0.25">
      <c r="D32771" s="28"/>
      <c r="F32771" s="28"/>
      <c r="H32771" s="28"/>
    </row>
    <row r="32772" spans="4:8" x14ac:dyDescent="0.25">
      <c r="D32772" s="28"/>
      <c r="F32772" s="28"/>
      <c r="H32772" s="28"/>
    </row>
    <row r="32773" spans="4:8" x14ac:dyDescent="0.25">
      <c r="D32773" s="28"/>
      <c r="F32773" s="28"/>
      <c r="H32773" s="28"/>
    </row>
    <row r="32774" spans="4:8" x14ac:dyDescent="0.25">
      <c r="D32774" s="28"/>
      <c r="F32774" s="28"/>
      <c r="H32774" s="28"/>
    </row>
    <row r="32775" spans="4:8" x14ac:dyDescent="0.25">
      <c r="D32775" s="28"/>
      <c r="F32775" s="28"/>
      <c r="H32775" s="28"/>
    </row>
    <row r="32776" spans="4:8" x14ac:dyDescent="0.25">
      <c r="D32776" s="28"/>
      <c r="F32776" s="28"/>
      <c r="H32776" s="28"/>
    </row>
    <row r="32777" spans="4:8" x14ac:dyDescent="0.25">
      <c r="D32777" s="28"/>
      <c r="F32777" s="28"/>
      <c r="H32777" s="28"/>
    </row>
    <row r="32778" spans="4:8" x14ac:dyDescent="0.25">
      <c r="D32778" s="28"/>
      <c r="F32778" s="28"/>
      <c r="H32778" s="28"/>
    </row>
    <row r="32779" spans="4:8" x14ac:dyDescent="0.25">
      <c r="D32779" s="28"/>
      <c r="F32779" s="28"/>
      <c r="H32779" s="28"/>
    </row>
    <row r="32780" spans="4:8" x14ac:dyDescent="0.25">
      <c r="D32780" s="28"/>
      <c r="F32780" s="28"/>
      <c r="H32780" s="28"/>
    </row>
    <row r="32781" spans="4:8" x14ac:dyDescent="0.25">
      <c r="D32781" s="28"/>
      <c r="F32781" s="28"/>
      <c r="H32781" s="28"/>
    </row>
    <row r="32782" spans="4:8" x14ac:dyDescent="0.25">
      <c r="D32782" s="28"/>
      <c r="F32782" s="28"/>
      <c r="H32782" s="28"/>
    </row>
    <row r="32783" spans="4:8" x14ac:dyDescent="0.25">
      <c r="D32783" s="28"/>
      <c r="F32783" s="28"/>
      <c r="H32783" s="28"/>
    </row>
    <row r="32784" spans="4:8" x14ac:dyDescent="0.25">
      <c r="D32784" s="28"/>
      <c r="F32784" s="28"/>
      <c r="H32784" s="28"/>
    </row>
    <row r="32785" spans="4:8" x14ac:dyDescent="0.25">
      <c r="D32785" s="28"/>
      <c r="F32785" s="28"/>
      <c r="H32785" s="28"/>
    </row>
    <row r="32786" spans="4:8" x14ac:dyDescent="0.25">
      <c r="D32786" s="28"/>
      <c r="F32786" s="28"/>
      <c r="H32786" s="28"/>
    </row>
    <row r="32787" spans="4:8" x14ac:dyDescent="0.25">
      <c r="D32787" s="28"/>
      <c r="F32787" s="28"/>
      <c r="H32787" s="28"/>
    </row>
    <row r="32788" spans="4:8" x14ac:dyDescent="0.25">
      <c r="D32788" s="28"/>
      <c r="F32788" s="28"/>
      <c r="H32788" s="28"/>
    </row>
    <row r="32789" spans="4:8" x14ac:dyDescent="0.25">
      <c r="D32789" s="28"/>
      <c r="F32789" s="28"/>
      <c r="H32789" s="28"/>
    </row>
    <row r="32790" spans="4:8" x14ac:dyDescent="0.25">
      <c r="D32790" s="28"/>
      <c r="F32790" s="28"/>
      <c r="H32790" s="28"/>
    </row>
    <row r="32791" spans="4:8" x14ac:dyDescent="0.25">
      <c r="D32791" s="28"/>
      <c r="F32791" s="28"/>
      <c r="H32791" s="28"/>
    </row>
    <row r="32792" spans="4:8" x14ac:dyDescent="0.25">
      <c r="D32792" s="28"/>
      <c r="F32792" s="28"/>
      <c r="H32792" s="28"/>
    </row>
    <row r="32793" spans="4:8" x14ac:dyDescent="0.25">
      <c r="D32793" s="28"/>
      <c r="F32793" s="28"/>
      <c r="H32793" s="28"/>
    </row>
    <row r="32794" spans="4:8" x14ac:dyDescent="0.25">
      <c r="D32794" s="28"/>
      <c r="F32794" s="28"/>
      <c r="H32794" s="28"/>
    </row>
    <row r="32795" spans="4:8" x14ac:dyDescent="0.25">
      <c r="D32795" s="28"/>
      <c r="F32795" s="28"/>
      <c r="H32795" s="28"/>
    </row>
    <row r="32796" spans="4:8" x14ac:dyDescent="0.25">
      <c r="D32796" s="28"/>
      <c r="F32796" s="28"/>
      <c r="H32796" s="28"/>
    </row>
    <row r="32797" spans="4:8" x14ac:dyDescent="0.25">
      <c r="D32797" s="28"/>
      <c r="F32797" s="28"/>
      <c r="H32797" s="28"/>
    </row>
    <row r="32798" spans="4:8" x14ac:dyDescent="0.25">
      <c r="D32798" s="28"/>
      <c r="F32798" s="28"/>
      <c r="H32798" s="28"/>
    </row>
    <row r="32799" spans="4:8" x14ac:dyDescent="0.25">
      <c r="D32799" s="28"/>
      <c r="F32799" s="28"/>
      <c r="H32799" s="28"/>
    </row>
    <row r="32800" spans="4:8" x14ac:dyDescent="0.25">
      <c r="D32800" s="28"/>
      <c r="F32800" s="28"/>
      <c r="H32800" s="28"/>
    </row>
    <row r="32801" spans="4:8" x14ac:dyDescent="0.25">
      <c r="D32801" s="28"/>
      <c r="F32801" s="28"/>
      <c r="H32801" s="28"/>
    </row>
    <row r="32802" spans="4:8" x14ac:dyDescent="0.25">
      <c r="D32802" s="28"/>
      <c r="F32802" s="28"/>
      <c r="H32802" s="28"/>
    </row>
    <row r="32803" spans="4:8" x14ac:dyDescent="0.25">
      <c r="D32803" s="28"/>
      <c r="F32803" s="28"/>
      <c r="H32803" s="28"/>
    </row>
    <row r="32804" spans="4:8" x14ac:dyDescent="0.25">
      <c r="D32804" s="28"/>
      <c r="F32804" s="28"/>
      <c r="H32804" s="28"/>
    </row>
    <row r="32805" spans="4:8" x14ac:dyDescent="0.25">
      <c r="D32805" s="28"/>
      <c r="F32805" s="28"/>
      <c r="H32805" s="28"/>
    </row>
    <row r="32806" spans="4:8" x14ac:dyDescent="0.25">
      <c r="D32806" s="28"/>
      <c r="F32806" s="28"/>
      <c r="H32806" s="28"/>
    </row>
    <row r="32807" spans="4:8" x14ac:dyDescent="0.25">
      <c r="D32807" s="28"/>
      <c r="F32807" s="28"/>
      <c r="H32807" s="28"/>
    </row>
    <row r="32808" spans="4:8" x14ac:dyDescent="0.25">
      <c r="D32808" s="28"/>
      <c r="F32808" s="28"/>
      <c r="H32808" s="28"/>
    </row>
    <row r="32809" spans="4:8" x14ac:dyDescent="0.25">
      <c r="D32809" s="28"/>
      <c r="F32809" s="28"/>
      <c r="H32809" s="28"/>
    </row>
    <row r="32810" spans="4:8" x14ac:dyDescent="0.25">
      <c r="D32810" s="28"/>
      <c r="F32810" s="28"/>
      <c r="H32810" s="28"/>
    </row>
    <row r="32811" spans="4:8" x14ac:dyDescent="0.25">
      <c r="D32811" s="28"/>
      <c r="F32811" s="28"/>
      <c r="H32811" s="28"/>
    </row>
    <row r="32812" spans="4:8" x14ac:dyDescent="0.25">
      <c r="D32812" s="28"/>
      <c r="F32812" s="28"/>
      <c r="H32812" s="28"/>
    </row>
    <row r="32813" spans="4:8" x14ac:dyDescent="0.25">
      <c r="D32813" s="28"/>
      <c r="F32813" s="28"/>
      <c r="H32813" s="28"/>
    </row>
    <row r="32814" spans="4:8" x14ac:dyDescent="0.25">
      <c r="D32814" s="28"/>
      <c r="F32814" s="28"/>
      <c r="H32814" s="28"/>
    </row>
    <row r="32815" spans="4:8" x14ac:dyDescent="0.25">
      <c r="D32815" s="28"/>
      <c r="F32815" s="28"/>
      <c r="H32815" s="28"/>
    </row>
    <row r="32816" spans="4:8" x14ac:dyDescent="0.25">
      <c r="D32816" s="28"/>
      <c r="F32816" s="28"/>
      <c r="H32816" s="28"/>
    </row>
    <row r="32817" spans="4:8" x14ac:dyDescent="0.25">
      <c r="D32817" s="28"/>
      <c r="F32817" s="28"/>
      <c r="H32817" s="28"/>
    </row>
    <row r="32818" spans="4:8" x14ac:dyDescent="0.25">
      <c r="D32818" s="28"/>
      <c r="F32818" s="28"/>
      <c r="H32818" s="28"/>
    </row>
    <row r="32819" spans="4:8" x14ac:dyDescent="0.25">
      <c r="D32819" s="28"/>
      <c r="F32819" s="28"/>
      <c r="H32819" s="28"/>
    </row>
    <row r="32820" spans="4:8" x14ac:dyDescent="0.25">
      <c r="D32820" s="28"/>
      <c r="F32820" s="28"/>
      <c r="H32820" s="28"/>
    </row>
    <row r="32821" spans="4:8" x14ac:dyDescent="0.25">
      <c r="D32821" s="28"/>
      <c r="F32821" s="28"/>
      <c r="H32821" s="28"/>
    </row>
    <row r="32822" spans="4:8" x14ac:dyDescent="0.25">
      <c r="D32822" s="28"/>
      <c r="F32822" s="28"/>
      <c r="H32822" s="28"/>
    </row>
    <row r="32823" spans="4:8" x14ac:dyDescent="0.25">
      <c r="D32823" s="28"/>
      <c r="F32823" s="28"/>
      <c r="H32823" s="28"/>
    </row>
    <row r="32824" spans="4:8" x14ac:dyDescent="0.25">
      <c r="D32824" s="28"/>
      <c r="F32824" s="28"/>
      <c r="H32824" s="28"/>
    </row>
    <row r="32825" spans="4:8" x14ac:dyDescent="0.25">
      <c r="D32825" s="28"/>
      <c r="F32825" s="28"/>
      <c r="H32825" s="28"/>
    </row>
    <row r="32826" spans="4:8" x14ac:dyDescent="0.25">
      <c r="D32826" s="28"/>
      <c r="F32826" s="28"/>
      <c r="H32826" s="28"/>
    </row>
    <row r="32827" spans="4:8" x14ac:dyDescent="0.25">
      <c r="D32827" s="28"/>
      <c r="F32827" s="28"/>
      <c r="H32827" s="28"/>
    </row>
    <row r="32828" spans="4:8" x14ac:dyDescent="0.25">
      <c r="D32828" s="28"/>
      <c r="F32828" s="28"/>
      <c r="H32828" s="28"/>
    </row>
    <row r="32829" spans="4:8" x14ac:dyDescent="0.25">
      <c r="D32829" s="28"/>
      <c r="F32829" s="28"/>
      <c r="H32829" s="28"/>
    </row>
    <row r="32830" spans="4:8" x14ac:dyDescent="0.25">
      <c r="D32830" s="28"/>
      <c r="F32830" s="28"/>
      <c r="H32830" s="28"/>
    </row>
    <row r="32831" spans="4:8" x14ac:dyDescent="0.25">
      <c r="D32831" s="28"/>
      <c r="F32831" s="28"/>
      <c r="H32831" s="28"/>
    </row>
    <row r="32832" spans="4:8" x14ac:dyDescent="0.25">
      <c r="D32832" s="28"/>
      <c r="F32832" s="28"/>
      <c r="H32832" s="28"/>
    </row>
    <row r="32833" spans="4:8" x14ac:dyDescent="0.25">
      <c r="D32833" s="28"/>
      <c r="F32833" s="28"/>
      <c r="H32833" s="28"/>
    </row>
    <row r="32834" spans="4:8" x14ac:dyDescent="0.25">
      <c r="D32834" s="28"/>
      <c r="F32834" s="28"/>
      <c r="H32834" s="28"/>
    </row>
    <row r="32835" spans="4:8" x14ac:dyDescent="0.25">
      <c r="D32835" s="28"/>
      <c r="F32835" s="28"/>
      <c r="H32835" s="28"/>
    </row>
    <row r="32836" spans="4:8" x14ac:dyDescent="0.25">
      <c r="D32836" s="28"/>
      <c r="F32836" s="28"/>
      <c r="H32836" s="28"/>
    </row>
    <row r="32837" spans="4:8" x14ac:dyDescent="0.25">
      <c r="D32837" s="28"/>
      <c r="F32837" s="28"/>
      <c r="H32837" s="28"/>
    </row>
    <row r="32838" spans="4:8" x14ac:dyDescent="0.25">
      <c r="D32838" s="28"/>
      <c r="F32838" s="28"/>
      <c r="H32838" s="28"/>
    </row>
    <row r="32839" spans="4:8" x14ac:dyDescent="0.25">
      <c r="D32839" s="28"/>
      <c r="F32839" s="28"/>
      <c r="H32839" s="28"/>
    </row>
    <row r="32840" spans="4:8" x14ac:dyDescent="0.25">
      <c r="D32840" s="28"/>
      <c r="F32840" s="28"/>
      <c r="H32840" s="28"/>
    </row>
    <row r="32841" spans="4:8" x14ac:dyDescent="0.25">
      <c r="D32841" s="28"/>
      <c r="F32841" s="28"/>
      <c r="H32841" s="28"/>
    </row>
    <row r="32842" spans="4:8" x14ac:dyDescent="0.25">
      <c r="D32842" s="28"/>
      <c r="F32842" s="28"/>
      <c r="H32842" s="28"/>
    </row>
    <row r="32843" spans="4:8" x14ac:dyDescent="0.25">
      <c r="D32843" s="28"/>
      <c r="F32843" s="28"/>
      <c r="H32843" s="28"/>
    </row>
    <row r="32844" spans="4:8" x14ac:dyDescent="0.25">
      <c r="D32844" s="28"/>
      <c r="F32844" s="28"/>
      <c r="H32844" s="28"/>
    </row>
    <row r="32845" spans="4:8" x14ac:dyDescent="0.25">
      <c r="D32845" s="28"/>
      <c r="F32845" s="28"/>
      <c r="H32845" s="28"/>
    </row>
    <row r="32846" spans="4:8" x14ac:dyDescent="0.25">
      <c r="D32846" s="28"/>
      <c r="F32846" s="28"/>
      <c r="H32846" s="28"/>
    </row>
    <row r="32847" spans="4:8" x14ac:dyDescent="0.25">
      <c r="D32847" s="28"/>
      <c r="F32847" s="28"/>
      <c r="H32847" s="28"/>
    </row>
    <row r="32848" spans="4:8" x14ac:dyDescent="0.25">
      <c r="D32848" s="28"/>
      <c r="F32848" s="28"/>
      <c r="H32848" s="28"/>
    </row>
    <row r="32849" spans="4:8" x14ac:dyDescent="0.25">
      <c r="D32849" s="28"/>
      <c r="F32849" s="28"/>
      <c r="H32849" s="28"/>
    </row>
    <row r="32850" spans="4:8" x14ac:dyDescent="0.25">
      <c r="D32850" s="28"/>
      <c r="F32850" s="28"/>
      <c r="H32850" s="28"/>
    </row>
    <row r="32851" spans="4:8" x14ac:dyDescent="0.25">
      <c r="D32851" s="28"/>
      <c r="F32851" s="28"/>
      <c r="H32851" s="28"/>
    </row>
    <row r="32852" spans="4:8" x14ac:dyDescent="0.25">
      <c r="D32852" s="28"/>
      <c r="F32852" s="28"/>
      <c r="H32852" s="28"/>
    </row>
    <row r="32853" spans="4:8" x14ac:dyDescent="0.25">
      <c r="D32853" s="28"/>
      <c r="F32853" s="28"/>
      <c r="H32853" s="28"/>
    </row>
    <row r="32854" spans="4:8" x14ac:dyDescent="0.25">
      <c r="D32854" s="28"/>
      <c r="F32854" s="28"/>
      <c r="H32854" s="28"/>
    </row>
    <row r="32855" spans="4:8" x14ac:dyDescent="0.25">
      <c r="D32855" s="28"/>
      <c r="F32855" s="28"/>
      <c r="H32855" s="28"/>
    </row>
    <row r="32856" spans="4:8" x14ac:dyDescent="0.25">
      <c r="D32856" s="28"/>
      <c r="F32856" s="28"/>
      <c r="H32856" s="28"/>
    </row>
    <row r="32857" spans="4:8" x14ac:dyDescent="0.25">
      <c r="D32857" s="28"/>
      <c r="F32857" s="28"/>
      <c r="H32857" s="28"/>
    </row>
    <row r="32858" spans="4:8" x14ac:dyDescent="0.25">
      <c r="D32858" s="28"/>
      <c r="F32858" s="28"/>
      <c r="H32858" s="28"/>
    </row>
    <row r="32859" spans="4:8" x14ac:dyDescent="0.25">
      <c r="D32859" s="28"/>
      <c r="F32859" s="28"/>
      <c r="H32859" s="28"/>
    </row>
    <row r="32860" spans="4:8" x14ac:dyDescent="0.25">
      <c r="D32860" s="28"/>
      <c r="F32860" s="28"/>
      <c r="H32860" s="28"/>
    </row>
    <row r="32861" spans="4:8" x14ac:dyDescent="0.25">
      <c r="D32861" s="28"/>
      <c r="F32861" s="28"/>
      <c r="H32861" s="28"/>
    </row>
    <row r="32862" spans="4:8" x14ac:dyDescent="0.25">
      <c r="D32862" s="28"/>
      <c r="F32862" s="28"/>
      <c r="H32862" s="28"/>
    </row>
    <row r="32863" spans="4:8" x14ac:dyDescent="0.25">
      <c r="D32863" s="28"/>
      <c r="F32863" s="28"/>
      <c r="H32863" s="28"/>
    </row>
    <row r="32864" spans="4:8" x14ac:dyDescent="0.25">
      <c r="D32864" s="28"/>
      <c r="F32864" s="28"/>
      <c r="H32864" s="28"/>
    </row>
    <row r="32865" spans="4:8" x14ac:dyDescent="0.25">
      <c r="D32865" s="28"/>
      <c r="F32865" s="28"/>
      <c r="H32865" s="28"/>
    </row>
    <row r="32866" spans="4:8" x14ac:dyDescent="0.25">
      <c r="D32866" s="28"/>
      <c r="F32866" s="28"/>
      <c r="H32866" s="28"/>
    </row>
    <row r="32867" spans="4:8" x14ac:dyDescent="0.25">
      <c r="D32867" s="28"/>
      <c r="F32867" s="28"/>
      <c r="H32867" s="28"/>
    </row>
    <row r="32868" spans="4:8" x14ac:dyDescent="0.25">
      <c r="D32868" s="28"/>
      <c r="F32868" s="28"/>
      <c r="H32868" s="28"/>
    </row>
    <row r="32869" spans="4:8" x14ac:dyDescent="0.25">
      <c r="D32869" s="28"/>
      <c r="F32869" s="28"/>
      <c r="H32869" s="28"/>
    </row>
    <row r="32870" spans="4:8" x14ac:dyDescent="0.25">
      <c r="D32870" s="28"/>
      <c r="F32870" s="28"/>
      <c r="H32870" s="28"/>
    </row>
    <row r="32871" spans="4:8" x14ac:dyDescent="0.25">
      <c r="D32871" s="28"/>
      <c r="F32871" s="28"/>
      <c r="H32871" s="28"/>
    </row>
    <row r="32872" spans="4:8" x14ac:dyDescent="0.25">
      <c r="D32872" s="28"/>
      <c r="F32872" s="28"/>
      <c r="H32872" s="28"/>
    </row>
    <row r="32873" spans="4:8" x14ac:dyDescent="0.25">
      <c r="D32873" s="28"/>
      <c r="F32873" s="28"/>
      <c r="H32873" s="28"/>
    </row>
    <row r="32874" spans="4:8" x14ac:dyDescent="0.25">
      <c r="D32874" s="28"/>
      <c r="F32874" s="28"/>
      <c r="H32874" s="28"/>
    </row>
    <row r="32875" spans="4:8" x14ac:dyDescent="0.25">
      <c r="D32875" s="28"/>
      <c r="F32875" s="28"/>
      <c r="H32875" s="28"/>
    </row>
    <row r="32876" spans="4:8" x14ac:dyDescent="0.25">
      <c r="D32876" s="28"/>
      <c r="F32876" s="28"/>
      <c r="H32876" s="28"/>
    </row>
    <row r="32877" spans="4:8" x14ac:dyDescent="0.25">
      <c r="D32877" s="28"/>
      <c r="F32877" s="28"/>
      <c r="H32877" s="28"/>
    </row>
    <row r="32878" spans="4:8" x14ac:dyDescent="0.25">
      <c r="D32878" s="28"/>
      <c r="F32878" s="28"/>
      <c r="H32878" s="28"/>
    </row>
    <row r="32879" spans="4:8" x14ac:dyDescent="0.25">
      <c r="D32879" s="28"/>
      <c r="F32879" s="28"/>
      <c r="H32879" s="28"/>
    </row>
    <row r="32880" spans="4:8" x14ac:dyDescent="0.25">
      <c r="D32880" s="28"/>
      <c r="F32880" s="28"/>
      <c r="H32880" s="28"/>
    </row>
    <row r="32881" spans="4:8" x14ac:dyDescent="0.25">
      <c r="D32881" s="28"/>
      <c r="F32881" s="28"/>
      <c r="H32881" s="28"/>
    </row>
    <row r="32882" spans="4:8" x14ac:dyDescent="0.25">
      <c r="D32882" s="28"/>
      <c r="F32882" s="28"/>
      <c r="H32882" s="28"/>
    </row>
    <row r="32883" spans="4:8" x14ac:dyDescent="0.25">
      <c r="D32883" s="28"/>
      <c r="F32883" s="28"/>
      <c r="H32883" s="28"/>
    </row>
    <row r="32884" spans="4:8" x14ac:dyDescent="0.25">
      <c r="D32884" s="28"/>
      <c r="F32884" s="28"/>
      <c r="H32884" s="28"/>
    </row>
    <row r="32885" spans="4:8" x14ac:dyDescent="0.25">
      <c r="D32885" s="28"/>
      <c r="F32885" s="28"/>
      <c r="H32885" s="28"/>
    </row>
    <row r="32886" spans="4:8" x14ac:dyDescent="0.25">
      <c r="D32886" s="28"/>
      <c r="F32886" s="28"/>
      <c r="H32886" s="28"/>
    </row>
    <row r="32887" spans="4:8" x14ac:dyDescent="0.25">
      <c r="D32887" s="28"/>
      <c r="F32887" s="28"/>
      <c r="H32887" s="28"/>
    </row>
    <row r="32888" spans="4:8" x14ac:dyDescent="0.25">
      <c r="D32888" s="28"/>
      <c r="F32888" s="28"/>
      <c r="H32888" s="28"/>
    </row>
    <row r="32889" spans="4:8" x14ac:dyDescent="0.25">
      <c r="D32889" s="28"/>
      <c r="F32889" s="28"/>
      <c r="H32889" s="28"/>
    </row>
    <row r="32890" spans="4:8" x14ac:dyDescent="0.25">
      <c r="D32890" s="28"/>
      <c r="F32890" s="28"/>
      <c r="H32890" s="28"/>
    </row>
    <row r="32891" spans="4:8" x14ac:dyDescent="0.25">
      <c r="D32891" s="28"/>
      <c r="F32891" s="28"/>
      <c r="H32891" s="28"/>
    </row>
    <row r="32892" spans="4:8" x14ac:dyDescent="0.25">
      <c r="D32892" s="28"/>
      <c r="F32892" s="28"/>
      <c r="H32892" s="28"/>
    </row>
    <row r="32893" spans="4:8" x14ac:dyDescent="0.25">
      <c r="D32893" s="28"/>
      <c r="F32893" s="28"/>
      <c r="H32893" s="28"/>
    </row>
    <row r="32894" spans="4:8" x14ac:dyDescent="0.25">
      <c r="D32894" s="28"/>
      <c r="F32894" s="28"/>
      <c r="H32894" s="28"/>
    </row>
    <row r="32895" spans="4:8" x14ac:dyDescent="0.25">
      <c r="D32895" s="28"/>
      <c r="F32895" s="28"/>
      <c r="H32895" s="28"/>
    </row>
    <row r="32896" spans="4:8" x14ac:dyDescent="0.25">
      <c r="D32896" s="28"/>
      <c r="F32896" s="28"/>
      <c r="H32896" s="28"/>
    </row>
    <row r="32897" spans="4:8" x14ac:dyDescent="0.25">
      <c r="D32897" s="28"/>
      <c r="F32897" s="28"/>
      <c r="H32897" s="28"/>
    </row>
    <row r="32898" spans="4:8" x14ac:dyDescent="0.25">
      <c r="D32898" s="28"/>
      <c r="F32898" s="28"/>
      <c r="H32898" s="28"/>
    </row>
    <row r="32899" spans="4:8" x14ac:dyDescent="0.25">
      <c r="D32899" s="28"/>
      <c r="F32899" s="28"/>
      <c r="H32899" s="28"/>
    </row>
    <row r="32900" spans="4:8" x14ac:dyDescent="0.25">
      <c r="D32900" s="28"/>
      <c r="F32900" s="28"/>
      <c r="H32900" s="28"/>
    </row>
    <row r="32901" spans="4:8" x14ac:dyDescent="0.25">
      <c r="D32901" s="28"/>
      <c r="F32901" s="28"/>
      <c r="H32901" s="28"/>
    </row>
    <row r="32902" spans="4:8" x14ac:dyDescent="0.25">
      <c r="D32902" s="28"/>
      <c r="F32902" s="28"/>
      <c r="H32902" s="28"/>
    </row>
    <row r="32903" spans="4:8" x14ac:dyDescent="0.25">
      <c r="D32903" s="28"/>
      <c r="F32903" s="28"/>
      <c r="H32903" s="28"/>
    </row>
    <row r="32904" spans="4:8" x14ac:dyDescent="0.25">
      <c r="D32904" s="28"/>
      <c r="F32904" s="28"/>
      <c r="H32904" s="28"/>
    </row>
    <row r="32905" spans="4:8" x14ac:dyDescent="0.25">
      <c r="D32905" s="28"/>
      <c r="F32905" s="28"/>
      <c r="H32905" s="28"/>
    </row>
    <row r="32906" spans="4:8" x14ac:dyDescent="0.25">
      <c r="D32906" s="28"/>
      <c r="F32906" s="28"/>
      <c r="H32906" s="28"/>
    </row>
    <row r="32907" spans="4:8" x14ac:dyDescent="0.25">
      <c r="D32907" s="28"/>
      <c r="F32907" s="28"/>
      <c r="H32907" s="28"/>
    </row>
    <row r="32908" spans="4:8" x14ac:dyDescent="0.25">
      <c r="D32908" s="28"/>
      <c r="F32908" s="28"/>
      <c r="H32908" s="28"/>
    </row>
    <row r="32909" spans="4:8" x14ac:dyDescent="0.25">
      <c r="D32909" s="28"/>
      <c r="F32909" s="28"/>
      <c r="H32909" s="28"/>
    </row>
    <row r="32910" spans="4:8" x14ac:dyDescent="0.25">
      <c r="D32910" s="28"/>
      <c r="F32910" s="28"/>
      <c r="H32910" s="28"/>
    </row>
    <row r="32911" spans="4:8" x14ac:dyDescent="0.25">
      <c r="D32911" s="28"/>
      <c r="F32911" s="28"/>
      <c r="H32911" s="28"/>
    </row>
    <row r="32912" spans="4:8" x14ac:dyDescent="0.25">
      <c r="D32912" s="28"/>
      <c r="F32912" s="28"/>
      <c r="H32912" s="28"/>
    </row>
    <row r="32913" spans="4:8" x14ac:dyDescent="0.25">
      <c r="D32913" s="28"/>
      <c r="F32913" s="28"/>
      <c r="H32913" s="28"/>
    </row>
    <row r="32914" spans="4:8" x14ac:dyDescent="0.25">
      <c r="D32914" s="28"/>
      <c r="F32914" s="28"/>
      <c r="H32914" s="28"/>
    </row>
    <row r="32915" spans="4:8" x14ac:dyDescent="0.25">
      <c r="D32915" s="28"/>
      <c r="F32915" s="28"/>
      <c r="H32915" s="28"/>
    </row>
    <row r="32916" spans="4:8" x14ac:dyDescent="0.25">
      <c r="D32916" s="28"/>
      <c r="F32916" s="28"/>
      <c r="H32916" s="28"/>
    </row>
    <row r="32917" spans="4:8" x14ac:dyDescent="0.25">
      <c r="D32917" s="28"/>
      <c r="F32917" s="28"/>
      <c r="H32917" s="28"/>
    </row>
    <row r="32918" spans="4:8" x14ac:dyDescent="0.25">
      <c r="D32918" s="28"/>
      <c r="F32918" s="28"/>
      <c r="H32918" s="28"/>
    </row>
    <row r="32919" spans="4:8" x14ac:dyDescent="0.25">
      <c r="D32919" s="28"/>
      <c r="F32919" s="28"/>
      <c r="H32919" s="28"/>
    </row>
    <row r="32920" spans="4:8" x14ac:dyDescent="0.25">
      <c r="D32920" s="28"/>
      <c r="F32920" s="28"/>
      <c r="H32920" s="28"/>
    </row>
    <row r="32921" spans="4:8" x14ac:dyDescent="0.25">
      <c r="D32921" s="28"/>
      <c r="F32921" s="28"/>
      <c r="H32921" s="28"/>
    </row>
    <row r="32922" spans="4:8" x14ac:dyDescent="0.25">
      <c r="D32922" s="28"/>
      <c r="F32922" s="28"/>
      <c r="H32922" s="28"/>
    </row>
    <row r="32923" spans="4:8" x14ac:dyDescent="0.25">
      <c r="D32923" s="28"/>
      <c r="F32923" s="28"/>
      <c r="H32923" s="28"/>
    </row>
    <row r="32924" spans="4:8" x14ac:dyDescent="0.25">
      <c r="D32924" s="28"/>
      <c r="F32924" s="28"/>
      <c r="H32924" s="28"/>
    </row>
    <row r="32925" spans="4:8" x14ac:dyDescent="0.25">
      <c r="D32925" s="28"/>
      <c r="F32925" s="28"/>
      <c r="H32925" s="28"/>
    </row>
    <row r="32926" spans="4:8" x14ac:dyDescent="0.25">
      <c r="D32926" s="28"/>
      <c r="F32926" s="28"/>
      <c r="H32926" s="28"/>
    </row>
    <row r="32927" spans="4:8" x14ac:dyDescent="0.25">
      <c r="D32927" s="28"/>
      <c r="F32927" s="28"/>
      <c r="H32927" s="28"/>
    </row>
    <row r="32928" spans="4:8" x14ac:dyDescent="0.25">
      <c r="D32928" s="28"/>
      <c r="F32928" s="28"/>
      <c r="H32928" s="28"/>
    </row>
    <row r="32929" spans="4:8" x14ac:dyDescent="0.25">
      <c r="D32929" s="28"/>
      <c r="F32929" s="28"/>
      <c r="H32929" s="28"/>
    </row>
    <row r="32930" spans="4:8" x14ac:dyDescent="0.25">
      <c r="D32930" s="28"/>
      <c r="F32930" s="28"/>
      <c r="H32930" s="28"/>
    </row>
    <row r="32931" spans="4:8" x14ac:dyDescent="0.25">
      <c r="D32931" s="28"/>
      <c r="F32931" s="28"/>
      <c r="H32931" s="28"/>
    </row>
    <row r="32932" spans="4:8" x14ac:dyDescent="0.25">
      <c r="D32932" s="28"/>
      <c r="F32932" s="28"/>
      <c r="H32932" s="28"/>
    </row>
    <row r="32933" spans="4:8" x14ac:dyDescent="0.25">
      <c r="D32933" s="28"/>
      <c r="F32933" s="28"/>
      <c r="H32933" s="28"/>
    </row>
    <row r="32934" spans="4:8" x14ac:dyDescent="0.25">
      <c r="D32934" s="28"/>
      <c r="F32934" s="28"/>
      <c r="H32934" s="28"/>
    </row>
    <row r="32935" spans="4:8" x14ac:dyDescent="0.25">
      <c r="D32935" s="28"/>
      <c r="F32935" s="28"/>
      <c r="H32935" s="28"/>
    </row>
    <row r="32936" spans="4:8" x14ac:dyDescent="0.25">
      <c r="D32936" s="28"/>
      <c r="F32936" s="28"/>
      <c r="H32936" s="28"/>
    </row>
    <row r="32937" spans="4:8" x14ac:dyDescent="0.25">
      <c r="D32937" s="28"/>
      <c r="F32937" s="28"/>
      <c r="H32937" s="28"/>
    </row>
    <row r="32938" spans="4:8" x14ac:dyDescent="0.25">
      <c r="D32938" s="28"/>
      <c r="F32938" s="28"/>
      <c r="H32938" s="28"/>
    </row>
    <row r="32939" spans="4:8" x14ac:dyDescent="0.25">
      <c r="D32939" s="28"/>
      <c r="F32939" s="28"/>
      <c r="H32939" s="28"/>
    </row>
    <row r="32940" spans="4:8" x14ac:dyDescent="0.25">
      <c r="D32940" s="28"/>
      <c r="F32940" s="28"/>
      <c r="H32940" s="28"/>
    </row>
    <row r="32941" spans="4:8" x14ac:dyDescent="0.25">
      <c r="D32941" s="28"/>
      <c r="F32941" s="28"/>
      <c r="H32941" s="28"/>
    </row>
    <row r="32942" spans="4:8" x14ac:dyDescent="0.25">
      <c r="D32942" s="28"/>
      <c r="F32942" s="28"/>
      <c r="H32942" s="28"/>
    </row>
    <row r="32943" spans="4:8" x14ac:dyDescent="0.25">
      <c r="D32943" s="28"/>
      <c r="F32943" s="28"/>
      <c r="H32943" s="28"/>
    </row>
    <row r="32944" spans="4:8" x14ac:dyDescent="0.25">
      <c r="D32944" s="28"/>
      <c r="F32944" s="28"/>
      <c r="H32944" s="28"/>
    </row>
    <row r="32945" spans="4:8" x14ac:dyDescent="0.25">
      <c r="D32945" s="28"/>
      <c r="F32945" s="28"/>
      <c r="H32945" s="28"/>
    </row>
    <row r="32946" spans="4:8" x14ac:dyDescent="0.25">
      <c r="D32946" s="28"/>
      <c r="F32946" s="28"/>
      <c r="H32946" s="28"/>
    </row>
    <row r="32947" spans="4:8" x14ac:dyDescent="0.25">
      <c r="D32947" s="28"/>
      <c r="F32947" s="28"/>
      <c r="H32947" s="28"/>
    </row>
    <row r="32948" spans="4:8" x14ac:dyDescent="0.25">
      <c r="D32948" s="28"/>
      <c r="F32948" s="28"/>
      <c r="H32948" s="28"/>
    </row>
    <row r="32949" spans="4:8" x14ac:dyDescent="0.25">
      <c r="D32949" s="28"/>
      <c r="F32949" s="28"/>
      <c r="H32949" s="28"/>
    </row>
    <row r="32950" spans="4:8" x14ac:dyDescent="0.25">
      <c r="D32950" s="28"/>
      <c r="F32950" s="28"/>
      <c r="H32950" s="28"/>
    </row>
    <row r="32951" spans="4:8" x14ac:dyDescent="0.25">
      <c r="D32951" s="28"/>
      <c r="F32951" s="28"/>
      <c r="H32951" s="28"/>
    </row>
    <row r="32952" spans="4:8" x14ac:dyDescent="0.25">
      <c r="D32952" s="28"/>
      <c r="F32952" s="28"/>
      <c r="H32952" s="28"/>
    </row>
    <row r="32953" spans="4:8" x14ac:dyDescent="0.25">
      <c r="D32953" s="28"/>
      <c r="F32953" s="28"/>
      <c r="H32953" s="28"/>
    </row>
    <row r="32954" spans="4:8" x14ac:dyDescent="0.25">
      <c r="D32954" s="28"/>
      <c r="F32954" s="28"/>
      <c r="H32954" s="28"/>
    </row>
    <row r="32955" spans="4:8" x14ac:dyDescent="0.25">
      <c r="D32955" s="28"/>
      <c r="F32955" s="28"/>
      <c r="H32955" s="28"/>
    </row>
    <row r="32956" spans="4:8" x14ac:dyDescent="0.25">
      <c r="D32956" s="28"/>
      <c r="F32956" s="28"/>
      <c r="H32956" s="28"/>
    </row>
    <row r="32957" spans="4:8" x14ac:dyDescent="0.25">
      <c r="D32957" s="28"/>
      <c r="F32957" s="28"/>
      <c r="H32957" s="28"/>
    </row>
    <row r="32958" spans="4:8" x14ac:dyDescent="0.25">
      <c r="D32958" s="28"/>
      <c r="F32958" s="28"/>
      <c r="H32958" s="28"/>
    </row>
    <row r="32959" spans="4:8" x14ac:dyDescent="0.25">
      <c r="D32959" s="28"/>
      <c r="F32959" s="28"/>
      <c r="H32959" s="28"/>
    </row>
    <row r="32960" spans="4:8" x14ac:dyDescent="0.25">
      <c r="D32960" s="28"/>
      <c r="F32960" s="28"/>
      <c r="H32960" s="28"/>
    </row>
    <row r="32961" spans="4:8" x14ac:dyDescent="0.25">
      <c r="D32961" s="28"/>
      <c r="F32961" s="28"/>
      <c r="H32961" s="28"/>
    </row>
    <row r="32962" spans="4:8" x14ac:dyDescent="0.25">
      <c r="D32962" s="28"/>
      <c r="F32962" s="28"/>
      <c r="H32962" s="28"/>
    </row>
    <row r="32963" spans="4:8" x14ac:dyDescent="0.25">
      <c r="D32963" s="28"/>
      <c r="F32963" s="28"/>
      <c r="H32963" s="28"/>
    </row>
    <row r="32964" spans="4:8" x14ac:dyDescent="0.25">
      <c r="D32964" s="28"/>
      <c r="F32964" s="28"/>
      <c r="H32964" s="28"/>
    </row>
    <row r="32965" spans="4:8" x14ac:dyDescent="0.25">
      <c r="D32965" s="28"/>
      <c r="F32965" s="28"/>
      <c r="H32965" s="28"/>
    </row>
    <row r="32966" spans="4:8" x14ac:dyDescent="0.25">
      <c r="D32966" s="28"/>
      <c r="F32966" s="28"/>
      <c r="H32966" s="28"/>
    </row>
    <row r="32967" spans="4:8" x14ac:dyDescent="0.25">
      <c r="D32967" s="28"/>
      <c r="F32967" s="28"/>
      <c r="H32967" s="28"/>
    </row>
    <row r="32968" spans="4:8" x14ac:dyDescent="0.25">
      <c r="D32968" s="28"/>
      <c r="F32968" s="28"/>
      <c r="H32968" s="28"/>
    </row>
    <row r="32969" spans="4:8" x14ac:dyDescent="0.25">
      <c r="D32969" s="28"/>
      <c r="F32969" s="28"/>
      <c r="H32969" s="28"/>
    </row>
    <row r="32970" spans="4:8" x14ac:dyDescent="0.25">
      <c r="D32970" s="28"/>
      <c r="F32970" s="28"/>
      <c r="H32970" s="28"/>
    </row>
    <row r="32971" spans="4:8" x14ac:dyDescent="0.25">
      <c r="D32971" s="28"/>
      <c r="F32971" s="28"/>
      <c r="H32971" s="28"/>
    </row>
    <row r="32972" spans="4:8" x14ac:dyDescent="0.25">
      <c r="D32972" s="28"/>
      <c r="F32972" s="28"/>
      <c r="H32972" s="28"/>
    </row>
    <row r="32973" spans="4:8" x14ac:dyDescent="0.25">
      <c r="D32973" s="28"/>
      <c r="F32973" s="28"/>
      <c r="H32973" s="28"/>
    </row>
    <row r="32974" spans="4:8" x14ac:dyDescent="0.25">
      <c r="D32974" s="28"/>
      <c r="F32974" s="28"/>
      <c r="H32974" s="28"/>
    </row>
    <row r="32975" spans="4:8" x14ac:dyDescent="0.25">
      <c r="D32975" s="28"/>
      <c r="F32975" s="28"/>
      <c r="H32975" s="28"/>
    </row>
    <row r="32976" spans="4:8" x14ac:dyDescent="0.25">
      <c r="D32976" s="28"/>
      <c r="F32976" s="28"/>
      <c r="H32976" s="28"/>
    </row>
    <row r="32977" spans="4:8" x14ac:dyDescent="0.25">
      <c r="D32977" s="28"/>
      <c r="F32977" s="28"/>
      <c r="H32977" s="28"/>
    </row>
    <row r="32978" spans="4:8" x14ac:dyDescent="0.25">
      <c r="D32978" s="28"/>
      <c r="F32978" s="28"/>
      <c r="H32978" s="28"/>
    </row>
    <row r="32979" spans="4:8" x14ac:dyDescent="0.25">
      <c r="D32979" s="28"/>
      <c r="F32979" s="28"/>
      <c r="H32979" s="28"/>
    </row>
    <row r="32980" spans="4:8" x14ac:dyDescent="0.25">
      <c r="D32980" s="28"/>
      <c r="F32980" s="28"/>
      <c r="H32980" s="28"/>
    </row>
    <row r="32981" spans="4:8" x14ac:dyDescent="0.25">
      <c r="D32981" s="28"/>
      <c r="F32981" s="28"/>
      <c r="H32981" s="28"/>
    </row>
    <row r="32982" spans="4:8" x14ac:dyDescent="0.25">
      <c r="D32982" s="28"/>
      <c r="F32982" s="28"/>
      <c r="H32982" s="28"/>
    </row>
    <row r="32983" spans="4:8" x14ac:dyDescent="0.25">
      <c r="D32983" s="28"/>
      <c r="F32983" s="28"/>
      <c r="H32983" s="28"/>
    </row>
    <row r="32984" spans="4:8" x14ac:dyDescent="0.25">
      <c r="D32984" s="28"/>
      <c r="F32984" s="28"/>
      <c r="H32984" s="28"/>
    </row>
    <row r="32985" spans="4:8" x14ac:dyDescent="0.25">
      <c r="D32985" s="28"/>
      <c r="F32985" s="28"/>
      <c r="H32985" s="28"/>
    </row>
    <row r="32986" spans="4:8" x14ac:dyDescent="0.25">
      <c r="D32986" s="28"/>
      <c r="F32986" s="28"/>
      <c r="H32986" s="28"/>
    </row>
    <row r="32987" spans="4:8" x14ac:dyDescent="0.25">
      <c r="D32987" s="28"/>
      <c r="F32987" s="28"/>
      <c r="H32987" s="28"/>
    </row>
    <row r="32988" spans="4:8" x14ac:dyDescent="0.25">
      <c r="D32988" s="28"/>
      <c r="F32988" s="28"/>
      <c r="H32988" s="28"/>
    </row>
    <row r="32989" spans="4:8" x14ac:dyDescent="0.25">
      <c r="D32989" s="28"/>
      <c r="F32989" s="28"/>
      <c r="H32989" s="28"/>
    </row>
    <row r="32990" spans="4:8" x14ac:dyDescent="0.25">
      <c r="D32990" s="28"/>
      <c r="F32990" s="28"/>
      <c r="H32990" s="28"/>
    </row>
    <row r="32991" spans="4:8" x14ac:dyDescent="0.25">
      <c r="D32991" s="28"/>
      <c r="F32991" s="28"/>
      <c r="H32991" s="28"/>
    </row>
    <row r="32992" spans="4:8" x14ac:dyDescent="0.25">
      <c r="D32992" s="28"/>
      <c r="F32992" s="28"/>
      <c r="H32992" s="28"/>
    </row>
    <row r="32993" spans="4:8" x14ac:dyDescent="0.25">
      <c r="D32993" s="28"/>
      <c r="F32993" s="28"/>
      <c r="H32993" s="28"/>
    </row>
    <row r="32994" spans="4:8" x14ac:dyDescent="0.25">
      <c r="D32994" s="28"/>
      <c r="F32994" s="28"/>
      <c r="H32994" s="28"/>
    </row>
    <row r="32995" spans="4:8" x14ac:dyDescent="0.25">
      <c r="D32995" s="28"/>
      <c r="F32995" s="28"/>
      <c r="H32995" s="28"/>
    </row>
    <row r="32996" spans="4:8" x14ac:dyDescent="0.25">
      <c r="D32996" s="28"/>
      <c r="F32996" s="28"/>
      <c r="H32996" s="28"/>
    </row>
    <row r="32997" spans="4:8" x14ac:dyDescent="0.25">
      <c r="D32997" s="28"/>
      <c r="F32997" s="28"/>
      <c r="H32997" s="28"/>
    </row>
    <row r="32998" spans="4:8" x14ac:dyDescent="0.25">
      <c r="D32998" s="28"/>
      <c r="F32998" s="28"/>
      <c r="H32998" s="28"/>
    </row>
    <row r="32999" spans="4:8" x14ac:dyDescent="0.25">
      <c r="D32999" s="28"/>
      <c r="F32999" s="28"/>
      <c r="H32999" s="28"/>
    </row>
    <row r="33000" spans="4:8" x14ac:dyDescent="0.25">
      <c r="D33000" s="28"/>
      <c r="F33000" s="28"/>
      <c r="H33000" s="28"/>
    </row>
    <row r="33001" spans="4:8" x14ac:dyDescent="0.25">
      <c r="D33001" s="28"/>
      <c r="F33001" s="28"/>
      <c r="H33001" s="28"/>
    </row>
    <row r="33002" spans="4:8" x14ac:dyDescent="0.25">
      <c r="D33002" s="28"/>
      <c r="F33002" s="28"/>
      <c r="H33002" s="28"/>
    </row>
    <row r="33003" spans="4:8" x14ac:dyDescent="0.25">
      <c r="D33003" s="28"/>
      <c r="F33003" s="28"/>
      <c r="H33003" s="28"/>
    </row>
    <row r="33004" spans="4:8" x14ac:dyDescent="0.25">
      <c r="D33004" s="28"/>
      <c r="F33004" s="28"/>
      <c r="H33004" s="28"/>
    </row>
    <row r="33005" spans="4:8" x14ac:dyDescent="0.25">
      <c r="D33005" s="28"/>
      <c r="F33005" s="28"/>
      <c r="H33005" s="28"/>
    </row>
    <row r="33006" spans="4:8" x14ac:dyDescent="0.25">
      <c r="D33006" s="28"/>
      <c r="F33006" s="28"/>
      <c r="H33006" s="28"/>
    </row>
    <row r="33007" spans="4:8" x14ac:dyDescent="0.25">
      <c r="D33007" s="28"/>
      <c r="F33007" s="28"/>
      <c r="H33007" s="28"/>
    </row>
    <row r="33008" spans="4:8" x14ac:dyDescent="0.25">
      <c r="D33008" s="28"/>
      <c r="F33008" s="28"/>
      <c r="H33008" s="28"/>
    </row>
    <row r="33009" spans="4:8" x14ac:dyDescent="0.25">
      <c r="D33009" s="28"/>
      <c r="F33009" s="28"/>
      <c r="H33009" s="28"/>
    </row>
    <row r="33010" spans="4:8" x14ac:dyDescent="0.25">
      <c r="D33010" s="28"/>
      <c r="F33010" s="28"/>
      <c r="H33010" s="28"/>
    </row>
    <row r="33011" spans="4:8" x14ac:dyDescent="0.25">
      <c r="D33011" s="28"/>
      <c r="F33011" s="28"/>
      <c r="H33011" s="28"/>
    </row>
    <row r="33012" spans="4:8" x14ac:dyDescent="0.25">
      <c r="D33012" s="28"/>
      <c r="F33012" s="28"/>
      <c r="H33012" s="28"/>
    </row>
    <row r="33013" spans="4:8" x14ac:dyDescent="0.25">
      <c r="D33013" s="28"/>
      <c r="F33013" s="28"/>
      <c r="H33013" s="28"/>
    </row>
    <row r="33014" spans="4:8" x14ac:dyDescent="0.25">
      <c r="D33014" s="28"/>
      <c r="F33014" s="28"/>
      <c r="H33014" s="28"/>
    </row>
    <row r="33015" spans="4:8" x14ac:dyDescent="0.25">
      <c r="D33015" s="28"/>
      <c r="F33015" s="28"/>
      <c r="H33015" s="28"/>
    </row>
    <row r="33016" spans="4:8" x14ac:dyDescent="0.25">
      <c r="D33016" s="28"/>
      <c r="F33016" s="28"/>
      <c r="H33016" s="28"/>
    </row>
    <row r="33017" spans="4:8" x14ac:dyDescent="0.25">
      <c r="D33017" s="28"/>
      <c r="F33017" s="28"/>
      <c r="H33017" s="28"/>
    </row>
    <row r="33018" spans="4:8" x14ac:dyDescent="0.25">
      <c r="D33018" s="28"/>
      <c r="F33018" s="28"/>
      <c r="H33018" s="28"/>
    </row>
    <row r="33019" spans="4:8" x14ac:dyDescent="0.25">
      <c r="D33019" s="28"/>
      <c r="F33019" s="28"/>
      <c r="H33019" s="28"/>
    </row>
    <row r="33020" spans="4:8" x14ac:dyDescent="0.25">
      <c r="D33020" s="28"/>
      <c r="F33020" s="28"/>
      <c r="H33020" s="28"/>
    </row>
    <row r="33021" spans="4:8" x14ac:dyDescent="0.25">
      <c r="D33021" s="28"/>
      <c r="F33021" s="28"/>
      <c r="H33021" s="28"/>
    </row>
    <row r="33022" spans="4:8" x14ac:dyDescent="0.25">
      <c r="D33022" s="28"/>
      <c r="F33022" s="28"/>
      <c r="H33022" s="28"/>
    </row>
    <row r="33023" spans="4:8" x14ac:dyDescent="0.25">
      <c r="D33023" s="28"/>
      <c r="F33023" s="28"/>
      <c r="H33023" s="28"/>
    </row>
    <row r="33024" spans="4:8" x14ac:dyDescent="0.25">
      <c r="D33024" s="28"/>
      <c r="F33024" s="28"/>
      <c r="H33024" s="28"/>
    </row>
    <row r="33025" spans="4:8" x14ac:dyDescent="0.25">
      <c r="D33025" s="28"/>
      <c r="F33025" s="28"/>
      <c r="H33025" s="28"/>
    </row>
    <row r="33026" spans="4:8" x14ac:dyDescent="0.25">
      <c r="D33026" s="28"/>
      <c r="F33026" s="28"/>
      <c r="H33026" s="28"/>
    </row>
    <row r="33027" spans="4:8" x14ac:dyDescent="0.25">
      <c r="D33027" s="28"/>
      <c r="F33027" s="28"/>
      <c r="H33027" s="28"/>
    </row>
    <row r="33028" spans="4:8" x14ac:dyDescent="0.25">
      <c r="D33028" s="28"/>
      <c r="F33028" s="28"/>
      <c r="H33028" s="28"/>
    </row>
    <row r="33029" spans="4:8" x14ac:dyDescent="0.25">
      <c r="D33029" s="28"/>
      <c r="F33029" s="28"/>
      <c r="H33029" s="28"/>
    </row>
    <row r="33030" spans="4:8" x14ac:dyDescent="0.25">
      <c r="D33030" s="28"/>
      <c r="F33030" s="28"/>
      <c r="H33030" s="28"/>
    </row>
    <row r="33031" spans="4:8" x14ac:dyDescent="0.25">
      <c r="D33031" s="28"/>
      <c r="F33031" s="28"/>
      <c r="H33031" s="28"/>
    </row>
    <row r="33032" spans="4:8" x14ac:dyDescent="0.25">
      <c r="D33032" s="28"/>
      <c r="F33032" s="28"/>
      <c r="H33032" s="28"/>
    </row>
    <row r="33033" spans="4:8" x14ac:dyDescent="0.25">
      <c r="D33033" s="28"/>
      <c r="F33033" s="28"/>
      <c r="H33033" s="28"/>
    </row>
    <row r="33034" spans="4:8" x14ac:dyDescent="0.25">
      <c r="D33034" s="28"/>
      <c r="F33034" s="28"/>
      <c r="H33034" s="28"/>
    </row>
    <row r="33035" spans="4:8" x14ac:dyDescent="0.25">
      <c r="D33035" s="28"/>
      <c r="F33035" s="28"/>
      <c r="H33035" s="28"/>
    </row>
    <row r="33036" spans="4:8" x14ac:dyDescent="0.25">
      <c r="D33036" s="28"/>
      <c r="F33036" s="28"/>
      <c r="H33036" s="28"/>
    </row>
    <row r="33037" spans="4:8" x14ac:dyDescent="0.25">
      <c r="D33037" s="28"/>
      <c r="F33037" s="28"/>
      <c r="H33037" s="28"/>
    </row>
    <row r="33038" spans="4:8" x14ac:dyDescent="0.25">
      <c r="D33038" s="28"/>
      <c r="F33038" s="28"/>
      <c r="H33038" s="28"/>
    </row>
    <row r="33039" spans="4:8" x14ac:dyDescent="0.25">
      <c r="D33039" s="28"/>
      <c r="F33039" s="28"/>
      <c r="H33039" s="28"/>
    </row>
    <row r="33040" spans="4:8" x14ac:dyDescent="0.25">
      <c r="D33040" s="28"/>
      <c r="F33040" s="28"/>
      <c r="H33040" s="28"/>
    </row>
    <row r="33041" spans="4:8" x14ac:dyDescent="0.25">
      <c r="D33041" s="28"/>
      <c r="F33041" s="28"/>
      <c r="H33041" s="28"/>
    </row>
    <row r="33042" spans="4:8" x14ac:dyDescent="0.25">
      <c r="D33042" s="28"/>
      <c r="F33042" s="28"/>
      <c r="H33042" s="28"/>
    </row>
    <row r="33043" spans="4:8" x14ac:dyDescent="0.25">
      <c r="D33043" s="28"/>
      <c r="F33043" s="28"/>
      <c r="H33043" s="28"/>
    </row>
    <row r="33044" spans="4:8" x14ac:dyDescent="0.25">
      <c r="D33044" s="28"/>
      <c r="F33044" s="28"/>
      <c r="H33044" s="28"/>
    </row>
    <row r="33045" spans="4:8" x14ac:dyDescent="0.25">
      <c r="D33045" s="28"/>
      <c r="F33045" s="28"/>
      <c r="H33045" s="28"/>
    </row>
    <row r="33046" spans="4:8" x14ac:dyDescent="0.25">
      <c r="D33046" s="28"/>
      <c r="F33046" s="28"/>
      <c r="H33046" s="28"/>
    </row>
    <row r="33047" spans="4:8" x14ac:dyDescent="0.25">
      <c r="D33047" s="28"/>
      <c r="F33047" s="28"/>
      <c r="H33047" s="28"/>
    </row>
    <row r="33048" spans="4:8" x14ac:dyDescent="0.25">
      <c r="D33048" s="28"/>
      <c r="F33048" s="28"/>
      <c r="H33048" s="28"/>
    </row>
    <row r="33049" spans="4:8" x14ac:dyDescent="0.25">
      <c r="D33049" s="28"/>
      <c r="F33049" s="28"/>
      <c r="H33049" s="28"/>
    </row>
    <row r="33050" spans="4:8" x14ac:dyDescent="0.25">
      <c r="D33050" s="28"/>
      <c r="F33050" s="28"/>
      <c r="H33050" s="28"/>
    </row>
    <row r="33051" spans="4:8" x14ac:dyDescent="0.25">
      <c r="D33051" s="28"/>
      <c r="F33051" s="28"/>
      <c r="H33051" s="28"/>
    </row>
    <row r="33052" spans="4:8" x14ac:dyDescent="0.25">
      <c r="D33052" s="28"/>
      <c r="F33052" s="28"/>
      <c r="H33052" s="28"/>
    </row>
    <row r="33053" spans="4:8" x14ac:dyDescent="0.25">
      <c r="D33053" s="28"/>
      <c r="F33053" s="28"/>
      <c r="H33053" s="28"/>
    </row>
    <row r="33054" spans="4:8" x14ac:dyDescent="0.25">
      <c r="D33054" s="28"/>
      <c r="F33054" s="28"/>
      <c r="H33054" s="28"/>
    </row>
    <row r="33055" spans="4:8" x14ac:dyDescent="0.25">
      <c r="D33055" s="28"/>
      <c r="F33055" s="28"/>
      <c r="H33055" s="28"/>
    </row>
    <row r="33056" spans="4:8" x14ac:dyDescent="0.25">
      <c r="D33056" s="28"/>
      <c r="F33056" s="28"/>
      <c r="H33056" s="28"/>
    </row>
    <row r="33057" spans="4:8" x14ac:dyDescent="0.25">
      <c r="D33057" s="28"/>
      <c r="F33057" s="28"/>
      <c r="H33057" s="28"/>
    </row>
    <row r="33058" spans="4:8" x14ac:dyDescent="0.25">
      <c r="D33058" s="28"/>
      <c r="F33058" s="28"/>
      <c r="H33058" s="28"/>
    </row>
    <row r="33059" spans="4:8" x14ac:dyDescent="0.25">
      <c r="D33059" s="28"/>
      <c r="F33059" s="28"/>
      <c r="H33059" s="28"/>
    </row>
    <row r="33060" spans="4:8" x14ac:dyDescent="0.25">
      <c r="D33060" s="28"/>
      <c r="F33060" s="28"/>
      <c r="H33060" s="28"/>
    </row>
    <row r="33061" spans="4:8" x14ac:dyDescent="0.25">
      <c r="D33061" s="28"/>
      <c r="F33061" s="28"/>
      <c r="H33061" s="28"/>
    </row>
    <row r="33062" spans="4:8" x14ac:dyDescent="0.25">
      <c r="D33062" s="28"/>
      <c r="F33062" s="28"/>
      <c r="H33062" s="28"/>
    </row>
    <row r="33063" spans="4:8" x14ac:dyDescent="0.25">
      <c r="D33063" s="28"/>
      <c r="F33063" s="28"/>
      <c r="H33063" s="28"/>
    </row>
    <row r="33064" spans="4:8" x14ac:dyDescent="0.25">
      <c r="D33064" s="28"/>
      <c r="F33064" s="28"/>
      <c r="H33064" s="28"/>
    </row>
    <row r="33065" spans="4:8" x14ac:dyDescent="0.25">
      <c r="D33065" s="28"/>
      <c r="F33065" s="28"/>
      <c r="H33065" s="28"/>
    </row>
    <row r="33066" spans="4:8" x14ac:dyDescent="0.25">
      <c r="D33066" s="28"/>
      <c r="F33066" s="28"/>
      <c r="H33066" s="28"/>
    </row>
    <row r="33067" spans="4:8" x14ac:dyDescent="0.25">
      <c r="D33067" s="28"/>
      <c r="F33067" s="28"/>
      <c r="H33067" s="28"/>
    </row>
    <row r="33068" spans="4:8" x14ac:dyDescent="0.25">
      <c r="D33068" s="28"/>
      <c r="F33068" s="28"/>
      <c r="H33068" s="28"/>
    </row>
    <row r="33069" spans="4:8" x14ac:dyDescent="0.25">
      <c r="D33069" s="28"/>
      <c r="F33069" s="28"/>
      <c r="H33069" s="28"/>
    </row>
    <row r="33070" spans="4:8" x14ac:dyDescent="0.25">
      <c r="D33070" s="28"/>
      <c r="F33070" s="28"/>
      <c r="H33070" s="28"/>
    </row>
    <row r="33071" spans="4:8" x14ac:dyDescent="0.25">
      <c r="D33071" s="28"/>
      <c r="F33071" s="28"/>
      <c r="H33071" s="28"/>
    </row>
    <row r="33072" spans="4:8" x14ac:dyDescent="0.25">
      <c r="D33072" s="28"/>
      <c r="F33072" s="28"/>
      <c r="H33072" s="28"/>
    </row>
    <row r="33073" spans="4:8" x14ac:dyDescent="0.25">
      <c r="D33073" s="28"/>
      <c r="F33073" s="28"/>
      <c r="H33073" s="28"/>
    </row>
    <row r="33074" spans="4:8" x14ac:dyDescent="0.25">
      <c r="D33074" s="28"/>
      <c r="F33074" s="28"/>
      <c r="H33074" s="28"/>
    </row>
    <row r="33075" spans="4:8" x14ac:dyDescent="0.25">
      <c r="D33075" s="28"/>
      <c r="F33075" s="28"/>
      <c r="H33075" s="28"/>
    </row>
    <row r="33076" spans="4:8" x14ac:dyDescent="0.25">
      <c r="D33076" s="28"/>
      <c r="F33076" s="28"/>
      <c r="H33076" s="28"/>
    </row>
    <row r="33077" spans="4:8" x14ac:dyDescent="0.25">
      <c r="D33077" s="28"/>
      <c r="F33077" s="28"/>
      <c r="H33077" s="28"/>
    </row>
    <row r="33078" spans="4:8" x14ac:dyDescent="0.25">
      <c r="D33078" s="28"/>
      <c r="F33078" s="28"/>
      <c r="H33078" s="28"/>
    </row>
    <row r="33079" spans="4:8" x14ac:dyDescent="0.25">
      <c r="D33079" s="28"/>
      <c r="F33079" s="28"/>
      <c r="H33079" s="28"/>
    </row>
    <row r="33080" spans="4:8" x14ac:dyDescent="0.25">
      <c r="D33080" s="28"/>
      <c r="F33080" s="28"/>
      <c r="H33080" s="28"/>
    </row>
    <row r="33081" spans="4:8" x14ac:dyDescent="0.25">
      <c r="D33081" s="28"/>
      <c r="F33081" s="28"/>
      <c r="H33081" s="28"/>
    </row>
    <row r="33082" spans="4:8" x14ac:dyDescent="0.25">
      <c r="D33082" s="28"/>
      <c r="F33082" s="28"/>
      <c r="H33082" s="28"/>
    </row>
    <row r="33083" spans="4:8" x14ac:dyDescent="0.25">
      <c r="D33083" s="28"/>
      <c r="F33083" s="28"/>
      <c r="H33083" s="28"/>
    </row>
    <row r="33084" spans="4:8" x14ac:dyDescent="0.25">
      <c r="D33084" s="28"/>
      <c r="F33084" s="28"/>
      <c r="H33084" s="28"/>
    </row>
    <row r="33085" spans="4:8" x14ac:dyDescent="0.25">
      <c r="D33085" s="28"/>
      <c r="F33085" s="28"/>
      <c r="H33085" s="28"/>
    </row>
    <row r="33086" spans="4:8" x14ac:dyDescent="0.25">
      <c r="D33086" s="28"/>
      <c r="F33086" s="28"/>
      <c r="H33086" s="28"/>
    </row>
    <row r="33087" spans="4:8" x14ac:dyDescent="0.25">
      <c r="D33087" s="28"/>
      <c r="F33087" s="28"/>
      <c r="H33087" s="28"/>
    </row>
    <row r="33088" spans="4:8" x14ac:dyDescent="0.25">
      <c r="D33088" s="28"/>
      <c r="F33088" s="28"/>
      <c r="H33088" s="28"/>
    </row>
    <row r="33089" spans="4:8" x14ac:dyDescent="0.25">
      <c r="D33089" s="28"/>
      <c r="F33089" s="28"/>
      <c r="H33089" s="28"/>
    </row>
    <row r="33090" spans="4:8" x14ac:dyDescent="0.25">
      <c r="D33090" s="28"/>
      <c r="F33090" s="28"/>
      <c r="H33090" s="28"/>
    </row>
    <row r="33091" spans="4:8" x14ac:dyDescent="0.25">
      <c r="D33091" s="28"/>
      <c r="F33091" s="28"/>
      <c r="H33091" s="28"/>
    </row>
    <row r="33092" spans="4:8" x14ac:dyDescent="0.25">
      <c r="D33092" s="28"/>
      <c r="F33092" s="28"/>
      <c r="H33092" s="28"/>
    </row>
    <row r="33093" spans="4:8" x14ac:dyDescent="0.25">
      <c r="D33093" s="28"/>
      <c r="F33093" s="28"/>
      <c r="H33093" s="28"/>
    </row>
    <row r="33094" spans="4:8" x14ac:dyDescent="0.25">
      <c r="D33094" s="28"/>
      <c r="F33094" s="28"/>
      <c r="H33094" s="28"/>
    </row>
    <row r="33095" spans="4:8" x14ac:dyDescent="0.25">
      <c r="D33095" s="28"/>
      <c r="F33095" s="28"/>
      <c r="H33095" s="28"/>
    </row>
    <row r="33096" spans="4:8" x14ac:dyDescent="0.25">
      <c r="D33096" s="28"/>
      <c r="F33096" s="28"/>
      <c r="H33096" s="28"/>
    </row>
    <row r="33097" spans="4:8" x14ac:dyDescent="0.25">
      <c r="D33097" s="28"/>
      <c r="F33097" s="28"/>
      <c r="H33097" s="28"/>
    </row>
    <row r="33098" spans="4:8" x14ac:dyDescent="0.25">
      <c r="D33098" s="28"/>
      <c r="F33098" s="28"/>
      <c r="H33098" s="28"/>
    </row>
    <row r="33099" spans="4:8" x14ac:dyDescent="0.25">
      <c r="D33099" s="28"/>
      <c r="F33099" s="28"/>
      <c r="H33099" s="28"/>
    </row>
    <row r="33100" spans="4:8" x14ac:dyDescent="0.25">
      <c r="D33100" s="28"/>
      <c r="F33100" s="28"/>
      <c r="H33100" s="28"/>
    </row>
    <row r="33101" spans="4:8" x14ac:dyDescent="0.25">
      <c r="D33101" s="28"/>
      <c r="F33101" s="28"/>
      <c r="H33101" s="28"/>
    </row>
    <row r="33102" spans="4:8" x14ac:dyDescent="0.25">
      <c r="D33102" s="28"/>
      <c r="F33102" s="28"/>
      <c r="H33102" s="28"/>
    </row>
    <row r="33103" spans="4:8" x14ac:dyDescent="0.25">
      <c r="D33103" s="28"/>
      <c r="F33103" s="28"/>
      <c r="H33103" s="28"/>
    </row>
    <row r="33104" spans="4:8" x14ac:dyDescent="0.25">
      <c r="D33104" s="28"/>
      <c r="F33104" s="28"/>
      <c r="H33104" s="28"/>
    </row>
    <row r="33105" spans="4:8" x14ac:dyDescent="0.25">
      <c r="D33105" s="28"/>
      <c r="F33105" s="28"/>
      <c r="H33105" s="28"/>
    </row>
    <row r="33106" spans="4:8" x14ac:dyDescent="0.25">
      <c r="D33106" s="28"/>
      <c r="F33106" s="28"/>
      <c r="H33106" s="28"/>
    </row>
    <row r="33107" spans="4:8" x14ac:dyDescent="0.25">
      <c r="D33107" s="28"/>
      <c r="F33107" s="28"/>
      <c r="H33107" s="28"/>
    </row>
    <row r="33108" spans="4:8" x14ac:dyDescent="0.25">
      <c r="D33108" s="28"/>
      <c r="F33108" s="28"/>
      <c r="H33108" s="28"/>
    </row>
    <row r="33109" spans="4:8" x14ac:dyDescent="0.25">
      <c r="D33109" s="28"/>
      <c r="F33109" s="28"/>
      <c r="H33109" s="28"/>
    </row>
    <row r="33110" spans="4:8" x14ac:dyDescent="0.25">
      <c r="D33110" s="28"/>
      <c r="F33110" s="28"/>
      <c r="H33110" s="28"/>
    </row>
    <row r="33111" spans="4:8" x14ac:dyDescent="0.25">
      <c r="D33111" s="28"/>
      <c r="F33111" s="28"/>
      <c r="H33111" s="28"/>
    </row>
    <row r="33112" spans="4:8" x14ac:dyDescent="0.25">
      <c r="D33112" s="28"/>
      <c r="F33112" s="28"/>
      <c r="H33112" s="28"/>
    </row>
    <row r="33113" spans="4:8" x14ac:dyDescent="0.25">
      <c r="D33113" s="28"/>
      <c r="F33113" s="28"/>
      <c r="H33113" s="28"/>
    </row>
    <row r="33114" spans="4:8" x14ac:dyDescent="0.25">
      <c r="D33114" s="28"/>
      <c r="F33114" s="28"/>
      <c r="H33114" s="28"/>
    </row>
    <row r="33115" spans="4:8" x14ac:dyDescent="0.25">
      <c r="D33115" s="28"/>
      <c r="F33115" s="28"/>
      <c r="H33115" s="28"/>
    </row>
    <row r="33116" spans="4:8" x14ac:dyDescent="0.25">
      <c r="D33116" s="28"/>
      <c r="F33116" s="28"/>
      <c r="H33116" s="28"/>
    </row>
    <row r="33117" spans="4:8" x14ac:dyDescent="0.25">
      <c r="D33117" s="28"/>
      <c r="F33117" s="28"/>
      <c r="H33117" s="28"/>
    </row>
    <row r="33118" spans="4:8" x14ac:dyDescent="0.25">
      <c r="D33118" s="28"/>
      <c r="F33118" s="28"/>
      <c r="H33118" s="28"/>
    </row>
    <row r="33119" spans="4:8" x14ac:dyDescent="0.25">
      <c r="D33119" s="28"/>
      <c r="F33119" s="28"/>
      <c r="H33119" s="28"/>
    </row>
    <row r="33120" spans="4:8" x14ac:dyDescent="0.25">
      <c r="D33120" s="28"/>
      <c r="F33120" s="28"/>
      <c r="H33120" s="28"/>
    </row>
    <row r="33121" spans="4:8" x14ac:dyDescent="0.25">
      <c r="D33121" s="28"/>
      <c r="F33121" s="28"/>
      <c r="H33121" s="28"/>
    </row>
    <row r="33122" spans="4:8" x14ac:dyDescent="0.25">
      <c r="D33122" s="28"/>
      <c r="F33122" s="28"/>
      <c r="H33122" s="28"/>
    </row>
    <row r="33123" spans="4:8" x14ac:dyDescent="0.25">
      <c r="D33123" s="28"/>
      <c r="F33123" s="28"/>
      <c r="H33123" s="28"/>
    </row>
    <row r="33124" spans="4:8" x14ac:dyDescent="0.25">
      <c r="D33124" s="28"/>
      <c r="F33124" s="28"/>
      <c r="H33124" s="28"/>
    </row>
    <row r="33125" spans="4:8" x14ac:dyDescent="0.25">
      <c r="D33125" s="28"/>
      <c r="F33125" s="28"/>
      <c r="H33125" s="28"/>
    </row>
    <row r="33126" spans="4:8" x14ac:dyDescent="0.25">
      <c r="D33126" s="28"/>
      <c r="F33126" s="28"/>
      <c r="H33126" s="28"/>
    </row>
    <row r="33127" spans="4:8" x14ac:dyDescent="0.25">
      <c r="D33127" s="28"/>
      <c r="F33127" s="28"/>
      <c r="H33127" s="28"/>
    </row>
    <row r="33128" spans="4:8" x14ac:dyDescent="0.25">
      <c r="D33128" s="28"/>
      <c r="F33128" s="28"/>
      <c r="H33128" s="28"/>
    </row>
    <row r="33129" spans="4:8" x14ac:dyDescent="0.25">
      <c r="D33129" s="28"/>
      <c r="F33129" s="28"/>
      <c r="H33129" s="28"/>
    </row>
    <row r="33130" spans="4:8" x14ac:dyDescent="0.25">
      <c r="D33130" s="28"/>
      <c r="F33130" s="28"/>
      <c r="H33130" s="28"/>
    </row>
    <row r="33131" spans="4:8" x14ac:dyDescent="0.25">
      <c r="D33131" s="28"/>
      <c r="F33131" s="28"/>
      <c r="H33131" s="28"/>
    </row>
    <row r="33132" spans="4:8" x14ac:dyDescent="0.25">
      <c r="D33132" s="28"/>
      <c r="F33132" s="28"/>
      <c r="H33132" s="28"/>
    </row>
    <row r="33133" spans="4:8" x14ac:dyDescent="0.25">
      <c r="D33133" s="28"/>
      <c r="F33133" s="28"/>
      <c r="H33133" s="28"/>
    </row>
    <row r="33134" spans="4:8" x14ac:dyDescent="0.25">
      <c r="D33134" s="28"/>
      <c r="F33134" s="28"/>
      <c r="H33134" s="28"/>
    </row>
    <row r="33135" spans="4:8" x14ac:dyDescent="0.25">
      <c r="D33135" s="28"/>
      <c r="F33135" s="28"/>
      <c r="H33135" s="28"/>
    </row>
    <row r="33136" spans="4:8" x14ac:dyDescent="0.25">
      <c r="D33136" s="28"/>
      <c r="F33136" s="28"/>
      <c r="H33136" s="28"/>
    </row>
    <row r="33137" spans="4:8" x14ac:dyDescent="0.25">
      <c r="D33137" s="28"/>
      <c r="F33137" s="28"/>
      <c r="H33137" s="28"/>
    </row>
    <row r="33138" spans="4:8" x14ac:dyDescent="0.25">
      <c r="D33138" s="28"/>
      <c r="F33138" s="28"/>
      <c r="H33138" s="28"/>
    </row>
    <row r="33139" spans="4:8" x14ac:dyDescent="0.25">
      <c r="D33139" s="28"/>
      <c r="F33139" s="28"/>
      <c r="H33139" s="28"/>
    </row>
    <row r="33140" spans="4:8" x14ac:dyDescent="0.25">
      <c r="D33140" s="28"/>
      <c r="F33140" s="28"/>
      <c r="H33140" s="28"/>
    </row>
    <row r="33141" spans="4:8" x14ac:dyDescent="0.25">
      <c r="D33141" s="28"/>
      <c r="F33141" s="28"/>
      <c r="H33141" s="28"/>
    </row>
    <row r="33142" spans="4:8" x14ac:dyDescent="0.25">
      <c r="D33142" s="28"/>
      <c r="F33142" s="28"/>
      <c r="H33142" s="28"/>
    </row>
    <row r="33143" spans="4:8" x14ac:dyDescent="0.25">
      <c r="D33143" s="28"/>
      <c r="F33143" s="28"/>
      <c r="H33143" s="28"/>
    </row>
    <row r="33144" spans="4:8" x14ac:dyDescent="0.25">
      <c r="D33144" s="28"/>
      <c r="F33144" s="28"/>
      <c r="H33144" s="28"/>
    </row>
    <row r="33145" spans="4:8" x14ac:dyDescent="0.25">
      <c r="D33145" s="28"/>
      <c r="F33145" s="28"/>
      <c r="H33145" s="28"/>
    </row>
    <row r="33146" spans="4:8" x14ac:dyDescent="0.25">
      <c r="D33146" s="28"/>
      <c r="F33146" s="28"/>
      <c r="H33146" s="28"/>
    </row>
    <row r="33147" spans="4:8" x14ac:dyDescent="0.25">
      <c r="D33147" s="28"/>
      <c r="F33147" s="28"/>
      <c r="H33147" s="28"/>
    </row>
    <row r="33148" spans="4:8" x14ac:dyDescent="0.25">
      <c r="D33148" s="28"/>
      <c r="F33148" s="28"/>
      <c r="H33148" s="28"/>
    </row>
    <row r="33149" spans="4:8" x14ac:dyDescent="0.25">
      <c r="D33149" s="28"/>
      <c r="F33149" s="28"/>
      <c r="H33149" s="28"/>
    </row>
    <row r="33150" spans="4:8" x14ac:dyDescent="0.25">
      <c r="D33150" s="28"/>
      <c r="F33150" s="28"/>
      <c r="H33150" s="28"/>
    </row>
    <row r="33151" spans="4:8" x14ac:dyDescent="0.25">
      <c r="D33151" s="28"/>
      <c r="F33151" s="28"/>
      <c r="H33151" s="28"/>
    </row>
    <row r="33152" spans="4:8" x14ac:dyDescent="0.25">
      <c r="D33152" s="28"/>
      <c r="F33152" s="28"/>
      <c r="H33152" s="28"/>
    </row>
    <row r="33153" spans="4:8" x14ac:dyDescent="0.25">
      <c r="D33153" s="28"/>
      <c r="F33153" s="28"/>
      <c r="H33153" s="28"/>
    </row>
    <row r="33154" spans="4:8" x14ac:dyDescent="0.25">
      <c r="D33154" s="28"/>
      <c r="F33154" s="28"/>
      <c r="H33154" s="28"/>
    </row>
    <row r="33155" spans="4:8" x14ac:dyDescent="0.25">
      <c r="D33155" s="28"/>
      <c r="F33155" s="28"/>
      <c r="H33155" s="28"/>
    </row>
    <row r="33156" spans="4:8" x14ac:dyDescent="0.25">
      <c r="D33156" s="28"/>
      <c r="F33156" s="28"/>
      <c r="H33156" s="28"/>
    </row>
    <row r="33157" spans="4:8" x14ac:dyDescent="0.25">
      <c r="D33157" s="28"/>
      <c r="F33157" s="28"/>
      <c r="H33157" s="28"/>
    </row>
    <row r="33158" spans="4:8" x14ac:dyDescent="0.25">
      <c r="D33158" s="28"/>
      <c r="F33158" s="28"/>
      <c r="H33158" s="28"/>
    </row>
    <row r="33159" spans="4:8" x14ac:dyDescent="0.25">
      <c r="D33159" s="28"/>
      <c r="F33159" s="28"/>
      <c r="H33159" s="28"/>
    </row>
    <row r="33160" spans="4:8" x14ac:dyDescent="0.25">
      <c r="D33160" s="28"/>
      <c r="F33160" s="28"/>
      <c r="H33160" s="28"/>
    </row>
    <row r="33161" spans="4:8" x14ac:dyDescent="0.25">
      <c r="D33161" s="28"/>
      <c r="F33161" s="28"/>
      <c r="H33161" s="28"/>
    </row>
    <row r="33162" spans="4:8" x14ac:dyDescent="0.25">
      <c r="D33162" s="28"/>
      <c r="F33162" s="28"/>
      <c r="H33162" s="28"/>
    </row>
    <row r="33163" spans="4:8" x14ac:dyDescent="0.25">
      <c r="D33163" s="28"/>
      <c r="F33163" s="28"/>
      <c r="H33163" s="28"/>
    </row>
    <row r="33164" spans="4:8" x14ac:dyDescent="0.25">
      <c r="D33164" s="28"/>
      <c r="F33164" s="28"/>
      <c r="H33164" s="28"/>
    </row>
    <row r="33165" spans="4:8" x14ac:dyDescent="0.25">
      <c r="D33165" s="28"/>
      <c r="F33165" s="28"/>
      <c r="H33165" s="28"/>
    </row>
    <row r="33166" spans="4:8" x14ac:dyDescent="0.25">
      <c r="D33166" s="28"/>
      <c r="F33166" s="28"/>
      <c r="H33166" s="28"/>
    </row>
    <row r="33167" spans="4:8" x14ac:dyDescent="0.25">
      <c r="D33167" s="28"/>
      <c r="F33167" s="28"/>
      <c r="H33167" s="28"/>
    </row>
    <row r="33168" spans="4:8" x14ac:dyDescent="0.25">
      <c r="D33168" s="28"/>
      <c r="F33168" s="28"/>
      <c r="H33168" s="28"/>
    </row>
    <row r="33169" spans="4:8" x14ac:dyDescent="0.25">
      <c r="D33169" s="28"/>
      <c r="F33169" s="28"/>
      <c r="H33169" s="28"/>
    </row>
    <row r="33170" spans="4:8" x14ac:dyDescent="0.25">
      <c r="D33170" s="28"/>
      <c r="F33170" s="28"/>
      <c r="H33170" s="28"/>
    </row>
    <row r="33171" spans="4:8" x14ac:dyDescent="0.25">
      <c r="D33171" s="28"/>
      <c r="F33171" s="28"/>
      <c r="H33171" s="28"/>
    </row>
    <row r="33172" spans="4:8" x14ac:dyDescent="0.25">
      <c r="D33172" s="28"/>
      <c r="F33172" s="28"/>
      <c r="H33172" s="28"/>
    </row>
    <row r="33173" spans="4:8" x14ac:dyDescent="0.25">
      <c r="D33173" s="28"/>
      <c r="F33173" s="28"/>
      <c r="H33173" s="28"/>
    </row>
    <row r="33174" spans="4:8" x14ac:dyDescent="0.25">
      <c r="D33174" s="28"/>
      <c r="F33174" s="28"/>
      <c r="H33174" s="28"/>
    </row>
    <row r="33175" spans="4:8" x14ac:dyDescent="0.25">
      <c r="D33175" s="28"/>
      <c r="F33175" s="28"/>
      <c r="H33175" s="28"/>
    </row>
    <row r="33176" spans="4:8" x14ac:dyDescent="0.25">
      <c r="D33176" s="28"/>
      <c r="F33176" s="28"/>
      <c r="H33176" s="28"/>
    </row>
    <row r="33177" spans="4:8" x14ac:dyDescent="0.25">
      <c r="D33177" s="28"/>
      <c r="F33177" s="28"/>
      <c r="H33177" s="28"/>
    </row>
    <row r="33178" spans="4:8" x14ac:dyDescent="0.25">
      <c r="D33178" s="28"/>
      <c r="F33178" s="28"/>
      <c r="H33178" s="28"/>
    </row>
    <row r="33179" spans="4:8" x14ac:dyDescent="0.25">
      <c r="D33179" s="28"/>
      <c r="F33179" s="28"/>
      <c r="H33179" s="28"/>
    </row>
    <row r="33180" spans="4:8" x14ac:dyDescent="0.25">
      <c r="D33180" s="28"/>
      <c r="F33180" s="28"/>
      <c r="H33180" s="28"/>
    </row>
    <row r="33181" spans="4:8" x14ac:dyDescent="0.25">
      <c r="D33181" s="28"/>
      <c r="F33181" s="28"/>
      <c r="H33181" s="28"/>
    </row>
    <row r="33182" spans="4:8" x14ac:dyDescent="0.25">
      <c r="D33182" s="28"/>
      <c r="F33182" s="28"/>
      <c r="H33182" s="28"/>
    </row>
    <row r="33183" spans="4:8" x14ac:dyDescent="0.25">
      <c r="D33183" s="28"/>
      <c r="F33183" s="28"/>
      <c r="H33183" s="28"/>
    </row>
    <row r="33184" spans="4:8" x14ac:dyDescent="0.25">
      <c r="D33184" s="28"/>
      <c r="F33184" s="28"/>
      <c r="H33184" s="28"/>
    </row>
    <row r="33185" spans="4:8" x14ac:dyDescent="0.25">
      <c r="D33185" s="28"/>
      <c r="F33185" s="28"/>
      <c r="H33185" s="28"/>
    </row>
    <row r="33186" spans="4:8" x14ac:dyDescent="0.25">
      <c r="D33186" s="28"/>
      <c r="F33186" s="28"/>
      <c r="H33186" s="28"/>
    </row>
    <row r="33187" spans="4:8" x14ac:dyDescent="0.25">
      <c r="D33187" s="28"/>
      <c r="F33187" s="28"/>
      <c r="H33187" s="28"/>
    </row>
    <row r="33188" spans="4:8" x14ac:dyDescent="0.25">
      <c r="D33188" s="28"/>
      <c r="F33188" s="28"/>
      <c r="H33188" s="28"/>
    </row>
    <row r="33189" spans="4:8" x14ac:dyDescent="0.25">
      <c r="D33189" s="28"/>
      <c r="F33189" s="28"/>
      <c r="H33189" s="28"/>
    </row>
    <row r="33190" spans="4:8" x14ac:dyDescent="0.25">
      <c r="D33190" s="28"/>
      <c r="F33190" s="28"/>
      <c r="H33190" s="28"/>
    </row>
    <row r="33191" spans="4:8" x14ac:dyDescent="0.25">
      <c r="D33191" s="28"/>
      <c r="F33191" s="28"/>
      <c r="H33191" s="28"/>
    </row>
    <row r="33192" spans="4:8" x14ac:dyDescent="0.25">
      <c r="D33192" s="28"/>
      <c r="F33192" s="28"/>
      <c r="H33192" s="28"/>
    </row>
    <row r="33193" spans="4:8" x14ac:dyDescent="0.25">
      <c r="D33193" s="28"/>
      <c r="F33193" s="28"/>
      <c r="H33193" s="28"/>
    </row>
    <row r="33194" spans="4:8" x14ac:dyDescent="0.25">
      <c r="D33194" s="28"/>
      <c r="F33194" s="28"/>
      <c r="H33194" s="28"/>
    </row>
    <row r="33195" spans="4:8" x14ac:dyDescent="0.25">
      <c r="D33195" s="28"/>
      <c r="F33195" s="28"/>
      <c r="H33195" s="28"/>
    </row>
    <row r="33196" spans="4:8" x14ac:dyDescent="0.25">
      <c r="D33196" s="28"/>
      <c r="F33196" s="28"/>
      <c r="H33196" s="28"/>
    </row>
    <row r="33197" spans="4:8" x14ac:dyDescent="0.25">
      <c r="D33197" s="28"/>
      <c r="F33197" s="28"/>
      <c r="H33197" s="28"/>
    </row>
    <row r="33198" spans="4:8" x14ac:dyDescent="0.25">
      <c r="D33198" s="28"/>
      <c r="F33198" s="28"/>
      <c r="H33198" s="28"/>
    </row>
    <row r="33199" spans="4:8" x14ac:dyDescent="0.25">
      <c r="D33199" s="28"/>
      <c r="F33199" s="28"/>
      <c r="H33199" s="28"/>
    </row>
    <row r="33200" spans="4:8" x14ac:dyDescent="0.25">
      <c r="D33200" s="28"/>
      <c r="F33200" s="28"/>
      <c r="H33200" s="28"/>
    </row>
    <row r="33201" spans="4:8" x14ac:dyDescent="0.25">
      <c r="D33201" s="28"/>
      <c r="F33201" s="28"/>
      <c r="H33201" s="28"/>
    </row>
    <row r="33202" spans="4:8" x14ac:dyDescent="0.25">
      <c r="D33202" s="28"/>
      <c r="F33202" s="28"/>
      <c r="H33202" s="28"/>
    </row>
    <row r="33203" spans="4:8" x14ac:dyDescent="0.25">
      <c r="D33203" s="28"/>
      <c r="F33203" s="28"/>
      <c r="H33203" s="28"/>
    </row>
    <row r="33204" spans="4:8" x14ac:dyDescent="0.25">
      <c r="D33204" s="28"/>
      <c r="F33204" s="28"/>
      <c r="H33204" s="28"/>
    </row>
    <row r="33205" spans="4:8" x14ac:dyDescent="0.25">
      <c r="D33205" s="28"/>
      <c r="F33205" s="28"/>
      <c r="H33205" s="28"/>
    </row>
    <row r="33206" spans="4:8" x14ac:dyDescent="0.25">
      <c r="D33206" s="28"/>
      <c r="F33206" s="28"/>
      <c r="H33206" s="28"/>
    </row>
    <row r="33207" spans="4:8" x14ac:dyDescent="0.25">
      <c r="D33207" s="28"/>
      <c r="F33207" s="28"/>
      <c r="H33207" s="28"/>
    </row>
    <row r="33208" spans="4:8" x14ac:dyDescent="0.25">
      <c r="D33208" s="28"/>
      <c r="F33208" s="28"/>
      <c r="H33208" s="28"/>
    </row>
    <row r="33209" spans="4:8" x14ac:dyDescent="0.25">
      <c r="D33209" s="28"/>
      <c r="F33209" s="28"/>
      <c r="H33209" s="28"/>
    </row>
    <row r="33210" spans="4:8" x14ac:dyDescent="0.25">
      <c r="D33210" s="28"/>
      <c r="F33210" s="28"/>
      <c r="H33210" s="28"/>
    </row>
    <row r="33211" spans="4:8" x14ac:dyDescent="0.25">
      <c r="D33211" s="28"/>
      <c r="F33211" s="28"/>
      <c r="H33211" s="28"/>
    </row>
    <row r="33212" spans="4:8" x14ac:dyDescent="0.25">
      <c r="D33212" s="28"/>
      <c r="F33212" s="28"/>
      <c r="H33212" s="28"/>
    </row>
    <row r="33213" spans="4:8" x14ac:dyDescent="0.25">
      <c r="D33213" s="28"/>
      <c r="F33213" s="28"/>
      <c r="H33213" s="28"/>
    </row>
    <row r="33214" spans="4:8" x14ac:dyDescent="0.25">
      <c r="D33214" s="28"/>
      <c r="F33214" s="28"/>
      <c r="H33214" s="28"/>
    </row>
    <row r="33215" spans="4:8" x14ac:dyDescent="0.25">
      <c r="D33215" s="28"/>
      <c r="F33215" s="28"/>
      <c r="H33215" s="28"/>
    </row>
    <row r="33216" spans="4:8" x14ac:dyDescent="0.25">
      <c r="D33216" s="28"/>
      <c r="F33216" s="28"/>
      <c r="H33216" s="28"/>
    </row>
    <row r="33217" spans="4:8" x14ac:dyDescent="0.25">
      <c r="D33217" s="28"/>
      <c r="F33217" s="28"/>
      <c r="H33217" s="28"/>
    </row>
    <row r="33218" spans="4:8" x14ac:dyDescent="0.25">
      <c r="D33218" s="28"/>
      <c r="F33218" s="28"/>
      <c r="H33218" s="28"/>
    </row>
    <row r="33219" spans="4:8" x14ac:dyDescent="0.25">
      <c r="D33219" s="28"/>
      <c r="F33219" s="28"/>
      <c r="H33219" s="28"/>
    </row>
    <row r="33220" spans="4:8" x14ac:dyDescent="0.25">
      <c r="D33220" s="28"/>
      <c r="F33220" s="28"/>
      <c r="H33220" s="28"/>
    </row>
    <row r="33221" spans="4:8" x14ac:dyDescent="0.25">
      <c r="D33221" s="28"/>
      <c r="F33221" s="28"/>
      <c r="H33221" s="28"/>
    </row>
    <row r="33222" spans="4:8" x14ac:dyDescent="0.25">
      <c r="D33222" s="28"/>
      <c r="F33222" s="28"/>
      <c r="H33222" s="28"/>
    </row>
    <row r="33223" spans="4:8" x14ac:dyDescent="0.25">
      <c r="D33223" s="28"/>
      <c r="F33223" s="28"/>
      <c r="H33223" s="28"/>
    </row>
    <row r="33224" spans="4:8" x14ac:dyDescent="0.25">
      <c r="D33224" s="28"/>
      <c r="F33224" s="28"/>
      <c r="H33224" s="28"/>
    </row>
    <row r="33225" spans="4:8" x14ac:dyDescent="0.25">
      <c r="D33225" s="28"/>
      <c r="F33225" s="28"/>
      <c r="H33225" s="28"/>
    </row>
    <row r="33226" spans="4:8" x14ac:dyDescent="0.25">
      <c r="D33226" s="28"/>
      <c r="F33226" s="28"/>
      <c r="H33226" s="28"/>
    </row>
    <row r="33227" spans="4:8" x14ac:dyDescent="0.25">
      <c r="D33227" s="28"/>
      <c r="F33227" s="28"/>
      <c r="H33227" s="28"/>
    </row>
    <row r="33228" spans="4:8" x14ac:dyDescent="0.25">
      <c r="D33228" s="28"/>
      <c r="F33228" s="28"/>
      <c r="H33228" s="28"/>
    </row>
    <row r="33229" spans="4:8" x14ac:dyDescent="0.25">
      <c r="D33229" s="28"/>
      <c r="F33229" s="28"/>
      <c r="H33229" s="28"/>
    </row>
    <row r="33230" spans="4:8" x14ac:dyDescent="0.25">
      <c r="D33230" s="28"/>
      <c r="F33230" s="28"/>
      <c r="H33230" s="28"/>
    </row>
    <row r="33231" spans="4:8" x14ac:dyDescent="0.25">
      <c r="D33231" s="28"/>
      <c r="F33231" s="28"/>
      <c r="H33231" s="28"/>
    </row>
    <row r="33232" spans="4:8" x14ac:dyDescent="0.25">
      <c r="D33232" s="28"/>
      <c r="F33232" s="28"/>
      <c r="H33232" s="28"/>
    </row>
    <row r="33233" spans="4:8" x14ac:dyDescent="0.25">
      <c r="D33233" s="28"/>
      <c r="F33233" s="28"/>
      <c r="H33233" s="28"/>
    </row>
    <row r="33234" spans="4:8" x14ac:dyDescent="0.25">
      <c r="D33234" s="28"/>
      <c r="F33234" s="28"/>
      <c r="H33234" s="28"/>
    </row>
    <row r="33235" spans="4:8" x14ac:dyDescent="0.25">
      <c r="D33235" s="28"/>
      <c r="F33235" s="28"/>
      <c r="H33235" s="28"/>
    </row>
    <row r="33236" spans="4:8" x14ac:dyDescent="0.25">
      <c r="D33236" s="28"/>
      <c r="F33236" s="28"/>
      <c r="H33236" s="28"/>
    </row>
    <row r="33237" spans="4:8" x14ac:dyDescent="0.25">
      <c r="D33237" s="28"/>
      <c r="F33237" s="28"/>
      <c r="H33237" s="28"/>
    </row>
    <row r="33238" spans="4:8" x14ac:dyDescent="0.25">
      <c r="D33238" s="28"/>
      <c r="F33238" s="28"/>
      <c r="H33238" s="28"/>
    </row>
    <row r="33239" spans="4:8" x14ac:dyDescent="0.25">
      <c r="D33239" s="28"/>
      <c r="F33239" s="28"/>
      <c r="H33239" s="28"/>
    </row>
    <row r="33240" spans="4:8" x14ac:dyDescent="0.25">
      <c r="D33240" s="28"/>
      <c r="F33240" s="28"/>
      <c r="H33240" s="28"/>
    </row>
    <row r="33241" spans="4:8" x14ac:dyDescent="0.25">
      <c r="D33241" s="28"/>
      <c r="F33241" s="28"/>
      <c r="H33241" s="28"/>
    </row>
    <row r="33242" spans="4:8" x14ac:dyDescent="0.25">
      <c r="D33242" s="28"/>
      <c r="F33242" s="28"/>
      <c r="H33242" s="28"/>
    </row>
    <row r="33243" spans="4:8" x14ac:dyDescent="0.25">
      <c r="D33243" s="28"/>
      <c r="F33243" s="28"/>
      <c r="H33243" s="28"/>
    </row>
    <row r="33244" spans="4:8" x14ac:dyDescent="0.25">
      <c r="D33244" s="28"/>
      <c r="F33244" s="28"/>
      <c r="H33244" s="28"/>
    </row>
    <row r="33245" spans="4:8" x14ac:dyDescent="0.25">
      <c r="D33245" s="28"/>
      <c r="F33245" s="28"/>
      <c r="H33245" s="28"/>
    </row>
    <row r="33246" spans="4:8" x14ac:dyDescent="0.25">
      <c r="D33246" s="28"/>
      <c r="F33246" s="28"/>
      <c r="H33246" s="28"/>
    </row>
    <row r="33247" spans="4:8" x14ac:dyDescent="0.25">
      <c r="D33247" s="28"/>
      <c r="F33247" s="28"/>
      <c r="H33247" s="28"/>
    </row>
    <row r="33248" spans="4:8" x14ac:dyDescent="0.25">
      <c r="D33248" s="28"/>
      <c r="F33248" s="28"/>
      <c r="H33248" s="28"/>
    </row>
    <row r="33249" spans="4:8" x14ac:dyDescent="0.25">
      <c r="D33249" s="28"/>
      <c r="F33249" s="28"/>
      <c r="H33249" s="28"/>
    </row>
    <row r="33250" spans="4:8" x14ac:dyDescent="0.25">
      <c r="D33250" s="28"/>
      <c r="F33250" s="28"/>
      <c r="H33250" s="28"/>
    </row>
    <row r="33251" spans="4:8" x14ac:dyDescent="0.25">
      <c r="D33251" s="28"/>
      <c r="F33251" s="28"/>
      <c r="H33251" s="28"/>
    </row>
    <row r="33252" spans="4:8" x14ac:dyDescent="0.25">
      <c r="D33252" s="28"/>
      <c r="F33252" s="28"/>
      <c r="H33252" s="28"/>
    </row>
    <row r="33253" spans="4:8" x14ac:dyDescent="0.25">
      <c r="D33253" s="28"/>
      <c r="F33253" s="28"/>
      <c r="H33253" s="28"/>
    </row>
    <row r="33254" spans="4:8" x14ac:dyDescent="0.25">
      <c r="D33254" s="28"/>
      <c r="F33254" s="28"/>
      <c r="H33254" s="28"/>
    </row>
    <row r="33255" spans="4:8" x14ac:dyDescent="0.25">
      <c r="D33255" s="28"/>
      <c r="F33255" s="28"/>
      <c r="H33255" s="28"/>
    </row>
    <row r="33256" spans="4:8" x14ac:dyDescent="0.25">
      <c r="D33256" s="28"/>
      <c r="F33256" s="28"/>
      <c r="H33256" s="28"/>
    </row>
    <row r="33257" spans="4:8" x14ac:dyDescent="0.25">
      <c r="D33257" s="28"/>
      <c r="F33257" s="28"/>
      <c r="H33257" s="28"/>
    </row>
    <row r="33258" spans="4:8" x14ac:dyDescent="0.25">
      <c r="D33258" s="28"/>
      <c r="F33258" s="28"/>
      <c r="H33258" s="28"/>
    </row>
    <row r="33259" spans="4:8" x14ac:dyDescent="0.25">
      <c r="D33259" s="28"/>
      <c r="F33259" s="28"/>
      <c r="H33259" s="28"/>
    </row>
    <row r="33260" spans="4:8" x14ac:dyDescent="0.25">
      <c r="D33260" s="28"/>
      <c r="F33260" s="28"/>
      <c r="H33260" s="28"/>
    </row>
    <row r="33261" spans="4:8" x14ac:dyDescent="0.25">
      <c r="D33261" s="28"/>
      <c r="F33261" s="28"/>
      <c r="H33261" s="28"/>
    </row>
    <row r="33262" spans="4:8" x14ac:dyDescent="0.25">
      <c r="D33262" s="28"/>
      <c r="F33262" s="28"/>
      <c r="H33262" s="28"/>
    </row>
    <row r="33263" spans="4:8" x14ac:dyDescent="0.25">
      <c r="D33263" s="28"/>
      <c r="F33263" s="28"/>
      <c r="H33263" s="28"/>
    </row>
    <row r="33264" spans="4:8" x14ac:dyDescent="0.25">
      <c r="D33264" s="28"/>
      <c r="F33264" s="28"/>
      <c r="H33264" s="28"/>
    </row>
    <row r="33265" spans="4:8" x14ac:dyDescent="0.25">
      <c r="D33265" s="28"/>
      <c r="F33265" s="28"/>
      <c r="H33265" s="28"/>
    </row>
    <row r="33266" spans="4:8" x14ac:dyDescent="0.25">
      <c r="D33266" s="28"/>
      <c r="F33266" s="28"/>
      <c r="H33266" s="28"/>
    </row>
    <row r="33267" spans="4:8" x14ac:dyDescent="0.25">
      <c r="D33267" s="28"/>
      <c r="F33267" s="28"/>
      <c r="H33267" s="28"/>
    </row>
    <row r="33268" spans="4:8" x14ac:dyDescent="0.25">
      <c r="D33268" s="28"/>
      <c r="F33268" s="28"/>
      <c r="H33268" s="28"/>
    </row>
    <row r="33269" spans="4:8" x14ac:dyDescent="0.25">
      <c r="D33269" s="28"/>
      <c r="F33269" s="28"/>
      <c r="H33269" s="28"/>
    </row>
    <row r="33270" spans="4:8" x14ac:dyDescent="0.25">
      <c r="D33270" s="28"/>
      <c r="F33270" s="28"/>
      <c r="H33270" s="28"/>
    </row>
    <row r="33271" spans="4:8" x14ac:dyDescent="0.25">
      <c r="D33271" s="28"/>
      <c r="F33271" s="28"/>
      <c r="H33271" s="28"/>
    </row>
    <row r="33272" spans="4:8" x14ac:dyDescent="0.25">
      <c r="D33272" s="28"/>
      <c r="F33272" s="28"/>
      <c r="H33272" s="28"/>
    </row>
    <row r="33273" spans="4:8" x14ac:dyDescent="0.25">
      <c r="D33273" s="28"/>
      <c r="F33273" s="28"/>
      <c r="H33273" s="28"/>
    </row>
    <row r="33274" spans="4:8" x14ac:dyDescent="0.25">
      <c r="D33274" s="28"/>
      <c r="F33274" s="28"/>
      <c r="H33274" s="28"/>
    </row>
    <row r="33275" spans="4:8" x14ac:dyDescent="0.25">
      <c r="D33275" s="28"/>
      <c r="F33275" s="28"/>
      <c r="H33275" s="28"/>
    </row>
    <row r="33276" spans="4:8" x14ac:dyDescent="0.25">
      <c r="D33276" s="28"/>
      <c r="F33276" s="28"/>
      <c r="H33276" s="28"/>
    </row>
    <row r="33277" spans="4:8" x14ac:dyDescent="0.25">
      <c r="D33277" s="28"/>
      <c r="F33277" s="28"/>
      <c r="H33277" s="28"/>
    </row>
    <row r="33278" spans="4:8" x14ac:dyDescent="0.25">
      <c r="D33278" s="28"/>
      <c r="F33278" s="28"/>
      <c r="H33278" s="28"/>
    </row>
    <row r="33279" spans="4:8" x14ac:dyDescent="0.25">
      <c r="D33279" s="28"/>
      <c r="F33279" s="28"/>
      <c r="H33279" s="28"/>
    </row>
    <row r="33280" spans="4:8" x14ac:dyDescent="0.25">
      <c r="D33280" s="28"/>
      <c r="F33280" s="28"/>
      <c r="H33280" s="28"/>
    </row>
    <row r="33281" spans="4:8" x14ac:dyDescent="0.25">
      <c r="D33281" s="28"/>
      <c r="F33281" s="28"/>
      <c r="H33281" s="28"/>
    </row>
    <row r="33282" spans="4:8" x14ac:dyDescent="0.25">
      <c r="D33282" s="28"/>
      <c r="F33282" s="28"/>
      <c r="H33282" s="28"/>
    </row>
    <row r="33283" spans="4:8" x14ac:dyDescent="0.25">
      <c r="D33283" s="28"/>
      <c r="F33283" s="28"/>
      <c r="H33283" s="28"/>
    </row>
    <row r="33284" spans="4:8" x14ac:dyDescent="0.25">
      <c r="D33284" s="28"/>
      <c r="F33284" s="28"/>
      <c r="H33284" s="28"/>
    </row>
    <row r="33285" spans="4:8" x14ac:dyDescent="0.25">
      <c r="D33285" s="28"/>
      <c r="F33285" s="28"/>
      <c r="H33285" s="28"/>
    </row>
    <row r="33286" spans="4:8" x14ac:dyDescent="0.25">
      <c r="D33286" s="28"/>
      <c r="F33286" s="28"/>
      <c r="H33286" s="28"/>
    </row>
    <row r="33287" spans="4:8" x14ac:dyDescent="0.25">
      <c r="D33287" s="28"/>
      <c r="F33287" s="28"/>
      <c r="H33287" s="28"/>
    </row>
    <row r="33288" spans="4:8" x14ac:dyDescent="0.25">
      <c r="D33288" s="28"/>
      <c r="F33288" s="28"/>
      <c r="H33288" s="28"/>
    </row>
    <row r="33289" spans="4:8" x14ac:dyDescent="0.25">
      <c r="D33289" s="28"/>
      <c r="F33289" s="28"/>
      <c r="H33289" s="28"/>
    </row>
    <row r="33290" spans="4:8" x14ac:dyDescent="0.25">
      <c r="D33290" s="28"/>
      <c r="F33290" s="28"/>
      <c r="H33290" s="28"/>
    </row>
    <row r="33291" spans="4:8" x14ac:dyDescent="0.25">
      <c r="D33291" s="28"/>
      <c r="F33291" s="28"/>
      <c r="H33291" s="28"/>
    </row>
    <row r="33292" spans="4:8" x14ac:dyDescent="0.25">
      <c r="D33292" s="28"/>
      <c r="F33292" s="28"/>
      <c r="H33292" s="28"/>
    </row>
    <row r="33293" spans="4:8" x14ac:dyDescent="0.25">
      <c r="D33293" s="28"/>
      <c r="F33293" s="28"/>
      <c r="H33293" s="28"/>
    </row>
    <row r="33294" spans="4:8" x14ac:dyDescent="0.25">
      <c r="D33294" s="28"/>
      <c r="F33294" s="28"/>
      <c r="H33294" s="28"/>
    </row>
    <row r="33295" spans="4:8" x14ac:dyDescent="0.25">
      <c r="D33295" s="28"/>
      <c r="F33295" s="28"/>
      <c r="H33295" s="28"/>
    </row>
    <row r="33296" spans="4:8" x14ac:dyDescent="0.25">
      <c r="D33296" s="28"/>
      <c r="F33296" s="28"/>
      <c r="H33296" s="28"/>
    </row>
    <row r="33297" spans="4:8" x14ac:dyDescent="0.25">
      <c r="D33297" s="28"/>
      <c r="F33297" s="28"/>
      <c r="H33297" s="28"/>
    </row>
    <row r="33298" spans="4:8" x14ac:dyDescent="0.25">
      <c r="D33298" s="28"/>
      <c r="F33298" s="28"/>
      <c r="H33298" s="28"/>
    </row>
    <row r="33299" spans="4:8" x14ac:dyDescent="0.25">
      <c r="D33299" s="28"/>
      <c r="F33299" s="28"/>
      <c r="H33299" s="28"/>
    </row>
    <row r="33300" spans="4:8" x14ac:dyDescent="0.25">
      <c r="D33300" s="28"/>
      <c r="F33300" s="28"/>
      <c r="H33300" s="28"/>
    </row>
    <row r="33301" spans="4:8" x14ac:dyDescent="0.25">
      <c r="D33301" s="28"/>
      <c r="F33301" s="28"/>
      <c r="H33301" s="28"/>
    </row>
    <row r="33302" spans="4:8" x14ac:dyDescent="0.25">
      <c r="D33302" s="28"/>
      <c r="F33302" s="28"/>
      <c r="H33302" s="28"/>
    </row>
    <row r="33303" spans="4:8" x14ac:dyDescent="0.25">
      <c r="D33303" s="28"/>
      <c r="F33303" s="28"/>
      <c r="H33303" s="28"/>
    </row>
    <row r="33304" spans="4:8" x14ac:dyDescent="0.25">
      <c r="D33304" s="28"/>
      <c r="F33304" s="28"/>
      <c r="H33304" s="28"/>
    </row>
    <row r="33305" spans="4:8" x14ac:dyDescent="0.25">
      <c r="D33305" s="28"/>
      <c r="F33305" s="28"/>
      <c r="H33305" s="28"/>
    </row>
    <row r="33306" spans="4:8" x14ac:dyDescent="0.25">
      <c r="D33306" s="28"/>
      <c r="F33306" s="28"/>
      <c r="H33306" s="28"/>
    </row>
    <row r="33307" spans="4:8" x14ac:dyDescent="0.25">
      <c r="D33307" s="28"/>
      <c r="F33307" s="28"/>
      <c r="H33307" s="28"/>
    </row>
    <row r="33308" spans="4:8" x14ac:dyDescent="0.25">
      <c r="D33308" s="28"/>
      <c r="F33308" s="28"/>
      <c r="H33308" s="28"/>
    </row>
    <row r="33309" spans="4:8" x14ac:dyDescent="0.25">
      <c r="D33309" s="28"/>
      <c r="F33309" s="28"/>
      <c r="H33309" s="28"/>
    </row>
    <row r="33310" spans="4:8" x14ac:dyDescent="0.25">
      <c r="D33310" s="28"/>
      <c r="F33310" s="28"/>
      <c r="H33310" s="28"/>
    </row>
    <row r="33311" spans="4:8" x14ac:dyDescent="0.25">
      <c r="D33311" s="28"/>
      <c r="F33311" s="28"/>
      <c r="H33311" s="28"/>
    </row>
    <row r="33312" spans="4:8" x14ac:dyDescent="0.25">
      <c r="D33312" s="28"/>
      <c r="F33312" s="28"/>
      <c r="H33312" s="28"/>
    </row>
    <row r="33313" spans="4:8" x14ac:dyDescent="0.25">
      <c r="D33313" s="28"/>
      <c r="F33313" s="28"/>
      <c r="H33313" s="28"/>
    </row>
    <row r="33314" spans="4:8" x14ac:dyDescent="0.25">
      <c r="D33314" s="28"/>
      <c r="F33314" s="28"/>
      <c r="H33314" s="28"/>
    </row>
    <row r="33315" spans="4:8" x14ac:dyDescent="0.25">
      <c r="D33315" s="28"/>
      <c r="F33315" s="28"/>
      <c r="H33315" s="28"/>
    </row>
    <row r="33316" spans="4:8" x14ac:dyDescent="0.25">
      <c r="D33316" s="28"/>
      <c r="F33316" s="28"/>
      <c r="H33316" s="28"/>
    </row>
    <row r="33317" spans="4:8" x14ac:dyDescent="0.25">
      <c r="D33317" s="28"/>
      <c r="F33317" s="28"/>
      <c r="H33317" s="28"/>
    </row>
    <row r="33318" spans="4:8" x14ac:dyDescent="0.25">
      <c r="D33318" s="28"/>
      <c r="F33318" s="28"/>
      <c r="H33318" s="28"/>
    </row>
    <row r="33319" spans="4:8" x14ac:dyDescent="0.25">
      <c r="D33319" s="28"/>
      <c r="F33319" s="28"/>
      <c r="H33319" s="28"/>
    </row>
    <row r="33320" spans="4:8" x14ac:dyDescent="0.25">
      <c r="D33320" s="28"/>
      <c r="F33320" s="28"/>
      <c r="H33320" s="28"/>
    </row>
    <row r="33321" spans="4:8" x14ac:dyDescent="0.25">
      <c r="D33321" s="28"/>
      <c r="F33321" s="28"/>
      <c r="H33321" s="28"/>
    </row>
    <row r="33322" spans="4:8" x14ac:dyDescent="0.25">
      <c r="D33322" s="28"/>
      <c r="F33322" s="28"/>
      <c r="H33322" s="28"/>
    </row>
    <row r="33323" spans="4:8" x14ac:dyDescent="0.25">
      <c r="D33323" s="28"/>
      <c r="F33323" s="28"/>
      <c r="H33323" s="28"/>
    </row>
    <row r="33324" spans="4:8" x14ac:dyDescent="0.25">
      <c r="D33324" s="28"/>
      <c r="F33324" s="28"/>
      <c r="H33324" s="28"/>
    </row>
    <row r="33325" spans="4:8" x14ac:dyDescent="0.25">
      <c r="D33325" s="28"/>
      <c r="F33325" s="28"/>
      <c r="H33325" s="28"/>
    </row>
    <row r="33326" spans="4:8" x14ac:dyDescent="0.25">
      <c r="D33326" s="28"/>
      <c r="F33326" s="28"/>
      <c r="H33326" s="28"/>
    </row>
    <row r="33327" spans="4:8" x14ac:dyDescent="0.25">
      <c r="D33327" s="28"/>
      <c r="F33327" s="28"/>
      <c r="H33327" s="28"/>
    </row>
    <row r="33328" spans="4:8" x14ac:dyDescent="0.25">
      <c r="D33328" s="28"/>
      <c r="F33328" s="28"/>
      <c r="H33328" s="28"/>
    </row>
    <row r="33329" spans="4:8" x14ac:dyDescent="0.25">
      <c r="D33329" s="28"/>
      <c r="F33329" s="28"/>
      <c r="H33329" s="28"/>
    </row>
    <row r="33330" spans="4:8" x14ac:dyDescent="0.25">
      <c r="D33330" s="28"/>
      <c r="F33330" s="28"/>
      <c r="H33330" s="28"/>
    </row>
    <row r="33331" spans="4:8" x14ac:dyDescent="0.25">
      <c r="D33331" s="28"/>
      <c r="F33331" s="28"/>
      <c r="H33331" s="28"/>
    </row>
    <row r="33332" spans="4:8" x14ac:dyDescent="0.25">
      <c r="D33332" s="28"/>
      <c r="F33332" s="28"/>
      <c r="H33332" s="28"/>
    </row>
    <row r="33333" spans="4:8" x14ac:dyDescent="0.25">
      <c r="D33333" s="28"/>
      <c r="F33333" s="28"/>
      <c r="H33333" s="28"/>
    </row>
    <row r="33334" spans="4:8" x14ac:dyDescent="0.25">
      <c r="D33334" s="28"/>
      <c r="F33334" s="28"/>
      <c r="H33334" s="28"/>
    </row>
    <row r="33335" spans="4:8" x14ac:dyDescent="0.25">
      <c r="D33335" s="28"/>
      <c r="F33335" s="28"/>
      <c r="H33335" s="28"/>
    </row>
    <row r="33336" spans="4:8" x14ac:dyDescent="0.25">
      <c r="D33336" s="28"/>
      <c r="F33336" s="28"/>
      <c r="H33336" s="28"/>
    </row>
    <row r="33337" spans="4:8" x14ac:dyDescent="0.25">
      <c r="D33337" s="28"/>
      <c r="F33337" s="28"/>
      <c r="H33337" s="28"/>
    </row>
    <row r="33338" spans="4:8" x14ac:dyDescent="0.25">
      <c r="D33338" s="28"/>
      <c r="F33338" s="28"/>
      <c r="H33338" s="28"/>
    </row>
    <row r="33339" spans="4:8" x14ac:dyDescent="0.25">
      <c r="D33339" s="28"/>
      <c r="F33339" s="28"/>
      <c r="H33339" s="28"/>
    </row>
    <row r="33340" spans="4:8" x14ac:dyDescent="0.25">
      <c r="D33340" s="28"/>
      <c r="F33340" s="28"/>
      <c r="H33340" s="28"/>
    </row>
    <row r="33341" spans="4:8" x14ac:dyDescent="0.25">
      <c r="D33341" s="28"/>
      <c r="F33341" s="28"/>
      <c r="H33341" s="28"/>
    </row>
    <row r="33342" spans="4:8" x14ac:dyDescent="0.25">
      <c r="D33342" s="28"/>
      <c r="F33342" s="28"/>
      <c r="H33342" s="28"/>
    </row>
    <row r="33343" spans="4:8" x14ac:dyDescent="0.25">
      <c r="D33343" s="28"/>
      <c r="F33343" s="28"/>
      <c r="H33343" s="28"/>
    </row>
    <row r="33344" spans="4:8" x14ac:dyDescent="0.25">
      <c r="D33344" s="28"/>
      <c r="F33344" s="28"/>
      <c r="H33344" s="28"/>
    </row>
    <row r="33345" spans="4:8" x14ac:dyDescent="0.25">
      <c r="D33345" s="28"/>
      <c r="F33345" s="28"/>
      <c r="H33345" s="28"/>
    </row>
    <row r="33346" spans="4:8" x14ac:dyDescent="0.25">
      <c r="D33346" s="28"/>
      <c r="F33346" s="28"/>
      <c r="H33346" s="28"/>
    </row>
    <row r="33347" spans="4:8" x14ac:dyDescent="0.25">
      <c r="D33347" s="28"/>
      <c r="F33347" s="28"/>
      <c r="H33347" s="28"/>
    </row>
    <row r="33348" spans="4:8" x14ac:dyDescent="0.25">
      <c r="D33348" s="28"/>
      <c r="F33348" s="28"/>
      <c r="H33348" s="28"/>
    </row>
    <row r="33349" spans="4:8" x14ac:dyDescent="0.25">
      <c r="D33349" s="28"/>
      <c r="F33349" s="28"/>
      <c r="H33349" s="28"/>
    </row>
    <row r="33350" spans="4:8" x14ac:dyDescent="0.25">
      <c r="D33350" s="28"/>
      <c r="F33350" s="28"/>
      <c r="H33350" s="28"/>
    </row>
    <row r="33351" spans="4:8" x14ac:dyDescent="0.25">
      <c r="D33351" s="28"/>
      <c r="F33351" s="28"/>
      <c r="H33351" s="28"/>
    </row>
    <row r="33352" spans="4:8" x14ac:dyDescent="0.25">
      <c r="D33352" s="28"/>
      <c r="F33352" s="28"/>
      <c r="H33352" s="28"/>
    </row>
    <row r="33353" spans="4:8" x14ac:dyDescent="0.25">
      <c r="D33353" s="28"/>
      <c r="F33353" s="28"/>
      <c r="H33353" s="28"/>
    </row>
    <row r="33354" spans="4:8" x14ac:dyDescent="0.25">
      <c r="D33354" s="28"/>
      <c r="F33354" s="28"/>
      <c r="H33354" s="28"/>
    </row>
    <row r="33355" spans="4:8" x14ac:dyDescent="0.25">
      <c r="D33355" s="28"/>
      <c r="F33355" s="28"/>
      <c r="H33355" s="28"/>
    </row>
    <row r="33356" spans="4:8" x14ac:dyDescent="0.25">
      <c r="D33356" s="28"/>
      <c r="F33356" s="28"/>
      <c r="H33356" s="28"/>
    </row>
    <row r="33357" spans="4:8" x14ac:dyDescent="0.25">
      <c r="D33357" s="28"/>
      <c r="F33357" s="28"/>
      <c r="H33357" s="28"/>
    </row>
    <row r="33358" spans="4:8" x14ac:dyDescent="0.25">
      <c r="D33358" s="28"/>
      <c r="F33358" s="28"/>
      <c r="H33358" s="28"/>
    </row>
    <row r="33359" spans="4:8" x14ac:dyDescent="0.25">
      <c r="D33359" s="28"/>
      <c r="F33359" s="28"/>
      <c r="H33359" s="28"/>
    </row>
    <row r="33360" spans="4:8" x14ac:dyDescent="0.25">
      <c r="D33360" s="28"/>
      <c r="F33360" s="28"/>
      <c r="H33360" s="28"/>
    </row>
    <row r="33361" spans="4:8" x14ac:dyDescent="0.25">
      <c r="D33361" s="28"/>
      <c r="F33361" s="28"/>
      <c r="H33361" s="28"/>
    </row>
    <row r="33362" spans="4:8" x14ac:dyDescent="0.25">
      <c r="D33362" s="28"/>
      <c r="F33362" s="28"/>
      <c r="H33362" s="28"/>
    </row>
    <row r="33363" spans="4:8" x14ac:dyDescent="0.25">
      <c r="D33363" s="28"/>
      <c r="F33363" s="28"/>
      <c r="H33363" s="28"/>
    </row>
    <row r="33364" spans="4:8" x14ac:dyDescent="0.25">
      <c r="D33364" s="28"/>
      <c r="F33364" s="28"/>
      <c r="H33364" s="28"/>
    </row>
    <row r="33365" spans="4:8" x14ac:dyDescent="0.25">
      <c r="D33365" s="28"/>
      <c r="F33365" s="28"/>
      <c r="H33365" s="28"/>
    </row>
    <row r="33366" spans="4:8" x14ac:dyDescent="0.25">
      <c r="D33366" s="28"/>
      <c r="F33366" s="28"/>
      <c r="H33366" s="28"/>
    </row>
    <row r="33367" spans="4:8" x14ac:dyDescent="0.25">
      <c r="D33367" s="28"/>
      <c r="F33367" s="28"/>
      <c r="H33367" s="28"/>
    </row>
    <row r="33368" spans="4:8" x14ac:dyDescent="0.25">
      <c r="D33368" s="28"/>
      <c r="F33368" s="28"/>
      <c r="H33368" s="28"/>
    </row>
    <row r="33369" spans="4:8" x14ac:dyDescent="0.25">
      <c r="D33369" s="28"/>
      <c r="F33369" s="28"/>
      <c r="H33369" s="28"/>
    </row>
    <row r="33370" spans="4:8" x14ac:dyDescent="0.25">
      <c r="D33370" s="28"/>
      <c r="F33370" s="28"/>
      <c r="H33370" s="28"/>
    </row>
    <row r="33371" spans="4:8" x14ac:dyDescent="0.25">
      <c r="D33371" s="28"/>
      <c r="F33371" s="28"/>
      <c r="H33371" s="28"/>
    </row>
    <row r="33372" spans="4:8" x14ac:dyDescent="0.25">
      <c r="D33372" s="28"/>
      <c r="F33372" s="28"/>
      <c r="H33372" s="28"/>
    </row>
    <row r="33373" spans="4:8" x14ac:dyDescent="0.25">
      <c r="D33373" s="28"/>
      <c r="F33373" s="28"/>
      <c r="H33373" s="28"/>
    </row>
    <row r="33374" spans="4:8" x14ac:dyDescent="0.25">
      <c r="D33374" s="28"/>
      <c r="F33374" s="28"/>
      <c r="H33374" s="28"/>
    </row>
    <row r="33375" spans="4:8" x14ac:dyDescent="0.25">
      <c r="D33375" s="28"/>
      <c r="F33375" s="28"/>
      <c r="H33375" s="28"/>
    </row>
    <row r="33376" spans="4:8" x14ac:dyDescent="0.25">
      <c r="D33376" s="28"/>
      <c r="F33376" s="28"/>
      <c r="H33376" s="28"/>
    </row>
    <row r="33377" spans="4:8" x14ac:dyDescent="0.25">
      <c r="D33377" s="28"/>
      <c r="F33377" s="28"/>
      <c r="H33377" s="28"/>
    </row>
    <row r="33378" spans="4:8" x14ac:dyDescent="0.25">
      <c r="D33378" s="28"/>
      <c r="F33378" s="28"/>
      <c r="H33378" s="28"/>
    </row>
    <row r="33379" spans="4:8" x14ac:dyDescent="0.25">
      <c r="D33379" s="28"/>
      <c r="F33379" s="28"/>
      <c r="H33379" s="28"/>
    </row>
    <row r="33380" spans="4:8" x14ac:dyDescent="0.25">
      <c r="D33380" s="28"/>
      <c r="F33380" s="28"/>
      <c r="H33380" s="28"/>
    </row>
    <row r="33381" spans="4:8" x14ac:dyDescent="0.25">
      <c r="D33381" s="28"/>
      <c r="F33381" s="28"/>
      <c r="H33381" s="28"/>
    </row>
    <row r="33382" spans="4:8" x14ac:dyDescent="0.25">
      <c r="D33382" s="28"/>
      <c r="F33382" s="28"/>
      <c r="H33382" s="28"/>
    </row>
    <row r="33383" spans="4:8" x14ac:dyDescent="0.25">
      <c r="D33383" s="28"/>
      <c r="F33383" s="28"/>
      <c r="H33383" s="28"/>
    </row>
    <row r="33384" spans="4:8" x14ac:dyDescent="0.25">
      <c r="D33384" s="28"/>
      <c r="F33384" s="28"/>
      <c r="H33384" s="28"/>
    </row>
    <row r="33385" spans="4:8" x14ac:dyDescent="0.25">
      <c r="D33385" s="28"/>
      <c r="F33385" s="28"/>
      <c r="H33385" s="28"/>
    </row>
    <row r="33386" spans="4:8" x14ac:dyDescent="0.25">
      <c r="D33386" s="28"/>
      <c r="F33386" s="28"/>
      <c r="H33386" s="28"/>
    </row>
    <row r="33387" spans="4:8" x14ac:dyDescent="0.25">
      <c r="D33387" s="28"/>
      <c r="F33387" s="28"/>
      <c r="H33387" s="28"/>
    </row>
    <row r="33388" spans="4:8" x14ac:dyDescent="0.25">
      <c r="D33388" s="28"/>
      <c r="F33388" s="28"/>
      <c r="H33388" s="28"/>
    </row>
    <row r="33389" spans="4:8" x14ac:dyDescent="0.25">
      <c r="D33389" s="28"/>
      <c r="F33389" s="28"/>
      <c r="H33389" s="28"/>
    </row>
    <row r="33390" spans="4:8" x14ac:dyDescent="0.25">
      <c r="D33390" s="28"/>
      <c r="F33390" s="28"/>
      <c r="H33390" s="28"/>
    </row>
    <row r="33391" spans="4:8" x14ac:dyDescent="0.25">
      <c r="D33391" s="28"/>
      <c r="F33391" s="28"/>
      <c r="H33391" s="28"/>
    </row>
    <row r="33392" spans="4:8" x14ac:dyDescent="0.25">
      <c r="D33392" s="28"/>
      <c r="F33392" s="28"/>
      <c r="H33392" s="28"/>
    </row>
    <row r="33393" spans="4:8" x14ac:dyDescent="0.25">
      <c r="D33393" s="28"/>
      <c r="F33393" s="28"/>
      <c r="H33393" s="28"/>
    </row>
    <row r="33394" spans="4:8" x14ac:dyDescent="0.25">
      <c r="D33394" s="28"/>
      <c r="F33394" s="28"/>
      <c r="H33394" s="28"/>
    </row>
    <row r="33395" spans="4:8" x14ac:dyDescent="0.25">
      <c r="D33395" s="28"/>
      <c r="F33395" s="28"/>
      <c r="H33395" s="28"/>
    </row>
    <row r="33396" spans="4:8" x14ac:dyDescent="0.25">
      <c r="D33396" s="28"/>
      <c r="F33396" s="28"/>
      <c r="H33396" s="28"/>
    </row>
    <row r="33397" spans="4:8" x14ac:dyDescent="0.25">
      <c r="D33397" s="28"/>
      <c r="F33397" s="28"/>
      <c r="H33397" s="28"/>
    </row>
    <row r="33398" spans="4:8" x14ac:dyDescent="0.25">
      <c r="D33398" s="28"/>
      <c r="F33398" s="28"/>
      <c r="H33398" s="28"/>
    </row>
    <row r="33399" spans="4:8" x14ac:dyDescent="0.25">
      <c r="D33399" s="28"/>
      <c r="F33399" s="28"/>
      <c r="H33399" s="28"/>
    </row>
    <row r="33400" spans="4:8" x14ac:dyDescent="0.25">
      <c r="D33400" s="28"/>
      <c r="F33400" s="28"/>
      <c r="H33400" s="28"/>
    </row>
    <row r="33401" spans="4:8" x14ac:dyDescent="0.25">
      <c r="D33401" s="28"/>
      <c r="F33401" s="28"/>
      <c r="H33401" s="28"/>
    </row>
    <row r="33402" spans="4:8" x14ac:dyDescent="0.25">
      <c r="D33402" s="28"/>
      <c r="F33402" s="28"/>
      <c r="H33402" s="28"/>
    </row>
    <row r="33403" spans="4:8" x14ac:dyDescent="0.25">
      <c r="D33403" s="28"/>
      <c r="F33403" s="28"/>
      <c r="H33403" s="28"/>
    </row>
    <row r="33404" spans="4:8" x14ac:dyDescent="0.25">
      <c r="D33404" s="28"/>
      <c r="F33404" s="28"/>
      <c r="H33404" s="28"/>
    </row>
    <row r="33405" spans="4:8" x14ac:dyDescent="0.25">
      <c r="D33405" s="28"/>
      <c r="F33405" s="28"/>
      <c r="H33405" s="28"/>
    </row>
    <row r="33406" spans="4:8" x14ac:dyDescent="0.25">
      <c r="D33406" s="28"/>
      <c r="F33406" s="28"/>
      <c r="H33406" s="28"/>
    </row>
    <row r="33407" spans="4:8" x14ac:dyDescent="0.25">
      <c r="D33407" s="28"/>
      <c r="F33407" s="28"/>
      <c r="H33407" s="28"/>
    </row>
    <row r="33408" spans="4:8" x14ac:dyDescent="0.25">
      <c r="D33408" s="28"/>
      <c r="F33408" s="28"/>
      <c r="H33408" s="28"/>
    </row>
    <row r="33409" spans="4:8" x14ac:dyDescent="0.25">
      <c r="D33409" s="28"/>
      <c r="F33409" s="28"/>
      <c r="H33409" s="28"/>
    </row>
    <row r="33410" spans="4:8" x14ac:dyDescent="0.25">
      <c r="D33410" s="28"/>
      <c r="F33410" s="28"/>
      <c r="H33410" s="28"/>
    </row>
    <row r="33411" spans="4:8" x14ac:dyDescent="0.25">
      <c r="D33411" s="28"/>
      <c r="F33411" s="28"/>
      <c r="H33411" s="28"/>
    </row>
    <row r="33412" spans="4:8" x14ac:dyDescent="0.25">
      <c r="D33412" s="28"/>
      <c r="F33412" s="28"/>
      <c r="H33412" s="28"/>
    </row>
    <row r="33413" spans="4:8" x14ac:dyDescent="0.25">
      <c r="D33413" s="28"/>
      <c r="F33413" s="28"/>
      <c r="H33413" s="28"/>
    </row>
    <row r="33414" spans="4:8" x14ac:dyDescent="0.25">
      <c r="D33414" s="28"/>
      <c r="F33414" s="28"/>
      <c r="H33414" s="28"/>
    </row>
    <row r="33415" spans="4:8" x14ac:dyDescent="0.25">
      <c r="D33415" s="28"/>
      <c r="F33415" s="28"/>
      <c r="H33415" s="28"/>
    </row>
    <row r="33416" spans="4:8" x14ac:dyDescent="0.25">
      <c r="D33416" s="28"/>
      <c r="F33416" s="28"/>
      <c r="H33416" s="28"/>
    </row>
    <row r="33417" spans="4:8" x14ac:dyDescent="0.25">
      <c r="D33417" s="28"/>
      <c r="F33417" s="28"/>
      <c r="H33417" s="28"/>
    </row>
    <row r="33418" spans="4:8" x14ac:dyDescent="0.25">
      <c r="D33418" s="28"/>
      <c r="F33418" s="28"/>
      <c r="H33418" s="28"/>
    </row>
    <row r="33419" spans="4:8" x14ac:dyDescent="0.25">
      <c r="D33419" s="28"/>
      <c r="F33419" s="28"/>
      <c r="H33419" s="28"/>
    </row>
    <row r="33420" spans="4:8" x14ac:dyDescent="0.25">
      <c r="D33420" s="28"/>
      <c r="F33420" s="28"/>
      <c r="H33420" s="28"/>
    </row>
    <row r="33421" spans="4:8" x14ac:dyDescent="0.25">
      <c r="D33421" s="28"/>
      <c r="F33421" s="28"/>
      <c r="H33421" s="28"/>
    </row>
    <row r="33422" spans="4:8" x14ac:dyDescent="0.25">
      <c r="D33422" s="28"/>
      <c r="F33422" s="28"/>
      <c r="H33422" s="28"/>
    </row>
    <row r="33423" spans="4:8" x14ac:dyDescent="0.25">
      <c r="D33423" s="28"/>
      <c r="F33423" s="28"/>
      <c r="H33423" s="28"/>
    </row>
    <row r="33424" spans="4:8" x14ac:dyDescent="0.25">
      <c r="D33424" s="28"/>
      <c r="F33424" s="28"/>
      <c r="H33424" s="28"/>
    </row>
    <row r="33425" spans="4:8" x14ac:dyDescent="0.25">
      <c r="D33425" s="28"/>
      <c r="F33425" s="28"/>
      <c r="H33425" s="28"/>
    </row>
    <row r="33426" spans="4:8" x14ac:dyDescent="0.25">
      <c r="D33426" s="28"/>
      <c r="F33426" s="28"/>
      <c r="H33426" s="28"/>
    </row>
    <row r="33427" spans="4:8" x14ac:dyDescent="0.25">
      <c r="D33427" s="28"/>
      <c r="F33427" s="28"/>
      <c r="H33427" s="28"/>
    </row>
    <row r="33428" spans="4:8" x14ac:dyDescent="0.25">
      <c r="D33428" s="28"/>
      <c r="F33428" s="28"/>
      <c r="H33428" s="28"/>
    </row>
    <row r="33429" spans="4:8" x14ac:dyDescent="0.25">
      <c r="D33429" s="28"/>
      <c r="F33429" s="28"/>
      <c r="H33429" s="28"/>
    </row>
    <row r="33430" spans="4:8" x14ac:dyDescent="0.25">
      <c r="D33430" s="28"/>
      <c r="F33430" s="28"/>
      <c r="H33430" s="28"/>
    </row>
    <row r="33431" spans="4:8" x14ac:dyDescent="0.25">
      <c r="D33431" s="28"/>
      <c r="F33431" s="28"/>
      <c r="H33431" s="28"/>
    </row>
    <row r="33432" spans="4:8" x14ac:dyDescent="0.25">
      <c r="D33432" s="28"/>
      <c r="F33432" s="28"/>
      <c r="H33432" s="28"/>
    </row>
    <row r="33433" spans="4:8" x14ac:dyDescent="0.25">
      <c r="D33433" s="28"/>
      <c r="F33433" s="28"/>
      <c r="H33433" s="28"/>
    </row>
    <row r="33434" spans="4:8" x14ac:dyDescent="0.25">
      <c r="D33434" s="28"/>
      <c r="F33434" s="28"/>
      <c r="H33434" s="28"/>
    </row>
    <row r="33435" spans="4:8" x14ac:dyDescent="0.25">
      <c r="D33435" s="28"/>
      <c r="F33435" s="28"/>
      <c r="H33435" s="28"/>
    </row>
    <row r="33436" spans="4:8" x14ac:dyDescent="0.25">
      <c r="D33436" s="28"/>
      <c r="F33436" s="28"/>
      <c r="H33436" s="28"/>
    </row>
    <row r="33437" spans="4:8" x14ac:dyDescent="0.25">
      <c r="D33437" s="28"/>
      <c r="F33437" s="28"/>
      <c r="H33437" s="28"/>
    </row>
    <row r="33438" spans="4:8" x14ac:dyDescent="0.25">
      <c r="D33438" s="28"/>
      <c r="F33438" s="28"/>
      <c r="H33438" s="28"/>
    </row>
    <row r="33439" spans="4:8" x14ac:dyDescent="0.25">
      <c r="D33439" s="28"/>
      <c r="F33439" s="28"/>
      <c r="H33439" s="28"/>
    </row>
    <row r="33440" spans="4:8" x14ac:dyDescent="0.25">
      <c r="D33440" s="28"/>
      <c r="F33440" s="28"/>
      <c r="H33440" s="28"/>
    </row>
    <row r="33441" spans="4:8" x14ac:dyDescent="0.25">
      <c r="D33441" s="28"/>
      <c r="F33441" s="28"/>
      <c r="H33441" s="28"/>
    </row>
    <row r="33442" spans="4:8" x14ac:dyDescent="0.25">
      <c r="D33442" s="28"/>
      <c r="F33442" s="28"/>
      <c r="H33442" s="28"/>
    </row>
    <row r="33443" spans="4:8" x14ac:dyDescent="0.25">
      <c r="D33443" s="28"/>
      <c r="F33443" s="28"/>
      <c r="H33443" s="28"/>
    </row>
    <row r="33444" spans="4:8" x14ac:dyDescent="0.25">
      <c r="D33444" s="28"/>
      <c r="F33444" s="28"/>
      <c r="H33444" s="28"/>
    </row>
    <row r="33445" spans="4:8" x14ac:dyDescent="0.25">
      <c r="D33445" s="28"/>
      <c r="F33445" s="28"/>
      <c r="H33445" s="28"/>
    </row>
    <row r="33446" spans="4:8" x14ac:dyDescent="0.25">
      <c r="D33446" s="28"/>
      <c r="F33446" s="28"/>
      <c r="H33446" s="28"/>
    </row>
    <row r="33447" spans="4:8" x14ac:dyDescent="0.25">
      <c r="D33447" s="28"/>
      <c r="F33447" s="28"/>
      <c r="H33447" s="28"/>
    </row>
    <row r="33448" spans="4:8" x14ac:dyDescent="0.25">
      <c r="D33448" s="28"/>
      <c r="F33448" s="28"/>
      <c r="H33448" s="28"/>
    </row>
    <row r="33449" spans="4:8" x14ac:dyDescent="0.25">
      <c r="D33449" s="28"/>
      <c r="F33449" s="28"/>
      <c r="H33449" s="28"/>
    </row>
    <row r="33450" spans="4:8" x14ac:dyDescent="0.25">
      <c r="D33450" s="28"/>
      <c r="F33450" s="28"/>
      <c r="H33450" s="28"/>
    </row>
    <row r="33451" spans="4:8" x14ac:dyDescent="0.25">
      <c r="D33451" s="28"/>
      <c r="F33451" s="28"/>
      <c r="H33451" s="28"/>
    </row>
    <row r="33452" spans="4:8" x14ac:dyDescent="0.25">
      <c r="D33452" s="28"/>
      <c r="F33452" s="28"/>
      <c r="H33452" s="28"/>
    </row>
    <row r="33453" spans="4:8" x14ac:dyDescent="0.25">
      <c r="D33453" s="28"/>
      <c r="F33453" s="28"/>
      <c r="H33453" s="28"/>
    </row>
    <row r="33454" spans="4:8" x14ac:dyDescent="0.25">
      <c r="D33454" s="28"/>
      <c r="F33454" s="28"/>
      <c r="H33454" s="28"/>
    </row>
    <row r="33455" spans="4:8" x14ac:dyDescent="0.25">
      <c r="D33455" s="28"/>
      <c r="F33455" s="28"/>
      <c r="H33455" s="28"/>
    </row>
    <row r="33456" spans="4:8" x14ac:dyDescent="0.25">
      <c r="D33456" s="28"/>
      <c r="F33456" s="28"/>
      <c r="H33456" s="28"/>
    </row>
    <row r="33457" spans="4:8" x14ac:dyDescent="0.25">
      <c r="D33457" s="28"/>
      <c r="F33457" s="28"/>
      <c r="H33457" s="28"/>
    </row>
    <row r="33458" spans="4:8" x14ac:dyDescent="0.25">
      <c r="D33458" s="28"/>
      <c r="F33458" s="28"/>
      <c r="H33458" s="28"/>
    </row>
    <row r="33459" spans="4:8" x14ac:dyDescent="0.25">
      <c r="D33459" s="28"/>
      <c r="F33459" s="28"/>
      <c r="H33459" s="28"/>
    </row>
    <row r="33460" spans="4:8" x14ac:dyDescent="0.25">
      <c r="D33460" s="28"/>
      <c r="F33460" s="28"/>
      <c r="H33460" s="28"/>
    </row>
    <row r="33461" spans="4:8" x14ac:dyDescent="0.25">
      <c r="D33461" s="28"/>
      <c r="F33461" s="28"/>
      <c r="H33461" s="28"/>
    </row>
    <row r="33462" spans="4:8" x14ac:dyDescent="0.25">
      <c r="D33462" s="28"/>
      <c r="F33462" s="28"/>
      <c r="H33462" s="28"/>
    </row>
    <row r="33463" spans="4:8" x14ac:dyDescent="0.25">
      <c r="D33463" s="28"/>
      <c r="F33463" s="28"/>
      <c r="H33463" s="28"/>
    </row>
    <row r="33464" spans="4:8" x14ac:dyDescent="0.25">
      <c r="D33464" s="28"/>
      <c r="F33464" s="28"/>
      <c r="H33464" s="28"/>
    </row>
    <row r="33465" spans="4:8" x14ac:dyDescent="0.25">
      <c r="D33465" s="28"/>
      <c r="F33465" s="28"/>
      <c r="H33465" s="28"/>
    </row>
    <row r="33466" spans="4:8" x14ac:dyDescent="0.25">
      <c r="D33466" s="28"/>
      <c r="F33466" s="28"/>
      <c r="H33466" s="28"/>
    </row>
    <row r="33467" spans="4:8" x14ac:dyDescent="0.25">
      <c r="D33467" s="28"/>
      <c r="F33467" s="28"/>
      <c r="H33467" s="28"/>
    </row>
    <row r="33468" spans="4:8" x14ac:dyDescent="0.25">
      <c r="D33468" s="28"/>
      <c r="F33468" s="28"/>
      <c r="H33468" s="28"/>
    </row>
    <row r="33469" spans="4:8" x14ac:dyDescent="0.25">
      <c r="D33469" s="28"/>
      <c r="F33469" s="28"/>
      <c r="H33469" s="28"/>
    </row>
    <row r="33470" spans="4:8" x14ac:dyDescent="0.25">
      <c r="D33470" s="28"/>
      <c r="F33470" s="28"/>
      <c r="H33470" s="28"/>
    </row>
    <row r="33471" spans="4:8" x14ac:dyDescent="0.25">
      <c r="D33471" s="28"/>
      <c r="F33471" s="28"/>
      <c r="H33471" s="28"/>
    </row>
    <row r="33472" spans="4:8" x14ac:dyDescent="0.25">
      <c r="D33472" s="28"/>
      <c r="F33472" s="28"/>
      <c r="H33472" s="28"/>
    </row>
    <row r="33473" spans="4:8" x14ac:dyDescent="0.25">
      <c r="D33473" s="28"/>
      <c r="F33473" s="28"/>
      <c r="H33473" s="28"/>
    </row>
    <row r="33474" spans="4:8" x14ac:dyDescent="0.25">
      <c r="D33474" s="28"/>
      <c r="F33474" s="28"/>
      <c r="H33474" s="28"/>
    </row>
    <row r="33475" spans="4:8" x14ac:dyDescent="0.25">
      <c r="D33475" s="28"/>
      <c r="F33475" s="28"/>
      <c r="H33475" s="28"/>
    </row>
    <row r="33476" spans="4:8" x14ac:dyDescent="0.25">
      <c r="D33476" s="28"/>
      <c r="F33476" s="28"/>
      <c r="H33476" s="28"/>
    </row>
    <row r="33477" spans="4:8" x14ac:dyDescent="0.25">
      <c r="D33477" s="28"/>
      <c r="F33477" s="28"/>
      <c r="H33477" s="28"/>
    </row>
    <row r="33478" spans="4:8" x14ac:dyDescent="0.25">
      <c r="D33478" s="28"/>
      <c r="F33478" s="28"/>
      <c r="H33478" s="28"/>
    </row>
    <row r="33479" spans="4:8" x14ac:dyDescent="0.25">
      <c r="D33479" s="28"/>
      <c r="F33479" s="28"/>
      <c r="H33479" s="28"/>
    </row>
    <row r="33480" spans="4:8" x14ac:dyDescent="0.25">
      <c r="D33480" s="28"/>
      <c r="F33480" s="28"/>
      <c r="H33480" s="28"/>
    </row>
    <row r="33481" spans="4:8" x14ac:dyDescent="0.25">
      <c r="D33481" s="28"/>
      <c r="F33481" s="28"/>
      <c r="H33481" s="28"/>
    </row>
    <row r="33482" spans="4:8" x14ac:dyDescent="0.25">
      <c r="D33482" s="28"/>
      <c r="F33482" s="28"/>
      <c r="H33482" s="28"/>
    </row>
    <row r="33483" spans="4:8" x14ac:dyDescent="0.25">
      <c r="D33483" s="28"/>
      <c r="F33483" s="28"/>
      <c r="H33483" s="28"/>
    </row>
    <row r="33484" spans="4:8" x14ac:dyDescent="0.25">
      <c r="D33484" s="28"/>
      <c r="F33484" s="28"/>
      <c r="H33484" s="28"/>
    </row>
    <row r="33485" spans="4:8" x14ac:dyDescent="0.25">
      <c r="D33485" s="28"/>
      <c r="F33485" s="28"/>
      <c r="H33485" s="28"/>
    </row>
    <row r="33486" spans="4:8" x14ac:dyDescent="0.25">
      <c r="D33486" s="28"/>
      <c r="F33486" s="28"/>
      <c r="H33486" s="28"/>
    </row>
    <row r="33487" spans="4:8" x14ac:dyDescent="0.25">
      <c r="D33487" s="28"/>
      <c r="F33487" s="28"/>
      <c r="H33487" s="28"/>
    </row>
    <row r="33488" spans="4:8" x14ac:dyDescent="0.25">
      <c r="D33488" s="28"/>
      <c r="F33488" s="28"/>
      <c r="H33488" s="28"/>
    </row>
    <row r="33489" spans="4:8" x14ac:dyDescent="0.25">
      <c r="D33489" s="28"/>
      <c r="F33489" s="28"/>
      <c r="H33489" s="28"/>
    </row>
    <row r="33490" spans="4:8" x14ac:dyDescent="0.25">
      <c r="D33490" s="28"/>
      <c r="F33490" s="28"/>
      <c r="H33490" s="28"/>
    </row>
    <row r="33491" spans="4:8" x14ac:dyDescent="0.25">
      <c r="D33491" s="28"/>
      <c r="F33491" s="28"/>
      <c r="H33491" s="28"/>
    </row>
    <row r="33492" spans="4:8" x14ac:dyDescent="0.25">
      <c r="D33492" s="28"/>
      <c r="F33492" s="28"/>
      <c r="H33492" s="28"/>
    </row>
    <row r="33493" spans="4:8" x14ac:dyDescent="0.25">
      <c r="D33493" s="28"/>
      <c r="F33493" s="28"/>
      <c r="H33493" s="28"/>
    </row>
    <row r="33494" spans="4:8" x14ac:dyDescent="0.25">
      <c r="D33494" s="28"/>
      <c r="F33494" s="28"/>
      <c r="H33494" s="28"/>
    </row>
    <row r="33495" spans="4:8" x14ac:dyDescent="0.25">
      <c r="D33495" s="28"/>
      <c r="F33495" s="28"/>
      <c r="H33495" s="28"/>
    </row>
    <row r="33496" spans="4:8" x14ac:dyDescent="0.25">
      <c r="D33496" s="28"/>
      <c r="F33496" s="28"/>
      <c r="H33496" s="28"/>
    </row>
    <row r="33497" spans="4:8" x14ac:dyDescent="0.25">
      <c r="D33497" s="28"/>
      <c r="F33497" s="28"/>
      <c r="H33497" s="28"/>
    </row>
    <row r="33498" spans="4:8" x14ac:dyDescent="0.25">
      <c r="D33498" s="28"/>
      <c r="F33498" s="28"/>
      <c r="H33498" s="28"/>
    </row>
    <row r="33499" spans="4:8" x14ac:dyDescent="0.25">
      <c r="D33499" s="28"/>
      <c r="F33499" s="28"/>
      <c r="H33499" s="28"/>
    </row>
    <row r="33500" spans="4:8" x14ac:dyDescent="0.25">
      <c r="D33500" s="28"/>
      <c r="F33500" s="28"/>
      <c r="H33500" s="28"/>
    </row>
    <row r="33501" spans="4:8" x14ac:dyDescent="0.25">
      <c r="D33501" s="28"/>
      <c r="F33501" s="28"/>
      <c r="H33501" s="28"/>
    </row>
    <row r="33502" spans="4:8" x14ac:dyDescent="0.25">
      <c r="D33502" s="28"/>
      <c r="F33502" s="28"/>
      <c r="H33502" s="28"/>
    </row>
    <row r="33503" spans="4:8" x14ac:dyDescent="0.25">
      <c r="D33503" s="28"/>
      <c r="F33503" s="28"/>
      <c r="H33503" s="28"/>
    </row>
    <row r="33504" spans="4:8" x14ac:dyDescent="0.25">
      <c r="D33504" s="28"/>
      <c r="F33504" s="28"/>
      <c r="H33504" s="28"/>
    </row>
    <row r="33505" spans="4:8" x14ac:dyDescent="0.25">
      <c r="D33505" s="28"/>
      <c r="F33505" s="28"/>
      <c r="H33505" s="28"/>
    </row>
    <row r="33506" spans="4:8" x14ac:dyDescent="0.25">
      <c r="D33506" s="28"/>
      <c r="F33506" s="28"/>
      <c r="H33506" s="28"/>
    </row>
    <row r="33507" spans="4:8" x14ac:dyDescent="0.25">
      <c r="D33507" s="28"/>
      <c r="F33507" s="28"/>
      <c r="H33507" s="28"/>
    </row>
    <row r="33508" spans="4:8" x14ac:dyDescent="0.25">
      <c r="D33508" s="28"/>
      <c r="F33508" s="28"/>
      <c r="H33508" s="28"/>
    </row>
    <row r="33509" spans="4:8" x14ac:dyDescent="0.25">
      <c r="D33509" s="28"/>
      <c r="F33509" s="28"/>
      <c r="H33509" s="28"/>
    </row>
    <row r="33510" spans="4:8" x14ac:dyDescent="0.25">
      <c r="D33510" s="28"/>
      <c r="F33510" s="28"/>
      <c r="H33510" s="28"/>
    </row>
    <row r="33511" spans="4:8" x14ac:dyDescent="0.25">
      <c r="D33511" s="28"/>
      <c r="F33511" s="28"/>
      <c r="H33511" s="28"/>
    </row>
    <row r="33512" spans="4:8" x14ac:dyDescent="0.25">
      <c r="D33512" s="28"/>
      <c r="F33512" s="28"/>
      <c r="H33512" s="28"/>
    </row>
    <row r="33513" spans="4:8" x14ac:dyDescent="0.25">
      <c r="D33513" s="28"/>
      <c r="F33513" s="28"/>
      <c r="H33513" s="28"/>
    </row>
    <row r="33514" spans="4:8" x14ac:dyDescent="0.25">
      <c r="D33514" s="28"/>
      <c r="F33514" s="28"/>
      <c r="H33514" s="28"/>
    </row>
    <row r="33515" spans="4:8" x14ac:dyDescent="0.25">
      <c r="D33515" s="28"/>
      <c r="F33515" s="28"/>
      <c r="H33515" s="28"/>
    </row>
    <row r="33516" spans="4:8" x14ac:dyDescent="0.25">
      <c r="D33516" s="28"/>
      <c r="F33516" s="28"/>
      <c r="H33516" s="28"/>
    </row>
    <row r="33517" spans="4:8" x14ac:dyDescent="0.25">
      <c r="D33517" s="28"/>
      <c r="F33517" s="28"/>
      <c r="H33517" s="28"/>
    </row>
    <row r="33518" spans="4:8" x14ac:dyDescent="0.25">
      <c r="D33518" s="28"/>
      <c r="F33518" s="28"/>
      <c r="H33518" s="28"/>
    </row>
    <row r="33519" spans="4:8" x14ac:dyDescent="0.25">
      <c r="D33519" s="28"/>
      <c r="F33519" s="28"/>
      <c r="H33519" s="28"/>
    </row>
    <row r="33520" spans="4:8" x14ac:dyDescent="0.25">
      <c r="D33520" s="28"/>
      <c r="F33520" s="28"/>
      <c r="H33520" s="28"/>
    </row>
    <row r="33521" spans="4:8" x14ac:dyDescent="0.25">
      <c r="D33521" s="28"/>
      <c r="F33521" s="28"/>
      <c r="H33521" s="28"/>
    </row>
    <row r="33522" spans="4:8" x14ac:dyDescent="0.25">
      <c r="D33522" s="28"/>
      <c r="F33522" s="28"/>
      <c r="H33522" s="28"/>
    </row>
    <row r="33523" spans="4:8" x14ac:dyDescent="0.25">
      <c r="D33523" s="28"/>
      <c r="F33523" s="28"/>
      <c r="H33523" s="28"/>
    </row>
    <row r="33524" spans="4:8" x14ac:dyDescent="0.25">
      <c r="D33524" s="28"/>
      <c r="F33524" s="28"/>
      <c r="H33524" s="28"/>
    </row>
    <row r="33525" spans="4:8" x14ac:dyDescent="0.25">
      <c r="D33525" s="28"/>
      <c r="F33525" s="28"/>
      <c r="H33525" s="28"/>
    </row>
    <row r="33526" spans="4:8" x14ac:dyDescent="0.25">
      <c r="D33526" s="28"/>
      <c r="F33526" s="28"/>
      <c r="H33526" s="28"/>
    </row>
    <row r="33527" spans="4:8" x14ac:dyDescent="0.25">
      <c r="D33527" s="28"/>
      <c r="F33527" s="28"/>
      <c r="H33527" s="28"/>
    </row>
    <row r="33528" spans="4:8" x14ac:dyDescent="0.25">
      <c r="D33528" s="28"/>
      <c r="F33528" s="28"/>
      <c r="H33528" s="28"/>
    </row>
    <row r="33529" spans="4:8" x14ac:dyDescent="0.25">
      <c r="D33529" s="28"/>
      <c r="F33529" s="28"/>
      <c r="H33529" s="28"/>
    </row>
    <row r="33530" spans="4:8" x14ac:dyDescent="0.25">
      <c r="D33530" s="28"/>
      <c r="F33530" s="28"/>
      <c r="H33530" s="28"/>
    </row>
    <row r="33531" spans="4:8" x14ac:dyDescent="0.25">
      <c r="D33531" s="28"/>
      <c r="F33531" s="28"/>
      <c r="H33531" s="28"/>
    </row>
    <row r="33532" spans="4:8" x14ac:dyDescent="0.25">
      <c r="D33532" s="28"/>
      <c r="F33532" s="28"/>
      <c r="H33532" s="28"/>
    </row>
    <row r="33533" spans="4:8" x14ac:dyDescent="0.25">
      <c r="D33533" s="28"/>
      <c r="F33533" s="28"/>
      <c r="H33533" s="28"/>
    </row>
    <row r="33534" spans="4:8" x14ac:dyDescent="0.25">
      <c r="D33534" s="28"/>
      <c r="F33534" s="28"/>
      <c r="H33534" s="28"/>
    </row>
    <row r="33535" spans="4:8" x14ac:dyDescent="0.25">
      <c r="D33535" s="28"/>
      <c r="F33535" s="28"/>
      <c r="H33535" s="28"/>
    </row>
    <row r="33536" spans="4:8" x14ac:dyDescent="0.25">
      <c r="D33536" s="28"/>
      <c r="F33536" s="28"/>
      <c r="H33536" s="28"/>
    </row>
    <row r="33537" spans="4:8" x14ac:dyDescent="0.25">
      <c r="D33537" s="28"/>
      <c r="F33537" s="28"/>
      <c r="H33537" s="28"/>
    </row>
    <row r="33538" spans="4:8" x14ac:dyDescent="0.25">
      <c r="D33538" s="28"/>
      <c r="F33538" s="28"/>
      <c r="H33538" s="28"/>
    </row>
    <row r="33539" spans="4:8" x14ac:dyDescent="0.25">
      <c r="D33539" s="28"/>
      <c r="F33539" s="28"/>
      <c r="H33539" s="28"/>
    </row>
    <row r="33540" spans="4:8" x14ac:dyDescent="0.25">
      <c r="D33540" s="28"/>
      <c r="F33540" s="28"/>
      <c r="H33540" s="28"/>
    </row>
    <row r="33541" spans="4:8" x14ac:dyDescent="0.25">
      <c r="D33541" s="28"/>
      <c r="F33541" s="28"/>
      <c r="H33541" s="28"/>
    </row>
    <row r="33542" spans="4:8" x14ac:dyDescent="0.25">
      <c r="D33542" s="28"/>
      <c r="F33542" s="28"/>
      <c r="H33542" s="28"/>
    </row>
    <row r="33543" spans="4:8" x14ac:dyDescent="0.25">
      <c r="D33543" s="28"/>
      <c r="F33543" s="28"/>
      <c r="H33543" s="28"/>
    </row>
    <row r="33544" spans="4:8" x14ac:dyDescent="0.25">
      <c r="D33544" s="28"/>
      <c r="F33544" s="28"/>
      <c r="H33544" s="28"/>
    </row>
    <row r="33545" spans="4:8" x14ac:dyDescent="0.25">
      <c r="D33545" s="28"/>
      <c r="F33545" s="28"/>
      <c r="H33545" s="28"/>
    </row>
    <row r="33546" spans="4:8" x14ac:dyDescent="0.25">
      <c r="D33546" s="28"/>
      <c r="F33546" s="28"/>
      <c r="H33546" s="28"/>
    </row>
    <row r="33547" spans="4:8" x14ac:dyDescent="0.25">
      <c r="D33547" s="28"/>
      <c r="F33547" s="28"/>
      <c r="H33547" s="28"/>
    </row>
    <row r="33548" spans="4:8" x14ac:dyDescent="0.25">
      <c r="D33548" s="28"/>
      <c r="F33548" s="28"/>
      <c r="H33548" s="28"/>
    </row>
    <row r="33549" spans="4:8" x14ac:dyDescent="0.25">
      <c r="D33549" s="28"/>
      <c r="F33549" s="28"/>
      <c r="H33549" s="28"/>
    </row>
    <row r="33550" spans="4:8" x14ac:dyDescent="0.25">
      <c r="D33550" s="28"/>
      <c r="F33550" s="28"/>
      <c r="H33550" s="28"/>
    </row>
    <row r="33551" spans="4:8" x14ac:dyDescent="0.25">
      <c r="D33551" s="28"/>
      <c r="F33551" s="28"/>
      <c r="H33551" s="28"/>
    </row>
    <row r="33552" spans="4:8" x14ac:dyDescent="0.25">
      <c r="D33552" s="28"/>
      <c r="F33552" s="28"/>
      <c r="H33552" s="28"/>
    </row>
    <row r="33553" spans="4:8" x14ac:dyDescent="0.25">
      <c r="D33553" s="28"/>
      <c r="F33553" s="28"/>
      <c r="H33553" s="28"/>
    </row>
    <row r="33554" spans="4:8" x14ac:dyDescent="0.25">
      <c r="D33554" s="28"/>
      <c r="F33554" s="28"/>
      <c r="H33554" s="28"/>
    </row>
    <row r="33555" spans="4:8" x14ac:dyDescent="0.25">
      <c r="D33555" s="28"/>
      <c r="F33555" s="28"/>
      <c r="H33555" s="28"/>
    </row>
    <row r="33556" spans="4:8" x14ac:dyDescent="0.25">
      <c r="D33556" s="28"/>
      <c r="F33556" s="28"/>
      <c r="H33556" s="28"/>
    </row>
    <row r="33557" spans="4:8" x14ac:dyDescent="0.25">
      <c r="D33557" s="28"/>
      <c r="F33557" s="28"/>
      <c r="H33557" s="28"/>
    </row>
    <row r="33558" spans="4:8" x14ac:dyDescent="0.25">
      <c r="D33558" s="28"/>
      <c r="F33558" s="28"/>
      <c r="H33558" s="28"/>
    </row>
    <row r="33559" spans="4:8" x14ac:dyDescent="0.25">
      <c r="D33559" s="28"/>
      <c r="F33559" s="28"/>
      <c r="H33559" s="28"/>
    </row>
    <row r="33560" spans="4:8" x14ac:dyDescent="0.25">
      <c r="D33560" s="28"/>
      <c r="F33560" s="28"/>
      <c r="H33560" s="28"/>
    </row>
    <row r="33561" spans="4:8" x14ac:dyDescent="0.25">
      <c r="D33561" s="28"/>
      <c r="F33561" s="28"/>
      <c r="H33561" s="28"/>
    </row>
    <row r="33562" spans="4:8" x14ac:dyDescent="0.25">
      <c r="D33562" s="28"/>
      <c r="F33562" s="28"/>
      <c r="H33562" s="28"/>
    </row>
    <row r="33563" spans="4:8" x14ac:dyDescent="0.25">
      <c r="D33563" s="28"/>
      <c r="F33563" s="28"/>
      <c r="H33563" s="28"/>
    </row>
    <row r="33564" spans="4:8" x14ac:dyDescent="0.25">
      <c r="D33564" s="28"/>
      <c r="F33564" s="28"/>
      <c r="H33564" s="28"/>
    </row>
    <row r="33565" spans="4:8" x14ac:dyDescent="0.25">
      <c r="D33565" s="28"/>
      <c r="F33565" s="28"/>
      <c r="H33565" s="28"/>
    </row>
    <row r="33566" spans="4:8" x14ac:dyDescent="0.25">
      <c r="D33566" s="28"/>
      <c r="F33566" s="28"/>
      <c r="H33566" s="28"/>
    </row>
    <row r="33567" spans="4:8" x14ac:dyDescent="0.25">
      <c r="D33567" s="28"/>
      <c r="F33567" s="28"/>
      <c r="H33567" s="28"/>
    </row>
    <row r="33568" spans="4:8" x14ac:dyDescent="0.25">
      <c r="D33568" s="28"/>
      <c r="F33568" s="28"/>
      <c r="H33568" s="28"/>
    </row>
    <row r="33569" spans="4:8" x14ac:dyDescent="0.25">
      <c r="D33569" s="28"/>
      <c r="F33569" s="28"/>
      <c r="H33569" s="28"/>
    </row>
    <row r="33570" spans="4:8" x14ac:dyDescent="0.25">
      <c r="D33570" s="28"/>
      <c r="F33570" s="28"/>
      <c r="H33570" s="28"/>
    </row>
    <row r="33571" spans="4:8" x14ac:dyDescent="0.25">
      <c r="D33571" s="28"/>
      <c r="F33571" s="28"/>
      <c r="H33571" s="28"/>
    </row>
    <row r="33572" spans="4:8" x14ac:dyDescent="0.25">
      <c r="D33572" s="28"/>
      <c r="F33572" s="28"/>
      <c r="H33572" s="28"/>
    </row>
    <row r="33573" spans="4:8" x14ac:dyDescent="0.25">
      <c r="D33573" s="28"/>
      <c r="F33573" s="28"/>
      <c r="H33573" s="28"/>
    </row>
    <row r="33574" spans="4:8" x14ac:dyDescent="0.25">
      <c r="D33574" s="28"/>
      <c r="F33574" s="28"/>
      <c r="H33574" s="28"/>
    </row>
    <row r="33575" spans="4:8" x14ac:dyDescent="0.25">
      <c r="D33575" s="28"/>
      <c r="F33575" s="28"/>
      <c r="H33575" s="28"/>
    </row>
    <row r="33576" spans="4:8" x14ac:dyDescent="0.25">
      <c r="D33576" s="28"/>
      <c r="F33576" s="28"/>
      <c r="H33576" s="28"/>
    </row>
    <row r="33577" spans="4:8" x14ac:dyDescent="0.25">
      <c r="D33577" s="28"/>
      <c r="F33577" s="28"/>
      <c r="H33577" s="28"/>
    </row>
    <row r="33578" spans="4:8" x14ac:dyDescent="0.25">
      <c r="D33578" s="28"/>
      <c r="F33578" s="28"/>
      <c r="H33578" s="28"/>
    </row>
    <row r="33579" spans="4:8" x14ac:dyDescent="0.25">
      <c r="D33579" s="28"/>
      <c r="F33579" s="28"/>
      <c r="H33579" s="28"/>
    </row>
    <row r="33580" spans="4:8" x14ac:dyDescent="0.25">
      <c r="D33580" s="28"/>
      <c r="F33580" s="28"/>
      <c r="H33580" s="28"/>
    </row>
    <row r="33581" spans="4:8" x14ac:dyDescent="0.25">
      <c r="D33581" s="28"/>
      <c r="F33581" s="28"/>
      <c r="H33581" s="28"/>
    </row>
    <row r="33582" spans="4:8" x14ac:dyDescent="0.25">
      <c r="D33582" s="28"/>
      <c r="F33582" s="28"/>
      <c r="H33582" s="28"/>
    </row>
    <row r="33583" spans="4:8" x14ac:dyDescent="0.25">
      <c r="D33583" s="28"/>
      <c r="F33583" s="28"/>
      <c r="H33583" s="28"/>
    </row>
    <row r="33584" spans="4:8" x14ac:dyDescent="0.25">
      <c r="D33584" s="28"/>
      <c r="F33584" s="28"/>
      <c r="H33584" s="28"/>
    </row>
    <row r="33585" spans="4:8" x14ac:dyDescent="0.25">
      <c r="D33585" s="28"/>
      <c r="F33585" s="28"/>
      <c r="H33585" s="28"/>
    </row>
    <row r="33586" spans="4:8" x14ac:dyDescent="0.25">
      <c r="D33586" s="28"/>
      <c r="F33586" s="28"/>
      <c r="H33586" s="28"/>
    </row>
    <row r="33587" spans="4:8" x14ac:dyDescent="0.25">
      <c r="D33587" s="28"/>
      <c r="F33587" s="28"/>
      <c r="H33587" s="28"/>
    </row>
    <row r="33588" spans="4:8" x14ac:dyDescent="0.25">
      <c r="D33588" s="28"/>
      <c r="F33588" s="28"/>
      <c r="H33588" s="28"/>
    </row>
    <row r="33589" spans="4:8" x14ac:dyDescent="0.25">
      <c r="D33589" s="28"/>
      <c r="F33589" s="28"/>
      <c r="H33589" s="28"/>
    </row>
    <row r="33590" spans="4:8" x14ac:dyDescent="0.25">
      <c r="D33590" s="28"/>
      <c r="F33590" s="28"/>
      <c r="H33590" s="28"/>
    </row>
    <row r="33591" spans="4:8" x14ac:dyDescent="0.25">
      <c r="D33591" s="28"/>
      <c r="F33591" s="28"/>
      <c r="H33591" s="28"/>
    </row>
    <row r="33592" spans="4:8" x14ac:dyDescent="0.25">
      <c r="D33592" s="28"/>
      <c r="F33592" s="28"/>
      <c r="H33592" s="28"/>
    </row>
    <row r="33593" spans="4:8" x14ac:dyDescent="0.25">
      <c r="D33593" s="28"/>
      <c r="F33593" s="28"/>
      <c r="H33593" s="28"/>
    </row>
    <row r="33594" spans="4:8" x14ac:dyDescent="0.25">
      <c r="D33594" s="28"/>
      <c r="F33594" s="28"/>
      <c r="H33594" s="28"/>
    </row>
    <row r="33595" spans="4:8" x14ac:dyDescent="0.25">
      <c r="D33595" s="28"/>
      <c r="F33595" s="28"/>
      <c r="H33595" s="28"/>
    </row>
    <row r="33596" spans="4:8" x14ac:dyDescent="0.25">
      <c r="D33596" s="28"/>
      <c r="F33596" s="28"/>
      <c r="H33596" s="28"/>
    </row>
    <row r="33597" spans="4:8" x14ac:dyDescent="0.25">
      <c r="D33597" s="28"/>
      <c r="F33597" s="28"/>
      <c r="H33597" s="28"/>
    </row>
    <row r="33598" spans="4:8" x14ac:dyDescent="0.25">
      <c r="D33598" s="28"/>
      <c r="F33598" s="28"/>
      <c r="H33598" s="28"/>
    </row>
    <row r="33599" spans="4:8" x14ac:dyDescent="0.25">
      <c r="D33599" s="28"/>
      <c r="F33599" s="28"/>
      <c r="H33599" s="28"/>
    </row>
    <row r="33600" spans="4:8" x14ac:dyDescent="0.25">
      <c r="D33600" s="28"/>
      <c r="F33600" s="28"/>
      <c r="H33600" s="28"/>
    </row>
    <row r="33601" spans="4:8" x14ac:dyDescent="0.25">
      <c r="D33601" s="28"/>
      <c r="F33601" s="28"/>
      <c r="H33601" s="28"/>
    </row>
    <row r="33602" spans="4:8" x14ac:dyDescent="0.25">
      <c r="D33602" s="28"/>
      <c r="F33602" s="28"/>
      <c r="H33602" s="28"/>
    </row>
    <row r="33603" spans="4:8" x14ac:dyDescent="0.25">
      <c r="D33603" s="28"/>
      <c r="F33603" s="28"/>
      <c r="H33603" s="28"/>
    </row>
    <row r="33604" spans="4:8" x14ac:dyDescent="0.25">
      <c r="D33604" s="28"/>
      <c r="F33604" s="28"/>
      <c r="H33604" s="28"/>
    </row>
    <row r="33605" spans="4:8" x14ac:dyDescent="0.25">
      <c r="D33605" s="28"/>
      <c r="F33605" s="28"/>
      <c r="H33605" s="28"/>
    </row>
    <row r="33606" spans="4:8" x14ac:dyDescent="0.25">
      <c r="D33606" s="28"/>
      <c r="F33606" s="28"/>
      <c r="H33606" s="28"/>
    </row>
    <row r="33607" spans="4:8" x14ac:dyDescent="0.25">
      <c r="D33607" s="28"/>
      <c r="F33607" s="28"/>
      <c r="H33607" s="28"/>
    </row>
    <row r="33608" spans="4:8" x14ac:dyDescent="0.25">
      <c r="D33608" s="28"/>
      <c r="F33608" s="28"/>
      <c r="H33608" s="28"/>
    </row>
    <row r="33609" spans="4:8" x14ac:dyDescent="0.25">
      <c r="D33609" s="28"/>
      <c r="F33609" s="28"/>
      <c r="H33609" s="28"/>
    </row>
    <row r="33610" spans="4:8" x14ac:dyDescent="0.25">
      <c r="D33610" s="28"/>
      <c r="F33610" s="28"/>
      <c r="H33610" s="28"/>
    </row>
    <row r="33611" spans="4:8" x14ac:dyDescent="0.25">
      <c r="D33611" s="28"/>
      <c r="F33611" s="28"/>
      <c r="H33611" s="28"/>
    </row>
    <row r="33612" spans="4:8" x14ac:dyDescent="0.25">
      <c r="D33612" s="28"/>
      <c r="F33612" s="28"/>
      <c r="H33612" s="28"/>
    </row>
    <row r="33613" spans="4:8" x14ac:dyDescent="0.25">
      <c r="D33613" s="28"/>
      <c r="F33613" s="28"/>
      <c r="H33613" s="28"/>
    </row>
    <row r="33614" spans="4:8" x14ac:dyDescent="0.25">
      <c r="D33614" s="28"/>
      <c r="F33614" s="28"/>
      <c r="H33614" s="28"/>
    </row>
    <row r="33615" spans="4:8" x14ac:dyDescent="0.25">
      <c r="D33615" s="28"/>
      <c r="F33615" s="28"/>
      <c r="H33615" s="28"/>
    </row>
    <row r="33616" spans="4:8" x14ac:dyDescent="0.25">
      <c r="D33616" s="28"/>
      <c r="F33616" s="28"/>
      <c r="H33616" s="28"/>
    </row>
    <row r="33617" spans="4:8" x14ac:dyDescent="0.25">
      <c r="D33617" s="28"/>
      <c r="F33617" s="28"/>
      <c r="H33617" s="28"/>
    </row>
    <row r="33618" spans="4:8" x14ac:dyDescent="0.25">
      <c r="D33618" s="28"/>
      <c r="F33618" s="28"/>
      <c r="H33618" s="28"/>
    </row>
    <row r="33619" spans="4:8" x14ac:dyDescent="0.25">
      <c r="D33619" s="28"/>
      <c r="F33619" s="28"/>
      <c r="H33619" s="28"/>
    </row>
    <row r="33620" spans="4:8" x14ac:dyDescent="0.25">
      <c r="D33620" s="28"/>
      <c r="F33620" s="28"/>
      <c r="H33620" s="28"/>
    </row>
    <row r="33621" spans="4:8" x14ac:dyDescent="0.25">
      <c r="D33621" s="28"/>
      <c r="F33621" s="28"/>
      <c r="H33621" s="28"/>
    </row>
    <row r="33622" spans="4:8" x14ac:dyDescent="0.25">
      <c r="D33622" s="28"/>
      <c r="F33622" s="28"/>
      <c r="H33622" s="28"/>
    </row>
    <row r="33623" spans="4:8" x14ac:dyDescent="0.25">
      <c r="D33623" s="28"/>
      <c r="F33623" s="28"/>
      <c r="H33623" s="28"/>
    </row>
    <row r="33624" spans="4:8" x14ac:dyDescent="0.25">
      <c r="D33624" s="28"/>
      <c r="F33624" s="28"/>
      <c r="H33624" s="28"/>
    </row>
    <row r="33625" spans="4:8" x14ac:dyDescent="0.25">
      <c r="D33625" s="28"/>
      <c r="F33625" s="28"/>
      <c r="H33625" s="28"/>
    </row>
    <row r="33626" spans="4:8" x14ac:dyDescent="0.25">
      <c r="D33626" s="28"/>
      <c r="F33626" s="28"/>
      <c r="H33626" s="28"/>
    </row>
    <row r="33627" spans="4:8" x14ac:dyDescent="0.25">
      <c r="D33627" s="28"/>
      <c r="F33627" s="28"/>
      <c r="H33627" s="28"/>
    </row>
    <row r="33628" spans="4:8" x14ac:dyDescent="0.25">
      <c r="D33628" s="28"/>
      <c r="F33628" s="28"/>
      <c r="H33628" s="28"/>
    </row>
    <row r="33629" spans="4:8" x14ac:dyDescent="0.25">
      <c r="D33629" s="28"/>
      <c r="F33629" s="28"/>
      <c r="H33629" s="28"/>
    </row>
    <row r="33630" spans="4:8" x14ac:dyDescent="0.25">
      <c r="D33630" s="28"/>
      <c r="F33630" s="28"/>
      <c r="H33630" s="28"/>
    </row>
    <row r="33631" spans="4:8" x14ac:dyDescent="0.25">
      <c r="D33631" s="28"/>
      <c r="F33631" s="28"/>
      <c r="H33631" s="28"/>
    </row>
    <row r="33632" spans="4:8" x14ac:dyDescent="0.25">
      <c r="D33632" s="28"/>
      <c r="F33632" s="28"/>
      <c r="H33632" s="28"/>
    </row>
    <row r="33633" spans="4:8" x14ac:dyDescent="0.25">
      <c r="D33633" s="28"/>
      <c r="F33633" s="28"/>
      <c r="H33633" s="28"/>
    </row>
    <row r="33634" spans="4:8" x14ac:dyDescent="0.25">
      <c r="D33634" s="28"/>
      <c r="F33634" s="28"/>
      <c r="H33634" s="28"/>
    </row>
    <row r="33635" spans="4:8" x14ac:dyDescent="0.25">
      <c r="D33635" s="28"/>
      <c r="F33635" s="28"/>
      <c r="H33635" s="28"/>
    </row>
    <row r="33636" spans="4:8" x14ac:dyDescent="0.25">
      <c r="D33636" s="28"/>
      <c r="F33636" s="28"/>
      <c r="H33636" s="28"/>
    </row>
    <row r="33637" spans="4:8" x14ac:dyDescent="0.25">
      <c r="D33637" s="28"/>
      <c r="F33637" s="28"/>
      <c r="H33637" s="28"/>
    </row>
    <row r="33638" spans="4:8" x14ac:dyDescent="0.25">
      <c r="D33638" s="28"/>
      <c r="F33638" s="28"/>
      <c r="H33638" s="28"/>
    </row>
    <row r="33639" spans="4:8" x14ac:dyDescent="0.25">
      <c r="D33639" s="28"/>
      <c r="F33639" s="28"/>
      <c r="H33639" s="28"/>
    </row>
    <row r="33640" spans="4:8" x14ac:dyDescent="0.25">
      <c r="D33640" s="28"/>
      <c r="F33640" s="28"/>
      <c r="H33640" s="28"/>
    </row>
    <row r="33641" spans="4:8" x14ac:dyDescent="0.25">
      <c r="D33641" s="28"/>
      <c r="F33641" s="28"/>
      <c r="H33641" s="28"/>
    </row>
    <row r="33642" spans="4:8" x14ac:dyDescent="0.25">
      <c r="D33642" s="28"/>
      <c r="F33642" s="28"/>
      <c r="H33642" s="28"/>
    </row>
    <row r="33643" spans="4:8" x14ac:dyDescent="0.25">
      <c r="D33643" s="28"/>
      <c r="F33643" s="28"/>
      <c r="H33643" s="28"/>
    </row>
    <row r="33644" spans="4:8" x14ac:dyDescent="0.25">
      <c r="D33644" s="28"/>
      <c r="F33644" s="28"/>
      <c r="H33644" s="28"/>
    </row>
    <row r="33645" spans="4:8" x14ac:dyDescent="0.25">
      <c r="D33645" s="28"/>
      <c r="F33645" s="28"/>
      <c r="H33645" s="28"/>
    </row>
    <row r="33646" spans="4:8" x14ac:dyDescent="0.25">
      <c r="D33646" s="28"/>
      <c r="F33646" s="28"/>
      <c r="H33646" s="28"/>
    </row>
    <row r="33647" spans="4:8" x14ac:dyDescent="0.25">
      <c r="D33647" s="28"/>
      <c r="F33647" s="28"/>
      <c r="H33647" s="28"/>
    </row>
    <row r="33648" spans="4:8" x14ac:dyDescent="0.25">
      <c r="D33648" s="28"/>
      <c r="F33648" s="28"/>
      <c r="H33648" s="28"/>
    </row>
    <row r="33649" spans="4:8" x14ac:dyDescent="0.25">
      <c r="D33649" s="28"/>
      <c r="F33649" s="28"/>
      <c r="H33649" s="28"/>
    </row>
    <row r="33650" spans="4:8" x14ac:dyDescent="0.25">
      <c r="D33650" s="28"/>
      <c r="F33650" s="28"/>
      <c r="H33650" s="28"/>
    </row>
    <row r="33651" spans="4:8" x14ac:dyDescent="0.25">
      <c r="D33651" s="28"/>
      <c r="F33651" s="28"/>
      <c r="H33651" s="28"/>
    </row>
    <row r="33652" spans="4:8" x14ac:dyDescent="0.25">
      <c r="D33652" s="28"/>
      <c r="F33652" s="28"/>
      <c r="H33652" s="28"/>
    </row>
    <row r="33653" spans="4:8" x14ac:dyDescent="0.25">
      <c r="D33653" s="28"/>
      <c r="F33653" s="28"/>
      <c r="H33653" s="28"/>
    </row>
    <row r="33654" spans="4:8" x14ac:dyDescent="0.25">
      <c r="D33654" s="28"/>
      <c r="F33654" s="28"/>
      <c r="H33654" s="28"/>
    </row>
    <row r="33655" spans="4:8" x14ac:dyDescent="0.25">
      <c r="D33655" s="28"/>
      <c r="F33655" s="28"/>
      <c r="H33655" s="28"/>
    </row>
    <row r="33656" spans="4:8" x14ac:dyDescent="0.25">
      <c r="D33656" s="28"/>
      <c r="F33656" s="28"/>
      <c r="H33656" s="28"/>
    </row>
    <row r="33657" spans="4:8" x14ac:dyDescent="0.25">
      <c r="D33657" s="28"/>
      <c r="F33657" s="28"/>
      <c r="H33657" s="28"/>
    </row>
    <row r="33658" spans="4:8" x14ac:dyDescent="0.25">
      <c r="D33658" s="28"/>
      <c r="F33658" s="28"/>
      <c r="H33658" s="28"/>
    </row>
    <row r="33659" spans="4:8" x14ac:dyDescent="0.25">
      <c r="D33659" s="28"/>
      <c r="F33659" s="28"/>
      <c r="H33659" s="28"/>
    </row>
    <row r="33660" spans="4:8" x14ac:dyDescent="0.25">
      <c r="D33660" s="28"/>
      <c r="F33660" s="28"/>
      <c r="H33660" s="28"/>
    </row>
    <row r="33661" spans="4:8" x14ac:dyDescent="0.25">
      <c r="D33661" s="28"/>
      <c r="F33661" s="28"/>
      <c r="H33661" s="28"/>
    </row>
    <row r="33662" spans="4:8" x14ac:dyDescent="0.25">
      <c r="D33662" s="28"/>
      <c r="F33662" s="28"/>
      <c r="H33662" s="28"/>
    </row>
    <row r="33663" spans="4:8" x14ac:dyDescent="0.25">
      <c r="D33663" s="28"/>
      <c r="F33663" s="28"/>
      <c r="H33663" s="28"/>
    </row>
    <row r="33664" spans="4:8" x14ac:dyDescent="0.25">
      <c r="D33664" s="28"/>
      <c r="F33664" s="28"/>
      <c r="H33664" s="28"/>
    </row>
    <row r="33665" spans="4:8" x14ac:dyDescent="0.25">
      <c r="D33665" s="28"/>
      <c r="F33665" s="28"/>
      <c r="H33665" s="28"/>
    </row>
    <row r="33666" spans="4:8" x14ac:dyDescent="0.25">
      <c r="D33666" s="28"/>
      <c r="F33666" s="28"/>
      <c r="H33666" s="28"/>
    </row>
    <row r="33667" spans="4:8" x14ac:dyDescent="0.25">
      <c r="D33667" s="28"/>
      <c r="F33667" s="28"/>
      <c r="H33667" s="28"/>
    </row>
    <row r="33668" spans="4:8" x14ac:dyDescent="0.25">
      <c r="D33668" s="28"/>
      <c r="F33668" s="28"/>
      <c r="H33668" s="28"/>
    </row>
    <row r="33669" spans="4:8" x14ac:dyDescent="0.25">
      <c r="D33669" s="28"/>
      <c r="F33669" s="28"/>
      <c r="H33669" s="28"/>
    </row>
    <row r="33670" spans="4:8" x14ac:dyDescent="0.25">
      <c r="D33670" s="28"/>
      <c r="F33670" s="28"/>
      <c r="H33670" s="28"/>
    </row>
    <row r="33671" spans="4:8" x14ac:dyDescent="0.25">
      <c r="D33671" s="28"/>
      <c r="F33671" s="28"/>
      <c r="H33671" s="28"/>
    </row>
    <row r="33672" spans="4:8" x14ac:dyDescent="0.25">
      <c r="D33672" s="28"/>
      <c r="F33672" s="28"/>
      <c r="H33672" s="28"/>
    </row>
    <row r="33673" spans="4:8" x14ac:dyDescent="0.25">
      <c r="D33673" s="28"/>
      <c r="F33673" s="28"/>
      <c r="H33673" s="28"/>
    </row>
    <row r="33674" spans="4:8" x14ac:dyDescent="0.25">
      <c r="D33674" s="28"/>
      <c r="F33674" s="28"/>
      <c r="H33674" s="28"/>
    </row>
    <row r="33675" spans="4:8" x14ac:dyDescent="0.25">
      <c r="D33675" s="28"/>
      <c r="F33675" s="28"/>
      <c r="H33675" s="28"/>
    </row>
    <row r="33676" spans="4:8" x14ac:dyDescent="0.25">
      <c r="D33676" s="28"/>
      <c r="F33676" s="28"/>
      <c r="H33676" s="28"/>
    </row>
    <row r="33677" spans="4:8" x14ac:dyDescent="0.25">
      <c r="D33677" s="28"/>
      <c r="F33677" s="28"/>
      <c r="H33677" s="28"/>
    </row>
    <row r="33678" spans="4:8" x14ac:dyDescent="0.25">
      <c r="D33678" s="28"/>
      <c r="F33678" s="28"/>
      <c r="H33678" s="28"/>
    </row>
    <row r="33679" spans="4:8" x14ac:dyDescent="0.25">
      <c r="D33679" s="28"/>
      <c r="F33679" s="28"/>
      <c r="H33679" s="28"/>
    </row>
    <row r="33680" spans="4:8" x14ac:dyDescent="0.25">
      <c r="D33680" s="28"/>
      <c r="F33680" s="28"/>
      <c r="H33680" s="28"/>
    </row>
    <row r="33681" spans="4:8" x14ac:dyDescent="0.25">
      <c r="D33681" s="28"/>
      <c r="F33681" s="28"/>
      <c r="H33681" s="28"/>
    </row>
    <row r="33682" spans="4:8" x14ac:dyDescent="0.25">
      <c r="D33682" s="28"/>
      <c r="F33682" s="28"/>
      <c r="H33682" s="28"/>
    </row>
    <row r="33683" spans="4:8" x14ac:dyDescent="0.25">
      <c r="D33683" s="28"/>
      <c r="F33683" s="28"/>
      <c r="H33683" s="28"/>
    </row>
    <row r="33684" spans="4:8" x14ac:dyDescent="0.25">
      <c r="D33684" s="28"/>
      <c r="F33684" s="28"/>
      <c r="H33684" s="28"/>
    </row>
    <row r="33685" spans="4:8" x14ac:dyDescent="0.25">
      <c r="D33685" s="28"/>
      <c r="F33685" s="28"/>
      <c r="H33685" s="28"/>
    </row>
    <row r="33686" spans="4:8" x14ac:dyDescent="0.25">
      <c r="D33686" s="28"/>
      <c r="F33686" s="28"/>
      <c r="H33686" s="28"/>
    </row>
    <row r="33687" spans="4:8" x14ac:dyDescent="0.25">
      <c r="D33687" s="28"/>
      <c r="F33687" s="28"/>
      <c r="H33687" s="28"/>
    </row>
    <row r="33688" spans="4:8" x14ac:dyDescent="0.25">
      <c r="D33688" s="28"/>
      <c r="F33688" s="28"/>
      <c r="H33688" s="28"/>
    </row>
    <row r="33689" spans="4:8" x14ac:dyDescent="0.25">
      <c r="D33689" s="28"/>
      <c r="F33689" s="28"/>
      <c r="H33689" s="28"/>
    </row>
    <row r="33690" spans="4:8" x14ac:dyDescent="0.25">
      <c r="D33690" s="28"/>
      <c r="F33690" s="28"/>
      <c r="H33690" s="28"/>
    </row>
    <row r="33691" spans="4:8" x14ac:dyDescent="0.25">
      <c r="D33691" s="28"/>
      <c r="F33691" s="28"/>
      <c r="H33691" s="28"/>
    </row>
    <row r="33692" spans="4:8" x14ac:dyDescent="0.25">
      <c r="D33692" s="28"/>
      <c r="F33692" s="28"/>
      <c r="H33692" s="28"/>
    </row>
    <row r="33693" spans="4:8" x14ac:dyDescent="0.25">
      <c r="D33693" s="28"/>
      <c r="F33693" s="28"/>
      <c r="H33693" s="28"/>
    </row>
    <row r="33694" spans="4:8" x14ac:dyDescent="0.25">
      <c r="D33694" s="28"/>
      <c r="F33694" s="28"/>
      <c r="H33694" s="28"/>
    </row>
    <row r="33695" spans="4:8" x14ac:dyDescent="0.25">
      <c r="D33695" s="28"/>
      <c r="F33695" s="28"/>
      <c r="H33695" s="28"/>
    </row>
    <row r="33696" spans="4:8" x14ac:dyDescent="0.25">
      <c r="D33696" s="28"/>
      <c r="F33696" s="28"/>
      <c r="H33696" s="28"/>
    </row>
    <row r="33697" spans="4:8" x14ac:dyDescent="0.25">
      <c r="D33697" s="28"/>
      <c r="F33697" s="28"/>
      <c r="H33697" s="28"/>
    </row>
    <row r="33698" spans="4:8" x14ac:dyDescent="0.25">
      <c r="D33698" s="28"/>
      <c r="F33698" s="28"/>
      <c r="H33698" s="28"/>
    </row>
    <row r="33699" spans="4:8" x14ac:dyDescent="0.25">
      <c r="D33699" s="28"/>
      <c r="F33699" s="28"/>
      <c r="H33699" s="28"/>
    </row>
    <row r="33700" spans="4:8" x14ac:dyDescent="0.25">
      <c r="D33700" s="28"/>
      <c r="F33700" s="28"/>
      <c r="H33700" s="28"/>
    </row>
    <row r="33701" spans="4:8" x14ac:dyDescent="0.25">
      <c r="D33701" s="28"/>
      <c r="F33701" s="28"/>
      <c r="H33701" s="28"/>
    </row>
    <row r="33702" spans="4:8" x14ac:dyDescent="0.25">
      <c r="D33702" s="28"/>
      <c r="F33702" s="28"/>
      <c r="H33702" s="28"/>
    </row>
    <row r="33703" spans="4:8" x14ac:dyDescent="0.25">
      <c r="D33703" s="28"/>
      <c r="F33703" s="28"/>
      <c r="H33703" s="28"/>
    </row>
    <row r="33704" spans="4:8" x14ac:dyDescent="0.25">
      <c r="D33704" s="28"/>
      <c r="F33704" s="28"/>
      <c r="H33704" s="28"/>
    </row>
    <row r="33705" spans="4:8" x14ac:dyDescent="0.25">
      <c r="D33705" s="28"/>
      <c r="F33705" s="28"/>
      <c r="H33705" s="28"/>
    </row>
    <row r="33706" spans="4:8" x14ac:dyDescent="0.25">
      <c r="D33706" s="28"/>
      <c r="F33706" s="28"/>
      <c r="H33706" s="28"/>
    </row>
    <row r="33707" spans="4:8" x14ac:dyDescent="0.25">
      <c r="D33707" s="28"/>
      <c r="F33707" s="28"/>
      <c r="H33707" s="28"/>
    </row>
    <row r="33708" spans="4:8" x14ac:dyDescent="0.25">
      <c r="D33708" s="28"/>
      <c r="F33708" s="28"/>
      <c r="H33708" s="28"/>
    </row>
    <row r="33709" spans="4:8" x14ac:dyDescent="0.25">
      <c r="D33709" s="28"/>
      <c r="F33709" s="28"/>
      <c r="H33709" s="28"/>
    </row>
    <row r="33710" spans="4:8" x14ac:dyDescent="0.25">
      <c r="D33710" s="28"/>
      <c r="F33710" s="28"/>
      <c r="H33710" s="28"/>
    </row>
    <row r="33711" spans="4:8" x14ac:dyDescent="0.25">
      <c r="D33711" s="28"/>
      <c r="F33711" s="28"/>
      <c r="H33711" s="28"/>
    </row>
    <row r="33712" spans="4:8" x14ac:dyDescent="0.25">
      <c r="D33712" s="28"/>
      <c r="F33712" s="28"/>
      <c r="H33712" s="28"/>
    </row>
    <row r="33713" spans="4:8" x14ac:dyDescent="0.25">
      <c r="D33713" s="28"/>
      <c r="F33713" s="28"/>
      <c r="H33713" s="28"/>
    </row>
    <row r="33714" spans="4:8" x14ac:dyDescent="0.25">
      <c r="D33714" s="28"/>
      <c r="F33714" s="28"/>
      <c r="H33714" s="28"/>
    </row>
    <row r="33715" spans="4:8" x14ac:dyDescent="0.25">
      <c r="D33715" s="28"/>
      <c r="F33715" s="28"/>
      <c r="H33715" s="28"/>
    </row>
    <row r="33716" spans="4:8" x14ac:dyDescent="0.25">
      <c r="D33716" s="28"/>
      <c r="F33716" s="28"/>
      <c r="H33716" s="28"/>
    </row>
    <row r="33717" spans="4:8" x14ac:dyDescent="0.25">
      <c r="D33717" s="28"/>
      <c r="F33717" s="28"/>
      <c r="H33717" s="28"/>
    </row>
    <row r="33718" spans="4:8" x14ac:dyDescent="0.25">
      <c r="D33718" s="28"/>
      <c r="F33718" s="28"/>
      <c r="H33718" s="28"/>
    </row>
    <row r="33719" spans="4:8" x14ac:dyDescent="0.25">
      <c r="D33719" s="28"/>
      <c r="F33719" s="28"/>
      <c r="H33719" s="28"/>
    </row>
    <row r="33720" spans="4:8" x14ac:dyDescent="0.25">
      <c r="D33720" s="28"/>
      <c r="F33720" s="28"/>
      <c r="H33720" s="28"/>
    </row>
    <row r="33721" spans="4:8" x14ac:dyDescent="0.25">
      <c r="D33721" s="28"/>
      <c r="F33721" s="28"/>
      <c r="H33721" s="28"/>
    </row>
    <row r="33722" spans="4:8" x14ac:dyDescent="0.25">
      <c r="D33722" s="28"/>
      <c r="F33722" s="28"/>
      <c r="H33722" s="28"/>
    </row>
    <row r="33723" spans="4:8" x14ac:dyDescent="0.25">
      <c r="D33723" s="28"/>
      <c r="F33723" s="28"/>
      <c r="H33723" s="28"/>
    </row>
    <row r="33724" spans="4:8" x14ac:dyDescent="0.25">
      <c r="D33724" s="28"/>
      <c r="F33724" s="28"/>
      <c r="H33724" s="28"/>
    </row>
    <row r="33725" spans="4:8" x14ac:dyDescent="0.25">
      <c r="D33725" s="28"/>
      <c r="F33725" s="28"/>
      <c r="H33725" s="28"/>
    </row>
    <row r="33726" spans="4:8" x14ac:dyDescent="0.25">
      <c r="D33726" s="28"/>
      <c r="F33726" s="28"/>
      <c r="H33726" s="28"/>
    </row>
    <row r="33727" spans="4:8" x14ac:dyDescent="0.25">
      <c r="D33727" s="28"/>
      <c r="F33727" s="28"/>
      <c r="H33727" s="28"/>
    </row>
    <row r="33728" spans="4:8" x14ac:dyDescent="0.25">
      <c r="D33728" s="28"/>
      <c r="F33728" s="28"/>
      <c r="H33728" s="28"/>
    </row>
    <row r="33729" spans="4:8" x14ac:dyDescent="0.25">
      <c r="D33729" s="28"/>
      <c r="F33729" s="28"/>
      <c r="H33729" s="28"/>
    </row>
    <row r="33730" spans="4:8" x14ac:dyDescent="0.25">
      <c r="D33730" s="28"/>
      <c r="F33730" s="28"/>
      <c r="H33730" s="28"/>
    </row>
    <row r="33731" spans="4:8" x14ac:dyDescent="0.25">
      <c r="D33731" s="28"/>
      <c r="F33731" s="28"/>
      <c r="H33731" s="28"/>
    </row>
    <row r="33732" spans="4:8" x14ac:dyDescent="0.25">
      <c r="D33732" s="28"/>
      <c r="F33732" s="28"/>
      <c r="H33732" s="28"/>
    </row>
    <row r="33733" spans="4:8" x14ac:dyDescent="0.25">
      <c r="D33733" s="28"/>
      <c r="F33733" s="28"/>
      <c r="H33733" s="28"/>
    </row>
    <row r="33734" spans="4:8" x14ac:dyDescent="0.25">
      <c r="D33734" s="28"/>
      <c r="F33734" s="28"/>
      <c r="H33734" s="28"/>
    </row>
    <row r="33735" spans="4:8" x14ac:dyDescent="0.25">
      <c r="D33735" s="28"/>
      <c r="F33735" s="28"/>
      <c r="H33735" s="28"/>
    </row>
    <row r="33736" spans="4:8" x14ac:dyDescent="0.25">
      <c r="D33736" s="28"/>
      <c r="F33736" s="28"/>
      <c r="H33736" s="28"/>
    </row>
    <row r="33737" spans="4:8" x14ac:dyDescent="0.25">
      <c r="D33737" s="28"/>
      <c r="F33737" s="28"/>
      <c r="H33737" s="28"/>
    </row>
    <row r="33738" spans="4:8" x14ac:dyDescent="0.25">
      <c r="D33738" s="28"/>
      <c r="F33738" s="28"/>
      <c r="H33738" s="28"/>
    </row>
    <row r="33739" spans="4:8" x14ac:dyDescent="0.25">
      <c r="D33739" s="28"/>
      <c r="F33739" s="28"/>
      <c r="H33739" s="28"/>
    </row>
    <row r="33740" spans="4:8" x14ac:dyDescent="0.25">
      <c r="D33740" s="28"/>
      <c r="F33740" s="28"/>
      <c r="H33740" s="28"/>
    </row>
    <row r="33741" spans="4:8" x14ac:dyDescent="0.25">
      <c r="D33741" s="28"/>
      <c r="F33741" s="28"/>
      <c r="H33741" s="28"/>
    </row>
    <row r="33742" spans="4:8" x14ac:dyDescent="0.25">
      <c r="D33742" s="28"/>
      <c r="F33742" s="28"/>
      <c r="H33742" s="28"/>
    </row>
    <row r="33743" spans="4:8" x14ac:dyDescent="0.25">
      <c r="D33743" s="28"/>
      <c r="F33743" s="28"/>
      <c r="H33743" s="28"/>
    </row>
    <row r="33744" spans="4:8" x14ac:dyDescent="0.25">
      <c r="D33744" s="28"/>
      <c r="F33744" s="28"/>
      <c r="H33744" s="28"/>
    </row>
    <row r="33745" spans="4:8" x14ac:dyDescent="0.25">
      <c r="D33745" s="28"/>
      <c r="F33745" s="28"/>
      <c r="H33745" s="28"/>
    </row>
    <row r="33746" spans="4:8" x14ac:dyDescent="0.25">
      <c r="D33746" s="28"/>
      <c r="F33746" s="28"/>
      <c r="H33746" s="28"/>
    </row>
    <row r="33747" spans="4:8" x14ac:dyDescent="0.25">
      <c r="D33747" s="28"/>
      <c r="F33747" s="28"/>
      <c r="H33747" s="28"/>
    </row>
    <row r="33748" spans="4:8" x14ac:dyDescent="0.25">
      <c r="D33748" s="28"/>
      <c r="F33748" s="28"/>
      <c r="H33748" s="28"/>
    </row>
    <row r="33749" spans="4:8" x14ac:dyDescent="0.25">
      <c r="D33749" s="28"/>
      <c r="F33749" s="28"/>
      <c r="H33749" s="28"/>
    </row>
    <row r="33750" spans="4:8" x14ac:dyDescent="0.25">
      <c r="D33750" s="28"/>
      <c r="F33750" s="28"/>
      <c r="H33750" s="28"/>
    </row>
    <row r="33751" spans="4:8" x14ac:dyDescent="0.25">
      <c r="D33751" s="28"/>
      <c r="F33751" s="28"/>
      <c r="H33751" s="28"/>
    </row>
    <row r="33752" spans="4:8" x14ac:dyDescent="0.25">
      <c r="D33752" s="28"/>
      <c r="F33752" s="28"/>
      <c r="H33752" s="28"/>
    </row>
    <row r="33753" spans="4:8" x14ac:dyDescent="0.25">
      <c r="D33753" s="28"/>
      <c r="F33753" s="28"/>
      <c r="H33753" s="28"/>
    </row>
    <row r="33754" spans="4:8" x14ac:dyDescent="0.25">
      <c r="D33754" s="28"/>
      <c r="F33754" s="28"/>
      <c r="H33754" s="28"/>
    </row>
    <row r="33755" spans="4:8" x14ac:dyDescent="0.25">
      <c r="D33755" s="28"/>
      <c r="F33755" s="28"/>
      <c r="H33755" s="28"/>
    </row>
    <row r="33756" spans="4:8" x14ac:dyDescent="0.25">
      <c r="D33756" s="28"/>
      <c r="F33756" s="28"/>
      <c r="H33756" s="28"/>
    </row>
    <row r="33757" spans="4:8" x14ac:dyDescent="0.25">
      <c r="D33757" s="28"/>
      <c r="F33757" s="28"/>
      <c r="H33757" s="28"/>
    </row>
    <row r="33758" spans="4:8" x14ac:dyDescent="0.25">
      <c r="D33758" s="28"/>
      <c r="F33758" s="28"/>
      <c r="H33758" s="28"/>
    </row>
    <row r="33759" spans="4:8" x14ac:dyDescent="0.25">
      <c r="D33759" s="28"/>
      <c r="F33759" s="28"/>
      <c r="H33759" s="28"/>
    </row>
    <row r="33760" spans="4:8" x14ac:dyDescent="0.25">
      <c r="D33760" s="28"/>
      <c r="F33760" s="28"/>
      <c r="H33760" s="28"/>
    </row>
    <row r="33761" spans="4:8" x14ac:dyDescent="0.25">
      <c r="D33761" s="28"/>
      <c r="F33761" s="28"/>
      <c r="H33761" s="28"/>
    </row>
    <row r="33762" spans="4:8" x14ac:dyDescent="0.25">
      <c r="D33762" s="28"/>
      <c r="F33762" s="28"/>
      <c r="H33762" s="28"/>
    </row>
    <row r="33763" spans="4:8" x14ac:dyDescent="0.25">
      <c r="D33763" s="28"/>
      <c r="F33763" s="28"/>
      <c r="H33763" s="28"/>
    </row>
    <row r="33764" spans="4:8" x14ac:dyDescent="0.25">
      <c r="D33764" s="28"/>
      <c r="F33764" s="28"/>
      <c r="H33764" s="28"/>
    </row>
    <row r="33765" spans="4:8" x14ac:dyDescent="0.25">
      <c r="D33765" s="28"/>
      <c r="F33765" s="28"/>
      <c r="H33765" s="28"/>
    </row>
    <row r="33766" spans="4:8" x14ac:dyDescent="0.25">
      <c r="D33766" s="28"/>
      <c r="F33766" s="28"/>
      <c r="H33766" s="28"/>
    </row>
    <row r="33767" spans="4:8" x14ac:dyDescent="0.25">
      <c r="D33767" s="28"/>
      <c r="F33767" s="28"/>
      <c r="H33767" s="28"/>
    </row>
    <row r="33768" spans="4:8" x14ac:dyDescent="0.25">
      <c r="D33768" s="28"/>
      <c r="F33768" s="28"/>
      <c r="H33768" s="28"/>
    </row>
    <row r="33769" spans="4:8" x14ac:dyDescent="0.25">
      <c r="D33769" s="28"/>
      <c r="F33769" s="28"/>
      <c r="H33769" s="28"/>
    </row>
    <row r="33770" spans="4:8" x14ac:dyDescent="0.25">
      <c r="D33770" s="28"/>
      <c r="F33770" s="28"/>
      <c r="H33770" s="28"/>
    </row>
    <row r="33771" spans="4:8" x14ac:dyDescent="0.25">
      <c r="D33771" s="28"/>
      <c r="F33771" s="28"/>
      <c r="H33771" s="28"/>
    </row>
    <row r="33772" spans="4:8" x14ac:dyDescent="0.25">
      <c r="D33772" s="28"/>
      <c r="F33772" s="28"/>
      <c r="H33772" s="28"/>
    </row>
    <row r="33773" spans="4:8" x14ac:dyDescent="0.25">
      <c r="D33773" s="28"/>
      <c r="F33773" s="28"/>
      <c r="H33773" s="28"/>
    </row>
    <row r="33774" spans="4:8" x14ac:dyDescent="0.25">
      <c r="D33774" s="28"/>
      <c r="F33774" s="28"/>
      <c r="H33774" s="28"/>
    </row>
    <row r="33775" spans="4:8" x14ac:dyDescent="0.25">
      <c r="D33775" s="28"/>
      <c r="F33775" s="28"/>
      <c r="H33775" s="28"/>
    </row>
    <row r="33776" spans="4:8" x14ac:dyDescent="0.25">
      <c r="D33776" s="28"/>
      <c r="F33776" s="28"/>
      <c r="H33776" s="28"/>
    </row>
    <row r="33777" spans="4:8" x14ac:dyDescent="0.25">
      <c r="D33777" s="28"/>
      <c r="F33777" s="28"/>
      <c r="H33777" s="28"/>
    </row>
    <row r="33778" spans="4:8" x14ac:dyDescent="0.25">
      <c r="D33778" s="28"/>
      <c r="F33778" s="28"/>
      <c r="H33778" s="28"/>
    </row>
    <row r="33779" spans="4:8" x14ac:dyDescent="0.25">
      <c r="D33779" s="28"/>
      <c r="F33779" s="28"/>
      <c r="H33779" s="28"/>
    </row>
    <row r="33780" spans="4:8" x14ac:dyDescent="0.25">
      <c r="D33780" s="28"/>
      <c r="F33780" s="28"/>
      <c r="H33780" s="28"/>
    </row>
    <row r="33781" spans="4:8" x14ac:dyDescent="0.25">
      <c r="D33781" s="28"/>
      <c r="F33781" s="28"/>
      <c r="H33781" s="28"/>
    </row>
    <row r="33782" spans="4:8" x14ac:dyDescent="0.25">
      <c r="D33782" s="28"/>
      <c r="F33782" s="28"/>
      <c r="H33782" s="28"/>
    </row>
    <row r="33783" spans="4:8" x14ac:dyDescent="0.25">
      <c r="D33783" s="28"/>
      <c r="F33783" s="28"/>
      <c r="H33783" s="28"/>
    </row>
    <row r="33784" spans="4:8" x14ac:dyDescent="0.25">
      <c r="D33784" s="28"/>
      <c r="F33784" s="28"/>
      <c r="H33784" s="28"/>
    </row>
    <row r="33785" spans="4:8" x14ac:dyDescent="0.25">
      <c r="D33785" s="28"/>
      <c r="F33785" s="28"/>
      <c r="H33785" s="28"/>
    </row>
    <row r="33786" spans="4:8" x14ac:dyDescent="0.25">
      <c r="D33786" s="28"/>
      <c r="F33786" s="28"/>
      <c r="H33786" s="28"/>
    </row>
    <row r="33787" spans="4:8" x14ac:dyDescent="0.25">
      <c r="D33787" s="28"/>
      <c r="F33787" s="28"/>
      <c r="H33787" s="28"/>
    </row>
    <row r="33788" spans="4:8" x14ac:dyDescent="0.25">
      <c r="D33788" s="28"/>
      <c r="F33788" s="28"/>
      <c r="H33788" s="28"/>
    </row>
    <row r="33789" spans="4:8" x14ac:dyDescent="0.25">
      <c r="D33789" s="28"/>
      <c r="F33789" s="28"/>
      <c r="H33789" s="28"/>
    </row>
    <row r="33790" spans="4:8" x14ac:dyDescent="0.25">
      <c r="D33790" s="28"/>
      <c r="F33790" s="28"/>
      <c r="H33790" s="28"/>
    </row>
    <row r="33791" spans="4:8" x14ac:dyDescent="0.25">
      <c r="D33791" s="28"/>
      <c r="F33791" s="28"/>
      <c r="H33791" s="28"/>
    </row>
    <row r="33792" spans="4:8" x14ac:dyDescent="0.25">
      <c r="D33792" s="28"/>
      <c r="F33792" s="28"/>
      <c r="H33792" s="28"/>
    </row>
    <row r="33793" spans="4:8" x14ac:dyDescent="0.25">
      <c r="D33793" s="28"/>
      <c r="F33793" s="28"/>
      <c r="H33793" s="28"/>
    </row>
    <row r="33794" spans="4:8" x14ac:dyDescent="0.25">
      <c r="D33794" s="28"/>
      <c r="F33794" s="28"/>
      <c r="H33794" s="28"/>
    </row>
    <row r="33795" spans="4:8" x14ac:dyDescent="0.25">
      <c r="D33795" s="28"/>
      <c r="F33795" s="28"/>
      <c r="H33795" s="28"/>
    </row>
    <row r="33796" spans="4:8" x14ac:dyDescent="0.25">
      <c r="D33796" s="28"/>
      <c r="F33796" s="28"/>
      <c r="H33796" s="28"/>
    </row>
    <row r="33797" spans="4:8" x14ac:dyDescent="0.25">
      <c r="D33797" s="28"/>
      <c r="F33797" s="28"/>
      <c r="H33797" s="28"/>
    </row>
    <row r="33798" spans="4:8" x14ac:dyDescent="0.25">
      <c r="D33798" s="28"/>
      <c r="F33798" s="28"/>
      <c r="H33798" s="28"/>
    </row>
    <row r="33799" spans="4:8" x14ac:dyDescent="0.25">
      <c r="D33799" s="28"/>
      <c r="F33799" s="28"/>
      <c r="H33799" s="28"/>
    </row>
    <row r="33800" spans="4:8" x14ac:dyDescent="0.25">
      <c r="D33800" s="28"/>
      <c r="F33800" s="28"/>
      <c r="H33800" s="28"/>
    </row>
    <row r="33801" spans="4:8" x14ac:dyDescent="0.25">
      <c r="D33801" s="28"/>
      <c r="F33801" s="28"/>
      <c r="H33801" s="28"/>
    </row>
    <row r="33802" spans="4:8" x14ac:dyDescent="0.25">
      <c r="D33802" s="28"/>
      <c r="F33802" s="28"/>
      <c r="H33802" s="28"/>
    </row>
    <row r="33803" spans="4:8" x14ac:dyDescent="0.25">
      <c r="D33803" s="28"/>
      <c r="F33803" s="28"/>
      <c r="H33803" s="28"/>
    </row>
    <row r="33804" spans="4:8" x14ac:dyDescent="0.25">
      <c r="D33804" s="28"/>
      <c r="F33804" s="28"/>
      <c r="H33804" s="28"/>
    </row>
    <row r="33805" spans="4:8" x14ac:dyDescent="0.25">
      <c r="D33805" s="28"/>
      <c r="F33805" s="28"/>
      <c r="H33805" s="28"/>
    </row>
    <row r="33806" spans="4:8" x14ac:dyDescent="0.25">
      <c r="D33806" s="28"/>
      <c r="F33806" s="28"/>
      <c r="H33806" s="28"/>
    </row>
    <row r="33807" spans="4:8" x14ac:dyDescent="0.25">
      <c r="D33807" s="28"/>
      <c r="F33807" s="28"/>
      <c r="H33807" s="28"/>
    </row>
    <row r="33808" spans="4:8" x14ac:dyDescent="0.25">
      <c r="D33808" s="28"/>
      <c r="F33808" s="28"/>
      <c r="H33808" s="28"/>
    </row>
    <row r="33809" spans="4:8" x14ac:dyDescent="0.25">
      <c r="D33809" s="28"/>
      <c r="F33809" s="28"/>
      <c r="H33809" s="28"/>
    </row>
    <row r="33810" spans="4:8" x14ac:dyDescent="0.25">
      <c r="D33810" s="28"/>
      <c r="F33810" s="28"/>
      <c r="H33810" s="28"/>
    </row>
    <row r="33811" spans="4:8" x14ac:dyDescent="0.25">
      <c r="D33811" s="28"/>
      <c r="F33811" s="28"/>
      <c r="H33811" s="28"/>
    </row>
    <row r="33812" spans="4:8" x14ac:dyDescent="0.25">
      <c r="D33812" s="28"/>
      <c r="F33812" s="28"/>
      <c r="H33812" s="28"/>
    </row>
    <row r="33813" spans="4:8" x14ac:dyDescent="0.25">
      <c r="D33813" s="28"/>
      <c r="F33813" s="28"/>
      <c r="H33813" s="28"/>
    </row>
    <row r="33814" spans="4:8" x14ac:dyDescent="0.25">
      <c r="D33814" s="28"/>
      <c r="F33814" s="28"/>
      <c r="H33814" s="28"/>
    </row>
    <row r="33815" spans="4:8" x14ac:dyDescent="0.25">
      <c r="D33815" s="28"/>
      <c r="F33815" s="28"/>
      <c r="H33815" s="28"/>
    </row>
    <row r="33816" spans="4:8" x14ac:dyDescent="0.25">
      <c r="D33816" s="28"/>
      <c r="F33816" s="28"/>
      <c r="H33816" s="28"/>
    </row>
    <row r="33817" spans="4:8" x14ac:dyDescent="0.25">
      <c r="D33817" s="28"/>
      <c r="F33817" s="28"/>
      <c r="H33817" s="28"/>
    </row>
    <row r="33818" spans="4:8" x14ac:dyDescent="0.25">
      <c r="D33818" s="28"/>
      <c r="F33818" s="28"/>
      <c r="H33818" s="28"/>
    </row>
    <row r="33819" spans="4:8" x14ac:dyDescent="0.25">
      <c r="D33819" s="28"/>
      <c r="F33819" s="28"/>
      <c r="H33819" s="28"/>
    </row>
    <row r="33820" spans="4:8" x14ac:dyDescent="0.25">
      <c r="D33820" s="28"/>
      <c r="F33820" s="28"/>
      <c r="H33820" s="28"/>
    </row>
    <row r="33821" spans="4:8" x14ac:dyDescent="0.25">
      <c r="D33821" s="28"/>
      <c r="F33821" s="28"/>
      <c r="H33821" s="28"/>
    </row>
    <row r="33822" spans="4:8" x14ac:dyDescent="0.25">
      <c r="D33822" s="28"/>
      <c r="F33822" s="28"/>
      <c r="H33822" s="28"/>
    </row>
    <row r="33823" spans="4:8" x14ac:dyDescent="0.25">
      <c r="D33823" s="28"/>
      <c r="F33823" s="28"/>
      <c r="H33823" s="28"/>
    </row>
    <row r="33824" spans="4:8" x14ac:dyDescent="0.25">
      <c r="D33824" s="28"/>
      <c r="F33824" s="28"/>
      <c r="H33824" s="28"/>
    </row>
    <row r="33825" spans="4:8" x14ac:dyDescent="0.25">
      <c r="D33825" s="28"/>
      <c r="F33825" s="28"/>
      <c r="H33825" s="28"/>
    </row>
    <row r="33826" spans="4:8" x14ac:dyDescent="0.25">
      <c r="D33826" s="28"/>
      <c r="F33826" s="28"/>
      <c r="H33826" s="28"/>
    </row>
    <row r="33827" spans="4:8" x14ac:dyDescent="0.25">
      <c r="D33827" s="28"/>
      <c r="F33827" s="28"/>
      <c r="H33827" s="28"/>
    </row>
    <row r="33828" spans="4:8" x14ac:dyDescent="0.25">
      <c r="D33828" s="28"/>
      <c r="F33828" s="28"/>
      <c r="H33828" s="28"/>
    </row>
    <row r="33829" spans="4:8" x14ac:dyDescent="0.25">
      <c r="D33829" s="28"/>
      <c r="F33829" s="28"/>
      <c r="H33829" s="28"/>
    </row>
    <row r="33830" spans="4:8" x14ac:dyDescent="0.25">
      <c r="D33830" s="28"/>
      <c r="F33830" s="28"/>
      <c r="H33830" s="28"/>
    </row>
    <row r="33831" spans="4:8" x14ac:dyDescent="0.25">
      <c r="D33831" s="28"/>
      <c r="F33831" s="28"/>
      <c r="H33831" s="28"/>
    </row>
    <row r="33832" spans="4:8" x14ac:dyDescent="0.25">
      <c r="D33832" s="28"/>
      <c r="F33832" s="28"/>
      <c r="H33832" s="28"/>
    </row>
    <row r="33833" spans="4:8" x14ac:dyDescent="0.25">
      <c r="D33833" s="28"/>
      <c r="F33833" s="28"/>
      <c r="H33833" s="28"/>
    </row>
    <row r="33834" spans="4:8" x14ac:dyDescent="0.25">
      <c r="D33834" s="28"/>
      <c r="F33834" s="28"/>
      <c r="H33834" s="28"/>
    </row>
    <row r="33835" spans="4:8" x14ac:dyDescent="0.25">
      <c r="D33835" s="28"/>
      <c r="F33835" s="28"/>
      <c r="H33835" s="28"/>
    </row>
    <row r="33836" spans="4:8" x14ac:dyDescent="0.25">
      <c r="D33836" s="28"/>
      <c r="F33836" s="28"/>
      <c r="H33836" s="28"/>
    </row>
    <row r="33837" spans="4:8" x14ac:dyDescent="0.25">
      <c r="D33837" s="28"/>
      <c r="F33837" s="28"/>
      <c r="H33837" s="28"/>
    </row>
    <row r="33838" spans="4:8" x14ac:dyDescent="0.25">
      <c r="D33838" s="28"/>
      <c r="F33838" s="28"/>
      <c r="H33838" s="28"/>
    </row>
    <row r="33839" spans="4:8" x14ac:dyDescent="0.25">
      <c r="D33839" s="28"/>
      <c r="F33839" s="28"/>
      <c r="H33839" s="28"/>
    </row>
    <row r="33840" spans="4:8" x14ac:dyDescent="0.25">
      <c r="D33840" s="28"/>
      <c r="F33840" s="28"/>
      <c r="H33840" s="28"/>
    </row>
    <row r="33841" spans="4:8" x14ac:dyDescent="0.25">
      <c r="D33841" s="28"/>
      <c r="F33841" s="28"/>
      <c r="H33841" s="28"/>
    </row>
    <row r="33842" spans="4:8" x14ac:dyDescent="0.25">
      <c r="D33842" s="28"/>
      <c r="F33842" s="28"/>
      <c r="H33842" s="28"/>
    </row>
    <row r="33843" spans="4:8" x14ac:dyDescent="0.25">
      <c r="D33843" s="28"/>
      <c r="F33843" s="28"/>
      <c r="H33843" s="28"/>
    </row>
    <row r="33844" spans="4:8" x14ac:dyDescent="0.25">
      <c r="D33844" s="28"/>
      <c r="F33844" s="28"/>
      <c r="H33844" s="28"/>
    </row>
    <row r="33845" spans="4:8" x14ac:dyDescent="0.25">
      <c r="D33845" s="28"/>
      <c r="F33845" s="28"/>
      <c r="H33845" s="28"/>
    </row>
    <row r="33846" spans="4:8" x14ac:dyDescent="0.25">
      <c r="D33846" s="28"/>
      <c r="F33846" s="28"/>
      <c r="H33846" s="28"/>
    </row>
    <row r="33847" spans="4:8" x14ac:dyDescent="0.25">
      <c r="D33847" s="28"/>
      <c r="F33847" s="28"/>
      <c r="H33847" s="28"/>
    </row>
    <row r="33848" spans="4:8" x14ac:dyDescent="0.25">
      <c r="D33848" s="28"/>
      <c r="F33848" s="28"/>
      <c r="H33848" s="28"/>
    </row>
    <row r="33849" spans="4:8" x14ac:dyDescent="0.25">
      <c r="D33849" s="28"/>
      <c r="F33849" s="28"/>
      <c r="H33849" s="28"/>
    </row>
    <row r="33850" spans="4:8" x14ac:dyDescent="0.25">
      <c r="D33850" s="28"/>
      <c r="F33850" s="28"/>
      <c r="H33850" s="28"/>
    </row>
    <row r="33851" spans="4:8" x14ac:dyDescent="0.25">
      <c r="D33851" s="28"/>
      <c r="F33851" s="28"/>
      <c r="H33851" s="28"/>
    </row>
    <row r="33852" spans="4:8" x14ac:dyDescent="0.25">
      <c r="D33852" s="28"/>
      <c r="F33852" s="28"/>
      <c r="H33852" s="28"/>
    </row>
    <row r="33853" spans="4:8" x14ac:dyDescent="0.25">
      <c r="D33853" s="28"/>
      <c r="F33853" s="28"/>
      <c r="H33853" s="28"/>
    </row>
    <row r="33854" spans="4:8" x14ac:dyDescent="0.25">
      <c r="D33854" s="28"/>
      <c r="F33854" s="28"/>
      <c r="H33854" s="28"/>
    </row>
    <row r="33855" spans="4:8" x14ac:dyDescent="0.25">
      <c r="D33855" s="28"/>
      <c r="F33855" s="28"/>
      <c r="H33855" s="28"/>
    </row>
    <row r="33856" spans="4:8" x14ac:dyDescent="0.25">
      <c r="D33856" s="28"/>
      <c r="F33856" s="28"/>
      <c r="H33856" s="28"/>
    </row>
    <row r="33857" spans="4:8" x14ac:dyDescent="0.25">
      <c r="D33857" s="28"/>
      <c r="F33857" s="28"/>
      <c r="H33857" s="28"/>
    </row>
    <row r="33858" spans="4:8" x14ac:dyDescent="0.25">
      <c r="D33858" s="28"/>
      <c r="F33858" s="28"/>
      <c r="H33858" s="28"/>
    </row>
    <row r="33859" spans="4:8" x14ac:dyDescent="0.25">
      <c r="D33859" s="28"/>
      <c r="F33859" s="28"/>
      <c r="H33859" s="28"/>
    </row>
    <row r="33860" spans="4:8" x14ac:dyDescent="0.25">
      <c r="D33860" s="28"/>
      <c r="F33860" s="28"/>
      <c r="H33860" s="28"/>
    </row>
    <row r="33861" spans="4:8" x14ac:dyDescent="0.25">
      <c r="D33861" s="28"/>
      <c r="F33861" s="28"/>
      <c r="H33861" s="28"/>
    </row>
    <row r="33862" spans="4:8" x14ac:dyDescent="0.25">
      <c r="D33862" s="28"/>
      <c r="F33862" s="28"/>
      <c r="H33862" s="28"/>
    </row>
    <row r="33863" spans="4:8" x14ac:dyDescent="0.25">
      <c r="D33863" s="28"/>
      <c r="F33863" s="28"/>
      <c r="H33863" s="28"/>
    </row>
    <row r="33864" spans="4:8" x14ac:dyDescent="0.25">
      <c r="D33864" s="28"/>
      <c r="F33864" s="28"/>
      <c r="H33864" s="28"/>
    </row>
    <row r="33865" spans="4:8" x14ac:dyDescent="0.25">
      <c r="D33865" s="28"/>
      <c r="F33865" s="28"/>
      <c r="H33865" s="28"/>
    </row>
    <row r="33866" spans="4:8" x14ac:dyDescent="0.25">
      <c r="D33866" s="28"/>
      <c r="F33866" s="28"/>
      <c r="H33866" s="28"/>
    </row>
    <row r="33867" spans="4:8" x14ac:dyDescent="0.25">
      <c r="D33867" s="28"/>
      <c r="F33867" s="28"/>
      <c r="H33867" s="28"/>
    </row>
    <row r="33868" spans="4:8" x14ac:dyDescent="0.25">
      <c r="D33868" s="28"/>
      <c r="F33868" s="28"/>
      <c r="H33868" s="28"/>
    </row>
    <row r="33869" spans="4:8" x14ac:dyDescent="0.25">
      <c r="D33869" s="28"/>
      <c r="F33869" s="28"/>
      <c r="H33869" s="28"/>
    </row>
    <row r="33870" spans="4:8" x14ac:dyDescent="0.25">
      <c r="D33870" s="28"/>
      <c r="F33870" s="28"/>
      <c r="H33870" s="28"/>
    </row>
    <row r="33871" spans="4:8" x14ac:dyDescent="0.25">
      <c r="D33871" s="28"/>
      <c r="F33871" s="28"/>
      <c r="H33871" s="28"/>
    </row>
    <row r="33872" spans="4:8" x14ac:dyDescent="0.25">
      <c r="D33872" s="28"/>
      <c r="F33872" s="28"/>
      <c r="H33872" s="28"/>
    </row>
    <row r="33873" spans="4:8" x14ac:dyDescent="0.25">
      <c r="D33873" s="28"/>
      <c r="F33873" s="28"/>
      <c r="H33873" s="28"/>
    </row>
    <row r="33874" spans="4:8" x14ac:dyDescent="0.25">
      <c r="D33874" s="28"/>
      <c r="F33874" s="28"/>
      <c r="H33874" s="28"/>
    </row>
    <row r="33875" spans="4:8" x14ac:dyDescent="0.25">
      <c r="D33875" s="28"/>
      <c r="F33875" s="28"/>
      <c r="H33875" s="28"/>
    </row>
    <row r="33876" spans="4:8" x14ac:dyDescent="0.25">
      <c r="D33876" s="28"/>
      <c r="F33876" s="28"/>
      <c r="H33876" s="28"/>
    </row>
    <row r="33877" spans="4:8" x14ac:dyDescent="0.25">
      <c r="D33877" s="28"/>
      <c r="F33877" s="28"/>
      <c r="H33877" s="28"/>
    </row>
    <row r="33878" spans="4:8" x14ac:dyDescent="0.25">
      <c r="D33878" s="28"/>
      <c r="F33878" s="28"/>
      <c r="H33878" s="28"/>
    </row>
    <row r="33879" spans="4:8" x14ac:dyDescent="0.25">
      <c r="D33879" s="28"/>
      <c r="F33879" s="28"/>
      <c r="H33879" s="28"/>
    </row>
    <row r="33880" spans="4:8" x14ac:dyDescent="0.25">
      <c r="D33880" s="28"/>
      <c r="F33880" s="28"/>
      <c r="H33880" s="28"/>
    </row>
    <row r="33881" spans="4:8" x14ac:dyDescent="0.25">
      <c r="D33881" s="28"/>
      <c r="F33881" s="28"/>
      <c r="H33881" s="28"/>
    </row>
    <row r="33882" spans="4:8" x14ac:dyDescent="0.25">
      <c r="D33882" s="28"/>
      <c r="F33882" s="28"/>
      <c r="H33882" s="28"/>
    </row>
    <row r="33883" spans="4:8" x14ac:dyDescent="0.25">
      <c r="D33883" s="28"/>
      <c r="F33883" s="28"/>
      <c r="H33883" s="28"/>
    </row>
    <row r="33884" spans="4:8" x14ac:dyDescent="0.25">
      <c r="D33884" s="28"/>
      <c r="F33884" s="28"/>
      <c r="H33884" s="28"/>
    </row>
    <row r="33885" spans="4:8" x14ac:dyDescent="0.25">
      <c r="D33885" s="28"/>
      <c r="F33885" s="28"/>
      <c r="H33885" s="28"/>
    </row>
    <row r="33886" spans="4:8" x14ac:dyDescent="0.25">
      <c r="D33886" s="28"/>
      <c r="F33886" s="28"/>
      <c r="H33886" s="28"/>
    </row>
    <row r="33887" spans="4:8" x14ac:dyDescent="0.25">
      <c r="D33887" s="28"/>
      <c r="F33887" s="28"/>
      <c r="H33887" s="28"/>
    </row>
    <row r="33888" spans="4:8" x14ac:dyDescent="0.25">
      <c r="D33888" s="28"/>
      <c r="F33888" s="28"/>
      <c r="H33888" s="28"/>
    </row>
    <row r="33889" spans="4:8" x14ac:dyDescent="0.25">
      <c r="D33889" s="28"/>
      <c r="F33889" s="28"/>
      <c r="H33889" s="28"/>
    </row>
    <row r="33890" spans="4:8" x14ac:dyDescent="0.25">
      <c r="D33890" s="28"/>
      <c r="F33890" s="28"/>
      <c r="H33890" s="28"/>
    </row>
    <row r="33891" spans="4:8" x14ac:dyDescent="0.25">
      <c r="D33891" s="28"/>
      <c r="F33891" s="28"/>
      <c r="H33891" s="28"/>
    </row>
    <row r="33892" spans="4:8" x14ac:dyDescent="0.25">
      <c r="D33892" s="28"/>
      <c r="F33892" s="28"/>
      <c r="H33892" s="28"/>
    </row>
    <row r="33893" spans="4:8" x14ac:dyDescent="0.25">
      <c r="D33893" s="28"/>
      <c r="F33893" s="28"/>
      <c r="H33893" s="28"/>
    </row>
    <row r="33894" spans="4:8" x14ac:dyDescent="0.25">
      <c r="D33894" s="28"/>
      <c r="F33894" s="28"/>
      <c r="H33894" s="28"/>
    </row>
    <row r="33895" spans="4:8" x14ac:dyDescent="0.25">
      <c r="D33895" s="28"/>
      <c r="F33895" s="28"/>
      <c r="H33895" s="28"/>
    </row>
    <row r="33896" spans="4:8" x14ac:dyDescent="0.25">
      <c r="D33896" s="28"/>
      <c r="F33896" s="28"/>
      <c r="H33896" s="28"/>
    </row>
    <row r="33897" spans="4:8" x14ac:dyDescent="0.25">
      <c r="D33897" s="28"/>
      <c r="F33897" s="28"/>
      <c r="H33897" s="28"/>
    </row>
    <row r="33898" spans="4:8" x14ac:dyDescent="0.25">
      <c r="D33898" s="28"/>
      <c r="F33898" s="28"/>
      <c r="H33898" s="28"/>
    </row>
    <row r="33899" spans="4:8" x14ac:dyDescent="0.25">
      <c r="D33899" s="28"/>
      <c r="F33899" s="28"/>
      <c r="H33899" s="28"/>
    </row>
    <row r="33900" spans="4:8" x14ac:dyDescent="0.25">
      <c r="D33900" s="28"/>
      <c r="F33900" s="28"/>
      <c r="H33900" s="28"/>
    </row>
    <row r="33901" spans="4:8" x14ac:dyDescent="0.25">
      <c r="D33901" s="28"/>
      <c r="F33901" s="28"/>
      <c r="H33901" s="28"/>
    </row>
    <row r="33902" spans="4:8" x14ac:dyDescent="0.25">
      <c r="D33902" s="28"/>
      <c r="F33902" s="28"/>
      <c r="H33902" s="28"/>
    </row>
    <row r="33903" spans="4:8" x14ac:dyDescent="0.25">
      <c r="D33903" s="28"/>
      <c r="F33903" s="28"/>
      <c r="H33903" s="28"/>
    </row>
    <row r="33904" spans="4:8" x14ac:dyDescent="0.25">
      <c r="D33904" s="28"/>
      <c r="F33904" s="28"/>
      <c r="H33904" s="28"/>
    </row>
    <row r="33905" spans="4:8" x14ac:dyDescent="0.25">
      <c r="D33905" s="28"/>
      <c r="F33905" s="28"/>
      <c r="H33905" s="28"/>
    </row>
    <row r="33906" spans="4:8" x14ac:dyDescent="0.25">
      <c r="D33906" s="28"/>
      <c r="F33906" s="28"/>
      <c r="H33906" s="28"/>
    </row>
    <row r="33907" spans="4:8" x14ac:dyDescent="0.25">
      <c r="D33907" s="28"/>
      <c r="F33907" s="28"/>
      <c r="H33907" s="28"/>
    </row>
    <row r="33908" spans="4:8" x14ac:dyDescent="0.25">
      <c r="D33908" s="28"/>
      <c r="F33908" s="28"/>
      <c r="H33908" s="28"/>
    </row>
    <row r="33909" spans="4:8" x14ac:dyDescent="0.25">
      <c r="D33909" s="28"/>
      <c r="F33909" s="28"/>
      <c r="H33909" s="28"/>
    </row>
    <row r="33910" spans="4:8" x14ac:dyDescent="0.25">
      <c r="D33910" s="28"/>
      <c r="F33910" s="28"/>
      <c r="H33910" s="28"/>
    </row>
    <row r="33911" spans="4:8" x14ac:dyDescent="0.25">
      <c r="D33911" s="28"/>
      <c r="F33911" s="28"/>
      <c r="H33911" s="28"/>
    </row>
    <row r="33912" spans="4:8" x14ac:dyDescent="0.25">
      <c r="D33912" s="28"/>
      <c r="F33912" s="28"/>
      <c r="H33912" s="28"/>
    </row>
    <row r="33913" spans="4:8" x14ac:dyDescent="0.25">
      <c r="D33913" s="28"/>
      <c r="F33913" s="28"/>
      <c r="H33913" s="28"/>
    </row>
    <row r="33914" spans="4:8" x14ac:dyDescent="0.25">
      <c r="D33914" s="28"/>
      <c r="F33914" s="28"/>
      <c r="H33914" s="28"/>
    </row>
    <row r="33915" spans="4:8" x14ac:dyDescent="0.25">
      <c r="D33915" s="28"/>
      <c r="F33915" s="28"/>
      <c r="H33915" s="28"/>
    </row>
    <row r="33916" spans="4:8" x14ac:dyDescent="0.25">
      <c r="D33916" s="28"/>
      <c r="F33916" s="28"/>
      <c r="H33916" s="28"/>
    </row>
    <row r="33917" spans="4:8" x14ac:dyDescent="0.25">
      <c r="D33917" s="28"/>
      <c r="F33917" s="28"/>
      <c r="H33917" s="28"/>
    </row>
    <row r="33918" spans="4:8" x14ac:dyDescent="0.25">
      <c r="D33918" s="28"/>
      <c r="F33918" s="28"/>
      <c r="H33918" s="28"/>
    </row>
    <row r="33919" spans="4:8" x14ac:dyDescent="0.25">
      <c r="D33919" s="28"/>
      <c r="F33919" s="28"/>
      <c r="H33919" s="28"/>
    </row>
    <row r="33920" spans="4:8" x14ac:dyDescent="0.25">
      <c r="D33920" s="28"/>
      <c r="F33920" s="28"/>
      <c r="H33920" s="28"/>
    </row>
    <row r="33921" spans="4:8" x14ac:dyDescent="0.25">
      <c r="D33921" s="28"/>
      <c r="F33921" s="28"/>
      <c r="H33921" s="28"/>
    </row>
    <row r="33922" spans="4:8" x14ac:dyDescent="0.25">
      <c r="D33922" s="28"/>
      <c r="F33922" s="28"/>
      <c r="H33922" s="28"/>
    </row>
    <row r="33923" spans="4:8" x14ac:dyDescent="0.25">
      <c r="D33923" s="28"/>
      <c r="F33923" s="28"/>
      <c r="H33923" s="28"/>
    </row>
    <row r="33924" spans="4:8" x14ac:dyDescent="0.25">
      <c r="D33924" s="28"/>
      <c r="F33924" s="28"/>
      <c r="H33924" s="28"/>
    </row>
    <row r="33925" spans="4:8" x14ac:dyDescent="0.25">
      <c r="D33925" s="28"/>
      <c r="F33925" s="28"/>
      <c r="H33925" s="28"/>
    </row>
    <row r="33926" spans="4:8" x14ac:dyDescent="0.25">
      <c r="D33926" s="28"/>
      <c r="F33926" s="28"/>
      <c r="H33926" s="28"/>
    </row>
    <row r="33927" spans="4:8" x14ac:dyDescent="0.25">
      <c r="D33927" s="28"/>
      <c r="F33927" s="28"/>
      <c r="H33927" s="28"/>
    </row>
    <row r="33928" spans="4:8" x14ac:dyDescent="0.25">
      <c r="D33928" s="28"/>
      <c r="F33928" s="28"/>
      <c r="H33928" s="28"/>
    </row>
    <row r="33929" spans="4:8" x14ac:dyDescent="0.25">
      <c r="D33929" s="28"/>
      <c r="F33929" s="28"/>
      <c r="H33929" s="28"/>
    </row>
    <row r="33930" spans="4:8" x14ac:dyDescent="0.25">
      <c r="D33930" s="28"/>
      <c r="F33930" s="28"/>
      <c r="H33930" s="28"/>
    </row>
    <row r="33931" spans="4:8" x14ac:dyDescent="0.25">
      <c r="D33931" s="28"/>
      <c r="F33931" s="28"/>
      <c r="H33931" s="28"/>
    </row>
    <row r="33932" spans="4:8" x14ac:dyDescent="0.25">
      <c r="D33932" s="28"/>
      <c r="F33932" s="28"/>
      <c r="H33932" s="28"/>
    </row>
    <row r="33933" spans="4:8" x14ac:dyDescent="0.25">
      <c r="D33933" s="28"/>
      <c r="F33933" s="28"/>
      <c r="H33933" s="28"/>
    </row>
    <row r="33934" spans="4:8" x14ac:dyDescent="0.25">
      <c r="D33934" s="28"/>
      <c r="F33934" s="28"/>
      <c r="H33934" s="28"/>
    </row>
    <row r="33935" spans="4:8" x14ac:dyDescent="0.25">
      <c r="D33935" s="28"/>
      <c r="F33935" s="28"/>
      <c r="H33935" s="28"/>
    </row>
    <row r="33936" spans="4:8" x14ac:dyDescent="0.25">
      <c r="D33936" s="28"/>
      <c r="F33936" s="28"/>
      <c r="H33936" s="28"/>
    </row>
    <row r="33937" spans="4:8" x14ac:dyDescent="0.25">
      <c r="D33937" s="28"/>
      <c r="F33937" s="28"/>
      <c r="H33937" s="28"/>
    </row>
    <row r="33938" spans="4:8" x14ac:dyDescent="0.25">
      <c r="D33938" s="28"/>
      <c r="F33938" s="28"/>
      <c r="H33938" s="28"/>
    </row>
    <row r="33939" spans="4:8" x14ac:dyDescent="0.25">
      <c r="D33939" s="28"/>
      <c r="F33939" s="28"/>
      <c r="H33939" s="28"/>
    </row>
    <row r="33940" spans="4:8" x14ac:dyDescent="0.25">
      <c r="D33940" s="28"/>
      <c r="F33940" s="28"/>
      <c r="H33940" s="28"/>
    </row>
    <row r="33941" spans="4:8" x14ac:dyDescent="0.25">
      <c r="D33941" s="28"/>
      <c r="F33941" s="28"/>
      <c r="H33941" s="28"/>
    </row>
    <row r="33942" spans="4:8" x14ac:dyDescent="0.25">
      <c r="D33942" s="28"/>
      <c r="F33942" s="28"/>
      <c r="H33942" s="28"/>
    </row>
    <row r="33943" spans="4:8" x14ac:dyDescent="0.25">
      <c r="D33943" s="28"/>
      <c r="F33943" s="28"/>
      <c r="H33943" s="28"/>
    </row>
    <row r="33944" spans="4:8" x14ac:dyDescent="0.25">
      <c r="D33944" s="28"/>
      <c r="F33944" s="28"/>
      <c r="H33944" s="28"/>
    </row>
    <row r="33945" spans="4:8" x14ac:dyDescent="0.25">
      <c r="D33945" s="28"/>
      <c r="F33945" s="28"/>
      <c r="H33945" s="28"/>
    </row>
    <row r="33946" spans="4:8" x14ac:dyDescent="0.25">
      <c r="D33946" s="28"/>
      <c r="F33946" s="28"/>
      <c r="H33946" s="28"/>
    </row>
    <row r="33947" spans="4:8" x14ac:dyDescent="0.25">
      <c r="D33947" s="28"/>
      <c r="F33947" s="28"/>
      <c r="H33947" s="28"/>
    </row>
    <row r="33948" spans="4:8" x14ac:dyDescent="0.25">
      <c r="D33948" s="28"/>
      <c r="F33948" s="28"/>
      <c r="H33948" s="28"/>
    </row>
    <row r="33949" spans="4:8" x14ac:dyDescent="0.25">
      <c r="D33949" s="28"/>
      <c r="F33949" s="28"/>
      <c r="H33949" s="28"/>
    </row>
    <row r="33950" spans="4:8" x14ac:dyDescent="0.25">
      <c r="D33950" s="28"/>
      <c r="F33950" s="28"/>
      <c r="H33950" s="28"/>
    </row>
    <row r="33951" spans="4:8" x14ac:dyDescent="0.25">
      <c r="D33951" s="28"/>
      <c r="F33951" s="28"/>
      <c r="H33951" s="28"/>
    </row>
    <row r="33952" spans="4:8" x14ac:dyDescent="0.25">
      <c r="D33952" s="28"/>
      <c r="F33952" s="28"/>
      <c r="H33952" s="28"/>
    </row>
    <row r="33953" spans="4:8" x14ac:dyDescent="0.25">
      <c r="D33953" s="28"/>
      <c r="F33953" s="28"/>
      <c r="H33953" s="28"/>
    </row>
    <row r="33954" spans="4:8" x14ac:dyDescent="0.25">
      <c r="D33954" s="28"/>
      <c r="F33954" s="28"/>
      <c r="H33954" s="28"/>
    </row>
    <row r="33955" spans="4:8" x14ac:dyDescent="0.25">
      <c r="D33955" s="28"/>
      <c r="F33955" s="28"/>
      <c r="H33955" s="28"/>
    </row>
    <row r="33956" spans="4:8" x14ac:dyDescent="0.25">
      <c r="D33956" s="28"/>
      <c r="F33956" s="28"/>
      <c r="H33956" s="28"/>
    </row>
    <row r="33957" spans="4:8" x14ac:dyDescent="0.25">
      <c r="D33957" s="28"/>
      <c r="F33957" s="28"/>
      <c r="H33957" s="28"/>
    </row>
    <row r="33958" spans="4:8" x14ac:dyDescent="0.25">
      <c r="D33958" s="28"/>
      <c r="F33958" s="28"/>
      <c r="H33958" s="28"/>
    </row>
    <row r="33959" spans="4:8" x14ac:dyDescent="0.25">
      <c r="D33959" s="28"/>
      <c r="F33959" s="28"/>
      <c r="H33959" s="28"/>
    </row>
    <row r="33960" spans="4:8" x14ac:dyDescent="0.25">
      <c r="D33960" s="28"/>
      <c r="F33960" s="28"/>
      <c r="H33960" s="28"/>
    </row>
    <row r="33961" spans="4:8" x14ac:dyDescent="0.25">
      <c r="D33961" s="28"/>
      <c r="F33961" s="28"/>
      <c r="H33961" s="28"/>
    </row>
    <row r="33962" spans="4:8" x14ac:dyDescent="0.25">
      <c r="D33962" s="28"/>
      <c r="F33962" s="28"/>
      <c r="H33962" s="28"/>
    </row>
    <row r="33963" spans="4:8" x14ac:dyDescent="0.25">
      <c r="D33963" s="28"/>
      <c r="F33963" s="28"/>
      <c r="H33963" s="28"/>
    </row>
    <row r="33964" spans="4:8" x14ac:dyDescent="0.25">
      <c r="D33964" s="28"/>
      <c r="F33964" s="28"/>
      <c r="H33964" s="28"/>
    </row>
    <row r="33965" spans="4:8" x14ac:dyDescent="0.25">
      <c r="D33965" s="28"/>
      <c r="F33965" s="28"/>
      <c r="H33965" s="28"/>
    </row>
    <row r="33966" spans="4:8" x14ac:dyDescent="0.25">
      <c r="D33966" s="28"/>
      <c r="F33966" s="28"/>
      <c r="H33966" s="28"/>
    </row>
    <row r="33967" spans="4:8" x14ac:dyDescent="0.25">
      <c r="D33967" s="28"/>
      <c r="F33967" s="28"/>
      <c r="H33967" s="28"/>
    </row>
    <row r="33968" spans="4:8" x14ac:dyDescent="0.25">
      <c r="D33968" s="28"/>
      <c r="F33968" s="28"/>
      <c r="H33968" s="28"/>
    </row>
    <row r="33969" spans="4:8" x14ac:dyDescent="0.25">
      <c r="D33969" s="28"/>
      <c r="F33969" s="28"/>
      <c r="H33969" s="28"/>
    </row>
    <row r="33970" spans="4:8" x14ac:dyDescent="0.25">
      <c r="D33970" s="28"/>
      <c r="F33970" s="28"/>
      <c r="H33970" s="28"/>
    </row>
    <row r="33971" spans="4:8" x14ac:dyDescent="0.25">
      <c r="D33971" s="28"/>
      <c r="F33971" s="28"/>
      <c r="H33971" s="28"/>
    </row>
    <row r="33972" spans="4:8" x14ac:dyDescent="0.25">
      <c r="D33972" s="28"/>
      <c r="F33972" s="28"/>
      <c r="H33972" s="28"/>
    </row>
    <row r="33973" spans="4:8" x14ac:dyDescent="0.25">
      <c r="D33973" s="28"/>
      <c r="F33973" s="28"/>
      <c r="H33973" s="28"/>
    </row>
    <row r="33974" spans="4:8" x14ac:dyDescent="0.25">
      <c r="D33974" s="28"/>
      <c r="F33974" s="28"/>
      <c r="H33974" s="28"/>
    </row>
    <row r="33975" spans="4:8" x14ac:dyDescent="0.25">
      <c r="D33975" s="28"/>
      <c r="F33975" s="28"/>
      <c r="H33975" s="28"/>
    </row>
    <row r="33976" spans="4:8" x14ac:dyDescent="0.25">
      <c r="D33976" s="28"/>
      <c r="F33976" s="28"/>
      <c r="H33976" s="28"/>
    </row>
    <row r="33977" spans="4:8" x14ac:dyDescent="0.25">
      <c r="D33977" s="28"/>
      <c r="F33977" s="28"/>
      <c r="H33977" s="28"/>
    </row>
    <row r="33978" spans="4:8" x14ac:dyDescent="0.25">
      <c r="D33978" s="28"/>
      <c r="F33978" s="28"/>
      <c r="H33978" s="28"/>
    </row>
    <row r="33979" spans="4:8" x14ac:dyDescent="0.25">
      <c r="D33979" s="28"/>
      <c r="F33979" s="28"/>
      <c r="H33979" s="28"/>
    </row>
    <row r="33980" spans="4:8" x14ac:dyDescent="0.25">
      <c r="D33980" s="28"/>
      <c r="F33980" s="28"/>
      <c r="H33980" s="28"/>
    </row>
    <row r="33981" spans="4:8" x14ac:dyDescent="0.25">
      <c r="D33981" s="28"/>
      <c r="F33981" s="28"/>
      <c r="H33981" s="28"/>
    </row>
    <row r="33982" spans="4:8" x14ac:dyDescent="0.25">
      <c r="D33982" s="28"/>
      <c r="F33982" s="28"/>
      <c r="H33982" s="28"/>
    </row>
    <row r="33983" spans="4:8" x14ac:dyDescent="0.25">
      <c r="D33983" s="28"/>
      <c r="F33983" s="28"/>
      <c r="H33983" s="28"/>
    </row>
    <row r="33984" spans="4:8" x14ac:dyDescent="0.25">
      <c r="D33984" s="28"/>
      <c r="F33984" s="28"/>
      <c r="H33984" s="28"/>
    </row>
    <row r="33985" spans="4:8" x14ac:dyDescent="0.25">
      <c r="D33985" s="28"/>
      <c r="F33985" s="28"/>
      <c r="H33985" s="28"/>
    </row>
    <row r="33986" spans="4:8" x14ac:dyDescent="0.25">
      <c r="D33986" s="28"/>
      <c r="F33986" s="28"/>
      <c r="H33986" s="28"/>
    </row>
    <row r="33987" spans="4:8" x14ac:dyDescent="0.25">
      <c r="D33987" s="28"/>
      <c r="F33987" s="28"/>
      <c r="H33987" s="28"/>
    </row>
    <row r="33988" spans="4:8" x14ac:dyDescent="0.25">
      <c r="D33988" s="28"/>
      <c r="F33988" s="28"/>
      <c r="H33988" s="28"/>
    </row>
    <row r="33989" spans="4:8" x14ac:dyDescent="0.25">
      <c r="D33989" s="28"/>
      <c r="F33989" s="28"/>
      <c r="H33989" s="28"/>
    </row>
    <row r="33990" spans="4:8" x14ac:dyDescent="0.25">
      <c r="D33990" s="28"/>
      <c r="F33990" s="28"/>
      <c r="H33990" s="28"/>
    </row>
    <row r="33991" spans="4:8" x14ac:dyDescent="0.25">
      <c r="D33991" s="28"/>
      <c r="F33991" s="28"/>
      <c r="H33991" s="28"/>
    </row>
    <row r="33992" spans="4:8" x14ac:dyDescent="0.25">
      <c r="D33992" s="28"/>
      <c r="F33992" s="28"/>
      <c r="H33992" s="28"/>
    </row>
    <row r="33993" spans="4:8" x14ac:dyDescent="0.25">
      <c r="D33993" s="28"/>
      <c r="F33993" s="28"/>
      <c r="H33993" s="28"/>
    </row>
    <row r="33994" spans="4:8" x14ac:dyDescent="0.25">
      <c r="D33994" s="28"/>
      <c r="F33994" s="28"/>
      <c r="H33994" s="28"/>
    </row>
    <row r="33995" spans="4:8" x14ac:dyDescent="0.25">
      <c r="D33995" s="28"/>
      <c r="F33995" s="28"/>
      <c r="H33995" s="28"/>
    </row>
    <row r="33996" spans="4:8" x14ac:dyDescent="0.25">
      <c r="D33996" s="28"/>
      <c r="F33996" s="28"/>
      <c r="H33996" s="28"/>
    </row>
    <row r="33997" spans="4:8" x14ac:dyDescent="0.25">
      <c r="D33997" s="28"/>
      <c r="F33997" s="28"/>
      <c r="H33997" s="28"/>
    </row>
    <row r="33998" spans="4:8" x14ac:dyDescent="0.25">
      <c r="D33998" s="28"/>
      <c r="F33998" s="28"/>
      <c r="H33998" s="28"/>
    </row>
    <row r="33999" spans="4:8" x14ac:dyDescent="0.25">
      <c r="D33999" s="28"/>
      <c r="F33999" s="28"/>
      <c r="H33999" s="28"/>
    </row>
    <row r="34000" spans="4:8" x14ac:dyDescent="0.25">
      <c r="D34000" s="28"/>
      <c r="F34000" s="28"/>
      <c r="H34000" s="28"/>
    </row>
    <row r="34001" spans="4:8" x14ac:dyDescent="0.25">
      <c r="D34001" s="28"/>
      <c r="F34001" s="28"/>
      <c r="H34001" s="28"/>
    </row>
    <row r="34002" spans="4:8" x14ac:dyDescent="0.25">
      <c r="D34002" s="28"/>
      <c r="F34002" s="28"/>
      <c r="H34002" s="28"/>
    </row>
    <row r="34003" spans="4:8" x14ac:dyDescent="0.25">
      <c r="D34003" s="28"/>
      <c r="F34003" s="28"/>
      <c r="H34003" s="28"/>
    </row>
    <row r="34004" spans="4:8" x14ac:dyDescent="0.25">
      <c r="D34004" s="28"/>
      <c r="F34004" s="28"/>
      <c r="H34004" s="28"/>
    </row>
    <row r="34005" spans="4:8" x14ac:dyDescent="0.25">
      <c r="D34005" s="28"/>
      <c r="F34005" s="28"/>
      <c r="H34005" s="28"/>
    </row>
    <row r="34006" spans="4:8" x14ac:dyDescent="0.25">
      <c r="D34006" s="28"/>
      <c r="F34006" s="28"/>
      <c r="H34006" s="28"/>
    </row>
    <row r="34007" spans="4:8" x14ac:dyDescent="0.25">
      <c r="D34007" s="28"/>
      <c r="F34007" s="28"/>
      <c r="H34007" s="28"/>
    </row>
    <row r="34008" spans="4:8" x14ac:dyDescent="0.25">
      <c r="D34008" s="28"/>
      <c r="F34008" s="28"/>
      <c r="H34008" s="28"/>
    </row>
    <row r="34009" spans="4:8" x14ac:dyDescent="0.25">
      <c r="D34009" s="28"/>
      <c r="F34009" s="28"/>
      <c r="H34009" s="28"/>
    </row>
    <row r="34010" spans="4:8" x14ac:dyDescent="0.25">
      <c r="D34010" s="28"/>
      <c r="F34010" s="28"/>
      <c r="H34010" s="28"/>
    </row>
    <row r="34011" spans="4:8" x14ac:dyDescent="0.25">
      <c r="D34011" s="28"/>
      <c r="F34011" s="28"/>
      <c r="H34011" s="28"/>
    </row>
    <row r="34012" spans="4:8" x14ac:dyDescent="0.25">
      <c r="D34012" s="28"/>
      <c r="F34012" s="28"/>
      <c r="H34012" s="28"/>
    </row>
    <row r="34013" spans="4:8" x14ac:dyDescent="0.25">
      <c r="D34013" s="28"/>
      <c r="F34013" s="28"/>
      <c r="H34013" s="28"/>
    </row>
    <row r="34014" spans="4:8" x14ac:dyDescent="0.25">
      <c r="D34014" s="28"/>
      <c r="F34014" s="28"/>
      <c r="H34014" s="28"/>
    </row>
    <row r="34015" spans="4:8" x14ac:dyDescent="0.25">
      <c r="D34015" s="28"/>
      <c r="F34015" s="28"/>
      <c r="H34015" s="28"/>
    </row>
    <row r="34016" spans="4:8" x14ac:dyDescent="0.25">
      <c r="D34016" s="28"/>
      <c r="F34016" s="28"/>
      <c r="H34016" s="28"/>
    </row>
    <row r="34017" spans="4:8" x14ac:dyDescent="0.25">
      <c r="D34017" s="28"/>
      <c r="F34017" s="28"/>
      <c r="H34017" s="28"/>
    </row>
    <row r="34018" spans="4:8" x14ac:dyDescent="0.25">
      <c r="D34018" s="28"/>
      <c r="F34018" s="28"/>
      <c r="H34018" s="28"/>
    </row>
    <row r="34019" spans="4:8" x14ac:dyDescent="0.25">
      <c r="D34019" s="28"/>
      <c r="F34019" s="28"/>
      <c r="H34019" s="28"/>
    </row>
    <row r="34020" spans="4:8" x14ac:dyDescent="0.25">
      <c r="D34020" s="28"/>
      <c r="F34020" s="28"/>
      <c r="H34020" s="28"/>
    </row>
    <row r="34021" spans="4:8" x14ac:dyDescent="0.25">
      <c r="D34021" s="28"/>
      <c r="F34021" s="28"/>
      <c r="H34021" s="28"/>
    </row>
    <row r="34022" spans="4:8" x14ac:dyDescent="0.25">
      <c r="D34022" s="28"/>
      <c r="F34022" s="28"/>
      <c r="H34022" s="28"/>
    </row>
    <row r="34023" spans="4:8" x14ac:dyDescent="0.25">
      <c r="D34023" s="28"/>
      <c r="F34023" s="28"/>
      <c r="H34023" s="28"/>
    </row>
    <row r="34024" spans="4:8" x14ac:dyDescent="0.25">
      <c r="D34024" s="28"/>
      <c r="F34024" s="28"/>
      <c r="H34024" s="28"/>
    </row>
    <row r="34025" spans="4:8" x14ac:dyDescent="0.25">
      <c r="D34025" s="28"/>
      <c r="F34025" s="28"/>
      <c r="H34025" s="28"/>
    </row>
    <row r="34026" spans="4:8" x14ac:dyDescent="0.25">
      <c r="D34026" s="28"/>
      <c r="F34026" s="28"/>
      <c r="H34026" s="28"/>
    </row>
    <row r="34027" spans="4:8" x14ac:dyDescent="0.25">
      <c r="D34027" s="28"/>
      <c r="F34027" s="28"/>
      <c r="H34027" s="28"/>
    </row>
    <row r="34028" spans="4:8" x14ac:dyDescent="0.25">
      <c r="D34028" s="28"/>
      <c r="F34028" s="28"/>
      <c r="H34028" s="28"/>
    </row>
    <row r="34029" spans="4:8" x14ac:dyDescent="0.25">
      <c r="D34029" s="28"/>
      <c r="F34029" s="28"/>
      <c r="H34029" s="28"/>
    </row>
    <row r="34030" spans="4:8" x14ac:dyDescent="0.25">
      <c r="D34030" s="28"/>
      <c r="F34030" s="28"/>
      <c r="H34030" s="28"/>
    </row>
    <row r="34031" spans="4:8" x14ac:dyDescent="0.25">
      <c r="D34031" s="28"/>
      <c r="F34031" s="28"/>
      <c r="H34031" s="28"/>
    </row>
    <row r="34032" spans="4:8" x14ac:dyDescent="0.25">
      <c r="D34032" s="28"/>
      <c r="F34032" s="28"/>
      <c r="H34032" s="28"/>
    </row>
    <row r="34033" spans="4:8" x14ac:dyDescent="0.25">
      <c r="D34033" s="28"/>
      <c r="F34033" s="28"/>
      <c r="H34033" s="28"/>
    </row>
    <row r="34034" spans="4:8" x14ac:dyDescent="0.25">
      <c r="D34034" s="28"/>
      <c r="F34034" s="28"/>
      <c r="H34034" s="28"/>
    </row>
    <row r="34035" spans="4:8" x14ac:dyDescent="0.25">
      <c r="D34035" s="28"/>
      <c r="F34035" s="28"/>
      <c r="H34035" s="28"/>
    </row>
    <row r="34036" spans="4:8" x14ac:dyDescent="0.25">
      <c r="D34036" s="28"/>
      <c r="F34036" s="28"/>
      <c r="H34036" s="28"/>
    </row>
    <row r="34037" spans="4:8" x14ac:dyDescent="0.25">
      <c r="D34037" s="28"/>
      <c r="F34037" s="28"/>
      <c r="H34037" s="28"/>
    </row>
    <row r="34038" spans="4:8" x14ac:dyDescent="0.25">
      <c r="D34038" s="28"/>
      <c r="F34038" s="28"/>
      <c r="H34038" s="28"/>
    </row>
    <row r="34039" spans="4:8" x14ac:dyDescent="0.25">
      <c r="D34039" s="28"/>
      <c r="F34039" s="28"/>
      <c r="H34039" s="28"/>
    </row>
    <row r="34040" spans="4:8" x14ac:dyDescent="0.25">
      <c r="D34040" s="28"/>
      <c r="F34040" s="28"/>
      <c r="H34040" s="28"/>
    </row>
    <row r="34041" spans="4:8" x14ac:dyDescent="0.25">
      <c r="D34041" s="28"/>
      <c r="F34041" s="28"/>
      <c r="H34041" s="28"/>
    </row>
    <row r="34042" spans="4:8" x14ac:dyDescent="0.25">
      <c r="D34042" s="28"/>
      <c r="F34042" s="28"/>
      <c r="H34042" s="28"/>
    </row>
    <row r="34043" spans="4:8" x14ac:dyDescent="0.25">
      <c r="D34043" s="28"/>
      <c r="F34043" s="28"/>
      <c r="H34043" s="28"/>
    </row>
    <row r="34044" spans="4:8" x14ac:dyDescent="0.25">
      <c r="D34044" s="28"/>
      <c r="F34044" s="28"/>
      <c r="H34044" s="28"/>
    </row>
    <row r="34045" spans="4:8" x14ac:dyDescent="0.25">
      <c r="D34045" s="28"/>
      <c r="F34045" s="28"/>
      <c r="H34045" s="28"/>
    </row>
    <row r="34046" spans="4:8" x14ac:dyDescent="0.25">
      <c r="D34046" s="28"/>
      <c r="F34046" s="28"/>
      <c r="H34046" s="28"/>
    </row>
    <row r="34047" spans="4:8" x14ac:dyDescent="0.25">
      <c r="D34047" s="28"/>
      <c r="F34047" s="28"/>
      <c r="H34047" s="28"/>
    </row>
    <row r="34048" spans="4:8" x14ac:dyDescent="0.25">
      <c r="D34048" s="28"/>
      <c r="F34048" s="28"/>
      <c r="H34048" s="28"/>
    </row>
    <row r="34049" spans="4:8" x14ac:dyDescent="0.25">
      <c r="D34049" s="28"/>
      <c r="F34049" s="28"/>
      <c r="H34049" s="28"/>
    </row>
    <row r="34050" spans="4:8" x14ac:dyDescent="0.25">
      <c r="D34050" s="28"/>
      <c r="F34050" s="28"/>
      <c r="H34050" s="28"/>
    </row>
    <row r="34051" spans="4:8" x14ac:dyDescent="0.25">
      <c r="D34051" s="28"/>
      <c r="F34051" s="28"/>
      <c r="H34051" s="28"/>
    </row>
    <row r="34052" spans="4:8" x14ac:dyDescent="0.25">
      <c r="D34052" s="28"/>
      <c r="F34052" s="28"/>
      <c r="H34052" s="28"/>
    </row>
    <row r="34053" spans="4:8" x14ac:dyDescent="0.25">
      <c r="D34053" s="28"/>
      <c r="F34053" s="28"/>
      <c r="H34053" s="28"/>
    </row>
    <row r="34054" spans="4:8" x14ac:dyDescent="0.25">
      <c r="D34054" s="28"/>
      <c r="F34054" s="28"/>
      <c r="H34054" s="28"/>
    </row>
    <row r="34055" spans="4:8" x14ac:dyDescent="0.25">
      <c r="D34055" s="28"/>
      <c r="F34055" s="28"/>
      <c r="H34055" s="28"/>
    </row>
    <row r="34056" spans="4:8" x14ac:dyDescent="0.25">
      <c r="D34056" s="28"/>
      <c r="F34056" s="28"/>
      <c r="H34056" s="28"/>
    </row>
    <row r="34057" spans="4:8" x14ac:dyDescent="0.25">
      <c r="D34057" s="28"/>
      <c r="F34057" s="28"/>
      <c r="H34057" s="28"/>
    </row>
    <row r="34058" spans="4:8" x14ac:dyDescent="0.25">
      <c r="D34058" s="28"/>
      <c r="F34058" s="28"/>
      <c r="H34058" s="28"/>
    </row>
    <row r="34059" spans="4:8" x14ac:dyDescent="0.25">
      <c r="D34059" s="28"/>
      <c r="F34059" s="28"/>
      <c r="H34059" s="28"/>
    </row>
    <row r="34060" spans="4:8" x14ac:dyDescent="0.25">
      <c r="D34060" s="28"/>
      <c r="F34060" s="28"/>
      <c r="H34060" s="28"/>
    </row>
    <row r="34061" spans="4:8" x14ac:dyDescent="0.25">
      <c r="D34061" s="28"/>
      <c r="F34061" s="28"/>
      <c r="H34061" s="28"/>
    </row>
    <row r="34062" spans="4:8" x14ac:dyDescent="0.25">
      <c r="D34062" s="28"/>
      <c r="F34062" s="28"/>
      <c r="H34062" s="28"/>
    </row>
    <row r="34063" spans="4:8" x14ac:dyDescent="0.25">
      <c r="D34063" s="28"/>
      <c r="F34063" s="28"/>
      <c r="H34063" s="28"/>
    </row>
    <row r="34064" spans="4:8" x14ac:dyDescent="0.25">
      <c r="D34064" s="28"/>
      <c r="F34064" s="28"/>
      <c r="H34064" s="28"/>
    </row>
    <row r="34065" spans="4:8" x14ac:dyDescent="0.25">
      <c r="D34065" s="28"/>
      <c r="F34065" s="28"/>
      <c r="H34065" s="28"/>
    </row>
    <row r="34066" spans="4:8" x14ac:dyDescent="0.25">
      <c r="D34066" s="28"/>
      <c r="F34066" s="28"/>
      <c r="H34066" s="28"/>
    </row>
    <row r="34067" spans="4:8" x14ac:dyDescent="0.25">
      <c r="D34067" s="28"/>
      <c r="F34067" s="28"/>
      <c r="H34067" s="28"/>
    </row>
    <row r="34068" spans="4:8" x14ac:dyDescent="0.25">
      <c r="D34068" s="28"/>
      <c r="F34068" s="28"/>
      <c r="H34068" s="28"/>
    </row>
    <row r="34069" spans="4:8" x14ac:dyDescent="0.25">
      <c r="D34069" s="28"/>
      <c r="F34069" s="28"/>
      <c r="H34069" s="28"/>
    </row>
    <row r="34070" spans="4:8" x14ac:dyDescent="0.25">
      <c r="D34070" s="28"/>
      <c r="F34070" s="28"/>
      <c r="H34070" s="28"/>
    </row>
    <row r="34071" spans="4:8" x14ac:dyDescent="0.25">
      <c r="D34071" s="28"/>
      <c r="F34071" s="28"/>
      <c r="H34071" s="28"/>
    </row>
    <row r="34072" spans="4:8" x14ac:dyDescent="0.25">
      <c r="D34072" s="28"/>
      <c r="F34072" s="28"/>
      <c r="H34072" s="28"/>
    </row>
    <row r="34073" spans="4:8" x14ac:dyDescent="0.25">
      <c r="D34073" s="28"/>
      <c r="F34073" s="28"/>
      <c r="H34073" s="28"/>
    </row>
    <row r="34074" spans="4:8" x14ac:dyDescent="0.25">
      <c r="D34074" s="28"/>
      <c r="F34074" s="28"/>
      <c r="H34074" s="28"/>
    </row>
    <row r="34075" spans="4:8" x14ac:dyDescent="0.25">
      <c r="D34075" s="28"/>
      <c r="F34075" s="28"/>
      <c r="H34075" s="28"/>
    </row>
    <row r="34076" spans="4:8" x14ac:dyDescent="0.25">
      <c r="D34076" s="28"/>
      <c r="F34076" s="28"/>
      <c r="H34076" s="28"/>
    </row>
    <row r="34077" spans="4:8" x14ac:dyDescent="0.25">
      <c r="D34077" s="28"/>
      <c r="F34077" s="28"/>
      <c r="H34077" s="28"/>
    </row>
    <row r="34078" spans="4:8" x14ac:dyDescent="0.25">
      <c r="D34078" s="28"/>
      <c r="F34078" s="28"/>
      <c r="H34078" s="28"/>
    </row>
    <row r="34079" spans="4:8" x14ac:dyDescent="0.25">
      <c r="D34079" s="28"/>
      <c r="F34079" s="28"/>
      <c r="H34079" s="28"/>
    </row>
    <row r="34080" spans="4:8" x14ac:dyDescent="0.25">
      <c r="D34080" s="28"/>
      <c r="F34080" s="28"/>
      <c r="H34080" s="28"/>
    </row>
    <row r="34081" spans="4:8" x14ac:dyDescent="0.25">
      <c r="D34081" s="28"/>
      <c r="F34081" s="28"/>
      <c r="H34081" s="28"/>
    </row>
    <row r="34082" spans="4:8" x14ac:dyDescent="0.25">
      <c r="D34082" s="28"/>
      <c r="F34082" s="28"/>
      <c r="H34082" s="28"/>
    </row>
    <row r="34083" spans="4:8" x14ac:dyDescent="0.25">
      <c r="D34083" s="28"/>
      <c r="F34083" s="28"/>
      <c r="H34083" s="28"/>
    </row>
    <row r="34084" spans="4:8" x14ac:dyDescent="0.25">
      <c r="D34084" s="28"/>
      <c r="F34084" s="28"/>
      <c r="H34084" s="28"/>
    </row>
    <row r="34085" spans="4:8" x14ac:dyDescent="0.25">
      <c r="D34085" s="28"/>
      <c r="F34085" s="28"/>
      <c r="H34085" s="28"/>
    </row>
    <row r="34086" spans="4:8" x14ac:dyDescent="0.25">
      <c r="D34086" s="28"/>
      <c r="F34086" s="28"/>
      <c r="H34086" s="28"/>
    </row>
    <row r="34087" spans="4:8" x14ac:dyDescent="0.25">
      <c r="D34087" s="28"/>
      <c r="F34087" s="28"/>
      <c r="H34087" s="28"/>
    </row>
    <row r="34088" spans="4:8" x14ac:dyDescent="0.25">
      <c r="D34088" s="28"/>
      <c r="F34088" s="28"/>
      <c r="H34088" s="28"/>
    </row>
    <row r="34089" spans="4:8" x14ac:dyDescent="0.25">
      <c r="D34089" s="28"/>
      <c r="F34089" s="28"/>
      <c r="H34089" s="28"/>
    </row>
    <row r="34090" spans="4:8" x14ac:dyDescent="0.25">
      <c r="D34090" s="28"/>
      <c r="F34090" s="28"/>
      <c r="H34090" s="28"/>
    </row>
    <row r="34091" spans="4:8" x14ac:dyDescent="0.25">
      <c r="D34091" s="28"/>
      <c r="F34091" s="28"/>
      <c r="H34091" s="28"/>
    </row>
    <row r="34092" spans="4:8" x14ac:dyDescent="0.25">
      <c r="D34092" s="28"/>
      <c r="F34092" s="28"/>
      <c r="H34092" s="28"/>
    </row>
    <row r="34093" spans="4:8" x14ac:dyDescent="0.25">
      <c r="D34093" s="28"/>
      <c r="F34093" s="28"/>
      <c r="H34093" s="28"/>
    </row>
    <row r="34094" spans="4:8" x14ac:dyDescent="0.25">
      <c r="D34094" s="28"/>
      <c r="F34094" s="28"/>
      <c r="H34094" s="28"/>
    </row>
    <row r="34095" spans="4:8" x14ac:dyDescent="0.25">
      <c r="D34095" s="28"/>
      <c r="F34095" s="28"/>
      <c r="H34095" s="28"/>
    </row>
    <row r="34096" spans="4:8" x14ac:dyDescent="0.25">
      <c r="D34096" s="28"/>
      <c r="F34096" s="28"/>
      <c r="H34096" s="28"/>
    </row>
    <row r="34097" spans="4:8" x14ac:dyDescent="0.25">
      <c r="D34097" s="28"/>
      <c r="F34097" s="28"/>
      <c r="H34097" s="28"/>
    </row>
    <row r="34098" spans="4:8" x14ac:dyDescent="0.25">
      <c r="D34098" s="28"/>
      <c r="F34098" s="28"/>
      <c r="H34098" s="28"/>
    </row>
    <row r="34099" spans="4:8" x14ac:dyDescent="0.25">
      <c r="D34099" s="28"/>
      <c r="F34099" s="28"/>
      <c r="H34099" s="28"/>
    </row>
    <row r="34100" spans="4:8" x14ac:dyDescent="0.25">
      <c r="D34100" s="28"/>
      <c r="F34100" s="28"/>
      <c r="H34100" s="28"/>
    </row>
    <row r="34101" spans="4:8" x14ac:dyDescent="0.25">
      <c r="D34101" s="28"/>
      <c r="F34101" s="28"/>
      <c r="H34101" s="28"/>
    </row>
    <row r="34102" spans="4:8" x14ac:dyDescent="0.25">
      <c r="D34102" s="28"/>
      <c r="F34102" s="28"/>
      <c r="H34102" s="28"/>
    </row>
    <row r="34103" spans="4:8" x14ac:dyDescent="0.25">
      <c r="D34103" s="28"/>
      <c r="F34103" s="28"/>
      <c r="H34103" s="28"/>
    </row>
    <row r="34104" spans="4:8" x14ac:dyDescent="0.25">
      <c r="D34104" s="28"/>
      <c r="F34104" s="28"/>
      <c r="H34104" s="28"/>
    </row>
    <row r="34105" spans="4:8" x14ac:dyDescent="0.25">
      <c r="D34105" s="28"/>
      <c r="F34105" s="28"/>
      <c r="H34105" s="28"/>
    </row>
    <row r="34106" spans="4:8" x14ac:dyDescent="0.25">
      <c r="D34106" s="28"/>
      <c r="F34106" s="28"/>
      <c r="H34106" s="28"/>
    </row>
    <row r="34107" spans="4:8" x14ac:dyDescent="0.25">
      <c r="D34107" s="28"/>
      <c r="F34107" s="28"/>
      <c r="H34107" s="28"/>
    </row>
    <row r="34108" spans="4:8" x14ac:dyDescent="0.25">
      <c r="D34108" s="28"/>
      <c r="F34108" s="28"/>
      <c r="H34108" s="28"/>
    </row>
    <row r="34109" spans="4:8" x14ac:dyDescent="0.25">
      <c r="D34109" s="28"/>
      <c r="F34109" s="28"/>
      <c r="H34109" s="28"/>
    </row>
    <row r="34110" spans="4:8" x14ac:dyDescent="0.25">
      <c r="D34110" s="28"/>
      <c r="F34110" s="28"/>
      <c r="H34110" s="28"/>
    </row>
    <row r="34111" spans="4:8" x14ac:dyDescent="0.25">
      <c r="D34111" s="28"/>
      <c r="F34111" s="28"/>
      <c r="H34111" s="28"/>
    </row>
    <row r="34112" spans="4:8" x14ac:dyDescent="0.25">
      <c r="D34112" s="28"/>
      <c r="F34112" s="28"/>
      <c r="H34112" s="28"/>
    </row>
    <row r="34113" spans="4:8" x14ac:dyDescent="0.25">
      <c r="D34113" s="28"/>
      <c r="F34113" s="28"/>
      <c r="H34113" s="28"/>
    </row>
    <row r="34114" spans="4:8" x14ac:dyDescent="0.25">
      <c r="D34114" s="28"/>
      <c r="F34114" s="28"/>
      <c r="H34114" s="28"/>
    </row>
    <row r="34115" spans="4:8" x14ac:dyDescent="0.25">
      <c r="D34115" s="28"/>
      <c r="F34115" s="28"/>
      <c r="H34115" s="28"/>
    </row>
    <row r="34116" spans="4:8" x14ac:dyDescent="0.25">
      <c r="D34116" s="28"/>
      <c r="F34116" s="28"/>
      <c r="H34116" s="28"/>
    </row>
    <row r="34117" spans="4:8" x14ac:dyDescent="0.25">
      <c r="D34117" s="28"/>
      <c r="F34117" s="28"/>
      <c r="H34117" s="28"/>
    </row>
    <row r="34118" spans="4:8" x14ac:dyDescent="0.25">
      <c r="D34118" s="28"/>
      <c r="F34118" s="28"/>
      <c r="H34118" s="28"/>
    </row>
    <row r="34119" spans="4:8" x14ac:dyDescent="0.25">
      <c r="D34119" s="28"/>
      <c r="F34119" s="28"/>
      <c r="H34119" s="28"/>
    </row>
    <row r="34120" spans="4:8" x14ac:dyDescent="0.25">
      <c r="D34120" s="28"/>
      <c r="F34120" s="28"/>
      <c r="H34120" s="28"/>
    </row>
    <row r="34121" spans="4:8" x14ac:dyDescent="0.25">
      <c r="D34121" s="28"/>
      <c r="F34121" s="28"/>
      <c r="H34121" s="28"/>
    </row>
    <row r="34122" spans="4:8" x14ac:dyDescent="0.25">
      <c r="D34122" s="28"/>
      <c r="F34122" s="28"/>
      <c r="H34122" s="28"/>
    </row>
    <row r="34123" spans="4:8" x14ac:dyDescent="0.25">
      <c r="D34123" s="28"/>
      <c r="F34123" s="28"/>
      <c r="H34123" s="28"/>
    </row>
    <row r="34124" spans="4:8" x14ac:dyDescent="0.25">
      <c r="D34124" s="28"/>
      <c r="F34124" s="28"/>
      <c r="H34124" s="28"/>
    </row>
    <row r="34125" spans="4:8" x14ac:dyDescent="0.25">
      <c r="D34125" s="28"/>
      <c r="F34125" s="28"/>
      <c r="H34125" s="28"/>
    </row>
    <row r="34126" spans="4:8" x14ac:dyDescent="0.25">
      <c r="D34126" s="28"/>
      <c r="F34126" s="28"/>
      <c r="H34126" s="28"/>
    </row>
    <row r="34127" spans="4:8" x14ac:dyDescent="0.25">
      <c r="D34127" s="28"/>
      <c r="F34127" s="28"/>
      <c r="H34127" s="28"/>
    </row>
    <row r="34128" spans="4:8" x14ac:dyDescent="0.25">
      <c r="D34128" s="28"/>
      <c r="F34128" s="28"/>
      <c r="H34128" s="28"/>
    </row>
    <row r="34129" spans="4:8" x14ac:dyDescent="0.25">
      <c r="D34129" s="28"/>
      <c r="F34129" s="28"/>
      <c r="H34129" s="28"/>
    </row>
    <row r="34130" spans="4:8" x14ac:dyDescent="0.25">
      <c r="D34130" s="28"/>
      <c r="F34130" s="28"/>
      <c r="H34130" s="28"/>
    </row>
    <row r="34131" spans="4:8" x14ac:dyDescent="0.25">
      <c r="D34131" s="28"/>
      <c r="F34131" s="28"/>
      <c r="H34131" s="28"/>
    </row>
    <row r="34132" spans="4:8" x14ac:dyDescent="0.25">
      <c r="D34132" s="28"/>
      <c r="F34132" s="28"/>
      <c r="H34132" s="28"/>
    </row>
    <row r="34133" spans="4:8" x14ac:dyDescent="0.25">
      <c r="D34133" s="28"/>
      <c r="F34133" s="28"/>
      <c r="H34133" s="28"/>
    </row>
    <row r="34134" spans="4:8" x14ac:dyDescent="0.25">
      <c r="D34134" s="28"/>
      <c r="F34134" s="28"/>
      <c r="H34134" s="28"/>
    </row>
    <row r="34135" spans="4:8" x14ac:dyDescent="0.25">
      <c r="D34135" s="28"/>
      <c r="F34135" s="28"/>
      <c r="H34135" s="28"/>
    </row>
    <row r="34136" spans="4:8" x14ac:dyDescent="0.25">
      <c r="D34136" s="28"/>
      <c r="F34136" s="28"/>
      <c r="H34136" s="28"/>
    </row>
    <row r="34137" spans="4:8" x14ac:dyDescent="0.25">
      <c r="D34137" s="28"/>
      <c r="F34137" s="28"/>
      <c r="H34137" s="28"/>
    </row>
    <row r="34138" spans="4:8" x14ac:dyDescent="0.25">
      <c r="D34138" s="28"/>
      <c r="F34138" s="28"/>
      <c r="H34138" s="28"/>
    </row>
    <row r="34139" spans="4:8" x14ac:dyDescent="0.25">
      <c r="D34139" s="28"/>
      <c r="F34139" s="28"/>
      <c r="H34139" s="28"/>
    </row>
    <row r="34140" spans="4:8" x14ac:dyDescent="0.25">
      <c r="D34140" s="28"/>
      <c r="F34140" s="28"/>
      <c r="H34140" s="28"/>
    </row>
    <row r="34141" spans="4:8" x14ac:dyDescent="0.25">
      <c r="D34141" s="28"/>
      <c r="F34141" s="28"/>
      <c r="H34141" s="28"/>
    </row>
    <row r="34142" spans="4:8" x14ac:dyDescent="0.25">
      <c r="D34142" s="28"/>
      <c r="F34142" s="28"/>
      <c r="H34142" s="28"/>
    </row>
    <row r="34143" spans="4:8" x14ac:dyDescent="0.25">
      <c r="D34143" s="28"/>
      <c r="F34143" s="28"/>
      <c r="H34143" s="28"/>
    </row>
    <row r="34144" spans="4:8" x14ac:dyDescent="0.25">
      <c r="D34144" s="28"/>
      <c r="F34144" s="28"/>
      <c r="H34144" s="28"/>
    </row>
    <row r="34145" spans="4:8" x14ac:dyDescent="0.25">
      <c r="D34145" s="28"/>
      <c r="F34145" s="28"/>
      <c r="H34145" s="28"/>
    </row>
    <row r="34146" spans="4:8" x14ac:dyDescent="0.25">
      <c r="D34146" s="28"/>
      <c r="F34146" s="28"/>
      <c r="H34146" s="28"/>
    </row>
    <row r="34147" spans="4:8" x14ac:dyDescent="0.25">
      <c r="D34147" s="28"/>
      <c r="F34147" s="28"/>
      <c r="H34147" s="28"/>
    </row>
    <row r="34148" spans="4:8" x14ac:dyDescent="0.25">
      <c r="D34148" s="28"/>
      <c r="F34148" s="28"/>
      <c r="H34148" s="28"/>
    </row>
    <row r="34149" spans="4:8" x14ac:dyDescent="0.25">
      <c r="D34149" s="28"/>
      <c r="F34149" s="28"/>
      <c r="H34149" s="28"/>
    </row>
    <row r="34150" spans="4:8" x14ac:dyDescent="0.25">
      <c r="D34150" s="28"/>
      <c r="F34150" s="28"/>
      <c r="H34150" s="28"/>
    </row>
    <row r="34151" spans="4:8" x14ac:dyDescent="0.25">
      <c r="D34151" s="28"/>
      <c r="F34151" s="28"/>
      <c r="H34151" s="28"/>
    </row>
    <row r="34152" spans="4:8" x14ac:dyDescent="0.25">
      <c r="D34152" s="28"/>
      <c r="F34152" s="28"/>
      <c r="H34152" s="28"/>
    </row>
    <row r="34153" spans="4:8" x14ac:dyDescent="0.25">
      <c r="D34153" s="28"/>
      <c r="F34153" s="28"/>
      <c r="H34153" s="28"/>
    </row>
    <row r="34154" spans="4:8" x14ac:dyDescent="0.25">
      <c r="D34154" s="28"/>
      <c r="F34154" s="28"/>
      <c r="H34154" s="28"/>
    </row>
    <row r="34155" spans="4:8" x14ac:dyDescent="0.25">
      <c r="D34155" s="28"/>
      <c r="F34155" s="28"/>
      <c r="H34155" s="28"/>
    </row>
    <row r="34156" spans="4:8" x14ac:dyDescent="0.25">
      <c r="D34156" s="28"/>
      <c r="F34156" s="28"/>
      <c r="H34156" s="28"/>
    </row>
    <row r="34157" spans="4:8" x14ac:dyDescent="0.25">
      <c r="D34157" s="28"/>
      <c r="F34157" s="28"/>
      <c r="H34157" s="28"/>
    </row>
    <row r="34158" spans="4:8" x14ac:dyDescent="0.25">
      <c r="D34158" s="28"/>
      <c r="F34158" s="28"/>
      <c r="H34158" s="28"/>
    </row>
    <row r="34159" spans="4:8" x14ac:dyDescent="0.25">
      <c r="D34159" s="28"/>
      <c r="F34159" s="28"/>
      <c r="H34159" s="28"/>
    </row>
    <row r="34160" spans="4:8" x14ac:dyDescent="0.25">
      <c r="D34160" s="28"/>
      <c r="F34160" s="28"/>
      <c r="H34160" s="28"/>
    </row>
    <row r="34161" spans="4:8" x14ac:dyDescent="0.25">
      <c r="D34161" s="28"/>
      <c r="F34161" s="28"/>
      <c r="H34161" s="28"/>
    </row>
    <row r="34162" spans="4:8" x14ac:dyDescent="0.25">
      <c r="D34162" s="28"/>
      <c r="F34162" s="28"/>
      <c r="H34162" s="28"/>
    </row>
    <row r="34163" spans="4:8" x14ac:dyDescent="0.25">
      <c r="D34163" s="28"/>
      <c r="F34163" s="28"/>
      <c r="H34163" s="28"/>
    </row>
    <row r="34164" spans="4:8" x14ac:dyDescent="0.25">
      <c r="D34164" s="28"/>
      <c r="F34164" s="28"/>
      <c r="H34164" s="28"/>
    </row>
    <row r="34165" spans="4:8" x14ac:dyDescent="0.25">
      <c r="D34165" s="28"/>
      <c r="F34165" s="28"/>
      <c r="H34165" s="28"/>
    </row>
    <row r="34166" spans="4:8" x14ac:dyDescent="0.25">
      <c r="D34166" s="28"/>
      <c r="F34166" s="28"/>
      <c r="H34166" s="28"/>
    </row>
    <row r="34167" spans="4:8" x14ac:dyDescent="0.25">
      <c r="D34167" s="28"/>
      <c r="F34167" s="28"/>
      <c r="H34167" s="28"/>
    </row>
    <row r="34168" spans="4:8" x14ac:dyDescent="0.25">
      <c r="D34168" s="28"/>
      <c r="F34168" s="28"/>
      <c r="H34168" s="28"/>
    </row>
    <row r="34169" spans="4:8" x14ac:dyDescent="0.25">
      <c r="D34169" s="28"/>
      <c r="F34169" s="28"/>
      <c r="H34169" s="28"/>
    </row>
    <row r="34170" spans="4:8" x14ac:dyDescent="0.25">
      <c r="D34170" s="28"/>
      <c r="F34170" s="28"/>
      <c r="H34170" s="28"/>
    </row>
    <row r="34171" spans="4:8" x14ac:dyDescent="0.25">
      <c r="D34171" s="28"/>
      <c r="F34171" s="28"/>
      <c r="H34171" s="28"/>
    </row>
    <row r="34172" spans="4:8" x14ac:dyDescent="0.25">
      <c r="D34172" s="28"/>
      <c r="F34172" s="28"/>
      <c r="H34172" s="28"/>
    </row>
    <row r="34173" spans="4:8" x14ac:dyDescent="0.25">
      <c r="D34173" s="28"/>
      <c r="F34173" s="28"/>
      <c r="H34173" s="28"/>
    </row>
    <row r="34174" spans="4:8" x14ac:dyDescent="0.25">
      <c r="D34174" s="28"/>
      <c r="F34174" s="28"/>
      <c r="H34174" s="28"/>
    </row>
    <row r="34175" spans="4:8" x14ac:dyDescent="0.25">
      <c r="D34175" s="28"/>
      <c r="F34175" s="28"/>
      <c r="H34175" s="28"/>
    </row>
    <row r="34176" spans="4:8" x14ac:dyDescent="0.25">
      <c r="D34176" s="28"/>
      <c r="F34176" s="28"/>
      <c r="H34176" s="28"/>
    </row>
    <row r="34177" spans="4:8" x14ac:dyDescent="0.25">
      <c r="D34177" s="28"/>
      <c r="F34177" s="28"/>
      <c r="H34177" s="28"/>
    </row>
    <row r="34178" spans="4:8" x14ac:dyDescent="0.25">
      <c r="D34178" s="28"/>
      <c r="F34178" s="28"/>
      <c r="H34178" s="28"/>
    </row>
    <row r="34179" spans="4:8" x14ac:dyDescent="0.25">
      <c r="D34179" s="28"/>
      <c r="F34179" s="28"/>
      <c r="H34179" s="28"/>
    </row>
    <row r="34180" spans="4:8" x14ac:dyDescent="0.25">
      <c r="D34180" s="28"/>
      <c r="F34180" s="28"/>
      <c r="H34180" s="28"/>
    </row>
    <row r="34181" spans="4:8" x14ac:dyDescent="0.25">
      <c r="D34181" s="28"/>
      <c r="F34181" s="28"/>
      <c r="H34181" s="28"/>
    </row>
    <row r="34182" spans="4:8" x14ac:dyDescent="0.25">
      <c r="D34182" s="28"/>
      <c r="F34182" s="28"/>
      <c r="H34182" s="28"/>
    </row>
    <row r="34183" spans="4:8" x14ac:dyDescent="0.25">
      <c r="D34183" s="28"/>
      <c r="F34183" s="28"/>
      <c r="H34183" s="28"/>
    </row>
    <row r="34184" spans="4:8" x14ac:dyDescent="0.25">
      <c r="D34184" s="28"/>
      <c r="F34184" s="28"/>
      <c r="H34184" s="28"/>
    </row>
    <row r="34185" spans="4:8" x14ac:dyDescent="0.25">
      <c r="D34185" s="28"/>
      <c r="F34185" s="28"/>
      <c r="H34185" s="28"/>
    </row>
    <row r="34186" spans="4:8" x14ac:dyDescent="0.25">
      <c r="D34186" s="28"/>
      <c r="F34186" s="28"/>
      <c r="H34186" s="28"/>
    </row>
    <row r="34187" spans="4:8" x14ac:dyDescent="0.25">
      <c r="D34187" s="28"/>
      <c r="F34187" s="28"/>
      <c r="H34187" s="28"/>
    </row>
    <row r="34188" spans="4:8" x14ac:dyDescent="0.25">
      <c r="D34188" s="28"/>
      <c r="F34188" s="28"/>
      <c r="H34188" s="28"/>
    </row>
    <row r="34189" spans="4:8" x14ac:dyDescent="0.25">
      <c r="D34189" s="28"/>
      <c r="F34189" s="28"/>
      <c r="H34189" s="28"/>
    </row>
    <row r="34190" spans="4:8" x14ac:dyDescent="0.25">
      <c r="D34190" s="28"/>
      <c r="F34190" s="28"/>
      <c r="H34190" s="28"/>
    </row>
    <row r="34191" spans="4:8" x14ac:dyDescent="0.25">
      <c r="D34191" s="28"/>
      <c r="F34191" s="28"/>
      <c r="H34191" s="28"/>
    </row>
    <row r="34192" spans="4:8" x14ac:dyDescent="0.25">
      <c r="D34192" s="28"/>
      <c r="F34192" s="28"/>
      <c r="H34192" s="28"/>
    </row>
    <row r="34193" spans="4:8" x14ac:dyDescent="0.25">
      <c r="D34193" s="28"/>
      <c r="F34193" s="28"/>
      <c r="H34193" s="28"/>
    </row>
    <row r="34194" spans="4:8" x14ac:dyDescent="0.25">
      <c r="D34194" s="28"/>
      <c r="F34194" s="28"/>
      <c r="H34194" s="28"/>
    </row>
    <row r="34195" spans="4:8" x14ac:dyDescent="0.25">
      <c r="D34195" s="28"/>
      <c r="F34195" s="28"/>
      <c r="H34195" s="28"/>
    </row>
    <row r="34196" spans="4:8" x14ac:dyDescent="0.25">
      <c r="D34196" s="28"/>
      <c r="F34196" s="28"/>
      <c r="H34196" s="28"/>
    </row>
    <row r="34197" spans="4:8" x14ac:dyDescent="0.25">
      <c r="D34197" s="28"/>
      <c r="F34197" s="28"/>
      <c r="H34197" s="28"/>
    </row>
    <row r="34198" spans="4:8" x14ac:dyDescent="0.25">
      <c r="D34198" s="28"/>
      <c r="F34198" s="28"/>
      <c r="H34198" s="28"/>
    </row>
    <row r="34199" spans="4:8" x14ac:dyDescent="0.25">
      <c r="D34199" s="28"/>
      <c r="F34199" s="28"/>
      <c r="H34199" s="28"/>
    </row>
    <row r="34200" spans="4:8" x14ac:dyDescent="0.25">
      <c r="D34200" s="28"/>
      <c r="F34200" s="28"/>
      <c r="H34200" s="28"/>
    </row>
    <row r="34201" spans="4:8" x14ac:dyDescent="0.25">
      <c r="D34201" s="28"/>
      <c r="F34201" s="28"/>
      <c r="H34201" s="28"/>
    </row>
    <row r="34202" spans="4:8" x14ac:dyDescent="0.25">
      <c r="D34202" s="28"/>
      <c r="F34202" s="28"/>
      <c r="H34202" s="28"/>
    </row>
    <row r="34203" spans="4:8" x14ac:dyDescent="0.25">
      <c r="D34203" s="28"/>
      <c r="F34203" s="28"/>
      <c r="H34203" s="28"/>
    </row>
    <row r="34204" spans="4:8" x14ac:dyDescent="0.25">
      <c r="D34204" s="28"/>
      <c r="F34204" s="28"/>
      <c r="H34204" s="28"/>
    </row>
    <row r="34205" spans="4:8" x14ac:dyDescent="0.25">
      <c r="D34205" s="28"/>
      <c r="F34205" s="28"/>
      <c r="H34205" s="28"/>
    </row>
    <row r="34206" spans="4:8" x14ac:dyDescent="0.25">
      <c r="D34206" s="28"/>
      <c r="F34206" s="28"/>
      <c r="H34206" s="28"/>
    </row>
    <row r="34207" spans="4:8" x14ac:dyDescent="0.25">
      <c r="D34207" s="28"/>
      <c r="F34207" s="28"/>
      <c r="H34207" s="28"/>
    </row>
    <row r="34208" spans="4:8" x14ac:dyDescent="0.25">
      <c r="D34208" s="28"/>
      <c r="F34208" s="28"/>
      <c r="H34208" s="28"/>
    </row>
    <row r="34209" spans="4:8" x14ac:dyDescent="0.25">
      <c r="D34209" s="28"/>
      <c r="F34209" s="28"/>
      <c r="H34209" s="28"/>
    </row>
    <row r="34210" spans="4:8" x14ac:dyDescent="0.25">
      <c r="D34210" s="28"/>
      <c r="F34210" s="28"/>
      <c r="H34210" s="28"/>
    </row>
    <row r="34211" spans="4:8" x14ac:dyDescent="0.25">
      <c r="D34211" s="28"/>
      <c r="F34211" s="28"/>
      <c r="H34211" s="28"/>
    </row>
    <row r="34212" spans="4:8" x14ac:dyDescent="0.25">
      <c r="D34212" s="28"/>
      <c r="F34212" s="28"/>
      <c r="H34212" s="28"/>
    </row>
    <row r="34213" spans="4:8" x14ac:dyDescent="0.25">
      <c r="D34213" s="28"/>
      <c r="F34213" s="28"/>
      <c r="H34213" s="28"/>
    </row>
    <row r="34214" spans="4:8" x14ac:dyDescent="0.25">
      <c r="D34214" s="28"/>
      <c r="F34214" s="28"/>
      <c r="H34214" s="28"/>
    </row>
    <row r="34215" spans="4:8" x14ac:dyDescent="0.25">
      <c r="D34215" s="28"/>
      <c r="F34215" s="28"/>
      <c r="H34215" s="28"/>
    </row>
    <row r="34216" spans="4:8" x14ac:dyDescent="0.25">
      <c r="D34216" s="28"/>
      <c r="F34216" s="28"/>
      <c r="H34216" s="28"/>
    </row>
    <row r="34217" spans="4:8" x14ac:dyDescent="0.25">
      <c r="D34217" s="28"/>
      <c r="F34217" s="28"/>
      <c r="H34217" s="28"/>
    </row>
    <row r="34218" spans="4:8" x14ac:dyDescent="0.25">
      <c r="D34218" s="28"/>
      <c r="F34218" s="28"/>
      <c r="H34218" s="28"/>
    </row>
    <row r="34219" spans="4:8" x14ac:dyDescent="0.25">
      <c r="D34219" s="28"/>
      <c r="F34219" s="28"/>
      <c r="H34219" s="28"/>
    </row>
    <row r="34220" spans="4:8" x14ac:dyDescent="0.25">
      <c r="D34220" s="28"/>
      <c r="F34220" s="28"/>
      <c r="H34220" s="28"/>
    </row>
    <row r="34221" spans="4:8" x14ac:dyDescent="0.25">
      <c r="D34221" s="28"/>
      <c r="F34221" s="28"/>
      <c r="H34221" s="28"/>
    </row>
    <row r="34222" spans="4:8" x14ac:dyDescent="0.25">
      <c r="D34222" s="28"/>
      <c r="F34222" s="28"/>
      <c r="H34222" s="28"/>
    </row>
    <row r="34223" spans="4:8" x14ac:dyDescent="0.25">
      <c r="D34223" s="28"/>
      <c r="F34223" s="28"/>
      <c r="H34223" s="28"/>
    </row>
    <row r="34224" spans="4:8" x14ac:dyDescent="0.25">
      <c r="D34224" s="28"/>
      <c r="F34224" s="28"/>
      <c r="H34224" s="28"/>
    </row>
    <row r="34225" spans="4:8" x14ac:dyDescent="0.25">
      <c r="D34225" s="28"/>
      <c r="F34225" s="28"/>
      <c r="H34225" s="28"/>
    </row>
    <row r="34226" spans="4:8" x14ac:dyDescent="0.25">
      <c r="D34226" s="28"/>
      <c r="F34226" s="28"/>
      <c r="H34226" s="28"/>
    </row>
    <row r="34227" spans="4:8" x14ac:dyDescent="0.25">
      <c r="D34227" s="28"/>
      <c r="F34227" s="28"/>
      <c r="H34227" s="28"/>
    </row>
    <row r="34228" spans="4:8" x14ac:dyDescent="0.25">
      <c r="D34228" s="28"/>
      <c r="F34228" s="28"/>
      <c r="H34228" s="28"/>
    </row>
    <row r="34229" spans="4:8" x14ac:dyDescent="0.25">
      <c r="D34229" s="28"/>
      <c r="F34229" s="28"/>
      <c r="H34229" s="28"/>
    </row>
    <row r="34230" spans="4:8" x14ac:dyDescent="0.25">
      <c r="D34230" s="28"/>
      <c r="F34230" s="28"/>
      <c r="H34230" s="28"/>
    </row>
    <row r="34231" spans="4:8" x14ac:dyDescent="0.25">
      <c r="D34231" s="28"/>
      <c r="F34231" s="28"/>
      <c r="H34231" s="28"/>
    </row>
    <row r="34232" spans="4:8" x14ac:dyDescent="0.25">
      <c r="D34232" s="28"/>
      <c r="F34232" s="28"/>
      <c r="H34232" s="28"/>
    </row>
    <row r="34233" spans="4:8" x14ac:dyDescent="0.25">
      <c r="D34233" s="28"/>
      <c r="F34233" s="28"/>
      <c r="H34233" s="28"/>
    </row>
    <row r="34234" spans="4:8" x14ac:dyDescent="0.25">
      <c r="D34234" s="28"/>
      <c r="F34234" s="28"/>
      <c r="H34234" s="28"/>
    </row>
    <row r="34235" spans="4:8" x14ac:dyDescent="0.25">
      <c r="D34235" s="28"/>
      <c r="F34235" s="28"/>
      <c r="H34235" s="28"/>
    </row>
    <row r="34236" spans="4:8" x14ac:dyDescent="0.25">
      <c r="D34236" s="28"/>
      <c r="F34236" s="28"/>
      <c r="H34236" s="28"/>
    </row>
    <row r="34237" spans="4:8" x14ac:dyDescent="0.25">
      <c r="D34237" s="28"/>
      <c r="F34237" s="28"/>
      <c r="H34237" s="28"/>
    </row>
    <row r="34238" spans="4:8" x14ac:dyDescent="0.25">
      <c r="D34238" s="28"/>
      <c r="F34238" s="28"/>
      <c r="H34238" s="28"/>
    </row>
    <row r="34239" spans="4:8" x14ac:dyDescent="0.25">
      <c r="D34239" s="28"/>
      <c r="F34239" s="28"/>
      <c r="H34239" s="28"/>
    </row>
    <row r="34240" spans="4:8" x14ac:dyDescent="0.25">
      <c r="D34240" s="28"/>
      <c r="F34240" s="28"/>
      <c r="H34240" s="28"/>
    </row>
    <row r="34241" spans="4:8" x14ac:dyDescent="0.25">
      <c r="D34241" s="28"/>
      <c r="F34241" s="28"/>
      <c r="H34241" s="28"/>
    </row>
    <row r="34242" spans="4:8" x14ac:dyDescent="0.25">
      <c r="D34242" s="28"/>
      <c r="F34242" s="28"/>
      <c r="H34242" s="28"/>
    </row>
    <row r="34243" spans="4:8" x14ac:dyDescent="0.25">
      <c r="D34243" s="28"/>
      <c r="F34243" s="28"/>
      <c r="H34243" s="28"/>
    </row>
    <row r="34244" spans="4:8" x14ac:dyDescent="0.25">
      <c r="D34244" s="28"/>
      <c r="F34244" s="28"/>
      <c r="H34244" s="28"/>
    </row>
    <row r="34245" spans="4:8" x14ac:dyDescent="0.25">
      <c r="D34245" s="28"/>
      <c r="F34245" s="28"/>
      <c r="H34245" s="28"/>
    </row>
    <row r="34246" spans="4:8" x14ac:dyDescent="0.25">
      <c r="D34246" s="28"/>
      <c r="F34246" s="28"/>
      <c r="H34246" s="28"/>
    </row>
    <row r="34247" spans="4:8" x14ac:dyDescent="0.25">
      <c r="D34247" s="28"/>
      <c r="F34247" s="28"/>
      <c r="H34247" s="28"/>
    </row>
    <row r="34248" spans="4:8" x14ac:dyDescent="0.25">
      <c r="D34248" s="28"/>
      <c r="F34248" s="28"/>
      <c r="H34248" s="28"/>
    </row>
    <row r="34249" spans="4:8" x14ac:dyDescent="0.25">
      <c r="D34249" s="28"/>
      <c r="F34249" s="28"/>
      <c r="H34249" s="28"/>
    </row>
    <row r="34250" spans="4:8" x14ac:dyDescent="0.25">
      <c r="D34250" s="28"/>
      <c r="F34250" s="28"/>
      <c r="H34250" s="28"/>
    </row>
    <row r="34251" spans="4:8" x14ac:dyDescent="0.25">
      <c r="D34251" s="28"/>
      <c r="F34251" s="28"/>
      <c r="H34251" s="28"/>
    </row>
    <row r="34252" spans="4:8" x14ac:dyDescent="0.25">
      <c r="D34252" s="28"/>
      <c r="F34252" s="28"/>
      <c r="H34252" s="28"/>
    </row>
    <row r="34253" spans="4:8" x14ac:dyDescent="0.25">
      <c r="D34253" s="28"/>
      <c r="F34253" s="28"/>
      <c r="H34253" s="28"/>
    </row>
    <row r="34254" spans="4:8" x14ac:dyDescent="0.25">
      <c r="D34254" s="28"/>
      <c r="F34254" s="28"/>
      <c r="H34254" s="28"/>
    </row>
    <row r="34255" spans="4:8" x14ac:dyDescent="0.25">
      <c r="D34255" s="28"/>
      <c r="F34255" s="28"/>
      <c r="H34255" s="28"/>
    </row>
    <row r="34256" spans="4:8" x14ac:dyDescent="0.25">
      <c r="D34256" s="28"/>
      <c r="F34256" s="28"/>
      <c r="H34256" s="28"/>
    </row>
    <row r="34257" spans="4:8" x14ac:dyDescent="0.25">
      <c r="D34257" s="28"/>
      <c r="F34257" s="28"/>
      <c r="H34257" s="28"/>
    </row>
    <row r="34258" spans="4:8" x14ac:dyDescent="0.25">
      <c r="D34258" s="28"/>
      <c r="F34258" s="28"/>
      <c r="H34258" s="28"/>
    </row>
    <row r="34259" spans="4:8" x14ac:dyDescent="0.25">
      <c r="D34259" s="28"/>
      <c r="F34259" s="28"/>
      <c r="H34259" s="28"/>
    </row>
    <row r="34260" spans="4:8" x14ac:dyDescent="0.25">
      <c r="D34260" s="28"/>
      <c r="F34260" s="28"/>
      <c r="H34260" s="28"/>
    </row>
    <row r="34261" spans="4:8" x14ac:dyDescent="0.25">
      <c r="D34261" s="28"/>
      <c r="F34261" s="28"/>
      <c r="H34261" s="28"/>
    </row>
    <row r="34262" spans="4:8" x14ac:dyDescent="0.25">
      <c r="D34262" s="28"/>
      <c r="F34262" s="28"/>
      <c r="H34262" s="28"/>
    </row>
    <row r="34263" spans="4:8" x14ac:dyDescent="0.25">
      <c r="D34263" s="28"/>
      <c r="F34263" s="28"/>
      <c r="H34263" s="28"/>
    </row>
    <row r="34264" spans="4:8" x14ac:dyDescent="0.25">
      <c r="D34264" s="28"/>
      <c r="F34264" s="28"/>
      <c r="H34264" s="28"/>
    </row>
    <row r="34265" spans="4:8" x14ac:dyDescent="0.25">
      <c r="D34265" s="28"/>
      <c r="F34265" s="28"/>
      <c r="H34265" s="28"/>
    </row>
    <row r="34266" spans="4:8" x14ac:dyDescent="0.25">
      <c r="D34266" s="28"/>
      <c r="F34266" s="28"/>
      <c r="H34266" s="28"/>
    </row>
    <row r="34267" spans="4:8" x14ac:dyDescent="0.25">
      <c r="D34267" s="28"/>
      <c r="F34267" s="28"/>
      <c r="H34267" s="28"/>
    </row>
    <row r="34268" spans="4:8" x14ac:dyDescent="0.25">
      <c r="D34268" s="28"/>
      <c r="F34268" s="28"/>
      <c r="H34268" s="28"/>
    </row>
    <row r="34269" spans="4:8" x14ac:dyDescent="0.25">
      <c r="D34269" s="28"/>
      <c r="F34269" s="28"/>
      <c r="H34269" s="28"/>
    </row>
    <row r="34270" spans="4:8" x14ac:dyDescent="0.25">
      <c r="D34270" s="28"/>
      <c r="F34270" s="28"/>
      <c r="H34270" s="28"/>
    </row>
    <row r="34271" spans="4:8" x14ac:dyDescent="0.25">
      <c r="D34271" s="28"/>
      <c r="F34271" s="28"/>
      <c r="H34271" s="28"/>
    </row>
    <row r="34272" spans="4:8" x14ac:dyDescent="0.25">
      <c r="D34272" s="28"/>
      <c r="F34272" s="28"/>
      <c r="H34272" s="28"/>
    </row>
    <row r="34273" spans="4:8" x14ac:dyDescent="0.25">
      <c r="D34273" s="28"/>
      <c r="F34273" s="28"/>
      <c r="H34273" s="28"/>
    </row>
    <row r="34274" spans="4:8" x14ac:dyDescent="0.25">
      <c r="D34274" s="28"/>
      <c r="F34274" s="28"/>
      <c r="H34274" s="28"/>
    </row>
    <row r="34275" spans="4:8" x14ac:dyDescent="0.25">
      <c r="D34275" s="28"/>
      <c r="F34275" s="28"/>
      <c r="H34275" s="28"/>
    </row>
    <row r="34276" spans="4:8" x14ac:dyDescent="0.25">
      <c r="D34276" s="28"/>
      <c r="F34276" s="28"/>
      <c r="H34276" s="28"/>
    </row>
    <row r="34277" spans="4:8" x14ac:dyDescent="0.25">
      <c r="D34277" s="28"/>
      <c r="F34277" s="28"/>
      <c r="H34277" s="28"/>
    </row>
    <row r="34278" spans="4:8" x14ac:dyDescent="0.25">
      <c r="D34278" s="28"/>
      <c r="F34278" s="28"/>
      <c r="H34278" s="28"/>
    </row>
    <row r="34279" spans="4:8" x14ac:dyDescent="0.25">
      <c r="D34279" s="28"/>
      <c r="F34279" s="28"/>
      <c r="H34279" s="28"/>
    </row>
    <row r="34280" spans="4:8" x14ac:dyDescent="0.25">
      <c r="D34280" s="28"/>
      <c r="F34280" s="28"/>
      <c r="H34280" s="28"/>
    </row>
    <row r="34281" spans="4:8" x14ac:dyDescent="0.25">
      <c r="D34281" s="28"/>
      <c r="F34281" s="28"/>
      <c r="H34281" s="28"/>
    </row>
    <row r="34282" spans="4:8" x14ac:dyDescent="0.25">
      <c r="D34282" s="28"/>
      <c r="F34282" s="28"/>
      <c r="H34282" s="28"/>
    </row>
    <row r="34283" spans="4:8" x14ac:dyDescent="0.25">
      <c r="D34283" s="28"/>
      <c r="F34283" s="28"/>
      <c r="H34283" s="28"/>
    </row>
    <row r="34284" spans="4:8" x14ac:dyDescent="0.25">
      <c r="D34284" s="28"/>
      <c r="F34284" s="28"/>
      <c r="H34284" s="28"/>
    </row>
    <row r="34285" spans="4:8" x14ac:dyDescent="0.25">
      <c r="D34285" s="28"/>
      <c r="F34285" s="28"/>
      <c r="H34285" s="28"/>
    </row>
    <row r="34286" spans="4:8" x14ac:dyDescent="0.25">
      <c r="D34286" s="28"/>
      <c r="F34286" s="28"/>
      <c r="H34286" s="28"/>
    </row>
    <row r="34287" spans="4:8" x14ac:dyDescent="0.25">
      <c r="D34287" s="28"/>
      <c r="F34287" s="28"/>
      <c r="H34287" s="28"/>
    </row>
    <row r="34288" spans="4:8" x14ac:dyDescent="0.25">
      <c r="D34288" s="28"/>
      <c r="F34288" s="28"/>
      <c r="H34288" s="28"/>
    </row>
    <row r="34289" spans="4:8" x14ac:dyDescent="0.25">
      <c r="D34289" s="28"/>
      <c r="F34289" s="28"/>
      <c r="H34289" s="28"/>
    </row>
    <row r="34290" spans="4:8" x14ac:dyDescent="0.25">
      <c r="D34290" s="28"/>
      <c r="F34290" s="28"/>
      <c r="H34290" s="28"/>
    </row>
    <row r="34291" spans="4:8" x14ac:dyDescent="0.25">
      <c r="D34291" s="28"/>
      <c r="F34291" s="28"/>
      <c r="H34291" s="28"/>
    </row>
    <row r="34292" spans="4:8" x14ac:dyDescent="0.25">
      <c r="D34292" s="28"/>
      <c r="F34292" s="28"/>
      <c r="H34292" s="28"/>
    </row>
    <row r="34293" spans="4:8" x14ac:dyDescent="0.25">
      <c r="D34293" s="28"/>
      <c r="F34293" s="28"/>
      <c r="H34293" s="28"/>
    </row>
    <row r="34294" spans="4:8" x14ac:dyDescent="0.25">
      <c r="D34294" s="28"/>
      <c r="F34294" s="28"/>
      <c r="H34294" s="28"/>
    </row>
    <row r="34295" spans="4:8" x14ac:dyDescent="0.25">
      <c r="D34295" s="28"/>
      <c r="F34295" s="28"/>
      <c r="H34295" s="28"/>
    </row>
    <row r="34296" spans="4:8" x14ac:dyDescent="0.25">
      <c r="D34296" s="28"/>
      <c r="F34296" s="28"/>
      <c r="H34296" s="28"/>
    </row>
    <row r="34297" spans="4:8" x14ac:dyDescent="0.25">
      <c r="D34297" s="28"/>
      <c r="F34297" s="28"/>
      <c r="H34297" s="28"/>
    </row>
    <row r="34298" spans="4:8" x14ac:dyDescent="0.25">
      <c r="D34298" s="28"/>
      <c r="F34298" s="28"/>
      <c r="H34298" s="28"/>
    </row>
    <row r="34299" spans="4:8" x14ac:dyDescent="0.25">
      <c r="D34299" s="28"/>
      <c r="F34299" s="28"/>
      <c r="H34299" s="28"/>
    </row>
    <row r="34300" spans="4:8" x14ac:dyDescent="0.25">
      <c r="D34300" s="28"/>
      <c r="F34300" s="28"/>
      <c r="H34300" s="28"/>
    </row>
    <row r="34301" spans="4:8" x14ac:dyDescent="0.25">
      <c r="D34301" s="28"/>
      <c r="F34301" s="28"/>
      <c r="H34301" s="28"/>
    </row>
    <row r="34302" spans="4:8" x14ac:dyDescent="0.25">
      <c r="D34302" s="28"/>
      <c r="F34302" s="28"/>
      <c r="H34302" s="28"/>
    </row>
    <row r="34303" spans="4:8" x14ac:dyDescent="0.25">
      <c r="D34303" s="28"/>
      <c r="F34303" s="28"/>
      <c r="H34303" s="28"/>
    </row>
    <row r="34304" spans="4:8" x14ac:dyDescent="0.25">
      <c r="D34304" s="28"/>
      <c r="F34304" s="28"/>
      <c r="H34304" s="28"/>
    </row>
    <row r="34305" spans="4:8" x14ac:dyDescent="0.25">
      <c r="D34305" s="28"/>
      <c r="F34305" s="28"/>
      <c r="H34305" s="28"/>
    </row>
    <row r="34306" spans="4:8" x14ac:dyDescent="0.25">
      <c r="D34306" s="28"/>
      <c r="F34306" s="28"/>
      <c r="H34306" s="28"/>
    </row>
    <row r="34307" spans="4:8" x14ac:dyDescent="0.25">
      <c r="D34307" s="28"/>
      <c r="F34307" s="28"/>
      <c r="H34307" s="28"/>
    </row>
    <row r="34308" spans="4:8" x14ac:dyDescent="0.25">
      <c r="D34308" s="28"/>
      <c r="F34308" s="28"/>
      <c r="H34308" s="28"/>
    </row>
    <row r="34309" spans="4:8" x14ac:dyDescent="0.25">
      <c r="D34309" s="28"/>
      <c r="F34309" s="28"/>
      <c r="H34309" s="28"/>
    </row>
    <row r="34310" spans="4:8" x14ac:dyDescent="0.25">
      <c r="D34310" s="28"/>
      <c r="F34310" s="28"/>
      <c r="H34310" s="28"/>
    </row>
    <row r="34311" spans="4:8" x14ac:dyDescent="0.25">
      <c r="D34311" s="28"/>
      <c r="F34311" s="28"/>
      <c r="H34311" s="28"/>
    </row>
    <row r="34312" spans="4:8" x14ac:dyDescent="0.25">
      <c r="D34312" s="28"/>
      <c r="F34312" s="28"/>
      <c r="H34312" s="28"/>
    </row>
    <row r="34313" spans="4:8" x14ac:dyDescent="0.25">
      <c r="D34313" s="28"/>
      <c r="F34313" s="28"/>
      <c r="H34313" s="28"/>
    </row>
    <row r="34314" spans="4:8" x14ac:dyDescent="0.25">
      <c r="D34314" s="28"/>
      <c r="F34314" s="28"/>
      <c r="H34314" s="28"/>
    </row>
    <row r="34315" spans="4:8" x14ac:dyDescent="0.25">
      <c r="D34315" s="28"/>
      <c r="F34315" s="28"/>
      <c r="H34315" s="28"/>
    </row>
    <row r="34316" spans="4:8" x14ac:dyDescent="0.25">
      <c r="D34316" s="28"/>
      <c r="F34316" s="28"/>
      <c r="H34316" s="28"/>
    </row>
    <row r="34317" spans="4:8" x14ac:dyDescent="0.25">
      <c r="D34317" s="28"/>
      <c r="F34317" s="28"/>
      <c r="H34317" s="28"/>
    </row>
    <row r="34318" spans="4:8" x14ac:dyDescent="0.25">
      <c r="D34318" s="28"/>
      <c r="F34318" s="28"/>
      <c r="H34318" s="28"/>
    </row>
    <row r="34319" spans="4:8" x14ac:dyDescent="0.25">
      <c r="D34319" s="28"/>
      <c r="F34319" s="28"/>
      <c r="H34319" s="28"/>
    </row>
    <row r="34320" spans="4:8" x14ac:dyDescent="0.25">
      <c r="D34320" s="28"/>
      <c r="F34320" s="28"/>
      <c r="H34320" s="28"/>
    </row>
    <row r="34321" spans="4:8" x14ac:dyDescent="0.25">
      <c r="D34321" s="28"/>
      <c r="F34321" s="28"/>
      <c r="H34321" s="28"/>
    </row>
    <row r="34322" spans="4:8" x14ac:dyDescent="0.25">
      <c r="D34322" s="28"/>
      <c r="F34322" s="28"/>
      <c r="H34322" s="28"/>
    </row>
    <row r="34323" spans="4:8" x14ac:dyDescent="0.25">
      <c r="D34323" s="28"/>
      <c r="F34323" s="28"/>
      <c r="H34323" s="28"/>
    </row>
    <row r="34324" spans="4:8" x14ac:dyDescent="0.25">
      <c r="D34324" s="28"/>
      <c r="F34324" s="28"/>
      <c r="H34324" s="28"/>
    </row>
    <row r="34325" spans="4:8" x14ac:dyDescent="0.25">
      <c r="D34325" s="28"/>
      <c r="F34325" s="28"/>
      <c r="H34325" s="28"/>
    </row>
    <row r="34326" spans="4:8" x14ac:dyDescent="0.25">
      <c r="D34326" s="28"/>
      <c r="F34326" s="28"/>
      <c r="H34326" s="28"/>
    </row>
    <row r="34327" spans="4:8" x14ac:dyDescent="0.25">
      <c r="D34327" s="28"/>
      <c r="F34327" s="28"/>
      <c r="H34327" s="28"/>
    </row>
    <row r="34328" spans="4:8" x14ac:dyDescent="0.25">
      <c r="D34328" s="28"/>
      <c r="F34328" s="28"/>
      <c r="H34328" s="28"/>
    </row>
    <row r="34329" spans="4:8" x14ac:dyDescent="0.25">
      <c r="D34329" s="28"/>
      <c r="F34329" s="28"/>
      <c r="H34329" s="28"/>
    </row>
    <row r="34330" spans="4:8" x14ac:dyDescent="0.25">
      <c r="D34330" s="28"/>
      <c r="F34330" s="28"/>
      <c r="H34330" s="28"/>
    </row>
    <row r="34331" spans="4:8" x14ac:dyDescent="0.25">
      <c r="D34331" s="28"/>
      <c r="F34331" s="28"/>
      <c r="H34331" s="28"/>
    </row>
    <row r="34332" spans="4:8" x14ac:dyDescent="0.25">
      <c r="D34332" s="28"/>
      <c r="F34332" s="28"/>
      <c r="H34332" s="28"/>
    </row>
    <row r="34333" spans="4:8" x14ac:dyDescent="0.25">
      <c r="D34333" s="28"/>
      <c r="F34333" s="28"/>
      <c r="H34333" s="28"/>
    </row>
    <row r="34334" spans="4:8" x14ac:dyDescent="0.25">
      <c r="D34334" s="28"/>
      <c r="F34334" s="28"/>
      <c r="H34334" s="28"/>
    </row>
    <row r="34335" spans="4:8" x14ac:dyDescent="0.25">
      <c r="D34335" s="28"/>
      <c r="F34335" s="28"/>
      <c r="H34335" s="28"/>
    </row>
    <row r="34336" spans="4:8" x14ac:dyDescent="0.25">
      <c r="D34336" s="28"/>
      <c r="F34336" s="28"/>
      <c r="H34336" s="28"/>
    </row>
    <row r="34337" spans="4:8" x14ac:dyDescent="0.25">
      <c r="D34337" s="28"/>
      <c r="F34337" s="28"/>
      <c r="H34337" s="28"/>
    </row>
    <row r="34338" spans="4:8" x14ac:dyDescent="0.25">
      <c r="D34338" s="28"/>
      <c r="F34338" s="28"/>
      <c r="H34338" s="28"/>
    </row>
    <row r="34339" spans="4:8" x14ac:dyDescent="0.25">
      <c r="D34339" s="28"/>
      <c r="F34339" s="28"/>
      <c r="H34339" s="28"/>
    </row>
    <row r="34340" spans="4:8" x14ac:dyDescent="0.25">
      <c r="D34340" s="28"/>
      <c r="F34340" s="28"/>
      <c r="H34340" s="28"/>
    </row>
    <row r="34341" spans="4:8" x14ac:dyDescent="0.25">
      <c r="D34341" s="28"/>
      <c r="F34341" s="28"/>
      <c r="H34341" s="28"/>
    </row>
    <row r="34342" spans="4:8" x14ac:dyDescent="0.25">
      <c r="D34342" s="28"/>
      <c r="F34342" s="28"/>
      <c r="H34342" s="28"/>
    </row>
    <row r="34343" spans="4:8" x14ac:dyDescent="0.25">
      <c r="D34343" s="28"/>
      <c r="F34343" s="28"/>
      <c r="H34343" s="28"/>
    </row>
    <row r="34344" spans="4:8" x14ac:dyDescent="0.25">
      <c r="D34344" s="28"/>
      <c r="F34344" s="28"/>
      <c r="H34344" s="28"/>
    </row>
    <row r="34345" spans="4:8" x14ac:dyDescent="0.25">
      <c r="D34345" s="28"/>
      <c r="F34345" s="28"/>
      <c r="H34345" s="28"/>
    </row>
    <row r="34346" spans="4:8" x14ac:dyDescent="0.25">
      <c r="D34346" s="28"/>
      <c r="F34346" s="28"/>
      <c r="H34346" s="28"/>
    </row>
    <row r="34347" spans="4:8" x14ac:dyDescent="0.25">
      <c r="D34347" s="28"/>
      <c r="F34347" s="28"/>
      <c r="H34347" s="28"/>
    </row>
    <row r="34348" spans="4:8" x14ac:dyDescent="0.25">
      <c r="D34348" s="28"/>
      <c r="F34348" s="28"/>
      <c r="H34348" s="28"/>
    </row>
    <row r="34349" spans="4:8" x14ac:dyDescent="0.25">
      <c r="D34349" s="28"/>
      <c r="F34349" s="28"/>
      <c r="H34349" s="28"/>
    </row>
    <row r="34350" spans="4:8" x14ac:dyDescent="0.25">
      <c r="D34350" s="28"/>
      <c r="F34350" s="28"/>
      <c r="H34350" s="28"/>
    </row>
    <row r="34351" spans="4:8" x14ac:dyDescent="0.25">
      <c r="D34351" s="28"/>
      <c r="F34351" s="28"/>
      <c r="H34351" s="28"/>
    </row>
    <row r="34352" spans="4:8" x14ac:dyDescent="0.25">
      <c r="D34352" s="28"/>
      <c r="F34352" s="28"/>
      <c r="H34352" s="28"/>
    </row>
    <row r="34353" spans="4:8" x14ac:dyDescent="0.25">
      <c r="D34353" s="28"/>
      <c r="F34353" s="28"/>
      <c r="H34353" s="28"/>
    </row>
    <row r="34354" spans="4:8" x14ac:dyDescent="0.25">
      <c r="D34354" s="28"/>
      <c r="F34354" s="28"/>
      <c r="H34354" s="28"/>
    </row>
    <row r="34355" spans="4:8" x14ac:dyDescent="0.25">
      <c r="D34355" s="28"/>
      <c r="F34355" s="28"/>
      <c r="H34355" s="28"/>
    </row>
    <row r="34356" spans="4:8" x14ac:dyDescent="0.25">
      <c r="D34356" s="28"/>
      <c r="F34356" s="28"/>
      <c r="H34356" s="28"/>
    </row>
    <row r="34357" spans="4:8" x14ac:dyDescent="0.25">
      <c r="D34357" s="28"/>
      <c r="F34357" s="28"/>
      <c r="H34357" s="28"/>
    </row>
    <row r="34358" spans="4:8" x14ac:dyDescent="0.25">
      <c r="D34358" s="28"/>
      <c r="F34358" s="28"/>
      <c r="H34358" s="28"/>
    </row>
    <row r="34359" spans="4:8" x14ac:dyDescent="0.25">
      <c r="D34359" s="28"/>
      <c r="F34359" s="28"/>
      <c r="H34359" s="28"/>
    </row>
    <row r="34360" spans="4:8" x14ac:dyDescent="0.25">
      <c r="D34360" s="28"/>
      <c r="F34360" s="28"/>
      <c r="H34360" s="28"/>
    </row>
    <row r="34361" spans="4:8" x14ac:dyDescent="0.25">
      <c r="D34361" s="28"/>
      <c r="F34361" s="28"/>
      <c r="H34361" s="28"/>
    </row>
    <row r="34362" spans="4:8" x14ac:dyDescent="0.25">
      <c r="D34362" s="28"/>
      <c r="F34362" s="28"/>
      <c r="H34362" s="28"/>
    </row>
    <row r="34363" spans="4:8" x14ac:dyDescent="0.25">
      <c r="D34363" s="28"/>
      <c r="F34363" s="28"/>
      <c r="H34363" s="28"/>
    </row>
    <row r="34364" spans="4:8" x14ac:dyDescent="0.25">
      <c r="D34364" s="28"/>
      <c r="F34364" s="28"/>
      <c r="H34364" s="28"/>
    </row>
    <row r="34365" spans="4:8" x14ac:dyDescent="0.25">
      <c r="D34365" s="28"/>
      <c r="F34365" s="28"/>
      <c r="H34365" s="28"/>
    </row>
    <row r="34366" spans="4:8" x14ac:dyDescent="0.25">
      <c r="D34366" s="28"/>
      <c r="F34366" s="28"/>
      <c r="H34366" s="28"/>
    </row>
    <row r="34367" spans="4:8" x14ac:dyDescent="0.25">
      <c r="D34367" s="28"/>
      <c r="F34367" s="28"/>
      <c r="H34367" s="28"/>
    </row>
    <row r="34368" spans="4:8" x14ac:dyDescent="0.25">
      <c r="D34368" s="28"/>
      <c r="F34368" s="28"/>
      <c r="H34368" s="28"/>
    </row>
    <row r="34369" spans="4:8" x14ac:dyDescent="0.25">
      <c r="D34369" s="28"/>
      <c r="F34369" s="28"/>
      <c r="H34369" s="28"/>
    </row>
    <row r="34370" spans="4:8" x14ac:dyDescent="0.25">
      <c r="D34370" s="28"/>
      <c r="F34370" s="28"/>
      <c r="H34370" s="28"/>
    </row>
    <row r="34371" spans="4:8" x14ac:dyDescent="0.25">
      <c r="D34371" s="28"/>
      <c r="F34371" s="28"/>
      <c r="H34371" s="28"/>
    </row>
    <row r="34372" spans="4:8" x14ac:dyDescent="0.25">
      <c r="D34372" s="28"/>
      <c r="F34372" s="28"/>
      <c r="H34372" s="28"/>
    </row>
    <row r="34373" spans="4:8" x14ac:dyDescent="0.25">
      <c r="D34373" s="28"/>
      <c r="F34373" s="28"/>
      <c r="H34373" s="28"/>
    </row>
    <row r="34374" spans="4:8" x14ac:dyDescent="0.25">
      <c r="D34374" s="28"/>
      <c r="F34374" s="28"/>
      <c r="H34374" s="28"/>
    </row>
    <row r="34375" spans="4:8" x14ac:dyDescent="0.25">
      <c r="D34375" s="28"/>
      <c r="F34375" s="28"/>
      <c r="H34375" s="28"/>
    </row>
    <row r="34376" spans="4:8" x14ac:dyDescent="0.25">
      <c r="D34376" s="28"/>
      <c r="F34376" s="28"/>
      <c r="H34376" s="28"/>
    </row>
    <row r="34377" spans="4:8" x14ac:dyDescent="0.25">
      <c r="D34377" s="28"/>
      <c r="F34377" s="28"/>
      <c r="H34377" s="28"/>
    </row>
    <row r="34378" spans="4:8" x14ac:dyDescent="0.25">
      <c r="D34378" s="28"/>
      <c r="F34378" s="28"/>
      <c r="H34378" s="28"/>
    </row>
    <row r="34379" spans="4:8" x14ac:dyDescent="0.25">
      <c r="D34379" s="28"/>
      <c r="F34379" s="28"/>
      <c r="H34379" s="28"/>
    </row>
    <row r="34380" spans="4:8" x14ac:dyDescent="0.25">
      <c r="D34380" s="28"/>
      <c r="F34380" s="28"/>
      <c r="H34380" s="28"/>
    </row>
    <row r="34381" spans="4:8" x14ac:dyDescent="0.25">
      <c r="D34381" s="28"/>
      <c r="F34381" s="28"/>
      <c r="H34381" s="28"/>
    </row>
    <row r="34382" spans="4:8" x14ac:dyDescent="0.25">
      <c r="D34382" s="28"/>
      <c r="F34382" s="28"/>
      <c r="H34382" s="28"/>
    </row>
    <row r="34383" spans="4:8" x14ac:dyDescent="0.25">
      <c r="D34383" s="28"/>
      <c r="F34383" s="28"/>
      <c r="H34383" s="28"/>
    </row>
    <row r="34384" spans="4:8" x14ac:dyDescent="0.25">
      <c r="D34384" s="28"/>
      <c r="F34384" s="28"/>
      <c r="H34384" s="28"/>
    </row>
    <row r="34385" spans="4:8" x14ac:dyDescent="0.25">
      <c r="D34385" s="28"/>
      <c r="F34385" s="28"/>
      <c r="H34385" s="28"/>
    </row>
    <row r="34386" spans="4:8" x14ac:dyDescent="0.25">
      <c r="D34386" s="28"/>
      <c r="F34386" s="28"/>
      <c r="H34386" s="28"/>
    </row>
    <row r="34387" spans="4:8" x14ac:dyDescent="0.25">
      <c r="D34387" s="28"/>
      <c r="F34387" s="28"/>
      <c r="H34387" s="28"/>
    </row>
    <row r="34388" spans="4:8" x14ac:dyDescent="0.25">
      <c r="D34388" s="28"/>
      <c r="F34388" s="28"/>
      <c r="H34388" s="28"/>
    </row>
    <row r="34389" spans="4:8" x14ac:dyDescent="0.25">
      <c r="D34389" s="28"/>
      <c r="F34389" s="28"/>
      <c r="H34389" s="28"/>
    </row>
    <row r="34390" spans="4:8" x14ac:dyDescent="0.25">
      <c r="D34390" s="28"/>
      <c r="F34390" s="28"/>
      <c r="H34390" s="28"/>
    </row>
    <row r="34391" spans="4:8" x14ac:dyDescent="0.25">
      <c r="D34391" s="28"/>
      <c r="F34391" s="28"/>
      <c r="H34391" s="28"/>
    </row>
    <row r="34392" spans="4:8" x14ac:dyDescent="0.25">
      <c r="D34392" s="28"/>
      <c r="F34392" s="28"/>
      <c r="H34392" s="28"/>
    </row>
    <row r="34393" spans="4:8" x14ac:dyDescent="0.25">
      <c r="D34393" s="28"/>
      <c r="F34393" s="28"/>
      <c r="H34393" s="28"/>
    </row>
    <row r="34394" spans="4:8" x14ac:dyDescent="0.25">
      <c r="D34394" s="28"/>
      <c r="F34394" s="28"/>
      <c r="H34394" s="28"/>
    </row>
    <row r="34395" spans="4:8" x14ac:dyDescent="0.25">
      <c r="D34395" s="28"/>
      <c r="F34395" s="28"/>
      <c r="H34395" s="28"/>
    </row>
    <row r="34396" spans="4:8" x14ac:dyDescent="0.25">
      <c r="D34396" s="28"/>
      <c r="F34396" s="28"/>
      <c r="H34396" s="28"/>
    </row>
    <row r="34397" spans="4:8" x14ac:dyDescent="0.25">
      <c r="D34397" s="28"/>
      <c r="F34397" s="28"/>
      <c r="H34397" s="28"/>
    </row>
    <row r="34398" spans="4:8" x14ac:dyDescent="0.25">
      <c r="D34398" s="28"/>
      <c r="F34398" s="28"/>
      <c r="H34398" s="28"/>
    </row>
    <row r="34399" spans="4:8" x14ac:dyDescent="0.25">
      <c r="D34399" s="28"/>
      <c r="F34399" s="28"/>
      <c r="H34399" s="28"/>
    </row>
    <row r="34400" spans="4:8" x14ac:dyDescent="0.25">
      <c r="D34400" s="28"/>
      <c r="F34400" s="28"/>
      <c r="H34400" s="28"/>
    </row>
    <row r="34401" spans="4:8" x14ac:dyDescent="0.25">
      <c r="D34401" s="28"/>
      <c r="F34401" s="28"/>
      <c r="H34401" s="28"/>
    </row>
    <row r="34402" spans="4:8" x14ac:dyDescent="0.25">
      <c r="D34402" s="28"/>
      <c r="F34402" s="28"/>
      <c r="H34402" s="28"/>
    </row>
    <row r="34403" spans="4:8" x14ac:dyDescent="0.25">
      <c r="D34403" s="28"/>
      <c r="F34403" s="28"/>
      <c r="H34403" s="28"/>
    </row>
    <row r="34404" spans="4:8" x14ac:dyDescent="0.25">
      <c r="D34404" s="28"/>
      <c r="F34404" s="28"/>
      <c r="H34404" s="28"/>
    </row>
    <row r="34405" spans="4:8" x14ac:dyDescent="0.25">
      <c r="D34405" s="28"/>
      <c r="F34405" s="28"/>
      <c r="H34405" s="28"/>
    </row>
    <row r="34406" spans="4:8" x14ac:dyDescent="0.25">
      <c r="D34406" s="28"/>
      <c r="F34406" s="28"/>
      <c r="H34406" s="28"/>
    </row>
    <row r="34407" spans="4:8" x14ac:dyDescent="0.25">
      <c r="D34407" s="28"/>
      <c r="F34407" s="28"/>
      <c r="H34407" s="28"/>
    </row>
    <row r="34408" spans="4:8" x14ac:dyDescent="0.25">
      <c r="D34408" s="28"/>
      <c r="F34408" s="28"/>
      <c r="H34408" s="28"/>
    </row>
    <row r="34409" spans="4:8" x14ac:dyDescent="0.25">
      <c r="D34409" s="28"/>
      <c r="F34409" s="28"/>
      <c r="H34409" s="28"/>
    </row>
    <row r="34410" spans="4:8" x14ac:dyDescent="0.25">
      <c r="D34410" s="28"/>
      <c r="F34410" s="28"/>
      <c r="H34410" s="28"/>
    </row>
    <row r="34411" spans="4:8" x14ac:dyDescent="0.25">
      <c r="D34411" s="28"/>
      <c r="F34411" s="28"/>
      <c r="H34411" s="28"/>
    </row>
    <row r="34412" spans="4:8" x14ac:dyDescent="0.25">
      <c r="D34412" s="28"/>
      <c r="F34412" s="28"/>
      <c r="H34412" s="28"/>
    </row>
    <row r="34413" spans="4:8" x14ac:dyDescent="0.25">
      <c r="D34413" s="28"/>
      <c r="F34413" s="28"/>
      <c r="H34413" s="28"/>
    </row>
    <row r="34414" spans="4:8" x14ac:dyDescent="0.25">
      <c r="D34414" s="28"/>
      <c r="F34414" s="28"/>
      <c r="H34414" s="28"/>
    </row>
    <row r="34415" spans="4:8" x14ac:dyDescent="0.25">
      <c r="D34415" s="28"/>
      <c r="F34415" s="28"/>
      <c r="H34415" s="28"/>
    </row>
    <row r="34416" spans="4:8" x14ac:dyDescent="0.25">
      <c r="D34416" s="28"/>
      <c r="F34416" s="28"/>
      <c r="H34416" s="28"/>
    </row>
    <row r="34417" spans="4:8" x14ac:dyDescent="0.25">
      <c r="D34417" s="28"/>
      <c r="F34417" s="28"/>
      <c r="H34417" s="28"/>
    </row>
    <row r="34418" spans="4:8" x14ac:dyDescent="0.25">
      <c r="D34418" s="28"/>
      <c r="F34418" s="28"/>
      <c r="H34418" s="28"/>
    </row>
    <row r="34419" spans="4:8" x14ac:dyDescent="0.25">
      <c r="D34419" s="28"/>
      <c r="F34419" s="28"/>
      <c r="H34419" s="28"/>
    </row>
    <row r="34420" spans="4:8" x14ac:dyDescent="0.25">
      <c r="D34420" s="28"/>
      <c r="F34420" s="28"/>
      <c r="H34420" s="28"/>
    </row>
    <row r="34421" spans="4:8" x14ac:dyDescent="0.25">
      <c r="D34421" s="28"/>
      <c r="F34421" s="28"/>
      <c r="H34421" s="28"/>
    </row>
    <row r="34422" spans="4:8" x14ac:dyDescent="0.25">
      <c r="D34422" s="28"/>
      <c r="F34422" s="28"/>
      <c r="H34422" s="28"/>
    </row>
    <row r="34423" spans="4:8" x14ac:dyDescent="0.25">
      <c r="D34423" s="28"/>
      <c r="F34423" s="28"/>
      <c r="H34423" s="28"/>
    </row>
    <row r="34424" spans="4:8" x14ac:dyDescent="0.25">
      <c r="D34424" s="28"/>
      <c r="F34424" s="28"/>
      <c r="H34424" s="28"/>
    </row>
    <row r="34425" spans="4:8" x14ac:dyDescent="0.25">
      <c r="D34425" s="28"/>
      <c r="F34425" s="28"/>
      <c r="H34425" s="28"/>
    </row>
    <row r="34426" spans="4:8" x14ac:dyDescent="0.25">
      <c r="D34426" s="28"/>
      <c r="F34426" s="28"/>
      <c r="H34426" s="28"/>
    </row>
    <row r="34427" spans="4:8" x14ac:dyDescent="0.25">
      <c r="D34427" s="28"/>
      <c r="F34427" s="28"/>
      <c r="H34427" s="28"/>
    </row>
    <row r="34428" spans="4:8" x14ac:dyDescent="0.25">
      <c r="D34428" s="28"/>
      <c r="F34428" s="28"/>
      <c r="H34428" s="28"/>
    </row>
    <row r="34429" spans="4:8" x14ac:dyDescent="0.25">
      <c r="D34429" s="28"/>
      <c r="F34429" s="28"/>
      <c r="H34429" s="28"/>
    </row>
    <row r="34430" spans="4:8" x14ac:dyDescent="0.25">
      <c r="D34430" s="28"/>
      <c r="F34430" s="28"/>
      <c r="H34430" s="28"/>
    </row>
    <row r="34431" spans="4:8" x14ac:dyDescent="0.25">
      <c r="D34431" s="28"/>
      <c r="F34431" s="28"/>
      <c r="H34431" s="28"/>
    </row>
    <row r="34432" spans="4:8" x14ac:dyDescent="0.25">
      <c r="D34432" s="28"/>
      <c r="F34432" s="28"/>
      <c r="H34432" s="28"/>
    </row>
    <row r="34433" spans="4:8" x14ac:dyDescent="0.25">
      <c r="D34433" s="28"/>
      <c r="F34433" s="28"/>
      <c r="H34433" s="28"/>
    </row>
    <row r="34434" spans="4:8" x14ac:dyDescent="0.25">
      <c r="D34434" s="28"/>
      <c r="F34434" s="28"/>
      <c r="H34434" s="28"/>
    </row>
    <row r="34435" spans="4:8" x14ac:dyDescent="0.25">
      <c r="D34435" s="28"/>
      <c r="F34435" s="28"/>
      <c r="H34435" s="28"/>
    </row>
    <row r="34436" spans="4:8" x14ac:dyDescent="0.25">
      <c r="D34436" s="28"/>
      <c r="F34436" s="28"/>
      <c r="H34436" s="28"/>
    </row>
    <row r="34437" spans="4:8" x14ac:dyDescent="0.25">
      <c r="D34437" s="28"/>
      <c r="F34437" s="28"/>
      <c r="H34437" s="28"/>
    </row>
    <row r="34438" spans="4:8" x14ac:dyDescent="0.25">
      <c r="D34438" s="28"/>
      <c r="F34438" s="28"/>
      <c r="H34438" s="28"/>
    </row>
    <row r="34439" spans="4:8" x14ac:dyDescent="0.25">
      <c r="D34439" s="28"/>
      <c r="F34439" s="28"/>
      <c r="H34439" s="28"/>
    </row>
    <row r="34440" spans="4:8" x14ac:dyDescent="0.25">
      <c r="D34440" s="28"/>
      <c r="F34440" s="28"/>
      <c r="H34440" s="28"/>
    </row>
    <row r="34441" spans="4:8" x14ac:dyDescent="0.25">
      <c r="D34441" s="28"/>
      <c r="F34441" s="28"/>
      <c r="H34441" s="28"/>
    </row>
    <row r="34442" spans="4:8" x14ac:dyDescent="0.25">
      <c r="D34442" s="28"/>
      <c r="F34442" s="28"/>
      <c r="H34442" s="28"/>
    </row>
    <row r="34443" spans="4:8" x14ac:dyDescent="0.25">
      <c r="D34443" s="28"/>
      <c r="F34443" s="28"/>
      <c r="H34443" s="28"/>
    </row>
    <row r="34444" spans="4:8" x14ac:dyDescent="0.25">
      <c r="D34444" s="28"/>
      <c r="F34444" s="28"/>
      <c r="H34444" s="28"/>
    </row>
    <row r="34445" spans="4:8" x14ac:dyDescent="0.25">
      <c r="D34445" s="28"/>
      <c r="F34445" s="28"/>
      <c r="H34445" s="28"/>
    </row>
    <row r="34446" spans="4:8" x14ac:dyDescent="0.25">
      <c r="D34446" s="28"/>
      <c r="F34446" s="28"/>
      <c r="H34446" s="28"/>
    </row>
    <row r="34447" spans="4:8" x14ac:dyDescent="0.25">
      <c r="D34447" s="28"/>
      <c r="F34447" s="28"/>
      <c r="H34447" s="28"/>
    </row>
    <row r="34448" spans="4:8" x14ac:dyDescent="0.25">
      <c r="D34448" s="28"/>
      <c r="F34448" s="28"/>
      <c r="H34448" s="28"/>
    </row>
    <row r="34449" spans="4:8" x14ac:dyDescent="0.25">
      <c r="D34449" s="28"/>
      <c r="F34449" s="28"/>
      <c r="H34449" s="28"/>
    </row>
    <row r="34450" spans="4:8" x14ac:dyDescent="0.25">
      <c r="D34450" s="28"/>
      <c r="F34450" s="28"/>
      <c r="H34450" s="28"/>
    </row>
    <row r="34451" spans="4:8" x14ac:dyDescent="0.25">
      <c r="D34451" s="28"/>
      <c r="F34451" s="28"/>
      <c r="H34451" s="28"/>
    </row>
    <row r="34452" spans="4:8" x14ac:dyDescent="0.25">
      <c r="D34452" s="28"/>
      <c r="F34452" s="28"/>
      <c r="H34452" s="28"/>
    </row>
    <row r="34453" spans="4:8" x14ac:dyDescent="0.25">
      <c r="D34453" s="28"/>
      <c r="F34453" s="28"/>
      <c r="H34453" s="28"/>
    </row>
    <row r="34454" spans="4:8" x14ac:dyDescent="0.25">
      <c r="D34454" s="28"/>
      <c r="F34454" s="28"/>
      <c r="H34454" s="28"/>
    </row>
    <row r="34455" spans="4:8" x14ac:dyDescent="0.25">
      <c r="D34455" s="28"/>
      <c r="F34455" s="28"/>
      <c r="H34455" s="28"/>
    </row>
    <row r="34456" spans="4:8" x14ac:dyDescent="0.25">
      <c r="D34456" s="28"/>
      <c r="F34456" s="28"/>
      <c r="H34456" s="28"/>
    </row>
    <row r="34457" spans="4:8" x14ac:dyDescent="0.25">
      <c r="D34457" s="28"/>
      <c r="F34457" s="28"/>
      <c r="H34457" s="28"/>
    </row>
    <row r="34458" spans="4:8" x14ac:dyDescent="0.25">
      <c r="D34458" s="28"/>
      <c r="F34458" s="28"/>
      <c r="H34458" s="28"/>
    </row>
    <row r="34459" spans="4:8" x14ac:dyDescent="0.25">
      <c r="D34459" s="28"/>
      <c r="F34459" s="28"/>
      <c r="H34459" s="28"/>
    </row>
    <row r="34460" spans="4:8" x14ac:dyDescent="0.25">
      <c r="D34460" s="28"/>
      <c r="F34460" s="28"/>
      <c r="H34460" s="28"/>
    </row>
    <row r="34461" spans="4:8" x14ac:dyDescent="0.25">
      <c r="D34461" s="28"/>
      <c r="F34461" s="28"/>
      <c r="H34461" s="28"/>
    </row>
    <row r="34462" spans="4:8" x14ac:dyDescent="0.25">
      <c r="D34462" s="28"/>
      <c r="F34462" s="28"/>
      <c r="H34462" s="28"/>
    </row>
    <row r="34463" spans="4:8" x14ac:dyDescent="0.25">
      <c r="D34463" s="28"/>
      <c r="F34463" s="28"/>
      <c r="H34463" s="28"/>
    </row>
    <row r="34464" spans="4:8" x14ac:dyDescent="0.25">
      <c r="D34464" s="28"/>
      <c r="F34464" s="28"/>
      <c r="H34464" s="28"/>
    </row>
    <row r="34465" spans="4:8" x14ac:dyDescent="0.25">
      <c r="D34465" s="28"/>
      <c r="F34465" s="28"/>
      <c r="H34465" s="28"/>
    </row>
    <row r="34466" spans="4:8" x14ac:dyDescent="0.25">
      <c r="D34466" s="28"/>
      <c r="F34466" s="28"/>
      <c r="H34466" s="28"/>
    </row>
    <row r="34467" spans="4:8" x14ac:dyDescent="0.25">
      <c r="D34467" s="28"/>
      <c r="F34467" s="28"/>
      <c r="H34467" s="28"/>
    </row>
    <row r="34468" spans="4:8" x14ac:dyDescent="0.25">
      <c r="D34468" s="28"/>
      <c r="F34468" s="28"/>
      <c r="H34468" s="28"/>
    </row>
    <row r="34469" spans="4:8" x14ac:dyDescent="0.25">
      <c r="D34469" s="28"/>
      <c r="F34469" s="28"/>
      <c r="H34469" s="28"/>
    </row>
    <row r="34470" spans="4:8" x14ac:dyDescent="0.25">
      <c r="D34470" s="28"/>
      <c r="F34470" s="28"/>
      <c r="H34470" s="28"/>
    </row>
    <row r="34471" spans="4:8" x14ac:dyDescent="0.25">
      <c r="D34471" s="28"/>
      <c r="F34471" s="28"/>
      <c r="H34471" s="28"/>
    </row>
    <row r="34472" spans="4:8" x14ac:dyDescent="0.25">
      <c r="D34472" s="28"/>
      <c r="F34472" s="28"/>
      <c r="H34472" s="28"/>
    </row>
    <row r="34473" spans="4:8" x14ac:dyDescent="0.25">
      <c r="D34473" s="28"/>
      <c r="F34473" s="28"/>
      <c r="H34473" s="28"/>
    </row>
    <row r="34474" spans="4:8" x14ac:dyDescent="0.25">
      <c r="D34474" s="28"/>
      <c r="F34474" s="28"/>
      <c r="H34474" s="28"/>
    </row>
    <row r="34475" spans="4:8" x14ac:dyDescent="0.25">
      <c r="D34475" s="28"/>
      <c r="F34475" s="28"/>
      <c r="H34475" s="28"/>
    </row>
    <row r="34476" spans="4:8" x14ac:dyDescent="0.25">
      <c r="D34476" s="28"/>
      <c r="F34476" s="28"/>
      <c r="H34476" s="28"/>
    </row>
    <row r="34477" spans="4:8" x14ac:dyDescent="0.25">
      <c r="D34477" s="28"/>
      <c r="F34477" s="28"/>
      <c r="H34477" s="28"/>
    </row>
    <row r="34478" spans="4:8" x14ac:dyDescent="0.25">
      <c r="D34478" s="28"/>
      <c r="F34478" s="28"/>
      <c r="H34478" s="28"/>
    </row>
    <row r="34479" spans="4:8" x14ac:dyDescent="0.25">
      <c r="D34479" s="28"/>
      <c r="F34479" s="28"/>
      <c r="H34479" s="28"/>
    </row>
    <row r="34480" spans="4:8" x14ac:dyDescent="0.25">
      <c r="D34480" s="28"/>
      <c r="F34480" s="28"/>
      <c r="H34480" s="28"/>
    </row>
    <row r="34481" spans="4:8" x14ac:dyDescent="0.25">
      <c r="D34481" s="28"/>
      <c r="F34481" s="28"/>
      <c r="H34481" s="28"/>
    </row>
    <row r="34482" spans="4:8" x14ac:dyDescent="0.25">
      <c r="D34482" s="28"/>
      <c r="F34482" s="28"/>
      <c r="H34482" s="28"/>
    </row>
    <row r="34483" spans="4:8" x14ac:dyDescent="0.25">
      <c r="D34483" s="28"/>
      <c r="F34483" s="28"/>
      <c r="H34483" s="28"/>
    </row>
    <row r="34484" spans="4:8" x14ac:dyDescent="0.25">
      <c r="D34484" s="28"/>
      <c r="F34484" s="28"/>
      <c r="H34484" s="28"/>
    </row>
    <row r="34485" spans="4:8" x14ac:dyDescent="0.25">
      <c r="D34485" s="28"/>
      <c r="F34485" s="28"/>
      <c r="H34485" s="28"/>
    </row>
    <row r="34486" spans="4:8" x14ac:dyDescent="0.25">
      <c r="D34486" s="28"/>
      <c r="F34486" s="28"/>
      <c r="H34486" s="28"/>
    </row>
    <row r="34487" spans="4:8" x14ac:dyDescent="0.25">
      <c r="D34487" s="28"/>
      <c r="F34487" s="28"/>
      <c r="H34487" s="28"/>
    </row>
    <row r="34488" spans="4:8" x14ac:dyDescent="0.25">
      <c r="D34488" s="28"/>
      <c r="F34488" s="28"/>
      <c r="H34488" s="28"/>
    </row>
    <row r="34489" spans="4:8" x14ac:dyDescent="0.25">
      <c r="D34489" s="28"/>
      <c r="F34489" s="28"/>
      <c r="H34489" s="28"/>
    </row>
    <row r="34490" spans="4:8" x14ac:dyDescent="0.25">
      <c r="D34490" s="28"/>
      <c r="F34490" s="28"/>
      <c r="H34490" s="28"/>
    </row>
    <row r="34491" spans="4:8" x14ac:dyDescent="0.25">
      <c r="D34491" s="28"/>
      <c r="F34491" s="28"/>
      <c r="H34491" s="28"/>
    </row>
    <row r="34492" spans="4:8" x14ac:dyDescent="0.25">
      <c r="D34492" s="28"/>
      <c r="F34492" s="28"/>
      <c r="H34492" s="28"/>
    </row>
    <row r="34493" spans="4:8" x14ac:dyDescent="0.25">
      <c r="D34493" s="28"/>
      <c r="F34493" s="28"/>
      <c r="H34493" s="28"/>
    </row>
    <row r="34494" spans="4:8" x14ac:dyDescent="0.25">
      <c r="D34494" s="28"/>
      <c r="F34494" s="28"/>
      <c r="H34494" s="28"/>
    </row>
    <row r="34495" spans="4:8" x14ac:dyDescent="0.25">
      <c r="D34495" s="28"/>
      <c r="F34495" s="28"/>
      <c r="H34495" s="28"/>
    </row>
    <row r="34496" spans="4:8" x14ac:dyDescent="0.25">
      <c r="D34496" s="28"/>
      <c r="F34496" s="28"/>
      <c r="H34496" s="28"/>
    </row>
    <row r="34497" spans="4:8" x14ac:dyDescent="0.25">
      <c r="D34497" s="28"/>
      <c r="F34497" s="28"/>
      <c r="H34497" s="28"/>
    </row>
    <row r="34498" spans="4:8" x14ac:dyDescent="0.25">
      <c r="D34498" s="28"/>
      <c r="F34498" s="28"/>
      <c r="H34498" s="28"/>
    </row>
    <row r="34499" spans="4:8" x14ac:dyDescent="0.25">
      <c r="D34499" s="28"/>
      <c r="F34499" s="28"/>
      <c r="H34499" s="28"/>
    </row>
    <row r="34500" spans="4:8" x14ac:dyDescent="0.25">
      <c r="D34500" s="28"/>
      <c r="F34500" s="28"/>
      <c r="H34500" s="28"/>
    </row>
    <row r="34501" spans="4:8" x14ac:dyDescent="0.25">
      <c r="D34501" s="28"/>
      <c r="F34501" s="28"/>
      <c r="H34501" s="28"/>
    </row>
    <row r="34502" spans="4:8" x14ac:dyDescent="0.25">
      <c r="D34502" s="28"/>
      <c r="F34502" s="28"/>
      <c r="H34502" s="28"/>
    </row>
    <row r="34503" spans="4:8" x14ac:dyDescent="0.25">
      <c r="D34503" s="28"/>
      <c r="F34503" s="28"/>
      <c r="H34503" s="28"/>
    </row>
    <row r="34504" spans="4:8" x14ac:dyDescent="0.25">
      <c r="D34504" s="28"/>
      <c r="F34504" s="28"/>
      <c r="H34504" s="28"/>
    </row>
    <row r="34505" spans="4:8" x14ac:dyDescent="0.25">
      <c r="D34505" s="28"/>
      <c r="F34505" s="28"/>
      <c r="H34505" s="28"/>
    </row>
    <row r="34506" spans="4:8" x14ac:dyDescent="0.25">
      <c r="D34506" s="28"/>
      <c r="F34506" s="28"/>
      <c r="H34506" s="28"/>
    </row>
    <row r="34507" spans="4:8" x14ac:dyDescent="0.25">
      <c r="D34507" s="28"/>
      <c r="F34507" s="28"/>
      <c r="H34507" s="28"/>
    </row>
    <row r="34508" spans="4:8" x14ac:dyDescent="0.25">
      <c r="D34508" s="28"/>
      <c r="F34508" s="28"/>
      <c r="H34508" s="28"/>
    </row>
    <row r="34509" spans="4:8" x14ac:dyDescent="0.25">
      <c r="D34509" s="28"/>
      <c r="F34509" s="28"/>
      <c r="H34509" s="28"/>
    </row>
    <row r="34510" spans="4:8" x14ac:dyDescent="0.25">
      <c r="D34510" s="28"/>
      <c r="F34510" s="28"/>
      <c r="H34510" s="28"/>
    </row>
    <row r="34511" spans="4:8" x14ac:dyDescent="0.25">
      <c r="D34511" s="28"/>
      <c r="F34511" s="28"/>
      <c r="H34511" s="28"/>
    </row>
    <row r="34512" spans="4:8" x14ac:dyDescent="0.25">
      <c r="D34512" s="28"/>
      <c r="F34512" s="28"/>
      <c r="H34512" s="28"/>
    </row>
    <row r="34513" spans="4:8" x14ac:dyDescent="0.25">
      <c r="D34513" s="28"/>
      <c r="F34513" s="28"/>
      <c r="H34513" s="28"/>
    </row>
    <row r="34514" spans="4:8" x14ac:dyDescent="0.25">
      <c r="D34514" s="28"/>
      <c r="F34514" s="28"/>
      <c r="H34514" s="28"/>
    </row>
    <row r="34515" spans="4:8" x14ac:dyDescent="0.25">
      <c r="D34515" s="28"/>
      <c r="F34515" s="28"/>
      <c r="H34515" s="28"/>
    </row>
    <row r="34516" spans="4:8" x14ac:dyDescent="0.25">
      <c r="D34516" s="28"/>
      <c r="F34516" s="28"/>
      <c r="H34516" s="28"/>
    </row>
    <row r="34517" spans="4:8" x14ac:dyDescent="0.25">
      <c r="D34517" s="28"/>
      <c r="F34517" s="28"/>
      <c r="H34517" s="28"/>
    </row>
    <row r="34518" spans="4:8" x14ac:dyDescent="0.25">
      <c r="D34518" s="28"/>
      <c r="F34518" s="28"/>
      <c r="H34518" s="28"/>
    </row>
    <row r="34519" spans="4:8" x14ac:dyDescent="0.25">
      <c r="D34519" s="28"/>
      <c r="F34519" s="28"/>
      <c r="H34519" s="28"/>
    </row>
    <row r="34520" spans="4:8" x14ac:dyDescent="0.25">
      <c r="D34520" s="28"/>
      <c r="F34520" s="28"/>
      <c r="H34520" s="28"/>
    </row>
    <row r="34521" spans="4:8" x14ac:dyDescent="0.25">
      <c r="D34521" s="28"/>
      <c r="F34521" s="28"/>
      <c r="H34521" s="28"/>
    </row>
    <row r="34522" spans="4:8" x14ac:dyDescent="0.25">
      <c r="D34522" s="28"/>
      <c r="F34522" s="28"/>
      <c r="H34522" s="28"/>
    </row>
    <row r="34523" spans="4:8" x14ac:dyDescent="0.25">
      <c r="D34523" s="28"/>
      <c r="F34523" s="28"/>
      <c r="H34523" s="28"/>
    </row>
    <row r="34524" spans="4:8" x14ac:dyDescent="0.25">
      <c r="D34524" s="28"/>
      <c r="F34524" s="28"/>
      <c r="H34524" s="28"/>
    </row>
    <row r="34525" spans="4:8" x14ac:dyDescent="0.25">
      <c r="D34525" s="28"/>
      <c r="F34525" s="28"/>
      <c r="H34525" s="28"/>
    </row>
    <row r="34526" spans="4:8" x14ac:dyDescent="0.25">
      <c r="D34526" s="28"/>
      <c r="F34526" s="28"/>
      <c r="H34526" s="28"/>
    </row>
    <row r="34527" spans="4:8" x14ac:dyDescent="0.25">
      <c r="D34527" s="28"/>
      <c r="F34527" s="28"/>
      <c r="H34527" s="28"/>
    </row>
    <row r="34528" spans="4:8" x14ac:dyDescent="0.25">
      <c r="D34528" s="28"/>
      <c r="F34528" s="28"/>
      <c r="H34528" s="28"/>
    </row>
    <row r="34529" spans="4:8" x14ac:dyDescent="0.25">
      <c r="D34529" s="28"/>
      <c r="F34529" s="28"/>
      <c r="H34529" s="28"/>
    </row>
    <row r="34530" spans="4:8" x14ac:dyDescent="0.25">
      <c r="D34530" s="28"/>
      <c r="F34530" s="28"/>
      <c r="H34530" s="28"/>
    </row>
    <row r="34531" spans="4:8" x14ac:dyDescent="0.25">
      <c r="D34531" s="28"/>
      <c r="F34531" s="28"/>
      <c r="H34531" s="28"/>
    </row>
    <row r="34532" spans="4:8" x14ac:dyDescent="0.25">
      <c r="D34532" s="28"/>
      <c r="F34532" s="28"/>
      <c r="H34532" s="28"/>
    </row>
    <row r="34533" spans="4:8" x14ac:dyDescent="0.25">
      <c r="D34533" s="28"/>
      <c r="F34533" s="28"/>
      <c r="H34533" s="28"/>
    </row>
    <row r="34534" spans="4:8" x14ac:dyDescent="0.25">
      <c r="D34534" s="28"/>
      <c r="F34534" s="28"/>
      <c r="H34534" s="28"/>
    </row>
    <row r="34535" spans="4:8" x14ac:dyDescent="0.25">
      <c r="D34535" s="28"/>
      <c r="F34535" s="28"/>
      <c r="H34535" s="28"/>
    </row>
    <row r="34536" spans="4:8" x14ac:dyDescent="0.25">
      <c r="D34536" s="28"/>
      <c r="F34536" s="28"/>
      <c r="H34536" s="28"/>
    </row>
    <row r="34537" spans="4:8" x14ac:dyDescent="0.25">
      <c r="D34537" s="28"/>
      <c r="F34537" s="28"/>
      <c r="H34537" s="28"/>
    </row>
    <row r="34538" spans="4:8" x14ac:dyDescent="0.25">
      <c r="D34538" s="28"/>
      <c r="F34538" s="28"/>
      <c r="H34538" s="28"/>
    </row>
    <row r="34539" spans="4:8" x14ac:dyDescent="0.25">
      <c r="D34539" s="28"/>
      <c r="F34539" s="28"/>
      <c r="H34539" s="28"/>
    </row>
    <row r="34540" spans="4:8" x14ac:dyDescent="0.25">
      <c r="D34540" s="28"/>
      <c r="F34540" s="28"/>
      <c r="H34540" s="28"/>
    </row>
    <row r="34541" spans="4:8" x14ac:dyDescent="0.25">
      <c r="D34541" s="28"/>
      <c r="F34541" s="28"/>
      <c r="H34541" s="28"/>
    </row>
    <row r="34542" spans="4:8" x14ac:dyDescent="0.25">
      <c r="D34542" s="28"/>
      <c r="F34542" s="28"/>
      <c r="H34542" s="28"/>
    </row>
    <row r="34543" spans="4:8" x14ac:dyDescent="0.25">
      <c r="D34543" s="28"/>
      <c r="F34543" s="28"/>
      <c r="H34543" s="28"/>
    </row>
    <row r="34544" spans="4:8" x14ac:dyDescent="0.25">
      <c r="D34544" s="28"/>
      <c r="F34544" s="28"/>
      <c r="H34544" s="28"/>
    </row>
    <row r="34545" spans="4:8" x14ac:dyDescent="0.25">
      <c r="D34545" s="28"/>
      <c r="F34545" s="28"/>
      <c r="H34545" s="28"/>
    </row>
    <row r="34546" spans="4:8" x14ac:dyDescent="0.25">
      <c r="D34546" s="28"/>
      <c r="F34546" s="28"/>
      <c r="H34546" s="28"/>
    </row>
    <row r="34547" spans="4:8" x14ac:dyDescent="0.25">
      <c r="D34547" s="28"/>
      <c r="F34547" s="28"/>
      <c r="H34547" s="28"/>
    </row>
    <row r="34548" spans="4:8" x14ac:dyDescent="0.25">
      <c r="D34548" s="28"/>
      <c r="F34548" s="28"/>
      <c r="H34548" s="28"/>
    </row>
    <row r="34549" spans="4:8" x14ac:dyDescent="0.25">
      <c r="D34549" s="28"/>
      <c r="F34549" s="28"/>
      <c r="H34549" s="28"/>
    </row>
    <row r="34550" spans="4:8" x14ac:dyDescent="0.25">
      <c r="D34550" s="28"/>
      <c r="F34550" s="28"/>
      <c r="H34550" s="28"/>
    </row>
    <row r="34551" spans="4:8" x14ac:dyDescent="0.25">
      <c r="D34551" s="28"/>
      <c r="F34551" s="28"/>
      <c r="H34551" s="28"/>
    </row>
    <row r="34552" spans="4:8" x14ac:dyDescent="0.25">
      <c r="D34552" s="28"/>
      <c r="F34552" s="28"/>
      <c r="H34552" s="28"/>
    </row>
    <row r="34553" spans="4:8" x14ac:dyDescent="0.25">
      <c r="D34553" s="28"/>
      <c r="F34553" s="28"/>
      <c r="H34553" s="28"/>
    </row>
    <row r="34554" spans="4:8" x14ac:dyDescent="0.25">
      <c r="D34554" s="28"/>
      <c r="F34554" s="28"/>
      <c r="H34554" s="28"/>
    </row>
    <row r="34555" spans="4:8" x14ac:dyDescent="0.25">
      <c r="D34555" s="28"/>
      <c r="F34555" s="28"/>
      <c r="H34555" s="28"/>
    </row>
    <row r="34556" spans="4:8" x14ac:dyDescent="0.25">
      <c r="D34556" s="28"/>
      <c r="F34556" s="28"/>
      <c r="H34556" s="28"/>
    </row>
    <row r="34557" spans="4:8" x14ac:dyDescent="0.25">
      <c r="D34557" s="28"/>
      <c r="F34557" s="28"/>
      <c r="H34557" s="28"/>
    </row>
    <row r="34558" spans="4:8" x14ac:dyDescent="0.25">
      <c r="D34558" s="28"/>
      <c r="F34558" s="28"/>
      <c r="H34558" s="28"/>
    </row>
    <row r="34559" spans="4:8" x14ac:dyDescent="0.25">
      <c r="D34559" s="28"/>
      <c r="F34559" s="28"/>
      <c r="H34559" s="28"/>
    </row>
    <row r="34560" spans="4:8" x14ac:dyDescent="0.25">
      <c r="D34560" s="28"/>
      <c r="F34560" s="28"/>
      <c r="H34560" s="28"/>
    </row>
    <row r="34561" spans="4:8" x14ac:dyDescent="0.25">
      <c r="D34561" s="28"/>
      <c r="F34561" s="28"/>
      <c r="H34561" s="28"/>
    </row>
    <row r="34562" spans="4:8" x14ac:dyDescent="0.25">
      <c r="D34562" s="28"/>
      <c r="F34562" s="28"/>
      <c r="H34562" s="28"/>
    </row>
    <row r="34563" spans="4:8" x14ac:dyDescent="0.25">
      <c r="D34563" s="28"/>
      <c r="F34563" s="28"/>
      <c r="H34563" s="28"/>
    </row>
    <row r="34564" spans="4:8" x14ac:dyDescent="0.25">
      <c r="D34564" s="28"/>
      <c r="F34564" s="28"/>
      <c r="H34564" s="28"/>
    </row>
    <row r="34565" spans="4:8" x14ac:dyDescent="0.25">
      <c r="D34565" s="28"/>
      <c r="F34565" s="28"/>
      <c r="H34565" s="28"/>
    </row>
    <row r="34566" spans="4:8" x14ac:dyDescent="0.25">
      <c r="D34566" s="28"/>
      <c r="F34566" s="28"/>
      <c r="H34566" s="28"/>
    </row>
    <row r="34567" spans="4:8" x14ac:dyDescent="0.25">
      <c r="D34567" s="28"/>
      <c r="F34567" s="28"/>
      <c r="H34567" s="28"/>
    </row>
    <row r="34568" spans="4:8" x14ac:dyDescent="0.25">
      <c r="D34568" s="28"/>
      <c r="F34568" s="28"/>
      <c r="H34568" s="28"/>
    </row>
    <row r="34569" spans="4:8" x14ac:dyDescent="0.25">
      <c r="D34569" s="28"/>
      <c r="F34569" s="28"/>
      <c r="H34569" s="28"/>
    </row>
    <row r="34570" spans="4:8" x14ac:dyDescent="0.25">
      <c r="D34570" s="28"/>
      <c r="F34570" s="28"/>
      <c r="H34570" s="28"/>
    </row>
    <row r="34571" spans="4:8" x14ac:dyDescent="0.25">
      <c r="D34571" s="28"/>
      <c r="F34571" s="28"/>
      <c r="H34571" s="28"/>
    </row>
    <row r="34572" spans="4:8" x14ac:dyDescent="0.25">
      <c r="D34572" s="28"/>
      <c r="F34572" s="28"/>
      <c r="H34572" s="28"/>
    </row>
    <row r="34573" spans="4:8" x14ac:dyDescent="0.25">
      <c r="D34573" s="28"/>
      <c r="F34573" s="28"/>
      <c r="H34573" s="28"/>
    </row>
    <row r="34574" spans="4:8" x14ac:dyDescent="0.25">
      <c r="D34574" s="28"/>
      <c r="F34574" s="28"/>
      <c r="H34574" s="28"/>
    </row>
    <row r="34575" spans="4:8" x14ac:dyDescent="0.25">
      <c r="D34575" s="28"/>
      <c r="F34575" s="28"/>
      <c r="H34575" s="28"/>
    </row>
    <row r="34576" spans="4:8" x14ac:dyDescent="0.25">
      <c r="D34576" s="28"/>
      <c r="F34576" s="28"/>
      <c r="H34576" s="28"/>
    </row>
    <row r="34577" spans="4:8" x14ac:dyDescent="0.25">
      <c r="D34577" s="28"/>
      <c r="F34577" s="28"/>
      <c r="H34577" s="28"/>
    </row>
    <row r="34578" spans="4:8" x14ac:dyDescent="0.25">
      <c r="D34578" s="28"/>
      <c r="F34578" s="28"/>
      <c r="H34578" s="28"/>
    </row>
    <row r="34579" spans="4:8" x14ac:dyDescent="0.25">
      <c r="D34579" s="28"/>
      <c r="F34579" s="28"/>
      <c r="H34579" s="28"/>
    </row>
    <row r="34580" spans="4:8" x14ac:dyDescent="0.25">
      <c r="D34580" s="28"/>
      <c r="F34580" s="28"/>
      <c r="H34580" s="28"/>
    </row>
    <row r="34581" spans="4:8" x14ac:dyDescent="0.25">
      <c r="D34581" s="28"/>
      <c r="F34581" s="28"/>
      <c r="H34581" s="28"/>
    </row>
    <row r="34582" spans="4:8" x14ac:dyDescent="0.25">
      <c r="D34582" s="28"/>
      <c r="F34582" s="28"/>
      <c r="H34582" s="28"/>
    </row>
    <row r="34583" spans="4:8" x14ac:dyDescent="0.25">
      <c r="D34583" s="28"/>
      <c r="F34583" s="28"/>
      <c r="H34583" s="28"/>
    </row>
    <row r="34584" spans="4:8" x14ac:dyDescent="0.25">
      <c r="D34584" s="28"/>
      <c r="F34584" s="28"/>
      <c r="H34584" s="28"/>
    </row>
    <row r="34585" spans="4:8" x14ac:dyDescent="0.25">
      <c r="D34585" s="28"/>
      <c r="F34585" s="28"/>
      <c r="H34585" s="28"/>
    </row>
    <row r="34586" spans="4:8" x14ac:dyDescent="0.25">
      <c r="D34586" s="28"/>
      <c r="F34586" s="28"/>
      <c r="H34586" s="28"/>
    </row>
    <row r="34587" spans="4:8" x14ac:dyDescent="0.25">
      <c r="D34587" s="28"/>
      <c r="F34587" s="28"/>
      <c r="H34587" s="28"/>
    </row>
    <row r="34588" spans="4:8" x14ac:dyDescent="0.25">
      <c r="D34588" s="28"/>
      <c r="F34588" s="28"/>
      <c r="H34588" s="28"/>
    </row>
    <row r="34589" spans="4:8" x14ac:dyDescent="0.25">
      <c r="D34589" s="28"/>
      <c r="F34589" s="28"/>
      <c r="H34589" s="28"/>
    </row>
    <row r="34590" spans="4:8" x14ac:dyDescent="0.25">
      <c r="D34590" s="28"/>
      <c r="F34590" s="28"/>
      <c r="H34590" s="28"/>
    </row>
    <row r="34591" spans="4:8" x14ac:dyDescent="0.25">
      <c r="D34591" s="28"/>
      <c r="F34591" s="28"/>
      <c r="H34591" s="28"/>
    </row>
    <row r="34592" spans="4:8" x14ac:dyDescent="0.25">
      <c r="D34592" s="28"/>
      <c r="F34592" s="28"/>
      <c r="H34592" s="28"/>
    </row>
    <row r="34593" spans="4:8" x14ac:dyDescent="0.25">
      <c r="D34593" s="28"/>
      <c r="F34593" s="28"/>
      <c r="H34593" s="28"/>
    </row>
    <row r="34594" spans="4:8" x14ac:dyDescent="0.25">
      <c r="D34594" s="28"/>
      <c r="F34594" s="28"/>
      <c r="H34594" s="28"/>
    </row>
    <row r="34595" spans="4:8" x14ac:dyDescent="0.25">
      <c r="D34595" s="28"/>
      <c r="F34595" s="28"/>
      <c r="H34595" s="28"/>
    </row>
    <row r="34596" spans="4:8" x14ac:dyDescent="0.25">
      <c r="D34596" s="28"/>
      <c r="F34596" s="28"/>
      <c r="H34596" s="28"/>
    </row>
    <row r="34597" spans="4:8" x14ac:dyDescent="0.25">
      <c r="D34597" s="28"/>
      <c r="F34597" s="28"/>
      <c r="H34597" s="28"/>
    </row>
    <row r="34598" spans="4:8" x14ac:dyDescent="0.25">
      <c r="D34598" s="28"/>
      <c r="F34598" s="28"/>
      <c r="H34598" s="28"/>
    </row>
    <row r="34599" spans="4:8" x14ac:dyDescent="0.25">
      <c r="D34599" s="28"/>
      <c r="F34599" s="28"/>
      <c r="H34599" s="28"/>
    </row>
    <row r="34600" spans="4:8" x14ac:dyDescent="0.25">
      <c r="D34600" s="28"/>
      <c r="F34600" s="28"/>
      <c r="H34600" s="28"/>
    </row>
    <row r="34601" spans="4:8" x14ac:dyDescent="0.25">
      <c r="D34601" s="28"/>
      <c r="F34601" s="28"/>
      <c r="H34601" s="28"/>
    </row>
    <row r="34602" spans="4:8" x14ac:dyDescent="0.25">
      <c r="D34602" s="28"/>
      <c r="F34602" s="28"/>
      <c r="H34602" s="28"/>
    </row>
    <row r="34603" spans="4:8" x14ac:dyDescent="0.25">
      <c r="D34603" s="28"/>
      <c r="F34603" s="28"/>
      <c r="H34603" s="28"/>
    </row>
    <row r="34604" spans="4:8" x14ac:dyDescent="0.25">
      <c r="D34604" s="28"/>
      <c r="F34604" s="28"/>
      <c r="H34604" s="28"/>
    </row>
    <row r="34605" spans="4:8" x14ac:dyDescent="0.25">
      <c r="D34605" s="28"/>
      <c r="F34605" s="28"/>
      <c r="H34605" s="28"/>
    </row>
    <row r="34606" spans="4:8" x14ac:dyDescent="0.25">
      <c r="D34606" s="28"/>
      <c r="F34606" s="28"/>
      <c r="H34606" s="28"/>
    </row>
    <row r="34607" spans="4:8" x14ac:dyDescent="0.25">
      <c r="D34607" s="28"/>
      <c r="F34607" s="28"/>
      <c r="H34607" s="28"/>
    </row>
    <row r="34608" spans="4:8" x14ac:dyDescent="0.25">
      <c r="D34608" s="28"/>
      <c r="F34608" s="28"/>
      <c r="H34608" s="28"/>
    </row>
    <row r="34609" spans="4:8" x14ac:dyDescent="0.25">
      <c r="D34609" s="28"/>
      <c r="F34609" s="28"/>
      <c r="H34609" s="28"/>
    </row>
    <row r="34610" spans="4:8" x14ac:dyDescent="0.25">
      <c r="D34610" s="28"/>
      <c r="F34610" s="28"/>
      <c r="H34610" s="28"/>
    </row>
    <row r="34611" spans="4:8" x14ac:dyDescent="0.25">
      <c r="D34611" s="28"/>
      <c r="F34611" s="28"/>
      <c r="H34611" s="28"/>
    </row>
    <row r="34612" spans="4:8" x14ac:dyDescent="0.25">
      <c r="D34612" s="28"/>
      <c r="F34612" s="28"/>
      <c r="H34612" s="28"/>
    </row>
    <row r="34613" spans="4:8" x14ac:dyDescent="0.25">
      <c r="D34613" s="28"/>
      <c r="F34613" s="28"/>
      <c r="H34613" s="28"/>
    </row>
    <row r="34614" spans="4:8" x14ac:dyDescent="0.25">
      <c r="D34614" s="28"/>
      <c r="F34614" s="28"/>
      <c r="H34614" s="28"/>
    </row>
    <row r="34615" spans="4:8" x14ac:dyDescent="0.25">
      <c r="D34615" s="28"/>
      <c r="F34615" s="28"/>
      <c r="H34615" s="28"/>
    </row>
    <row r="34616" spans="4:8" x14ac:dyDescent="0.25">
      <c r="D34616" s="28"/>
      <c r="F34616" s="28"/>
      <c r="H34616" s="28"/>
    </row>
    <row r="34617" spans="4:8" x14ac:dyDescent="0.25">
      <c r="D34617" s="28"/>
      <c r="F34617" s="28"/>
      <c r="H34617" s="28"/>
    </row>
    <row r="34618" spans="4:8" x14ac:dyDescent="0.25">
      <c r="D34618" s="28"/>
      <c r="F34618" s="28"/>
      <c r="H34618" s="28"/>
    </row>
    <row r="34619" spans="4:8" x14ac:dyDescent="0.25">
      <c r="D34619" s="28"/>
      <c r="F34619" s="28"/>
      <c r="H34619" s="28"/>
    </row>
    <row r="34620" spans="4:8" x14ac:dyDescent="0.25">
      <c r="D34620" s="28"/>
      <c r="F34620" s="28"/>
      <c r="H34620" s="28"/>
    </row>
    <row r="34621" spans="4:8" x14ac:dyDescent="0.25">
      <c r="D34621" s="28"/>
      <c r="F34621" s="28"/>
      <c r="H34621" s="28"/>
    </row>
    <row r="34622" spans="4:8" x14ac:dyDescent="0.25">
      <c r="D34622" s="28"/>
      <c r="F34622" s="28"/>
      <c r="H34622" s="28"/>
    </row>
    <row r="34623" spans="4:8" x14ac:dyDescent="0.25">
      <c r="D34623" s="28"/>
      <c r="F34623" s="28"/>
      <c r="H34623" s="28"/>
    </row>
    <row r="34624" spans="4:8" x14ac:dyDescent="0.25">
      <c r="D34624" s="28"/>
      <c r="F34624" s="28"/>
      <c r="H34624" s="28"/>
    </row>
    <row r="34625" spans="4:8" x14ac:dyDescent="0.25">
      <c r="D34625" s="28"/>
      <c r="F34625" s="28"/>
      <c r="H34625" s="28"/>
    </row>
    <row r="34626" spans="4:8" x14ac:dyDescent="0.25">
      <c r="D34626" s="28"/>
      <c r="F34626" s="28"/>
      <c r="H34626" s="28"/>
    </row>
    <row r="34627" spans="4:8" x14ac:dyDescent="0.25">
      <c r="D34627" s="28"/>
      <c r="F34627" s="28"/>
      <c r="H34627" s="28"/>
    </row>
    <row r="34628" spans="4:8" x14ac:dyDescent="0.25">
      <c r="D34628" s="28"/>
      <c r="F34628" s="28"/>
      <c r="H34628" s="28"/>
    </row>
    <row r="34629" spans="4:8" x14ac:dyDescent="0.25">
      <c r="D34629" s="28"/>
      <c r="F34629" s="28"/>
      <c r="H34629" s="28"/>
    </row>
    <row r="34630" spans="4:8" x14ac:dyDescent="0.25">
      <c r="D34630" s="28"/>
      <c r="F34630" s="28"/>
      <c r="H34630" s="28"/>
    </row>
    <row r="34631" spans="4:8" x14ac:dyDescent="0.25">
      <c r="D34631" s="28"/>
      <c r="F34631" s="28"/>
      <c r="H34631" s="28"/>
    </row>
    <row r="34632" spans="4:8" x14ac:dyDescent="0.25">
      <c r="D34632" s="28"/>
      <c r="F34632" s="28"/>
      <c r="H34632" s="28"/>
    </row>
    <row r="34633" spans="4:8" x14ac:dyDescent="0.25">
      <c r="D34633" s="28"/>
      <c r="F34633" s="28"/>
      <c r="H34633" s="28"/>
    </row>
    <row r="34634" spans="4:8" x14ac:dyDescent="0.25">
      <c r="D34634" s="28"/>
      <c r="F34634" s="28"/>
      <c r="H34634" s="28"/>
    </row>
    <row r="34635" spans="4:8" x14ac:dyDescent="0.25">
      <c r="D34635" s="28"/>
      <c r="F34635" s="28"/>
      <c r="H34635" s="28"/>
    </row>
    <row r="34636" spans="4:8" x14ac:dyDescent="0.25">
      <c r="D34636" s="28"/>
      <c r="F34636" s="28"/>
      <c r="H34636" s="28"/>
    </row>
    <row r="34637" spans="4:8" x14ac:dyDescent="0.25">
      <c r="D34637" s="28"/>
      <c r="F34637" s="28"/>
      <c r="H34637" s="28"/>
    </row>
    <row r="34638" spans="4:8" x14ac:dyDescent="0.25">
      <c r="D34638" s="28"/>
      <c r="F34638" s="28"/>
      <c r="H34638" s="28"/>
    </row>
    <row r="34639" spans="4:8" x14ac:dyDescent="0.25">
      <c r="D34639" s="28"/>
      <c r="F34639" s="28"/>
      <c r="H34639" s="28"/>
    </row>
    <row r="34640" spans="4:8" x14ac:dyDescent="0.25">
      <c r="D34640" s="28"/>
      <c r="F34640" s="28"/>
      <c r="H34640" s="28"/>
    </row>
    <row r="34641" spans="4:8" x14ac:dyDescent="0.25">
      <c r="D34641" s="28"/>
      <c r="F34641" s="28"/>
      <c r="H34641" s="28"/>
    </row>
    <row r="34642" spans="4:8" x14ac:dyDescent="0.25">
      <c r="D34642" s="28"/>
      <c r="F34642" s="28"/>
      <c r="H34642" s="28"/>
    </row>
    <row r="34643" spans="4:8" x14ac:dyDescent="0.25">
      <c r="D34643" s="28"/>
      <c r="F34643" s="28"/>
      <c r="H34643" s="28"/>
    </row>
    <row r="34644" spans="4:8" x14ac:dyDescent="0.25">
      <c r="D34644" s="28"/>
      <c r="F34644" s="28"/>
      <c r="H34644" s="28"/>
    </row>
    <row r="34645" spans="4:8" x14ac:dyDescent="0.25">
      <c r="D34645" s="28"/>
      <c r="F34645" s="28"/>
      <c r="H34645" s="28"/>
    </row>
    <row r="34646" spans="4:8" x14ac:dyDescent="0.25">
      <c r="D34646" s="28"/>
      <c r="F34646" s="28"/>
      <c r="H34646" s="28"/>
    </row>
    <row r="34647" spans="4:8" x14ac:dyDescent="0.25">
      <c r="D34647" s="28"/>
      <c r="F34647" s="28"/>
      <c r="H34647" s="28"/>
    </row>
    <row r="34648" spans="4:8" x14ac:dyDescent="0.25">
      <c r="D34648" s="28"/>
      <c r="F34648" s="28"/>
      <c r="H34648" s="28"/>
    </row>
    <row r="34649" spans="4:8" x14ac:dyDescent="0.25">
      <c r="D34649" s="28"/>
      <c r="F34649" s="28"/>
      <c r="H34649" s="28"/>
    </row>
    <row r="34650" spans="4:8" x14ac:dyDescent="0.25">
      <c r="D34650" s="28"/>
      <c r="F34650" s="28"/>
      <c r="H34650" s="28"/>
    </row>
    <row r="34651" spans="4:8" x14ac:dyDescent="0.25">
      <c r="D34651" s="28"/>
      <c r="F34651" s="28"/>
      <c r="H34651" s="28"/>
    </row>
    <row r="34652" spans="4:8" x14ac:dyDescent="0.25">
      <c r="D34652" s="28"/>
      <c r="F34652" s="28"/>
      <c r="H34652" s="28"/>
    </row>
    <row r="34653" spans="4:8" x14ac:dyDescent="0.25">
      <c r="D34653" s="28"/>
      <c r="F34653" s="28"/>
      <c r="H34653" s="28"/>
    </row>
    <row r="34654" spans="4:8" x14ac:dyDescent="0.25">
      <c r="D34654" s="28"/>
      <c r="F34654" s="28"/>
      <c r="H34654" s="28"/>
    </row>
    <row r="34655" spans="4:8" x14ac:dyDescent="0.25">
      <c r="D34655" s="28"/>
      <c r="F34655" s="28"/>
      <c r="H34655" s="28"/>
    </row>
    <row r="34656" spans="4:8" x14ac:dyDescent="0.25">
      <c r="D34656" s="28"/>
      <c r="F34656" s="28"/>
      <c r="H34656" s="28"/>
    </row>
    <row r="34657" spans="4:8" x14ac:dyDescent="0.25">
      <c r="D34657" s="28"/>
      <c r="F34657" s="28"/>
      <c r="H34657" s="28"/>
    </row>
    <row r="34658" spans="4:8" x14ac:dyDescent="0.25">
      <c r="D34658" s="28"/>
      <c r="F34658" s="28"/>
      <c r="H34658" s="28"/>
    </row>
    <row r="34659" spans="4:8" x14ac:dyDescent="0.25">
      <c r="D34659" s="28"/>
      <c r="F34659" s="28"/>
      <c r="H34659" s="28"/>
    </row>
    <row r="34660" spans="4:8" x14ac:dyDescent="0.25">
      <c r="D34660" s="28"/>
      <c r="F34660" s="28"/>
      <c r="H34660" s="28"/>
    </row>
    <row r="34661" spans="4:8" x14ac:dyDescent="0.25">
      <c r="D34661" s="28"/>
      <c r="F34661" s="28"/>
      <c r="H34661" s="28"/>
    </row>
    <row r="34662" spans="4:8" x14ac:dyDescent="0.25">
      <c r="D34662" s="28"/>
      <c r="F34662" s="28"/>
      <c r="H34662" s="28"/>
    </row>
    <row r="34663" spans="4:8" x14ac:dyDescent="0.25">
      <c r="D34663" s="28"/>
      <c r="F34663" s="28"/>
      <c r="H34663" s="28"/>
    </row>
    <row r="34664" spans="4:8" x14ac:dyDescent="0.25">
      <c r="D34664" s="28"/>
      <c r="F34664" s="28"/>
      <c r="H34664" s="28"/>
    </row>
    <row r="34665" spans="4:8" x14ac:dyDescent="0.25">
      <c r="D34665" s="28"/>
      <c r="F34665" s="28"/>
      <c r="H34665" s="28"/>
    </row>
    <row r="34666" spans="4:8" x14ac:dyDescent="0.25">
      <c r="D34666" s="28"/>
      <c r="F34666" s="28"/>
      <c r="H34666" s="28"/>
    </row>
    <row r="34667" spans="4:8" x14ac:dyDescent="0.25">
      <c r="D34667" s="28"/>
      <c r="F34667" s="28"/>
      <c r="H34667" s="28"/>
    </row>
    <row r="34668" spans="4:8" x14ac:dyDescent="0.25">
      <c r="D34668" s="28"/>
      <c r="F34668" s="28"/>
      <c r="H34668" s="28"/>
    </row>
    <row r="34669" spans="4:8" x14ac:dyDescent="0.25">
      <c r="D34669" s="28"/>
      <c r="F34669" s="28"/>
      <c r="H34669" s="28"/>
    </row>
    <row r="34670" spans="4:8" x14ac:dyDescent="0.25">
      <c r="D34670" s="28"/>
      <c r="F34670" s="28"/>
      <c r="H34670" s="28"/>
    </row>
    <row r="34671" spans="4:8" x14ac:dyDescent="0.25">
      <c r="D34671" s="28"/>
      <c r="F34671" s="28"/>
      <c r="H34671" s="28"/>
    </row>
    <row r="34672" spans="4:8" x14ac:dyDescent="0.25">
      <c r="D34672" s="28"/>
      <c r="F34672" s="28"/>
      <c r="H34672" s="28"/>
    </row>
    <row r="34673" spans="4:8" x14ac:dyDescent="0.25">
      <c r="D34673" s="28"/>
      <c r="F34673" s="28"/>
      <c r="H34673" s="28"/>
    </row>
    <row r="34674" spans="4:8" x14ac:dyDescent="0.25">
      <c r="D34674" s="28"/>
      <c r="F34674" s="28"/>
      <c r="H34674" s="28"/>
    </row>
    <row r="34675" spans="4:8" x14ac:dyDescent="0.25">
      <c r="D34675" s="28"/>
      <c r="F34675" s="28"/>
      <c r="H34675" s="28"/>
    </row>
    <row r="34676" spans="4:8" x14ac:dyDescent="0.25">
      <c r="D34676" s="28"/>
      <c r="F34676" s="28"/>
      <c r="H34676" s="28"/>
    </row>
    <row r="34677" spans="4:8" x14ac:dyDescent="0.25">
      <c r="D34677" s="28"/>
      <c r="F34677" s="28"/>
      <c r="H34677" s="28"/>
    </row>
    <row r="34678" spans="4:8" x14ac:dyDescent="0.25">
      <c r="D34678" s="28"/>
      <c r="F34678" s="28"/>
      <c r="H34678" s="28"/>
    </row>
    <row r="34679" spans="4:8" x14ac:dyDescent="0.25">
      <c r="D34679" s="28"/>
      <c r="F34679" s="28"/>
      <c r="H34679" s="28"/>
    </row>
    <row r="34680" spans="4:8" x14ac:dyDescent="0.25">
      <c r="D34680" s="28"/>
      <c r="F34680" s="28"/>
      <c r="H34680" s="28"/>
    </row>
    <row r="34681" spans="4:8" x14ac:dyDescent="0.25">
      <c r="D34681" s="28"/>
      <c r="F34681" s="28"/>
      <c r="H34681" s="28"/>
    </row>
    <row r="34682" spans="4:8" x14ac:dyDescent="0.25">
      <c r="D34682" s="28"/>
      <c r="F34682" s="28"/>
      <c r="H34682" s="28"/>
    </row>
    <row r="34683" spans="4:8" x14ac:dyDescent="0.25">
      <c r="D34683" s="28"/>
      <c r="F34683" s="28"/>
      <c r="H34683" s="28"/>
    </row>
    <row r="34684" spans="4:8" x14ac:dyDescent="0.25">
      <c r="D34684" s="28"/>
      <c r="F34684" s="28"/>
      <c r="H34684" s="28"/>
    </row>
    <row r="34685" spans="4:8" x14ac:dyDescent="0.25">
      <c r="D34685" s="28"/>
      <c r="F34685" s="28"/>
      <c r="H34685" s="28"/>
    </row>
    <row r="34686" spans="4:8" x14ac:dyDescent="0.25">
      <c r="D34686" s="28"/>
      <c r="F34686" s="28"/>
      <c r="H34686" s="28"/>
    </row>
    <row r="34687" spans="4:8" x14ac:dyDescent="0.25">
      <c r="D34687" s="28"/>
      <c r="F34687" s="28"/>
      <c r="H34687" s="28"/>
    </row>
    <row r="34688" spans="4:8" x14ac:dyDescent="0.25">
      <c r="D34688" s="28"/>
      <c r="F34688" s="28"/>
      <c r="H34688" s="28"/>
    </row>
    <row r="34689" spans="4:8" x14ac:dyDescent="0.25">
      <c r="D34689" s="28"/>
      <c r="F34689" s="28"/>
      <c r="H34689" s="28"/>
    </row>
    <row r="34690" spans="4:8" x14ac:dyDescent="0.25">
      <c r="D34690" s="28"/>
      <c r="F34690" s="28"/>
      <c r="H34690" s="28"/>
    </row>
    <row r="34691" spans="4:8" x14ac:dyDescent="0.25">
      <c r="D34691" s="28"/>
      <c r="F34691" s="28"/>
      <c r="H34691" s="28"/>
    </row>
    <row r="34692" spans="4:8" x14ac:dyDescent="0.25">
      <c r="D34692" s="28"/>
      <c r="F34692" s="28"/>
      <c r="H34692" s="28"/>
    </row>
    <row r="34693" spans="4:8" x14ac:dyDescent="0.25">
      <c r="D34693" s="28"/>
      <c r="F34693" s="28"/>
      <c r="H34693" s="28"/>
    </row>
    <row r="34694" spans="4:8" x14ac:dyDescent="0.25">
      <c r="D34694" s="28"/>
      <c r="F34694" s="28"/>
      <c r="H34694" s="28"/>
    </row>
    <row r="34695" spans="4:8" x14ac:dyDescent="0.25">
      <c r="D34695" s="28"/>
      <c r="F34695" s="28"/>
      <c r="H34695" s="28"/>
    </row>
    <row r="34696" spans="4:8" x14ac:dyDescent="0.25">
      <c r="D34696" s="28"/>
      <c r="F34696" s="28"/>
      <c r="H34696" s="28"/>
    </row>
    <row r="34697" spans="4:8" x14ac:dyDescent="0.25">
      <c r="D34697" s="28"/>
      <c r="F34697" s="28"/>
      <c r="H34697" s="28"/>
    </row>
    <row r="34698" spans="4:8" x14ac:dyDescent="0.25">
      <c r="D34698" s="28"/>
      <c r="F34698" s="28"/>
      <c r="H34698" s="28"/>
    </row>
    <row r="34699" spans="4:8" x14ac:dyDescent="0.25">
      <c r="D34699" s="28"/>
      <c r="F34699" s="28"/>
      <c r="H34699" s="28"/>
    </row>
    <row r="34700" spans="4:8" x14ac:dyDescent="0.25">
      <c r="D34700" s="28"/>
      <c r="F34700" s="28"/>
      <c r="H34700" s="28"/>
    </row>
    <row r="34701" spans="4:8" x14ac:dyDescent="0.25">
      <c r="D34701" s="28"/>
      <c r="F34701" s="28"/>
      <c r="H34701" s="28"/>
    </row>
    <row r="34702" spans="4:8" x14ac:dyDescent="0.25">
      <c r="D34702" s="28"/>
      <c r="F34702" s="28"/>
      <c r="H34702" s="28"/>
    </row>
    <row r="34703" spans="4:8" x14ac:dyDescent="0.25">
      <c r="D34703" s="28"/>
      <c r="F34703" s="28"/>
      <c r="H34703" s="28"/>
    </row>
    <row r="34704" spans="4:8" x14ac:dyDescent="0.25">
      <c r="D34704" s="28"/>
      <c r="F34704" s="28"/>
      <c r="H34704" s="28"/>
    </row>
    <row r="34705" spans="4:8" x14ac:dyDescent="0.25">
      <c r="D34705" s="28"/>
      <c r="F34705" s="28"/>
      <c r="H34705" s="28"/>
    </row>
    <row r="34706" spans="4:8" x14ac:dyDescent="0.25">
      <c r="D34706" s="28"/>
      <c r="F34706" s="28"/>
      <c r="H34706" s="28"/>
    </row>
    <row r="34707" spans="4:8" x14ac:dyDescent="0.25">
      <c r="D34707" s="28"/>
      <c r="F34707" s="28"/>
      <c r="H34707" s="28"/>
    </row>
    <row r="34708" spans="4:8" x14ac:dyDescent="0.25">
      <c r="D34708" s="28"/>
      <c r="F34708" s="28"/>
      <c r="H34708" s="28"/>
    </row>
    <row r="34709" spans="4:8" x14ac:dyDescent="0.25">
      <c r="D34709" s="28"/>
      <c r="F34709" s="28"/>
      <c r="H34709" s="28"/>
    </row>
    <row r="34710" spans="4:8" x14ac:dyDescent="0.25">
      <c r="D34710" s="28"/>
      <c r="F34710" s="28"/>
      <c r="H34710" s="28"/>
    </row>
    <row r="34711" spans="4:8" x14ac:dyDescent="0.25">
      <c r="D34711" s="28"/>
      <c r="F34711" s="28"/>
      <c r="H34711" s="28"/>
    </row>
    <row r="34712" spans="4:8" x14ac:dyDescent="0.25">
      <c r="D34712" s="28"/>
      <c r="F34712" s="28"/>
      <c r="H34712" s="28"/>
    </row>
    <row r="34713" spans="4:8" x14ac:dyDescent="0.25">
      <c r="D34713" s="28"/>
      <c r="F34713" s="28"/>
      <c r="H34713" s="28"/>
    </row>
    <row r="34714" spans="4:8" x14ac:dyDescent="0.25">
      <c r="D34714" s="28"/>
      <c r="F34714" s="28"/>
      <c r="H34714" s="28"/>
    </row>
    <row r="34715" spans="4:8" x14ac:dyDescent="0.25">
      <c r="D34715" s="28"/>
      <c r="F34715" s="28"/>
      <c r="H34715" s="28"/>
    </row>
    <row r="34716" spans="4:8" x14ac:dyDescent="0.25">
      <c r="D34716" s="28"/>
      <c r="F34716" s="28"/>
      <c r="H34716" s="28"/>
    </row>
    <row r="34717" spans="4:8" x14ac:dyDescent="0.25">
      <c r="D34717" s="28"/>
      <c r="F34717" s="28"/>
      <c r="H34717" s="28"/>
    </row>
    <row r="34718" spans="4:8" x14ac:dyDescent="0.25">
      <c r="D34718" s="28"/>
      <c r="F34718" s="28"/>
      <c r="H34718" s="28"/>
    </row>
    <row r="34719" spans="4:8" x14ac:dyDescent="0.25">
      <c r="D34719" s="28"/>
      <c r="F34719" s="28"/>
      <c r="H34719" s="28"/>
    </row>
    <row r="34720" spans="4:8" x14ac:dyDescent="0.25">
      <c r="D34720" s="28"/>
      <c r="F34720" s="28"/>
      <c r="H34720" s="28"/>
    </row>
    <row r="34721" spans="4:8" x14ac:dyDescent="0.25">
      <c r="D34721" s="28"/>
      <c r="F34721" s="28"/>
      <c r="H34721" s="28"/>
    </row>
    <row r="34722" spans="4:8" x14ac:dyDescent="0.25">
      <c r="D34722" s="28"/>
      <c r="F34722" s="28"/>
      <c r="H34722" s="28"/>
    </row>
    <row r="34723" spans="4:8" x14ac:dyDescent="0.25">
      <c r="D34723" s="28"/>
      <c r="F34723" s="28"/>
      <c r="H34723" s="28"/>
    </row>
    <row r="34724" spans="4:8" x14ac:dyDescent="0.25">
      <c r="D34724" s="28"/>
      <c r="F34724" s="28"/>
      <c r="H34724" s="28"/>
    </row>
    <row r="34725" spans="4:8" x14ac:dyDescent="0.25">
      <c r="D34725" s="28"/>
      <c r="F34725" s="28"/>
      <c r="H34725" s="28"/>
    </row>
    <row r="34726" spans="4:8" x14ac:dyDescent="0.25">
      <c r="D34726" s="28"/>
      <c r="F34726" s="28"/>
      <c r="H34726" s="28"/>
    </row>
    <row r="34727" spans="4:8" x14ac:dyDescent="0.25">
      <c r="D34727" s="28"/>
      <c r="F34727" s="28"/>
      <c r="H34727" s="28"/>
    </row>
    <row r="34728" spans="4:8" x14ac:dyDescent="0.25">
      <c r="D34728" s="28"/>
      <c r="F34728" s="28"/>
      <c r="H34728" s="28"/>
    </row>
    <row r="34729" spans="4:8" x14ac:dyDescent="0.25">
      <c r="D34729" s="28"/>
      <c r="F34729" s="28"/>
      <c r="H34729" s="28"/>
    </row>
    <row r="34730" spans="4:8" x14ac:dyDescent="0.25">
      <c r="D34730" s="28"/>
      <c r="F34730" s="28"/>
      <c r="H34730" s="28"/>
    </row>
    <row r="34731" spans="4:8" x14ac:dyDescent="0.25">
      <c r="D34731" s="28"/>
      <c r="F34731" s="28"/>
      <c r="H34731" s="28"/>
    </row>
    <row r="34732" spans="4:8" x14ac:dyDescent="0.25">
      <c r="D34732" s="28"/>
      <c r="F34732" s="28"/>
      <c r="H34732" s="28"/>
    </row>
    <row r="34733" spans="4:8" x14ac:dyDescent="0.25">
      <c r="D34733" s="28"/>
      <c r="F34733" s="28"/>
      <c r="H34733" s="28"/>
    </row>
    <row r="34734" spans="4:8" x14ac:dyDescent="0.25">
      <c r="D34734" s="28"/>
      <c r="F34734" s="28"/>
      <c r="H34734" s="28"/>
    </row>
    <row r="34735" spans="4:8" x14ac:dyDescent="0.25">
      <c r="D34735" s="28"/>
      <c r="F34735" s="28"/>
      <c r="H34735" s="28"/>
    </row>
    <row r="34736" spans="4:8" x14ac:dyDescent="0.25">
      <c r="D34736" s="28"/>
      <c r="F34736" s="28"/>
      <c r="H34736" s="28"/>
    </row>
    <row r="34737" spans="4:8" x14ac:dyDescent="0.25">
      <c r="D34737" s="28"/>
      <c r="F34737" s="28"/>
      <c r="H34737" s="28"/>
    </row>
    <row r="34738" spans="4:8" x14ac:dyDescent="0.25">
      <c r="D34738" s="28"/>
      <c r="F34738" s="28"/>
      <c r="H34738" s="28"/>
    </row>
    <row r="34739" spans="4:8" x14ac:dyDescent="0.25">
      <c r="D34739" s="28"/>
      <c r="F34739" s="28"/>
      <c r="H34739" s="28"/>
    </row>
    <row r="34740" spans="4:8" x14ac:dyDescent="0.25">
      <c r="D34740" s="28"/>
      <c r="F34740" s="28"/>
      <c r="H34740" s="28"/>
    </row>
    <row r="34741" spans="4:8" x14ac:dyDescent="0.25">
      <c r="D34741" s="28"/>
      <c r="F34741" s="28"/>
      <c r="H34741" s="28"/>
    </row>
    <row r="34742" spans="4:8" x14ac:dyDescent="0.25">
      <c r="D34742" s="28"/>
      <c r="F34742" s="28"/>
      <c r="H34742" s="28"/>
    </row>
    <row r="34743" spans="4:8" x14ac:dyDescent="0.25">
      <c r="D34743" s="28"/>
      <c r="F34743" s="28"/>
      <c r="H34743" s="28"/>
    </row>
    <row r="34744" spans="4:8" x14ac:dyDescent="0.25">
      <c r="D34744" s="28"/>
      <c r="F34744" s="28"/>
      <c r="H34744" s="28"/>
    </row>
    <row r="34745" spans="4:8" x14ac:dyDescent="0.25">
      <c r="D34745" s="28"/>
      <c r="F34745" s="28"/>
      <c r="H34745" s="28"/>
    </row>
    <row r="34746" spans="4:8" x14ac:dyDescent="0.25">
      <c r="D34746" s="28"/>
      <c r="F34746" s="28"/>
      <c r="H34746" s="28"/>
    </row>
    <row r="34747" spans="4:8" x14ac:dyDescent="0.25">
      <c r="D34747" s="28"/>
      <c r="F34747" s="28"/>
      <c r="H34747" s="28"/>
    </row>
    <row r="34748" spans="4:8" x14ac:dyDescent="0.25">
      <c r="D34748" s="28"/>
      <c r="F34748" s="28"/>
      <c r="H34748" s="28"/>
    </row>
    <row r="34749" spans="4:8" x14ac:dyDescent="0.25">
      <c r="D34749" s="28"/>
      <c r="F34749" s="28"/>
      <c r="H34749" s="28"/>
    </row>
    <row r="34750" spans="4:8" x14ac:dyDescent="0.25">
      <c r="D34750" s="28"/>
      <c r="F34750" s="28"/>
      <c r="H34750" s="28"/>
    </row>
    <row r="34751" spans="4:8" x14ac:dyDescent="0.25">
      <c r="D34751" s="28"/>
      <c r="F34751" s="28"/>
      <c r="H34751" s="28"/>
    </row>
    <row r="34752" spans="4:8" x14ac:dyDescent="0.25">
      <c r="D34752" s="28"/>
      <c r="F34752" s="28"/>
      <c r="H34752" s="28"/>
    </row>
    <row r="34753" spans="4:8" x14ac:dyDescent="0.25">
      <c r="D34753" s="28"/>
      <c r="F34753" s="28"/>
      <c r="H34753" s="28"/>
    </row>
    <row r="34754" spans="4:8" x14ac:dyDescent="0.25">
      <c r="D34754" s="28"/>
      <c r="F34754" s="28"/>
      <c r="H34754" s="28"/>
    </row>
    <row r="34755" spans="4:8" x14ac:dyDescent="0.25">
      <c r="D34755" s="28"/>
      <c r="F34755" s="28"/>
      <c r="H34755" s="28"/>
    </row>
    <row r="34756" spans="4:8" x14ac:dyDescent="0.25">
      <c r="D34756" s="28"/>
      <c r="F34756" s="28"/>
      <c r="H34756" s="28"/>
    </row>
    <row r="34757" spans="4:8" x14ac:dyDescent="0.25">
      <c r="D34757" s="28"/>
      <c r="F34757" s="28"/>
      <c r="H34757" s="28"/>
    </row>
    <row r="34758" spans="4:8" x14ac:dyDescent="0.25">
      <c r="D34758" s="28"/>
      <c r="F34758" s="28"/>
      <c r="H34758" s="28"/>
    </row>
    <row r="34759" spans="4:8" x14ac:dyDescent="0.25">
      <c r="D34759" s="28"/>
      <c r="F34759" s="28"/>
      <c r="H34759" s="28"/>
    </row>
    <row r="34760" spans="4:8" x14ac:dyDescent="0.25">
      <c r="D34760" s="28"/>
      <c r="F34760" s="28"/>
      <c r="H34760" s="28"/>
    </row>
    <row r="34761" spans="4:8" x14ac:dyDescent="0.25">
      <c r="D34761" s="28"/>
      <c r="F34761" s="28"/>
      <c r="H34761" s="28"/>
    </row>
    <row r="34762" spans="4:8" x14ac:dyDescent="0.25">
      <c r="D34762" s="28"/>
      <c r="F34762" s="28"/>
      <c r="H34762" s="28"/>
    </row>
    <row r="34763" spans="4:8" x14ac:dyDescent="0.25">
      <c r="D34763" s="28"/>
      <c r="F34763" s="28"/>
      <c r="H34763" s="28"/>
    </row>
    <row r="34764" spans="4:8" x14ac:dyDescent="0.25">
      <c r="D34764" s="28"/>
      <c r="F34764" s="28"/>
      <c r="H34764" s="28"/>
    </row>
    <row r="34765" spans="4:8" x14ac:dyDescent="0.25">
      <c r="D34765" s="28"/>
      <c r="F34765" s="28"/>
      <c r="H34765" s="28"/>
    </row>
    <row r="34766" spans="4:8" x14ac:dyDescent="0.25">
      <c r="D34766" s="28"/>
      <c r="F34766" s="28"/>
      <c r="H34766" s="28"/>
    </row>
    <row r="34767" spans="4:8" x14ac:dyDescent="0.25">
      <c r="D34767" s="28"/>
      <c r="F34767" s="28"/>
      <c r="H34767" s="28"/>
    </row>
    <row r="34768" spans="4:8" x14ac:dyDescent="0.25">
      <c r="D34768" s="28"/>
      <c r="F34768" s="28"/>
      <c r="H34768" s="28"/>
    </row>
    <row r="34769" spans="4:8" x14ac:dyDescent="0.25">
      <c r="D34769" s="28"/>
      <c r="F34769" s="28"/>
      <c r="H34769" s="28"/>
    </row>
    <row r="34770" spans="4:8" x14ac:dyDescent="0.25">
      <c r="D34770" s="28"/>
      <c r="F34770" s="28"/>
      <c r="H34770" s="28"/>
    </row>
    <row r="34771" spans="4:8" x14ac:dyDescent="0.25">
      <c r="D34771" s="28"/>
      <c r="F34771" s="28"/>
      <c r="H34771" s="28"/>
    </row>
    <row r="34772" spans="4:8" x14ac:dyDescent="0.25">
      <c r="D34772" s="28"/>
      <c r="F34772" s="28"/>
      <c r="H34772" s="28"/>
    </row>
    <row r="34773" spans="4:8" x14ac:dyDescent="0.25">
      <c r="D34773" s="28"/>
      <c r="F34773" s="28"/>
      <c r="H34773" s="28"/>
    </row>
    <row r="34774" spans="4:8" x14ac:dyDescent="0.25">
      <c r="D34774" s="28"/>
      <c r="F34774" s="28"/>
      <c r="H34774" s="28"/>
    </row>
    <row r="34775" spans="4:8" x14ac:dyDescent="0.25">
      <c r="D34775" s="28"/>
      <c r="F34775" s="28"/>
      <c r="H34775" s="28"/>
    </row>
    <row r="34776" spans="4:8" x14ac:dyDescent="0.25">
      <c r="D34776" s="28"/>
      <c r="F34776" s="28"/>
      <c r="H34776" s="28"/>
    </row>
    <row r="34777" spans="4:8" x14ac:dyDescent="0.25">
      <c r="D34777" s="28"/>
      <c r="F34777" s="28"/>
      <c r="H34777" s="28"/>
    </row>
    <row r="34778" spans="4:8" x14ac:dyDescent="0.25">
      <c r="D34778" s="28"/>
      <c r="F34778" s="28"/>
      <c r="H34778" s="28"/>
    </row>
    <row r="34779" spans="4:8" x14ac:dyDescent="0.25">
      <c r="D34779" s="28"/>
      <c r="F34779" s="28"/>
      <c r="H34779" s="28"/>
    </row>
    <row r="34780" spans="4:8" x14ac:dyDescent="0.25">
      <c r="D34780" s="28"/>
      <c r="F34780" s="28"/>
      <c r="H34780" s="28"/>
    </row>
    <row r="34781" spans="4:8" x14ac:dyDescent="0.25">
      <c r="D34781" s="28"/>
      <c r="F34781" s="28"/>
      <c r="H34781" s="28"/>
    </row>
    <row r="34782" spans="4:8" x14ac:dyDescent="0.25">
      <c r="D34782" s="28"/>
      <c r="F34782" s="28"/>
      <c r="H34782" s="28"/>
    </row>
    <row r="34783" spans="4:8" x14ac:dyDescent="0.25">
      <c r="D34783" s="28"/>
      <c r="F34783" s="28"/>
      <c r="H34783" s="28"/>
    </row>
    <row r="34784" spans="4:8" x14ac:dyDescent="0.25">
      <c r="D34784" s="28"/>
      <c r="F34784" s="28"/>
      <c r="H34784" s="28"/>
    </row>
    <row r="34785" spans="4:8" x14ac:dyDescent="0.25">
      <c r="D34785" s="28"/>
      <c r="F34785" s="28"/>
      <c r="H34785" s="28"/>
    </row>
    <row r="34786" spans="4:8" x14ac:dyDescent="0.25">
      <c r="D34786" s="28"/>
      <c r="F34786" s="28"/>
      <c r="H34786" s="28"/>
    </row>
    <row r="34787" spans="4:8" x14ac:dyDescent="0.25">
      <c r="D34787" s="28"/>
      <c r="F34787" s="28"/>
      <c r="H34787" s="28"/>
    </row>
    <row r="34788" spans="4:8" x14ac:dyDescent="0.25">
      <c r="D34788" s="28"/>
      <c r="F34788" s="28"/>
      <c r="H34788" s="28"/>
    </row>
    <row r="34789" spans="4:8" x14ac:dyDescent="0.25">
      <c r="D34789" s="28"/>
      <c r="F34789" s="28"/>
      <c r="H34789" s="28"/>
    </row>
    <row r="34790" spans="4:8" x14ac:dyDescent="0.25">
      <c r="D34790" s="28"/>
      <c r="F34790" s="28"/>
      <c r="H34790" s="28"/>
    </row>
    <row r="34791" spans="4:8" x14ac:dyDescent="0.25">
      <c r="D34791" s="28"/>
      <c r="F34791" s="28"/>
      <c r="H34791" s="28"/>
    </row>
    <row r="34792" spans="4:8" x14ac:dyDescent="0.25">
      <c r="D34792" s="28"/>
      <c r="F34792" s="28"/>
      <c r="H34792" s="28"/>
    </row>
    <row r="34793" spans="4:8" x14ac:dyDescent="0.25">
      <c r="D34793" s="28"/>
      <c r="F34793" s="28"/>
      <c r="H34793" s="28"/>
    </row>
    <row r="34794" spans="4:8" x14ac:dyDescent="0.25">
      <c r="D34794" s="28"/>
      <c r="F34794" s="28"/>
      <c r="H34794" s="28"/>
    </row>
    <row r="34795" spans="4:8" x14ac:dyDescent="0.25">
      <c r="D34795" s="28"/>
      <c r="F34795" s="28"/>
      <c r="H34795" s="28"/>
    </row>
    <row r="34796" spans="4:8" x14ac:dyDescent="0.25">
      <c r="D34796" s="28"/>
      <c r="F34796" s="28"/>
      <c r="H34796" s="28"/>
    </row>
    <row r="34797" spans="4:8" x14ac:dyDescent="0.25">
      <c r="D34797" s="28"/>
      <c r="F34797" s="28"/>
      <c r="H34797" s="28"/>
    </row>
    <row r="34798" spans="4:8" x14ac:dyDescent="0.25">
      <c r="D34798" s="28"/>
      <c r="F34798" s="28"/>
      <c r="H34798" s="28"/>
    </row>
    <row r="34799" spans="4:8" x14ac:dyDescent="0.25">
      <c r="D34799" s="28"/>
      <c r="F34799" s="28"/>
      <c r="H34799" s="28"/>
    </row>
    <row r="34800" spans="4:8" x14ac:dyDescent="0.25">
      <c r="D34800" s="28"/>
      <c r="F34800" s="28"/>
      <c r="H34800" s="28"/>
    </row>
    <row r="34801" spans="4:8" x14ac:dyDescent="0.25">
      <c r="D34801" s="28"/>
      <c r="F34801" s="28"/>
      <c r="H34801" s="28"/>
    </row>
    <row r="34802" spans="4:8" x14ac:dyDescent="0.25">
      <c r="D34802" s="28"/>
      <c r="F34802" s="28"/>
      <c r="H34802" s="28"/>
    </row>
    <row r="34803" spans="4:8" x14ac:dyDescent="0.25">
      <c r="D34803" s="28"/>
      <c r="F34803" s="28"/>
      <c r="H34803" s="28"/>
    </row>
    <row r="34804" spans="4:8" x14ac:dyDescent="0.25">
      <c r="D34804" s="28"/>
      <c r="F34804" s="28"/>
      <c r="H34804" s="28"/>
    </row>
    <row r="34805" spans="4:8" x14ac:dyDescent="0.25">
      <c r="D34805" s="28"/>
      <c r="F34805" s="28"/>
      <c r="H34805" s="28"/>
    </row>
    <row r="34806" spans="4:8" x14ac:dyDescent="0.25">
      <c r="D34806" s="28"/>
      <c r="F34806" s="28"/>
      <c r="H34806" s="28"/>
    </row>
    <row r="34807" spans="4:8" x14ac:dyDescent="0.25">
      <c r="D34807" s="28"/>
      <c r="F34807" s="28"/>
      <c r="H34807" s="28"/>
    </row>
    <row r="34808" spans="4:8" x14ac:dyDescent="0.25">
      <c r="D34808" s="28"/>
      <c r="F34808" s="28"/>
      <c r="H34808" s="28"/>
    </row>
    <row r="34809" spans="4:8" x14ac:dyDescent="0.25">
      <c r="D34809" s="28"/>
      <c r="F34809" s="28"/>
      <c r="H34809" s="28"/>
    </row>
    <row r="34810" spans="4:8" x14ac:dyDescent="0.25">
      <c r="D34810" s="28"/>
      <c r="F34810" s="28"/>
      <c r="H34810" s="28"/>
    </row>
    <row r="34811" spans="4:8" x14ac:dyDescent="0.25">
      <c r="D34811" s="28"/>
      <c r="F34811" s="28"/>
      <c r="H34811" s="28"/>
    </row>
    <row r="34812" spans="4:8" x14ac:dyDescent="0.25">
      <c r="D34812" s="28"/>
      <c r="F34812" s="28"/>
      <c r="H34812" s="28"/>
    </row>
    <row r="34813" spans="4:8" x14ac:dyDescent="0.25">
      <c r="D34813" s="28"/>
      <c r="F34813" s="28"/>
      <c r="H34813" s="28"/>
    </row>
    <row r="34814" spans="4:8" x14ac:dyDescent="0.25">
      <c r="D34814" s="28"/>
      <c r="F34814" s="28"/>
      <c r="H34814" s="28"/>
    </row>
    <row r="34815" spans="4:8" x14ac:dyDescent="0.25">
      <c r="D34815" s="28"/>
      <c r="F34815" s="28"/>
      <c r="H34815" s="28"/>
    </row>
    <row r="34816" spans="4:8" x14ac:dyDescent="0.25">
      <c r="D34816" s="28"/>
      <c r="F34816" s="28"/>
      <c r="H34816" s="28"/>
    </row>
    <row r="34817" spans="4:8" x14ac:dyDescent="0.25">
      <c r="D34817" s="28"/>
      <c r="F34817" s="28"/>
      <c r="H34817" s="28"/>
    </row>
    <row r="34818" spans="4:8" x14ac:dyDescent="0.25">
      <c r="D34818" s="28"/>
      <c r="F34818" s="28"/>
      <c r="H34818" s="28"/>
    </row>
    <row r="34819" spans="4:8" x14ac:dyDescent="0.25">
      <c r="D34819" s="28"/>
      <c r="F34819" s="28"/>
      <c r="H34819" s="28"/>
    </row>
    <row r="34820" spans="4:8" x14ac:dyDescent="0.25">
      <c r="D34820" s="28"/>
      <c r="F34820" s="28"/>
      <c r="H34820" s="28"/>
    </row>
    <row r="34821" spans="4:8" x14ac:dyDescent="0.25">
      <c r="D34821" s="28"/>
      <c r="F34821" s="28"/>
      <c r="H34821" s="28"/>
    </row>
    <row r="34822" spans="4:8" x14ac:dyDescent="0.25">
      <c r="D34822" s="28"/>
      <c r="F34822" s="28"/>
      <c r="H34822" s="28"/>
    </row>
    <row r="34823" spans="4:8" x14ac:dyDescent="0.25">
      <c r="D34823" s="28"/>
      <c r="F34823" s="28"/>
      <c r="H34823" s="28"/>
    </row>
    <row r="34824" spans="4:8" x14ac:dyDescent="0.25">
      <c r="D34824" s="28"/>
      <c r="F34824" s="28"/>
      <c r="H34824" s="28"/>
    </row>
    <row r="34825" spans="4:8" x14ac:dyDescent="0.25">
      <c r="D34825" s="28"/>
      <c r="F34825" s="28"/>
      <c r="H34825" s="28"/>
    </row>
    <row r="34826" spans="4:8" x14ac:dyDescent="0.25">
      <c r="D34826" s="28"/>
      <c r="F34826" s="28"/>
      <c r="H34826" s="28"/>
    </row>
    <row r="34827" spans="4:8" x14ac:dyDescent="0.25">
      <c r="D34827" s="28"/>
      <c r="F34827" s="28"/>
      <c r="H34827" s="28"/>
    </row>
    <row r="34828" spans="4:8" x14ac:dyDescent="0.25">
      <c r="D34828" s="28"/>
      <c r="F34828" s="28"/>
      <c r="H34828" s="28"/>
    </row>
    <row r="34829" spans="4:8" x14ac:dyDescent="0.25">
      <c r="D34829" s="28"/>
      <c r="F34829" s="28"/>
      <c r="H34829" s="28"/>
    </row>
    <row r="34830" spans="4:8" x14ac:dyDescent="0.25">
      <c r="D34830" s="28"/>
      <c r="F34830" s="28"/>
      <c r="H34830" s="28"/>
    </row>
    <row r="34831" spans="4:8" x14ac:dyDescent="0.25">
      <c r="D34831" s="28"/>
      <c r="F34831" s="28"/>
      <c r="H34831" s="28"/>
    </row>
    <row r="34832" spans="4:8" x14ac:dyDescent="0.25">
      <c r="D34832" s="28"/>
      <c r="F34832" s="28"/>
      <c r="H34832" s="28"/>
    </row>
    <row r="34833" spans="4:8" x14ac:dyDescent="0.25">
      <c r="D34833" s="28"/>
      <c r="F34833" s="28"/>
      <c r="H34833" s="28"/>
    </row>
    <row r="34834" spans="4:8" x14ac:dyDescent="0.25">
      <c r="D34834" s="28"/>
      <c r="F34834" s="28"/>
      <c r="H34834" s="28"/>
    </row>
    <row r="34835" spans="4:8" x14ac:dyDescent="0.25">
      <c r="D34835" s="28"/>
      <c r="F34835" s="28"/>
      <c r="H34835" s="28"/>
    </row>
    <row r="34836" spans="4:8" x14ac:dyDescent="0.25">
      <c r="D34836" s="28"/>
      <c r="F34836" s="28"/>
      <c r="H34836" s="28"/>
    </row>
    <row r="34837" spans="4:8" x14ac:dyDescent="0.25">
      <c r="D34837" s="28"/>
      <c r="F34837" s="28"/>
      <c r="H34837" s="28"/>
    </row>
    <row r="34838" spans="4:8" x14ac:dyDescent="0.25">
      <c r="D34838" s="28"/>
      <c r="F34838" s="28"/>
      <c r="H34838" s="28"/>
    </row>
    <row r="34839" spans="4:8" x14ac:dyDescent="0.25">
      <c r="D34839" s="28"/>
      <c r="F34839" s="28"/>
      <c r="H34839" s="28"/>
    </row>
    <row r="34840" spans="4:8" x14ac:dyDescent="0.25">
      <c r="D34840" s="28"/>
      <c r="F34840" s="28"/>
      <c r="H34840" s="28"/>
    </row>
    <row r="34841" spans="4:8" x14ac:dyDescent="0.25">
      <c r="D34841" s="28"/>
      <c r="F34841" s="28"/>
      <c r="H34841" s="28"/>
    </row>
    <row r="34842" spans="4:8" x14ac:dyDescent="0.25">
      <c r="D34842" s="28"/>
      <c r="F34842" s="28"/>
      <c r="H34842" s="28"/>
    </row>
    <row r="34843" spans="4:8" x14ac:dyDescent="0.25">
      <c r="D34843" s="28"/>
      <c r="F34843" s="28"/>
      <c r="H34843" s="28"/>
    </row>
    <row r="34844" spans="4:8" x14ac:dyDescent="0.25">
      <c r="D34844" s="28"/>
      <c r="F34844" s="28"/>
      <c r="H34844" s="28"/>
    </row>
    <row r="34845" spans="4:8" x14ac:dyDescent="0.25">
      <c r="D34845" s="28"/>
      <c r="F34845" s="28"/>
      <c r="H34845" s="28"/>
    </row>
    <row r="34846" spans="4:8" x14ac:dyDescent="0.25">
      <c r="D34846" s="28"/>
      <c r="F34846" s="28"/>
      <c r="H34846" s="28"/>
    </row>
    <row r="34847" spans="4:8" x14ac:dyDescent="0.25">
      <c r="D34847" s="28"/>
      <c r="F34847" s="28"/>
      <c r="H34847" s="28"/>
    </row>
    <row r="34848" spans="4:8" x14ac:dyDescent="0.25">
      <c r="D34848" s="28"/>
      <c r="F34848" s="28"/>
      <c r="H34848" s="28"/>
    </row>
    <row r="34849" spans="4:8" x14ac:dyDescent="0.25">
      <c r="D34849" s="28"/>
      <c r="F34849" s="28"/>
      <c r="H34849" s="28"/>
    </row>
    <row r="34850" spans="4:8" x14ac:dyDescent="0.25">
      <c r="D34850" s="28"/>
      <c r="F34850" s="28"/>
      <c r="H34850" s="28"/>
    </row>
    <row r="34851" spans="4:8" x14ac:dyDescent="0.25">
      <c r="D34851" s="28"/>
      <c r="F34851" s="28"/>
      <c r="H34851" s="28"/>
    </row>
    <row r="34852" spans="4:8" x14ac:dyDescent="0.25">
      <c r="D34852" s="28"/>
      <c r="F34852" s="28"/>
      <c r="H34852" s="28"/>
    </row>
    <row r="34853" spans="4:8" x14ac:dyDescent="0.25">
      <c r="D34853" s="28"/>
      <c r="F34853" s="28"/>
      <c r="H34853" s="28"/>
    </row>
    <row r="34854" spans="4:8" x14ac:dyDescent="0.25">
      <c r="D34854" s="28"/>
      <c r="F34854" s="28"/>
      <c r="H34854" s="28"/>
    </row>
    <row r="34855" spans="4:8" x14ac:dyDescent="0.25">
      <c r="D34855" s="28"/>
      <c r="F34855" s="28"/>
      <c r="H34855" s="28"/>
    </row>
    <row r="34856" spans="4:8" x14ac:dyDescent="0.25">
      <c r="D34856" s="28"/>
      <c r="F34856" s="28"/>
      <c r="H34856" s="28"/>
    </row>
    <row r="34857" spans="4:8" x14ac:dyDescent="0.25">
      <c r="D34857" s="28"/>
      <c r="F34857" s="28"/>
      <c r="H34857" s="28"/>
    </row>
    <row r="34858" spans="4:8" x14ac:dyDescent="0.25">
      <c r="D34858" s="28"/>
      <c r="F34858" s="28"/>
      <c r="H34858" s="28"/>
    </row>
    <row r="34859" spans="4:8" x14ac:dyDescent="0.25">
      <c r="D34859" s="28"/>
      <c r="F34859" s="28"/>
      <c r="H34859" s="28"/>
    </row>
    <row r="34860" spans="4:8" x14ac:dyDescent="0.25">
      <c r="D34860" s="28"/>
      <c r="F34860" s="28"/>
      <c r="H34860" s="28"/>
    </row>
    <row r="34861" spans="4:8" x14ac:dyDescent="0.25">
      <c r="D34861" s="28"/>
      <c r="F34861" s="28"/>
      <c r="H34861" s="28"/>
    </row>
    <row r="34862" spans="4:8" x14ac:dyDescent="0.25">
      <c r="D34862" s="28"/>
      <c r="F34862" s="28"/>
      <c r="H34862" s="28"/>
    </row>
    <row r="34863" spans="4:8" x14ac:dyDescent="0.25">
      <c r="D34863" s="28"/>
      <c r="F34863" s="28"/>
      <c r="H34863" s="28"/>
    </row>
    <row r="34864" spans="4:8" x14ac:dyDescent="0.25">
      <c r="D34864" s="28"/>
      <c r="F34864" s="28"/>
      <c r="H34864" s="28"/>
    </row>
    <row r="34865" spans="4:8" x14ac:dyDescent="0.25">
      <c r="D34865" s="28"/>
      <c r="F34865" s="28"/>
      <c r="H34865" s="28"/>
    </row>
    <row r="34866" spans="4:8" x14ac:dyDescent="0.25">
      <c r="D34866" s="28"/>
      <c r="F34866" s="28"/>
      <c r="H34866" s="28"/>
    </row>
    <row r="34867" spans="4:8" x14ac:dyDescent="0.25">
      <c r="D34867" s="28"/>
      <c r="F34867" s="28"/>
      <c r="H34867" s="28"/>
    </row>
    <row r="34868" spans="4:8" x14ac:dyDescent="0.25">
      <c r="D34868" s="28"/>
      <c r="F34868" s="28"/>
      <c r="H34868" s="28"/>
    </row>
    <row r="34869" spans="4:8" x14ac:dyDescent="0.25">
      <c r="D34869" s="28"/>
      <c r="F34869" s="28"/>
      <c r="H34869" s="28"/>
    </row>
    <row r="34870" spans="4:8" x14ac:dyDescent="0.25">
      <c r="D34870" s="28"/>
      <c r="F34870" s="28"/>
      <c r="H34870" s="28"/>
    </row>
    <row r="34871" spans="4:8" x14ac:dyDescent="0.25">
      <c r="D34871" s="28"/>
      <c r="F34871" s="28"/>
      <c r="H34871" s="28"/>
    </row>
    <row r="34872" spans="4:8" x14ac:dyDescent="0.25">
      <c r="D34872" s="28"/>
      <c r="F34872" s="28"/>
      <c r="H34872" s="28"/>
    </row>
    <row r="34873" spans="4:8" x14ac:dyDescent="0.25">
      <c r="D34873" s="28"/>
      <c r="F34873" s="28"/>
      <c r="H34873" s="28"/>
    </row>
    <row r="34874" spans="4:8" x14ac:dyDescent="0.25">
      <c r="D34874" s="28"/>
      <c r="F34874" s="28"/>
      <c r="H34874" s="28"/>
    </row>
    <row r="34875" spans="4:8" x14ac:dyDescent="0.25">
      <c r="D34875" s="28"/>
      <c r="F34875" s="28"/>
      <c r="H34875" s="28"/>
    </row>
    <row r="34876" spans="4:8" x14ac:dyDescent="0.25">
      <c r="D34876" s="28"/>
      <c r="F34876" s="28"/>
      <c r="H34876" s="28"/>
    </row>
    <row r="34877" spans="4:8" x14ac:dyDescent="0.25">
      <c r="D34877" s="28"/>
      <c r="F34877" s="28"/>
      <c r="H34877" s="28"/>
    </row>
    <row r="34878" spans="4:8" x14ac:dyDescent="0.25">
      <c r="D34878" s="28"/>
      <c r="F34878" s="28"/>
      <c r="H34878" s="28"/>
    </row>
    <row r="34879" spans="4:8" x14ac:dyDescent="0.25">
      <c r="D34879" s="28"/>
      <c r="F34879" s="28"/>
      <c r="H34879" s="28"/>
    </row>
    <row r="34880" spans="4:8" x14ac:dyDescent="0.25">
      <c r="D34880" s="28"/>
      <c r="F34880" s="28"/>
      <c r="H34880" s="28"/>
    </row>
    <row r="34881" spans="4:8" x14ac:dyDescent="0.25">
      <c r="D34881" s="28"/>
      <c r="F34881" s="28"/>
      <c r="H34881" s="28"/>
    </row>
    <row r="34882" spans="4:8" x14ac:dyDescent="0.25">
      <c r="D34882" s="28"/>
      <c r="F34882" s="28"/>
      <c r="H34882" s="28"/>
    </row>
    <row r="34883" spans="4:8" x14ac:dyDescent="0.25">
      <c r="D34883" s="28"/>
      <c r="F34883" s="28"/>
      <c r="H34883" s="28"/>
    </row>
    <row r="34884" spans="4:8" x14ac:dyDescent="0.25">
      <c r="D34884" s="28"/>
      <c r="F34884" s="28"/>
      <c r="H34884" s="28"/>
    </row>
    <row r="34885" spans="4:8" x14ac:dyDescent="0.25">
      <c r="D34885" s="28"/>
      <c r="F34885" s="28"/>
      <c r="H34885" s="28"/>
    </row>
    <row r="34886" spans="4:8" x14ac:dyDescent="0.25">
      <c r="D34886" s="28"/>
      <c r="F34886" s="28"/>
      <c r="H34886" s="28"/>
    </row>
    <row r="34887" spans="4:8" x14ac:dyDescent="0.25">
      <c r="D34887" s="28"/>
      <c r="F34887" s="28"/>
      <c r="H34887" s="28"/>
    </row>
    <row r="34888" spans="4:8" x14ac:dyDescent="0.25">
      <c r="D34888" s="28"/>
      <c r="F34888" s="28"/>
      <c r="H34888" s="28"/>
    </row>
    <row r="34889" spans="4:8" x14ac:dyDescent="0.25">
      <c r="D34889" s="28"/>
      <c r="F34889" s="28"/>
      <c r="H34889" s="28"/>
    </row>
    <row r="34890" spans="4:8" x14ac:dyDescent="0.25">
      <c r="D34890" s="28"/>
      <c r="F34890" s="28"/>
      <c r="H34890" s="28"/>
    </row>
    <row r="34891" spans="4:8" x14ac:dyDescent="0.25">
      <c r="D34891" s="28"/>
      <c r="F34891" s="28"/>
      <c r="H34891" s="28"/>
    </row>
    <row r="34892" spans="4:8" x14ac:dyDescent="0.25">
      <c r="D34892" s="28"/>
      <c r="F34892" s="28"/>
      <c r="H34892" s="28"/>
    </row>
    <row r="34893" spans="4:8" x14ac:dyDescent="0.25">
      <c r="D34893" s="28"/>
      <c r="F34893" s="28"/>
      <c r="H34893" s="28"/>
    </row>
    <row r="34894" spans="4:8" x14ac:dyDescent="0.25">
      <c r="D34894" s="28"/>
      <c r="F34894" s="28"/>
      <c r="H34894" s="28"/>
    </row>
    <row r="34895" spans="4:8" x14ac:dyDescent="0.25">
      <c r="D34895" s="28"/>
      <c r="F34895" s="28"/>
      <c r="H34895" s="28"/>
    </row>
    <row r="34896" spans="4:8" x14ac:dyDescent="0.25">
      <c r="D34896" s="28"/>
      <c r="F34896" s="28"/>
      <c r="H34896" s="28"/>
    </row>
    <row r="34897" spans="4:8" x14ac:dyDescent="0.25">
      <c r="D34897" s="28"/>
      <c r="F34897" s="28"/>
      <c r="H34897" s="28"/>
    </row>
    <row r="34898" spans="4:8" x14ac:dyDescent="0.25">
      <c r="D34898" s="28"/>
      <c r="F34898" s="28"/>
      <c r="H34898" s="28"/>
    </row>
    <row r="34899" spans="4:8" x14ac:dyDescent="0.25">
      <c r="D34899" s="28"/>
      <c r="F34899" s="28"/>
      <c r="H34899" s="28"/>
    </row>
    <row r="34900" spans="4:8" x14ac:dyDescent="0.25">
      <c r="D34900" s="28"/>
      <c r="F34900" s="28"/>
      <c r="H34900" s="28"/>
    </row>
    <row r="34901" spans="4:8" x14ac:dyDescent="0.25">
      <c r="D34901" s="28"/>
      <c r="F34901" s="28"/>
      <c r="H34901" s="28"/>
    </row>
    <row r="34902" spans="4:8" x14ac:dyDescent="0.25">
      <c r="D34902" s="28"/>
      <c r="F34902" s="28"/>
      <c r="H34902" s="28"/>
    </row>
    <row r="34903" spans="4:8" x14ac:dyDescent="0.25">
      <c r="D34903" s="28"/>
      <c r="F34903" s="28"/>
      <c r="H34903" s="28"/>
    </row>
    <row r="34904" spans="4:8" x14ac:dyDescent="0.25">
      <c r="D34904" s="28"/>
      <c r="F34904" s="28"/>
      <c r="H34904" s="28"/>
    </row>
    <row r="34905" spans="4:8" x14ac:dyDescent="0.25">
      <c r="D34905" s="28"/>
      <c r="F34905" s="28"/>
      <c r="H34905" s="28"/>
    </row>
    <row r="34906" spans="4:8" x14ac:dyDescent="0.25">
      <c r="D34906" s="28"/>
      <c r="F34906" s="28"/>
      <c r="H34906" s="28"/>
    </row>
    <row r="34907" spans="4:8" x14ac:dyDescent="0.25">
      <c r="D34907" s="28"/>
      <c r="F34907" s="28"/>
      <c r="H34907" s="28"/>
    </row>
    <row r="34908" spans="4:8" x14ac:dyDescent="0.25">
      <c r="D34908" s="28"/>
      <c r="F34908" s="28"/>
      <c r="H34908" s="28"/>
    </row>
    <row r="34909" spans="4:8" x14ac:dyDescent="0.25">
      <c r="D34909" s="28"/>
      <c r="F34909" s="28"/>
      <c r="H34909" s="28"/>
    </row>
    <row r="34910" spans="4:8" x14ac:dyDescent="0.25">
      <c r="D34910" s="28"/>
      <c r="F34910" s="28"/>
      <c r="H34910" s="28"/>
    </row>
    <row r="34911" spans="4:8" x14ac:dyDescent="0.25">
      <c r="D34911" s="28"/>
      <c r="F34911" s="28"/>
      <c r="H34911" s="28"/>
    </row>
    <row r="34912" spans="4:8" x14ac:dyDescent="0.25">
      <c r="D34912" s="28"/>
      <c r="F34912" s="28"/>
      <c r="H34912" s="28"/>
    </row>
    <row r="34913" spans="4:8" x14ac:dyDescent="0.25">
      <c r="D34913" s="28"/>
      <c r="F34913" s="28"/>
      <c r="H34913" s="28"/>
    </row>
    <row r="34914" spans="4:8" x14ac:dyDescent="0.25">
      <c r="D34914" s="28"/>
      <c r="F34914" s="28"/>
      <c r="H34914" s="28"/>
    </row>
    <row r="34915" spans="4:8" x14ac:dyDescent="0.25">
      <c r="D34915" s="28"/>
      <c r="F34915" s="28"/>
      <c r="H34915" s="28"/>
    </row>
    <row r="34916" spans="4:8" x14ac:dyDescent="0.25">
      <c r="D34916" s="28"/>
      <c r="F34916" s="28"/>
      <c r="H34916" s="28"/>
    </row>
    <row r="34917" spans="4:8" x14ac:dyDescent="0.25">
      <c r="D34917" s="28"/>
      <c r="F34917" s="28"/>
      <c r="H34917" s="28"/>
    </row>
    <row r="34918" spans="4:8" x14ac:dyDescent="0.25">
      <c r="D34918" s="28"/>
      <c r="F34918" s="28"/>
      <c r="H34918" s="28"/>
    </row>
    <row r="34919" spans="4:8" x14ac:dyDescent="0.25">
      <c r="D34919" s="28"/>
      <c r="F34919" s="28"/>
      <c r="H34919" s="28"/>
    </row>
    <row r="34920" spans="4:8" x14ac:dyDescent="0.25">
      <c r="D34920" s="28"/>
      <c r="F34920" s="28"/>
      <c r="H34920" s="28"/>
    </row>
    <row r="34921" spans="4:8" x14ac:dyDescent="0.25">
      <c r="D34921" s="28"/>
      <c r="F34921" s="28"/>
      <c r="H34921" s="28"/>
    </row>
    <row r="34922" spans="4:8" x14ac:dyDescent="0.25">
      <c r="D34922" s="28"/>
      <c r="F34922" s="28"/>
      <c r="H34922" s="28"/>
    </row>
    <row r="34923" spans="4:8" x14ac:dyDescent="0.25">
      <c r="D34923" s="28"/>
      <c r="F34923" s="28"/>
      <c r="H34923" s="28"/>
    </row>
    <row r="34924" spans="4:8" x14ac:dyDescent="0.25">
      <c r="D34924" s="28"/>
      <c r="F34924" s="28"/>
      <c r="H34924" s="28"/>
    </row>
    <row r="34925" spans="4:8" x14ac:dyDescent="0.25">
      <c r="D34925" s="28"/>
      <c r="F34925" s="28"/>
      <c r="H34925" s="28"/>
    </row>
    <row r="34926" spans="4:8" x14ac:dyDescent="0.25">
      <c r="D34926" s="28"/>
      <c r="F34926" s="28"/>
      <c r="H34926" s="28"/>
    </row>
    <row r="34927" spans="4:8" x14ac:dyDescent="0.25">
      <c r="D34927" s="28"/>
      <c r="F34927" s="28"/>
      <c r="H34927" s="28"/>
    </row>
    <row r="34928" spans="4:8" x14ac:dyDescent="0.25">
      <c r="D34928" s="28"/>
      <c r="F34928" s="28"/>
      <c r="H34928" s="28"/>
    </row>
    <row r="34929" spans="4:8" x14ac:dyDescent="0.25">
      <c r="D34929" s="28"/>
      <c r="F34929" s="28"/>
      <c r="H34929" s="28"/>
    </row>
    <row r="34930" spans="4:8" x14ac:dyDescent="0.25">
      <c r="D34930" s="28"/>
      <c r="F34930" s="28"/>
      <c r="H34930" s="28"/>
    </row>
    <row r="34931" spans="4:8" x14ac:dyDescent="0.25">
      <c r="D34931" s="28"/>
      <c r="F34931" s="28"/>
      <c r="H34931" s="28"/>
    </row>
    <row r="34932" spans="4:8" x14ac:dyDescent="0.25">
      <c r="D34932" s="28"/>
      <c r="F34932" s="28"/>
      <c r="H34932" s="28"/>
    </row>
    <row r="34933" spans="4:8" x14ac:dyDescent="0.25">
      <c r="D34933" s="28"/>
      <c r="F34933" s="28"/>
      <c r="H34933" s="28"/>
    </row>
    <row r="34934" spans="4:8" x14ac:dyDescent="0.25">
      <c r="D34934" s="28"/>
      <c r="F34934" s="28"/>
      <c r="H34934" s="28"/>
    </row>
    <row r="34935" spans="4:8" x14ac:dyDescent="0.25">
      <c r="D34935" s="28"/>
      <c r="F34935" s="28"/>
      <c r="H34935" s="28"/>
    </row>
    <row r="34936" spans="4:8" x14ac:dyDescent="0.25">
      <c r="D34936" s="28"/>
      <c r="F34936" s="28"/>
      <c r="H34936" s="28"/>
    </row>
    <row r="34937" spans="4:8" x14ac:dyDescent="0.25">
      <c r="D34937" s="28"/>
      <c r="F34937" s="28"/>
      <c r="H34937" s="28"/>
    </row>
    <row r="34938" spans="4:8" x14ac:dyDescent="0.25">
      <c r="D34938" s="28"/>
      <c r="F34938" s="28"/>
      <c r="H34938" s="28"/>
    </row>
    <row r="34939" spans="4:8" x14ac:dyDescent="0.25">
      <c r="D34939" s="28"/>
      <c r="F34939" s="28"/>
      <c r="H34939" s="28"/>
    </row>
    <row r="34940" spans="4:8" x14ac:dyDescent="0.25">
      <c r="D34940" s="28"/>
      <c r="F34940" s="28"/>
      <c r="H34940" s="28"/>
    </row>
    <row r="34941" spans="4:8" x14ac:dyDescent="0.25">
      <c r="D34941" s="28"/>
      <c r="F34941" s="28"/>
      <c r="H34941" s="28"/>
    </row>
    <row r="34942" spans="4:8" x14ac:dyDescent="0.25">
      <c r="D34942" s="28"/>
      <c r="F34942" s="28"/>
      <c r="H34942" s="28"/>
    </row>
    <row r="34943" spans="4:8" x14ac:dyDescent="0.25">
      <c r="D34943" s="28"/>
      <c r="F34943" s="28"/>
      <c r="H34943" s="28"/>
    </row>
    <row r="34944" spans="4:8" x14ac:dyDescent="0.25">
      <c r="D34944" s="28"/>
      <c r="F34944" s="28"/>
      <c r="H34944" s="28"/>
    </row>
    <row r="34945" spans="4:8" x14ac:dyDescent="0.25">
      <c r="D34945" s="28"/>
      <c r="F34945" s="28"/>
      <c r="H34945" s="28"/>
    </row>
    <row r="34946" spans="4:8" x14ac:dyDescent="0.25">
      <c r="D34946" s="28"/>
      <c r="F34946" s="28"/>
      <c r="H34946" s="28"/>
    </row>
    <row r="34947" spans="4:8" x14ac:dyDescent="0.25">
      <c r="D34947" s="28"/>
      <c r="F34947" s="28"/>
      <c r="H34947" s="28"/>
    </row>
    <row r="34948" spans="4:8" x14ac:dyDescent="0.25">
      <c r="D34948" s="28"/>
      <c r="F34948" s="28"/>
      <c r="H34948" s="28"/>
    </row>
    <row r="34949" spans="4:8" x14ac:dyDescent="0.25">
      <c r="D34949" s="28"/>
      <c r="F34949" s="28"/>
      <c r="H34949" s="28"/>
    </row>
    <row r="34950" spans="4:8" x14ac:dyDescent="0.25">
      <c r="D34950" s="28"/>
      <c r="F34950" s="28"/>
      <c r="H34950" s="28"/>
    </row>
    <row r="34951" spans="4:8" x14ac:dyDescent="0.25">
      <c r="D34951" s="28"/>
      <c r="F34951" s="28"/>
      <c r="H34951" s="28"/>
    </row>
    <row r="34952" spans="4:8" x14ac:dyDescent="0.25">
      <c r="D34952" s="28"/>
      <c r="F34952" s="28"/>
      <c r="H34952" s="28"/>
    </row>
    <row r="34953" spans="4:8" x14ac:dyDescent="0.25">
      <c r="D34953" s="28"/>
      <c r="F34953" s="28"/>
      <c r="H34953" s="28"/>
    </row>
    <row r="34954" spans="4:8" x14ac:dyDescent="0.25">
      <c r="D34954" s="28"/>
      <c r="F34954" s="28"/>
      <c r="H34954" s="28"/>
    </row>
    <row r="34955" spans="4:8" x14ac:dyDescent="0.25">
      <c r="D34955" s="28"/>
      <c r="F34955" s="28"/>
      <c r="H34955" s="28"/>
    </row>
    <row r="34956" spans="4:8" x14ac:dyDescent="0.25">
      <c r="D34956" s="28"/>
      <c r="F34956" s="28"/>
      <c r="H34956" s="28"/>
    </row>
    <row r="34957" spans="4:8" x14ac:dyDescent="0.25">
      <c r="D34957" s="28"/>
      <c r="F34957" s="28"/>
      <c r="H34957" s="28"/>
    </row>
    <row r="34958" spans="4:8" x14ac:dyDescent="0.25">
      <c r="D34958" s="28"/>
      <c r="F34958" s="28"/>
      <c r="H34958" s="28"/>
    </row>
    <row r="34959" spans="4:8" x14ac:dyDescent="0.25">
      <c r="D34959" s="28"/>
      <c r="F34959" s="28"/>
      <c r="H34959" s="28"/>
    </row>
    <row r="34960" spans="4:8" x14ac:dyDescent="0.25">
      <c r="D34960" s="28"/>
      <c r="F34960" s="28"/>
      <c r="H34960" s="28"/>
    </row>
    <row r="34961" spans="4:8" x14ac:dyDescent="0.25">
      <c r="D34961" s="28"/>
      <c r="F34961" s="28"/>
      <c r="H34961" s="28"/>
    </row>
    <row r="34962" spans="4:8" x14ac:dyDescent="0.25">
      <c r="D34962" s="28"/>
      <c r="F34962" s="28"/>
      <c r="H34962" s="28"/>
    </row>
    <row r="34963" spans="4:8" x14ac:dyDescent="0.25">
      <c r="D34963" s="28"/>
      <c r="F34963" s="28"/>
      <c r="H34963" s="28"/>
    </row>
    <row r="34964" spans="4:8" x14ac:dyDescent="0.25">
      <c r="D34964" s="28"/>
      <c r="F34964" s="28"/>
      <c r="H34964" s="28"/>
    </row>
    <row r="34965" spans="4:8" x14ac:dyDescent="0.25">
      <c r="D34965" s="28"/>
      <c r="F34965" s="28"/>
      <c r="H34965" s="28"/>
    </row>
    <row r="34966" spans="4:8" x14ac:dyDescent="0.25">
      <c r="D34966" s="28"/>
      <c r="F34966" s="28"/>
      <c r="H34966" s="28"/>
    </row>
    <row r="34967" spans="4:8" x14ac:dyDescent="0.25">
      <c r="D34967" s="28"/>
      <c r="F34967" s="28"/>
      <c r="H34967" s="28"/>
    </row>
    <row r="34968" spans="4:8" x14ac:dyDescent="0.25">
      <c r="D34968" s="28"/>
      <c r="F34968" s="28"/>
      <c r="H34968" s="28"/>
    </row>
    <row r="34969" spans="4:8" x14ac:dyDescent="0.25">
      <c r="D34969" s="28"/>
      <c r="F34969" s="28"/>
      <c r="H34969" s="28"/>
    </row>
    <row r="34970" spans="4:8" x14ac:dyDescent="0.25">
      <c r="D34970" s="28"/>
      <c r="F34970" s="28"/>
      <c r="H34970" s="28"/>
    </row>
    <row r="34971" spans="4:8" x14ac:dyDescent="0.25">
      <c r="D34971" s="28"/>
      <c r="F34971" s="28"/>
      <c r="H34971" s="28"/>
    </row>
    <row r="34972" spans="4:8" x14ac:dyDescent="0.25">
      <c r="D34972" s="28"/>
      <c r="F34972" s="28"/>
      <c r="H34972" s="28"/>
    </row>
    <row r="34973" spans="4:8" x14ac:dyDescent="0.25">
      <c r="D34973" s="28"/>
      <c r="F34973" s="28"/>
      <c r="H34973" s="28"/>
    </row>
    <row r="34974" spans="4:8" x14ac:dyDescent="0.25">
      <c r="D34974" s="28"/>
      <c r="F34974" s="28"/>
      <c r="H34974" s="28"/>
    </row>
    <row r="34975" spans="4:8" x14ac:dyDescent="0.25">
      <c r="D34975" s="28"/>
      <c r="F34975" s="28"/>
      <c r="H34975" s="28"/>
    </row>
    <row r="34976" spans="4:8" x14ac:dyDescent="0.25">
      <c r="D34976" s="28"/>
      <c r="F34976" s="28"/>
      <c r="H34976" s="28"/>
    </row>
    <row r="34977" spans="4:8" x14ac:dyDescent="0.25">
      <c r="D34977" s="28"/>
      <c r="F34977" s="28"/>
      <c r="H34977" s="28"/>
    </row>
    <row r="34978" spans="4:8" x14ac:dyDescent="0.25">
      <c r="D34978" s="28"/>
      <c r="F34978" s="28"/>
      <c r="H34978" s="28"/>
    </row>
    <row r="34979" spans="4:8" x14ac:dyDescent="0.25">
      <c r="D34979" s="28"/>
      <c r="F34979" s="28"/>
      <c r="H34979" s="28"/>
    </row>
    <row r="34980" spans="4:8" x14ac:dyDescent="0.25">
      <c r="D34980" s="28"/>
      <c r="F34980" s="28"/>
      <c r="H34980" s="28"/>
    </row>
    <row r="34981" spans="4:8" x14ac:dyDescent="0.25">
      <c r="D34981" s="28"/>
      <c r="F34981" s="28"/>
      <c r="H34981" s="28"/>
    </row>
    <row r="34982" spans="4:8" x14ac:dyDescent="0.25">
      <c r="D34982" s="28"/>
      <c r="F34982" s="28"/>
      <c r="H34982" s="28"/>
    </row>
    <row r="34983" spans="4:8" x14ac:dyDescent="0.25">
      <c r="D34983" s="28"/>
      <c r="F34983" s="28"/>
      <c r="H34983" s="28"/>
    </row>
    <row r="34984" spans="4:8" x14ac:dyDescent="0.25">
      <c r="D34984" s="28"/>
      <c r="F34984" s="28"/>
      <c r="H34984" s="28"/>
    </row>
    <row r="34985" spans="4:8" x14ac:dyDescent="0.25">
      <c r="D34985" s="28"/>
      <c r="F34985" s="28"/>
      <c r="H34985" s="28"/>
    </row>
    <row r="34986" spans="4:8" x14ac:dyDescent="0.25">
      <c r="D34986" s="28"/>
      <c r="F34986" s="28"/>
      <c r="H34986" s="28"/>
    </row>
    <row r="34987" spans="4:8" x14ac:dyDescent="0.25">
      <c r="D34987" s="28"/>
      <c r="F34987" s="28"/>
      <c r="H34987" s="28"/>
    </row>
    <row r="34988" spans="4:8" x14ac:dyDescent="0.25">
      <c r="D34988" s="28"/>
      <c r="F34988" s="28"/>
      <c r="H34988" s="28"/>
    </row>
    <row r="34989" spans="4:8" x14ac:dyDescent="0.25">
      <c r="D34989" s="28"/>
      <c r="F34989" s="28"/>
      <c r="H34989" s="28"/>
    </row>
    <row r="34990" spans="4:8" x14ac:dyDescent="0.25">
      <c r="D34990" s="28"/>
      <c r="F34990" s="28"/>
      <c r="H34990" s="28"/>
    </row>
    <row r="34991" spans="4:8" x14ac:dyDescent="0.25">
      <c r="D34991" s="28"/>
      <c r="F34991" s="28"/>
      <c r="H34991" s="28"/>
    </row>
    <row r="34992" spans="4:8" x14ac:dyDescent="0.25">
      <c r="D34992" s="28"/>
      <c r="F34992" s="28"/>
      <c r="H34992" s="28"/>
    </row>
    <row r="34993" spans="4:8" x14ac:dyDescent="0.25">
      <c r="D34993" s="28"/>
      <c r="F34993" s="28"/>
      <c r="H34993" s="28"/>
    </row>
    <row r="34994" spans="4:8" x14ac:dyDescent="0.25">
      <c r="D34994" s="28"/>
      <c r="F34994" s="28"/>
      <c r="H34994" s="28"/>
    </row>
    <row r="34995" spans="4:8" x14ac:dyDescent="0.25">
      <c r="D34995" s="28"/>
      <c r="F34995" s="28"/>
      <c r="H34995" s="28"/>
    </row>
    <row r="34996" spans="4:8" x14ac:dyDescent="0.25">
      <c r="D34996" s="28"/>
      <c r="F34996" s="28"/>
      <c r="H34996" s="28"/>
    </row>
    <row r="34997" spans="4:8" x14ac:dyDescent="0.25">
      <c r="D34997" s="28"/>
      <c r="F34997" s="28"/>
      <c r="H34997" s="28"/>
    </row>
    <row r="34998" spans="4:8" x14ac:dyDescent="0.25">
      <c r="D34998" s="28"/>
      <c r="F34998" s="28"/>
      <c r="H34998" s="28"/>
    </row>
    <row r="34999" spans="4:8" x14ac:dyDescent="0.25">
      <c r="D34999" s="28"/>
      <c r="F34999" s="28"/>
      <c r="H34999" s="28"/>
    </row>
    <row r="35000" spans="4:8" x14ac:dyDescent="0.25">
      <c r="D35000" s="28"/>
      <c r="F35000" s="28"/>
      <c r="H35000" s="28"/>
    </row>
    <row r="35001" spans="4:8" x14ac:dyDescent="0.25">
      <c r="D35001" s="28"/>
      <c r="F35001" s="28"/>
      <c r="H35001" s="28"/>
    </row>
    <row r="35002" spans="4:8" x14ac:dyDescent="0.25">
      <c r="D35002" s="28"/>
      <c r="F35002" s="28"/>
      <c r="H35002" s="28"/>
    </row>
    <row r="35003" spans="4:8" x14ac:dyDescent="0.25">
      <c r="D35003" s="28"/>
      <c r="F35003" s="28"/>
      <c r="H35003" s="28"/>
    </row>
    <row r="35004" spans="4:8" x14ac:dyDescent="0.25">
      <c r="D35004" s="28"/>
      <c r="F35004" s="28"/>
      <c r="H35004" s="28"/>
    </row>
    <row r="35005" spans="4:8" x14ac:dyDescent="0.25">
      <c r="D35005" s="28"/>
      <c r="F35005" s="28"/>
      <c r="H35005" s="28"/>
    </row>
    <row r="35006" spans="4:8" x14ac:dyDescent="0.25">
      <c r="D35006" s="28"/>
      <c r="F35006" s="28"/>
      <c r="H35006" s="28"/>
    </row>
    <row r="35007" spans="4:8" x14ac:dyDescent="0.25">
      <c r="D35007" s="28"/>
      <c r="F35007" s="28"/>
      <c r="H35007" s="28"/>
    </row>
    <row r="35008" spans="4:8" x14ac:dyDescent="0.25">
      <c r="D35008" s="28"/>
      <c r="F35008" s="28"/>
      <c r="H35008" s="28"/>
    </row>
    <row r="35009" spans="4:8" x14ac:dyDescent="0.25">
      <c r="D35009" s="28"/>
      <c r="F35009" s="28"/>
      <c r="H35009" s="28"/>
    </row>
    <row r="35010" spans="4:8" x14ac:dyDescent="0.25">
      <c r="D35010" s="28"/>
      <c r="F35010" s="28"/>
      <c r="H35010" s="28"/>
    </row>
    <row r="35011" spans="4:8" x14ac:dyDescent="0.25">
      <c r="D35011" s="28"/>
      <c r="F35011" s="28"/>
      <c r="H35011" s="28"/>
    </row>
    <row r="35012" spans="4:8" x14ac:dyDescent="0.25">
      <c r="D35012" s="28"/>
      <c r="F35012" s="28"/>
      <c r="H35012" s="28"/>
    </row>
    <row r="35013" spans="4:8" x14ac:dyDescent="0.25">
      <c r="D35013" s="28"/>
      <c r="F35013" s="28"/>
      <c r="H35013" s="28"/>
    </row>
    <row r="35014" spans="4:8" x14ac:dyDescent="0.25">
      <c r="D35014" s="28"/>
      <c r="F35014" s="28"/>
      <c r="H35014" s="28"/>
    </row>
    <row r="35015" spans="4:8" x14ac:dyDescent="0.25">
      <c r="D35015" s="28"/>
      <c r="F35015" s="28"/>
      <c r="H35015" s="28"/>
    </row>
    <row r="35016" spans="4:8" x14ac:dyDescent="0.25">
      <c r="D35016" s="28"/>
      <c r="F35016" s="28"/>
      <c r="H35016" s="28"/>
    </row>
    <row r="35017" spans="4:8" x14ac:dyDescent="0.25">
      <c r="D35017" s="28"/>
      <c r="F35017" s="28"/>
      <c r="H35017" s="28"/>
    </row>
    <row r="35018" spans="4:8" x14ac:dyDescent="0.25">
      <c r="D35018" s="28"/>
      <c r="F35018" s="28"/>
      <c r="H35018" s="28"/>
    </row>
    <row r="35019" spans="4:8" x14ac:dyDescent="0.25">
      <c r="D35019" s="28"/>
      <c r="F35019" s="28"/>
      <c r="H35019" s="28"/>
    </row>
    <row r="35020" spans="4:8" x14ac:dyDescent="0.25">
      <c r="D35020" s="28"/>
      <c r="F35020" s="28"/>
      <c r="H35020" s="28"/>
    </row>
    <row r="35021" spans="4:8" x14ac:dyDescent="0.25">
      <c r="D35021" s="28"/>
      <c r="F35021" s="28"/>
      <c r="H35021" s="28"/>
    </row>
    <row r="35022" spans="4:8" x14ac:dyDescent="0.25">
      <c r="D35022" s="28"/>
      <c r="F35022" s="28"/>
      <c r="H35022" s="28"/>
    </row>
    <row r="35023" spans="4:8" x14ac:dyDescent="0.25">
      <c r="D35023" s="28"/>
      <c r="F35023" s="28"/>
      <c r="H35023" s="28"/>
    </row>
    <row r="35024" spans="4:8" x14ac:dyDescent="0.25">
      <c r="D35024" s="28"/>
      <c r="F35024" s="28"/>
      <c r="H35024" s="28"/>
    </row>
    <row r="35025" spans="4:8" x14ac:dyDescent="0.25">
      <c r="D35025" s="28"/>
      <c r="F35025" s="28"/>
      <c r="H35025" s="28"/>
    </row>
    <row r="35026" spans="4:8" x14ac:dyDescent="0.25">
      <c r="D35026" s="28"/>
      <c r="F35026" s="28"/>
      <c r="H35026" s="28"/>
    </row>
    <row r="35027" spans="4:8" x14ac:dyDescent="0.25">
      <c r="D35027" s="28"/>
      <c r="F35027" s="28"/>
      <c r="H35027" s="28"/>
    </row>
    <row r="35028" spans="4:8" x14ac:dyDescent="0.25">
      <c r="D35028" s="28"/>
      <c r="F35028" s="28"/>
      <c r="H35028" s="28"/>
    </row>
    <row r="35029" spans="4:8" x14ac:dyDescent="0.25">
      <c r="D35029" s="28"/>
      <c r="F35029" s="28"/>
      <c r="H35029" s="28"/>
    </row>
    <row r="35030" spans="4:8" x14ac:dyDescent="0.25">
      <c r="D35030" s="28"/>
      <c r="F35030" s="28"/>
      <c r="H35030" s="28"/>
    </row>
    <row r="35031" spans="4:8" x14ac:dyDescent="0.25">
      <c r="D35031" s="28"/>
      <c r="F35031" s="28"/>
      <c r="H35031" s="28"/>
    </row>
    <row r="35032" spans="4:8" x14ac:dyDescent="0.25">
      <c r="D35032" s="28"/>
      <c r="F35032" s="28"/>
      <c r="H35032" s="28"/>
    </row>
    <row r="35033" spans="4:8" x14ac:dyDescent="0.25">
      <c r="D35033" s="28"/>
      <c r="F35033" s="28"/>
      <c r="H35033" s="28"/>
    </row>
    <row r="35034" spans="4:8" x14ac:dyDescent="0.25">
      <c r="D35034" s="28"/>
      <c r="F35034" s="28"/>
      <c r="H35034" s="28"/>
    </row>
    <row r="35035" spans="4:8" x14ac:dyDescent="0.25">
      <c r="D35035" s="28"/>
      <c r="F35035" s="28"/>
      <c r="H35035" s="28"/>
    </row>
    <row r="35036" spans="4:8" x14ac:dyDescent="0.25">
      <c r="D35036" s="28"/>
      <c r="F35036" s="28"/>
      <c r="H35036" s="28"/>
    </row>
    <row r="35037" spans="4:8" x14ac:dyDescent="0.25">
      <c r="D35037" s="28"/>
      <c r="F35037" s="28"/>
      <c r="H35037" s="28"/>
    </row>
    <row r="35038" spans="4:8" x14ac:dyDescent="0.25">
      <c r="D35038" s="28"/>
      <c r="F35038" s="28"/>
      <c r="H35038" s="28"/>
    </row>
    <row r="35039" spans="4:8" x14ac:dyDescent="0.25">
      <c r="D35039" s="28"/>
      <c r="F35039" s="28"/>
      <c r="H35039" s="28"/>
    </row>
    <row r="35040" spans="4:8" x14ac:dyDescent="0.25">
      <c r="D35040" s="28"/>
      <c r="F35040" s="28"/>
      <c r="H35040" s="28"/>
    </row>
    <row r="35041" spans="4:8" x14ac:dyDescent="0.25">
      <c r="D35041" s="28"/>
      <c r="F35041" s="28"/>
      <c r="H35041" s="28"/>
    </row>
    <row r="35042" spans="4:8" x14ac:dyDescent="0.25">
      <c r="D35042" s="28"/>
      <c r="F35042" s="28"/>
      <c r="H35042" s="28"/>
    </row>
    <row r="35043" spans="4:8" x14ac:dyDescent="0.25">
      <c r="D35043" s="28"/>
      <c r="F35043" s="28"/>
      <c r="H35043" s="28"/>
    </row>
    <row r="35044" spans="4:8" x14ac:dyDescent="0.25">
      <c r="D35044" s="28"/>
      <c r="F35044" s="28"/>
      <c r="H35044" s="28"/>
    </row>
    <row r="35045" spans="4:8" x14ac:dyDescent="0.25">
      <c r="D35045" s="28"/>
      <c r="F35045" s="28"/>
      <c r="H35045" s="28"/>
    </row>
    <row r="35046" spans="4:8" x14ac:dyDescent="0.25">
      <c r="D35046" s="28"/>
      <c r="F35046" s="28"/>
      <c r="H35046" s="28"/>
    </row>
    <row r="35047" spans="4:8" x14ac:dyDescent="0.25">
      <c r="D35047" s="28"/>
      <c r="F35047" s="28"/>
      <c r="H35047" s="28"/>
    </row>
    <row r="35048" spans="4:8" x14ac:dyDescent="0.25">
      <c r="D35048" s="28"/>
      <c r="F35048" s="28"/>
      <c r="H35048" s="28"/>
    </row>
    <row r="35049" spans="4:8" x14ac:dyDescent="0.25">
      <c r="D35049" s="28"/>
      <c r="F35049" s="28"/>
      <c r="H35049" s="28"/>
    </row>
    <row r="35050" spans="4:8" x14ac:dyDescent="0.25">
      <c r="D35050" s="28"/>
      <c r="F35050" s="28"/>
      <c r="H35050" s="28"/>
    </row>
    <row r="35051" spans="4:8" x14ac:dyDescent="0.25">
      <c r="D35051" s="28"/>
      <c r="F35051" s="28"/>
      <c r="H35051" s="28"/>
    </row>
    <row r="35052" spans="4:8" x14ac:dyDescent="0.25">
      <c r="D35052" s="28"/>
      <c r="F35052" s="28"/>
      <c r="H35052" s="28"/>
    </row>
    <row r="35053" spans="4:8" x14ac:dyDescent="0.25">
      <c r="D35053" s="28"/>
      <c r="F35053" s="28"/>
      <c r="H35053" s="28"/>
    </row>
    <row r="35054" spans="4:8" x14ac:dyDescent="0.25">
      <c r="D35054" s="28"/>
      <c r="F35054" s="28"/>
      <c r="H35054" s="28"/>
    </row>
    <row r="35055" spans="4:8" x14ac:dyDescent="0.25">
      <c r="D35055" s="28"/>
      <c r="F35055" s="28"/>
      <c r="H35055" s="28"/>
    </row>
    <row r="35056" spans="4:8" x14ac:dyDescent="0.25">
      <c r="D35056" s="28"/>
      <c r="F35056" s="28"/>
      <c r="H35056" s="28"/>
    </row>
    <row r="35057" spans="4:8" x14ac:dyDescent="0.25">
      <c r="D35057" s="28"/>
      <c r="F35057" s="28"/>
      <c r="H35057" s="28"/>
    </row>
    <row r="35058" spans="4:8" x14ac:dyDescent="0.25">
      <c r="D35058" s="28"/>
      <c r="F35058" s="28"/>
      <c r="H35058" s="28"/>
    </row>
    <row r="35059" spans="4:8" x14ac:dyDescent="0.25">
      <c r="D35059" s="28"/>
      <c r="F35059" s="28"/>
      <c r="H35059" s="28"/>
    </row>
    <row r="35060" spans="4:8" x14ac:dyDescent="0.25">
      <c r="D35060" s="28"/>
      <c r="F35060" s="28"/>
      <c r="H35060" s="28"/>
    </row>
    <row r="35061" spans="4:8" x14ac:dyDescent="0.25">
      <c r="D35061" s="28"/>
      <c r="F35061" s="28"/>
      <c r="H35061" s="28"/>
    </row>
    <row r="35062" spans="4:8" x14ac:dyDescent="0.25">
      <c r="D35062" s="28"/>
      <c r="F35062" s="28"/>
      <c r="H35062" s="28"/>
    </row>
    <row r="35063" spans="4:8" x14ac:dyDescent="0.25">
      <c r="D35063" s="28"/>
      <c r="F35063" s="28"/>
      <c r="H35063" s="28"/>
    </row>
    <row r="35064" spans="4:8" x14ac:dyDescent="0.25">
      <c r="D35064" s="28"/>
      <c r="F35064" s="28"/>
      <c r="H35064" s="28"/>
    </row>
    <row r="35065" spans="4:8" x14ac:dyDescent="0.25">
      <c r="D35065" s="28"/>
      <c r="F35065" s="28"/>
      <c r="H35065" s="28"/>
    </row>
    <row r="35066" spans="4:8" x14ac:dyDescent="0.25">
      <c r="D35066" s="28"/>
      <c r="F35066" s="28"/>
      <c r="H35066" s="28"/>
    </row>
    <row r="35067" spans="4:8" x14ac:dyDescent="0.25">
      <c r="D35067" s="28"/>
      <c r="F35067" s="28"/>
      <c r="H35067" s="28"/>
    </row>
    <row r="35068" spans="4:8" x14ac:dyDescent="0.25">
      <c r="D35068" s="28"/>
      <c r="F35068" s="28"/>
      <c r="H35068" s="28"/>
    </row>
    <row r="35069" spans="4:8" x14ac:dyDescent="0.25">
      <c r="D35069" s="28"/>
      <c r="F35069" s="28"/>
      <c r="H35069" s="28"/>
    </row>
    <row r="35070" spans="4:8" x14ac:dyDescent="0.25">
      <c r="D35070" s="28"/>
      <c r="F35070" s="28"/>
      <c r="H35070" s="28"/>
    </row>
    <row r="35071" spans="4:8" x14ac:dyDescent="0.25">
      <c r="D35071" s="28"/>
      <c r="F35071" s="28"/>
      <c r="H35071" s="28"/>
    </row>
    <row r="35072" spans="4:8" x14ac:dyDescent="0.25">
      <c r="D35072" s="28"/>
      <c r="F35072" s="28"/>
      <c r="H35072" s="28"/>
    </row>
    <row r="35073" spans="4:8" x14ac:dyDescent="0.25">
      <c r="D35073" s="28"/>
      <c r="F35073" s="28"/>
      <c r="H35073" s="28"/>
    </row>
    <row r="35074" spans="4:8" x14ac:dyDescent="0.25">
      <c r="D35074" s="28"/>
      <c r="F35074" s="28"/>
      <c r="H35074" s="28"/>
    </row>
    <row r="35075" spans="4:8" x14ac:dyDescent="0.25">
      <c r="D35075" s="28"/>
      <c r="F35075" s="28"/>
      <c r="H35075" s="28"/>
    </row>
    <row r="35076" spans="4:8" x14ac:dyDescent="0.25">
      <c r="D35076" s="28"/>
      <c r="F35076" s="28"/>
      <c r="H35076" s="28"/>
    </row>
    <row r="35077" spans="4:8" x14ac:dyDescent="0.25">
      <c r="D35077" s="28"/>
      <c r="F35077" s="28"/>
      <c r="H35077" s="28"/>
    </row>
    <row r="35078" spans="4:8" x14ac:dyDescent="0.25">
      <c r="D35078" s="28"/>
      <c r="F35078" s="28"/>
      <c r="H35078" s="28"/>
    </row>
    <row r="35079" spans="4:8" x14ac:dyDescent="0.25">
      <c r="D35079" s="28"/>
      <c r="F35079" s="28"/>
      <c r="H35079" s="28"/>
    </row>
    <row r="35080" spans="4:8" x14ac:dyDescent="0.25">
      <c r="D35080" s="28"/>
      <c r="F35080" s="28"/>
      <c r="H35080" s="28"/>
    </row>
    <row r="35081" spans="4:8" x14ac:dyDescent="0.25">
      <c r="D35081" s="28"/>
      <c r="F35081" s="28"/>
      <c r="H35081" s="28"/>
    </row>
    <row r="35082" spans="4:8" x14ac:dyDescent="0.25">
      <c r="D35082" s="28"/>
      <c r="F35082" s="28"/>
      <c r="H35082" s="28"/>
    </row>
    <row r="35083" spans="4:8" x14ac:dyDescent="0.25">
      <c r="D35083" s="28"/>
      <c r="F35083" s="28"/>
      <c r="H35083" s="28"/>
    </row>
    <row r="35084" spans="4:8" x14ac:dyDescent="0.25">
      <c r="D35084" s="28"/>
      <c r="F35084" s="28"/>
      <c r="H35084" s="28"/>
    </row>
    <row r="35085" spans="4:8" x14ac:dyDescent="0.25">
      <c r="D35085" s="28"/>
      <c r="F35085" s="28"/>
      <c r="H35085" s="28"/>
    </row>
    <row r="35086" spans="4:8" x14ac:dyDescent="0.25">
      <c r="D35086" s="28"/>
      <c r="F35086" s="28"/>
      <c r="H35086" s="28"/>
    </row>
    <row r="35087" spans="4:8" x14ac:dyDescent="0.25">
      <c r="D35087" s="28"/>
      <c r="F35087" s="28"/>
      <c r="H35087" s="28"/>
    </row>
    <row r="35088" spans="4:8" x14ac:dyDescent="0.25">
      <c r="D35088" s="28"/>
      <c r="F35088" s="28"/>
      <c r="H35088" s="28"/>
    </row>
    <row r="35089" spans="4:8" x14ac:dyDescent="0.25">
      <c r="D35089" s="28"/>
      <c r="F35089" s="28"/>
      <c r="H35089" s="28"/>
    </row>
    <row r="35090" spans="4:8" x14ac:dyDescent="0.25">
      <c r="D35090" s="28"/>
      <c r="F35090" s="28"/>
      <c r="H35090" s="28"/>
    </row>
    <row r="35091" spans="4:8" x14ac:dyDescent="0.25">
      <c r="D35091" s="28"/>
      <c r="F35091" s="28"/>
      <c r="H35091" s="28"/>
    </row>
    <row r="35092" spans="4:8" x14ac:dyDescent="0.25">
      <c r="D35092" s="28"/>
      <c r="F35092" s="28"/>
      <c r="H35092" s="28"/>
    </row>
    <row r="35093" spans="4:8" x14ac:dyDescent="0.25">
      <c r="D35093" s="28"/>
      <c r="F35093" s="28"/>
      <c r="H35093" s="28"/>
    </row>
    <row r="35094" spans="4:8" x14ac:dyDescent="0.25">
      <c r="D35094" s="28"/>
      <c r="F35094" s="28"/>
      <c r="H35094" s="28"/>
    </row>
    <row r="35095" spans="4:8" x14ac:dyDescent="0.25">
      <c r="D35095" s="28"/>
      <c r="F35095" s="28"/>
      <c r="H35095" s="28"/>
    </row>
    <row r="35096" spans="4:8" x14ac:dyDescent="0.25">
      <c r="D35096" s="28"/>
      <c r="F35096" s="28"/>
      <c r="H35096" s="28"/>
    </row>
    <row r="35097" spans="4:8" x14ac:dyDescent="0.25">
      <c r="D35097" s="28"/>
      <c r="F35097" s="28"/>
      <c r="H35097" s="28"/>
    </row>
    <row r="35098" spans="4:8" x14ac:dyDescent="0.25">
      <c r="D35098" s="28"/>
      <c r="F35098" s="28"/>
      <c r="H35098" s="28"/>
    </row>
    <row r="35099" spans="4:8" x14ac:dyDescent="0.25">
      <c r="D35099" s="28"/>
      <c r="F35099" s="28"/>
      <c r="H35099" s="28"/>
    </row>
    <row r="35100" spans="4:8" x14ac:dyDescent="0.25">
      <c r="D35100" s="28"/>
      <c r="F35100" s="28"/>
      <c r="H35100" s="28"/>
    </row>
    <row r="35101" spans="4:8" x14ac:dyDescent="0.25">
      <c r="D35101" s="28"/>
      <c r="F35101" s="28"/>
      <c r="H35101" s="28"/>
    </row>
    <row r="35102" spans="4:8" x14ac:dyDescent="0.25">
      <c r="D35102" s="28"/>
      <c r="F35102" s="28"/>
      <c r="H35102" s="28"/>
    </row>
    <row r="35103" spans="4:8" x14ac:dyDescent="0.25">
      <c r="D35103" s="28"/>
      <c r="F35103" s="28"/>
      <c r="H35103" s="28"/>
    </row>
    <row r="35104" spans="4:8" x14ac:dyDescent="0.25">
      <c r="D35104" s="28"/>
      <c r="F35104" s="28"/>
      <c r="H35104" s="28"/>
    </row>
    <row r="35105" spans="4:8" x14ac:dyDescent="0.25">
      <c r="D35105" s="28"/>
      <c r="F35105" s="28"/>
      <c r="H35105" s="28"/>
    </row>
    <row r="35106" spans="4:8" x14ac:dyDescent="0.25">
      <c r="D35106" s="28"/>
      <c r="F35106" s="28"/>
      <c r="H35106" s="28"/>
    </row>
    <row r="35107" spans="4:8" x14ac:dyDescent="0.25">
      <c r="D35107" s="28"/>
      <c r="F35107" s="28"/>
      <c r="H35107" s="28"/>
    </row>
    <row r="35108" spans="4:8" x14ac:dyDescent="0.25">
      <c r="D35108" s="28"/>
      <c r="F35108" s="28"/>
      <c r="H35108" s="28"/>
    </row>
    <row r="35109" spans="4:8" x14ac:dyDescent="0.25">
      <c r="D35109" s="28"/>
      <c r="F35109" s="28"/>
      <c r="H35109" s="28"/>
    </row>
    <row r="35110" spans="4:8" x14ac:dyDescent="0.25">
      <c r="D35110" s="28"/>
      <c r="F35110" s="28"/>
      <c r="H35110" s="28"/>
    </row>
    <row r="35111" spans="4:8" x14ac:dyDescent="0.25">
      <c r="D35111" s="28"/>
      <c r="F35111" s="28"/>
      <c r="H35111" s="28"/>
    </row>
    <row r="35112" spans="4:8" x14ac:dyDescent="0.25">
      <c r="D35112" s="28"/>
      <c r="F35112" s="28"/>
      <c r="H35112" s="28"/>
    </row>
    <row r="35113" spans="4:8" x14ac:dyDescent="0.25">
      <c r="D35113" s="28"/>
      <c r="F35113" s="28"/>
      <c r="H35113" s="28"/>
    </row>
    <row r="35114" spans="4:8" x14ac:dyDescent="0.25">
      <c r="D35114" s="28"/>
      <c r="F35114" s="28"/>
      <c r="H35114" s="28"/>
    </row>
    <row r="35115" spans="4:8" x14ac:dyDescent="0.25">
      <c r="D35115" s="28"/>
      <c r="F35115" s="28"/>
      <c r="H35115" s="28"/>
    </row>
    <row r="35116" spans="4:8" x14ac:dyDescent="0.25">
      <c r="D35116" s="28"/>
      <c r="F35116" s="28"/>
      <c r="H35116" s="28"/>
    </row>
    <row r="35117" spans="4:8" x14ac:dyDescent="0.25">
      <c r="D35117" s="28"/>
      <c r="F35117" s="28"/>
      <c r="H35117" s="28"/>
    </row>
    <row r="35118" spans="4:8" x14ac:dyDescent="0.25">
      <c r="D35118" s="28"/>
      <c r="F35118" s="28"/>
      <c r="H35118" s="28"/>
    </row>
    <row r="35119" spans="4:8" x14ac:dyDescent="0.25">
      <c r="D35119" s="28"/>
      <c r="F35119" s="28"/>
      <c r="H35119" s="28"/>
    </row>
    <row r="35120" spans="4:8" x14ac:dyDescent="0.25">
      <c r="D35120" s="28"/>
      <c r="F35120" s="28"/>
      <c r="H35120" s="28"/>
    </row>
    <row r="35121" spans="4:8" x14ac:dyDescent="0.25">
      <c r="D35121" s="28"/>
      <c r="F35121" s="28"/>
      <c r="H35121" s="28"/>
    </row>
    <row r="35122" spans="4:8" x14ac:dyDescent="0.25">
      <c r="D35122" s="28"/>
      <c r="F35122" s="28"/>
      <c r="H35122" s="28"/>
    </row>
    <row r="35123" spans="4:8" x14ac:dyDescent="0.25">
      <c r="D35123" s="28"/>
      <c r="F35123" s="28"/>
      <c r="H35123" s="28"/>
    </row>
    <row r="35124" spans="4:8" x14ac:dyDescent="0.25">
      <c r="D35124" s="28"/>
      <c r="F35124" s="28"/>
      <c r="H35124" s="28"/>
    </row>
    <row r="35125" spans="4:8" x14ac:dyDescent="0.25">
      <c r="D35125" s="28"/>
      <c r="F35125" s="28"/>
      <c r="H35125" s="28"/>
    </row>
    <row r="35126" spans="4:8" x14ac:dyDescent="0.25">
      <c r="D35126" s="28"/>
      <c r="F35126" s="28"/>
      <c r="H35126" s="28"/>
    </row>
    <row r="35127" spans="4:8" x14ac:dyDescent="0.25">
      <c r="D35127" s="28"/>
      <c r="F35127" s="28"/>
      <c r="H35127" s="28"/>
    </row>
    <row r="35128" spans="4:8" x14ac:dyDescent="0.25">
      <c r="D35128" s="28"/>
      <c r="F35128" s="28"/>
      <c r="H35128" s="28"/>
    </row>
    <row r="35129" spans="4:8" x14ac:dyDescent="0.25">
      <c r="D35129" s="28"/>
      <c r="F35129" s="28"/>
      <c r="H35129" s="28"/>
    </row>
    <row r="35130" spans="4:8" x14ac:dyDescent="0.25">
      <c r="D35130" s="28"/>
      <c r="F35130" s="28"/>
      <c r="H35130" s="28"/>
    </row>
    <row r="35131" spans="4:8" x14ac:dyDescent="0.25">
      <c r="D35131" s="28"/>
      <c r="F35131" s="28"/>
      <c r="H35131" s="28"/>
    </row>
    <row r="35132" spans="4:8" x14ac:dyDescent="0.25">
      <c r="D35132" s="28"/>
      <c r="F35132" s="28"/>
      <c r="H35132" s="28"/>
    </row>
    <row r="35133" spans="4:8" x14ac:dyDescent="0.25">
      <c r="D35133" s="28"/>
      <c r="F35133" s="28"/>
      <c r="H35133" s="28"/>
    </row>
    <row r="35134" spans="4:8" x14ac:dyDescent="0.25">
      <c r="D35134" s="28"/>
      <c r="F35134" s="28"/>
      <c r="H35134" s="28"/>
    </row>
    <row r="35135" spans="4:8" x14ac:dyDescent="0.25">
      <c r="D35135" s="28"/>
      <c r="F35135" s="28"/>
      <c r="H35135" s="28"/>
    </row>
    <row r="35136" spans="4:8" x14ac:dyDescent="0.25">
      <c r="D35136" s="28"/>
      <c r="F35136" s="28"/>
      <c r="H35136" s="28"/>
    </row>
    <row r="35137" spans="4:8" x14ac:dyDescent="0.25">
      <c r="D35137" s="28"/>
      <c r="F35137" s="28"/>
      <c r="H35137" s="28"/>
    </row>
    <row r="35138" spans="4:8" x14ac:dyDescent="0.25">
      <c r="D35138" s="28"/>
      <c r="F35138" s="28"/>
      <c r="H35138" s="28"/>
    </row>
    <row r="35139" spans="4:8" x14ac:dyDescent="0.25">
      <c r="D35139" s="28"/>
      <c r="F35139" s="28"/>
      <c r="H35139" s="28"/>
    </row>
    <row r="35140" spans="4:8" x14ac:dyDescent="0.25">
      <c r="D35140" s="28"/>
      <c r="F35140" s="28"/>
      <c r="H35140" s="28"/>
    </row>
    <row r="35141" spans="4:8" x14ac:dyDescent="0.25">
      <c r="D35141" s="28"/>
      <c r="F35141" s="28"/>
      <c r="H35141" s="28"/>
    </row>
    <row r="35142" spans="4:8" x14ac:dyDescent="0.25">
      <c r="D35142" s="28"/>
      <c r="F35142" s="28"/>
      <c r="H35142" s="28"/>
    </row>
    <row r="35143" spans="4:8" x14ac:dyDescent="0.25">
      <c r="D35143" s="28"/>
      <c r="F35143" s="28"/>
      <c r="H35143" s="28"/>
    </row>
    <row r="35144" spans="4:8" x14ac:dyDescent="0.25">
      <c r="D35144" s="28"/>
      <c r="F35144" s="28"/>
      <c r="H35144" s="28"/>
    </row>
    <row r="35145" spans="4:8" x14ac:dyDescent="0.25">
      <c r="D35145" s="28"/>
      <c r="F35145" s="28"/>
      <c r="H35145" s="28"/>
    </row>
    <row r="35146" spans="4:8" x14ac:dyDescent="0.25">
      <c r="D35146" s="28"/>
      <c r="F35146" s="28"/>
      <c r="H35146" s="28"/>
    </row>
    <row r="35147" spans="4:8" x14ac:dyDescent="0.25">
      <c r="D35147" s="28"/>
      <c r="F35147" s="28"/>
      <c r="H35147" s="28"/>
    </row>
    <row r="35148" spans="4:8" x14ac:dyDescent="0.25">
      <c r="D35148" s="28"/>
      <c r="F35148" s="28"/>
      <c r="H35148" s="28"/>
    </row>
    <row r="35149" spans="4:8" x14ac:dyDescent="0.25">
      <c r="D35149" s="28"/>
      <c r="F35149" s="28"/>
      <c r="H35149" s="28"/>
    </row>
    <row r="35150" spans="4:8" x14ac:dyDescent="0.25">
      <c r="D35150" s="28"/>
      <c r="F35150" s="28"/>
      <c r="H35150" s="28"/>
    </row>
    <row r="35151" spans="4:8" x14ac:dyDescent="0.25">
      <c r="D35151" s="28"/>
      <c r="F35151" s="28"/>
      <c r="H35151" s="28"/>
    </row>
    <row r="35152" spans="4:8" x14ac:dyDescent="0.25">
      <c r="D35152" s="28"/>
      <c r="F35152" s="28"/>
      <c r="H35152" s="28"/>
    </row>
    <row r="35153" spans="4:8" x14ac:dyDescent="0.25">
      <c r="D35153" s="28"/>
      <c r="F35153" s="28"/>
      <c r="H35153" s="28"/>
    </row>
    <row r="35154" spans="4:8" x14ac:dyDescent="0.25">
      <c r="D35154" s="28"/>
      <c r="F35154" s="28"/>
      <c r="H35154" s="28"/>
    </row>
    <row r="35155" spans="4:8" x14ac:dyDescent="0.25">
      <c r="D35155" s="28"/>
      <c r="F35155" s="28"/>
      <c r="H35155" s="28"/>
    </row>
    <row r="35156" spans="4:8" x14ac:dyDescent="0.25">
      <c r="D35156" s="28"/>
      <c r="F35156" s="28"/>
      <c r="H35156" s="28"/>
    </row>
    <row r="35157" spans="4:8" x14ac:dyDescent="0.25">
      <c r="D35157" s="28"/>
      <c r="F35157" s="28"/>
      <c r="H35157" s="28"/>
    </row>
    <row r="35158" spans="4:8" x14ac:dyDescent="0.25">
      <c r="D35158" s="28"/>
      <c r="F35158" s="28"/>
      <c r="H35158" s="28"/>
    </row>
    <row r="35159" spans="4:8" x14ac:dyDescent="0.25">
      <c r="D35159" s="28"/>
      <c r="F35159" s="28"/>
      <c r="H35159" s="28"/>
    </row>
    <row r="35160" spans="4:8" x14ac:dyDescent="0.25">
      <c r="D35160" s="28"/>
      <c r="F35160" s="28"/>
      <c r="H35160" s="28"/>
    </row>
    <row r="35161" spans="4:8" x14ac:dyDescent="0.25">
      <c r="D35161" s="28"/>
      <c r="F35161" s="28"/>
      <c r="H35161" s="28"/>
    </row>
    <row r="35162" spans="4:8" x14ac:dyDescent="0.25">
      <c r="D35162" s="28"/>
      <c r="F35162" s="28"/>
      <c r="H35162" s="28"/>
    </row>
    <row r="35163" spans="4:8" x14ac:dyDescent="0.25">
      <c r="D35163" s="28"/>
      <c r="F35163" s="28"/>
      <c r="H35163" s="28"/>
    </row>
    <row r="35164" spans="4:8" x14ac:dyDescent="0.25">
      <c r="D35164" s="28"/>
      <c r="F35164" s="28"/>
      <c r="H35164" s="28"/>
    </row>
    <row r="35165" spans="4:8" x14ac:dyDescent="0.25">
      <c r="D35165" s="28"/>
      <c r="F35165" s="28"/>
      <c r="H35165" s="28"/>
    </row>
    <row r="35166" spans="4:8" x14ac:dyDescent="0.25">
      <c r="D35166" s="28"/>
      <c r="F35166" s="28"/>
      <c r="H35166" s="28"/>
    </row>
    <row r="35167" spans="4:8" x14ac:dyDescent="0.25">
      <c r="D35167" s="28"/>
      <c r="F35167" s="28"/>
      <c r="H35167" s="28"/>
    </row>
    <row r="35168" spans="4:8" x14ac:dyDescent="0.25">
      <c r="D35168" s="28"/>
      <c r="F35168" s="28"/>
      <c r="H35168" s="28"/>
    </row>
    <row r="35169" spans="4:8" x14ac:dyDescent="0.25">
      <c r="D35169" s="28"/>
      <c r="F35169" s="28"/>
      <c r="H35169" s="28"/>
    </row>
    <row r="35170" spans="4:8" x14ac:dyDescent="0.25">
      <c r="D35170" s="28"/>
      <c r="F35170" s="28"/>
      <c r="H35170" s="28"/>
    </row>
    <row r="35171" spans="4:8" x14ac:dyDescent="0.25">
      <c r="D35171" s="28"/>
      <c r="F35171" s="28"/>
      <c r="H35171" s="28"/>
    </row>
    <row r="35172" spans="4:8" x14ac:dyDescent="0.25">
      <c r="D35172" s="28"/>
      <c r="F35172" s="28"/>
      <c r="H35172" s="28"/>
    </row>
    <row r="35173" spans="4:8" x14ac:dyDescent="0.25">
      <c r="D35173" s="28"/>
      <c r="F35173" s="28"/>
      <c r="H35173" s="28"/>
    </row>
    <row r="35174" spans="4:8" x14ac:dyDescent="0.25">
      <c r="D35174" s="28"/>
      <c r="F35174" s="28"/>
      <c r="H35174" s="28"/>
    </row>
    <row r="35175" spans="4:8" x14ac:dyDescent="0.25">
      <c r="D35175" s="28"/>
      <c r="F35175" s="28"/>
      <c r="H35175" s="28"/>
    </row>
    <row r="35176" spans="4:8" x14ac:dyDescent="0.25">
      <c r="D35176" s="28"/>
      <c r="F35176" s="28"/>
      <c r="H35176" s="28"/>
    </row>
    <row r="35177" spans="4:8" x14ac:dyDescent="0.25">
      <c r="D35177" s="28"/>
      <c r="F35177" s="28"/>
      <c r="H35177" s="28"/>
    </row>
    <row r="35178" spans="4:8" x14ac:dyDescent="0.25">
      <c r="D35178" s="28"/>
      <c r="F35178" s="28"/>
      <c r="H35178" s="28"/>
    </row>
    <row r="35179" spans="4:8" x14ac:dyDescent="0.25">
      <c r="D35179" s="28"/>
      <c r="F35179" s="28"/>
      <c r="H35179" s="28"/>
    </row>
    <row r="35180" spans="4:8" x14ac:dyDescent="0.25">
      <c r="D35180" s="28"/>
      <c r="F35180" s="28"/>
      <c r="H35180" s="28"/>
    </row>
    <row r="35181" spans="4:8" x14ac:dyDescent="0.25">
      <c r="D35181" s="28"/>
      <c r="F35181" s="28"/>
      <c r="H35181" s="28"/>
    </row>
    <row r="35182" spans="4:8" x14ac:dyDescent="0.25">
      <c r="D35182" s="28"/>
      <c r="F35182" s="28"/>
      <c r="H35182" s="28"/>
    </row>
    <row r="35183" spans="4:8" x14ac:dyDescent="0.25">
      <c r="D35183" s="28"/>
      <c r="F35183" s="28"/>
      <c r="H35183" s="28"/>
    </row>
    <row r="35184" spans="4:8" x14ac:dyDescent="0.25">
      <c r="D35184" s="28"/>
      <c r="F35184" s="28"/>
      <c r="H35184" s="28"/>
    </row>
    <row r="35185" spans="4:8" x14ac:dyDescent="0.25">
      <c r="D35185" s="28"/>
      <c r="F35185" s="28"/>
      <c r="H35185" s="28"/>
    </row>
    <row r="35186" spans="4:8" x14ac:dyDescent="0.25">
      <c r="D35186" s="28"/>
      <c r="F35186" s="28"/>
      <c r="H35186" s="28"/>
    </row>
    <row r="35187" spans="4:8" x14ac:dyDescent="0.25">
      <c r="D35187" s="28"/>
      <c r="F35187" s="28"/>
      <c r="H35187" s="28"/>
    </row>
    <row r="35188" spans="4:8" x14ac:dyDescent="0.25">
      <c r="D35188" s="28"/>
      <c r="F35188" s="28"/>
      <c r="H35188" s="28"/>
    </row>
    <row r="35189" spans="4:8" x14ac:dyDescent="0.25">
      <c r="D35189" s="28"/>
      <c r="F35189" s="28"/>
      <c r="H35189" s="28"/>
    </row>
    <row r="35190" spans="4:8" x14ac:dyDescent="0.25">
      <c r="D35190" s="28"/>
      <c r="F35190" s="28"/>
      <c r="H35190" s="28"/>
    </row>
    <row r="35191" spans="4:8" x14ac:dyDescent="0.25">
      <c r="D35191" s="28"/>
      <c r="F35191" s="28"/>
      <c r="H35191" s="28"/>
    </row>
    <row r="35192" spans="4:8" x14ac:dyDescent="0.25">
      <c r="D35192" s="28"/>
      <c r="F35192" s="28"/>
      <c r="H35192" s="28"/>
    </row>
    <row r="35193" spans="4:8" x14ac:dyDescent="0.25">
      <c r="D35193" s="28"/>
      <c r="F35193" s="28"/>
      <c r="H35193" s="28"/>
    </row>
    <row r="35194" spans="4:8" x14ac:dyDescent="0.25">
      <c r="D35194" s="28"/>
      <c r="F35194" s="28"/>
      <c r="H35194" s="28"/>
    </row>
    <row r="35195" spans="4:8" x14ac:dyDescent="0.25">
      <c r="D35195" s="28"/>
      <c r="F35195" s="28"/>
      <c r="H35195" s="28"/>
    </row>
    <row r="35196" spans="4:8" x14ac:dyDescent="0.25">
      <c r="D35196" s="28"/>
      <c r="F35196" s="28"/>
      <c r="H35196" s="28"/>
    </row>
    <row r="35197" spans="4:8" x14ac:dyDescent="0.25">
      <c r="D35197" s="28"/>
      <c r="F35197" s="28"/>
      <c r="H35197" s="28"/>
    </row>
    <row r="35198" spans="4:8" x14ac:dyDescent="0.25">
      <c r="D35198" s="28"/>
      <c r="F35198" s="28"/>
      <c r="H35198" s="28"/>
    </row>
    <row r="35199" spans="4:8" x14ac:dyDescent="0.25">
      <c r="D35199" s="28"/>
      <c r="F35199" s="28"/>
      <c r="H35199" s="28"/>
    </row>
    <row r="35200" spans="4:8" x14ac:dyDescent="0.25">
      <c r="D35200" s="28"/>
      <c r="F35200" s="28"/>
      <c r="H35200" s="28"/>
    </row>
    <row r="35201" spans="4:8" x14ac:dyDescent="0.25">
      <c r="D35201" s="28"/>
      <c r="F35201" s="28"/>
      <c r="H35201" s="28"/>
    </row>
    <row r="35202" spans="4:8" x14ac:dyDescent="0.25">
      <c r="D35202" s="28"/>
      <c r="F35202" s="28"/>
      <c r="H35202" s="28"/>
    </row>
    <row r="35203" spans="4:8" x14ac:dyDescent="0.25">
      <c r="D35203" s="28"/>
      <c r="F35203" s="28"/>
      <c r="H35203" s="28"/>
    </row>
    <row r="35204" spans="4:8" x14ac:dyDescent="0.25">
      <c r="D35204" s="28"/>
      <c r="F35204" s="28"/>
      <c r="H35204" s="28"/>
    </row>
    <row r="35205" spans="4:8" x14ac:dyDescent="0.25">
      <c r="D35205" s="28"/>
      <c r="F35205" s="28"/>
      <c r="H35205" s="28"/>
    </row>
    <row r="35206" spans="4:8" x14ac:dyDescent="0.25">
      <c r="D35206" s="28"/>
      <c r="F35206" s="28"/>
      <c r="H35206" s="28"/>
    </row>
    <row r="35207" spans="4:8" x14ac:dyDescent="0.25">
      <c r="D35207" s="28"/>
      <c r="F35207" s="28"/>
      <c r="H35207" s="28"/>
    </row>
    <row r="35208" spans="4:8" x14ac:dyDescent="0.25">
      <c r="D35208" s="28"/>
      <c r="F35208" s="28"/>
      <c r="H35208" s="28"/>
    </row>
    <row r="35209" spans="4:8" x14ac:dyDescent="0.25">
      <c r="D35209" s="28"/>
      <c r="F35209" s="28"/>
      <c r="H35209" s="28"/>
    </row>
    <row r="35210" spans="4:8" x14ac:dyDescent="0.25">
      <c r="D35210" s="28"/>
      <c r="F35210" s="28"/>
      <c r="H35210" s="28"/>
    </row>
    <row r="35211" spans="4:8" x14ac:dyDescent="0.25">
      <c r="D35211" s="28"/>
      <c r="F35211" s="28"/>
      <c r="H35211" s="28"/>
    </row>
    <row r="35212" spans="4:8" x14ac:dyDescent="0.25">
      <c r="D35212" s="28"/>
      <c r="F35212" s="28"/>
      <c r="H35212" s="28"/>
    </row>
    <row r="35213" spans="4:8" x14ac:dyDescent="0.25">
      <c r="D35213" s="28"/>
      <c r="F35213" s="28"/>
      <c r="H35213" s="28"/>
    </row>
    <row r="35214" spans="4:8" x14ac:dyDescent="0.25">
      <c r="D35214" s="28"/>
      <c r="F35214" s="28"/>
      <c r="H35214" s="28"/>
    </row>
    <row r="35215" spans="4:8" x14ac:dyDescent="0.25">
      <c r="D35215" s="28"/>
      <c r="F35215" s="28"/>
      <c r="H35215" s="28"/>
    </row>
    <row r="35216" spans="4:8" x14ac:dyDescent="0.25">
      <c r="D35216" s="28"/>
      <c r="F35216" s="28"/>
      <c r="H35216" s="28"/>
    </row>
    <row r="35217" spans="4:8" x14ac:dyDescent="0.25">
      <c r="D35217" s="28"/>
      <c r="F35217" s="28"/>
      <c r="H35217" s="28"/>
    </row>
    <row r="35218" spans="4:8" x14ac:dyDescent="0.25">
      <c r="D35218" s="28"/>
      <c r="F35218" s="28"/>
      <c r="H35218" s="28"/>
    </row>
    <row r="35219" spans="4:8" x14ac:dyDescent="0.25">
      <c r="D35219" s="28"/>
      <c r="F35219" s="28"/>
      <c r="H35219" s="28"/>
    </row>
    <row r="35220" spans="4:8" x14ac:dyDescent="0.25">
      <c r="D35220" s="28"/>
      <c r="F35220" s="28"/>
      <c r="H35220" s="28"/>
    </row>
    <row r="35221" spans="4:8" x14ac:dyDescent="0.25">
      <c r="D35221" s="28"/>
      <c r="F35221" s="28"/>
      <c r="H35221" s="28"/>
    </row>
    <row r="35222" spans="4:8" x14ac:dyDescent="0.25">
      <c r="D35222" s="28"/>
      <c r="F35222" s="28"/>
      <c r="H35222" s="28"/>
    </row>
    <row r="35223" spans="4:8" x14ac:dyDescent="0.25">
      <c r="D35223" s="28"/>
      <c r="F35223" s="28"/>
      <c r="H35223" s="28"/>
    </row>
    <row r="35224" spans="4:8" x14ac:dyDescent="0.25">
      <c r="D35224" s="28"/>
      <c r="F35224" s="28"/>
      <c r="H35224" s="28"/>
    </row>
    <row r="35225" spans="4:8" x14ac:dyDescent="0.25">
      <c r="D35225" s="28"/>
      <c r="F35225" s="28"/>
      <c r="H35225" s="28"/>
    </row>
    <row r="35226" spans="4:8" x14ac:dyDescent="0.25">
      <c r="D35226" s="28"/>
      <c r="F35226" s="28"/>
      <c r="H35226" s="28"/>
    </row>
    <row r="35227" spans="4:8" x14ac:dyDescent="0.25">
      <c r="D35227" s="28"/>
      <c r="F35227" s="28"/>
      <c r="H35227" s="28"/>
    </row>
    <row r="35228" spans="4:8" x14ac:dyDescent="0.25">
      <c r="D35228" s="28"/>
      <c r="F35228" s="28"/>
      <c r="H35228" s="28"/>
    </row>
    <row r="35229" spans="4:8" x14ac:dyDescent="0.25">
      <c r="D35229" s="28"/>
      <c r="F35229" s="28"/>
      <c r="H35229" s="28"/>
    </row>
    <row r="35230" spans="4:8" x14ac:dyDescent="0.25">
      <c r="D35230" s="28"/>
      <c r="F35230" s="28"/>
      <c r="H35230" s="28"/>
    </row>
    <row r="35231" spans="4:8" x14ac:dyDescent="0.25">
      <c r="D35231" s="28"/>
      <c r="F35231" s="28"/>
      <c r="H35231" s="28"/>
    </row>
    <row r="35232" spans="4:8" x14ac:dyDescent="0.25">
      <c r="D35232" s="28"/>
      <c r="F35232" s="28"/>
      <c r="H35232" s="28"/>
    </row>
    <row r="35233" spans="4:8" x14ac:dyDescent="0.25">
      <c r="D35233" s="28"/>
      <c r="F35233" s="28"/>
      <c r="H35233" s="28"/>
    </row>
    <row r="35234" spans="4:8" x14ac:dyDescent="0.25">
      <c r="D35234" s="28"/>
      <c r="F35234" s="28"/>
      <c r="H35234" s="28"/>
    </row>
    <row r="35235" spans="4:8" x14ac:dyDescent="0.25">
      <c r="D35235" s="28"/>
      <c r="F35235" s="28"/>
      <c r="H35235" s="28"/>
    </row>
    <row r="35236" spans="4:8" x14ac:dyDescent="0.25">
      <c r="D35236" s="28"/>
      <c r="F35236" s="28"/>
      <c r="H35236" s="28"/>
    </row>
    <row r="35237" spans="4:8" x14ac:dyDescent="0.25">
      <c r="D35237" s="28"/>
      <c r="F35237" s="28"/>
      <c r="H35237" s="28"/>
    </row>
    <row r="35238" spans="4:8" x14ac:dyDescent="0.25">
      <c r="D35238" s="28"/>
      <c r="F35238" s="28"/>
      <c r="H35238" s="28"/>
    </row>
    <row r="35239" spans="4:8" x14ac:dyDescent="0.25">
      <c r="D35239" s="28"/>
      <c r="F35239" s="28"/>
      <c r="H35239" s="28"/>
    </row>
    <row r="35240" spans="4:8" x14ac:dyDescent="0.25">
      <c r="D35240" s="28"/>
      <c r="F35240" s="28"/>
      <c r="H35240" s="28"/>
    </row>
    <row r="35241" spans="4:8" x14ac:dyDescent="0.25">
      <c r="D35241" s="28"/>
      <c r="F35241" s="28"/>
      <c r="H35241" s="28"/>
    </row>
    <row r="35242" spans="4:8" x14ac:dyDescent="0.25">
      <c r="D35242" s="28"/>
      <c r="F35242" s="28"/>
      <c r="H35242" s="28"/>
    </row>
    <row r="35243" spans="4:8" x14ac:dyDescent="0.25">
      <c r="D35243" s="28"/>
      <c r="F35243" s="28"/>
      <c r="H35243" s="28"/>
    </row>
    <row r="35244" spans="4:8" x14ac:dyDescent="0.25">
      <c r="D35244" s="28"/>
      <c r="F35244" s="28"/>
      <c r="H35244" s="28"/>
    </row>
    <row r="35245" spans="4:8" x14ac:dyDescent="0.25">
      <c r="D35245" s="28"/>
      <c r="F35245" s="28"/>
      <c r="H35245" s="28"/>
    </row>
    <row r="35246" spans="4:8" x14ac:dyDescent="0.25">
      <c r="D35246" s="28"/>
      <c r="F35246" s="28"/>
      <c r="H35246" s="28"/>
    </row>
    <row r="35247" spans="4:8" x14ac:dyDescent="0.25">
      <c r="D35247" s="28"/>
      <c r="F35247" s="28"/>
      <c r="H35247" s="28"/>
    </row>
    <row r="35248" spans="4:8" x14ac:dyDescent="0.25">
      <c r="D35248" s="28"/>
      <c r="F35248" s="28"/>
      <c r="H35248" s="28"/>
    </row>
    <row r="35249" spans="4:8" x14ac:dyDescent="0.25">
      <c r="D35249" s="28"/>
      <c r="F35249" s="28"/>
      <c r="H35249" s="28"/>
    </row>
    <row r="35250" spans="4:8" x14ac:dyDescent="0.25">
      <c r="D35250" s="28"/>
      <c r="F35250" s="28"/>
      <c r="H35250" s="28"/>
    </row>
    <row r="35251" spans="4:8" x14ac:dyDescent="0.25">
      <c r="D35251" s="28"/>
      <c r="F35251" s="28"/>
      <c r="H35251" s="28"/>
    </row>
    <row r="35252" spans="4:8" x14ac:dyDescent="0.25">
      <c r="D35252" s="28"/>
      <c r="F35252" s="28"/>
      <c r="H35252" s="28"/>
    </row>
    <row r="35253" spans="4:8" x14ac:dyDescent="0.25">
      <c r="D35253" s="28"/>
      <c r="F35253" s="28"/>
      <c r="H35253" s="28"/>
    </row>
    <row r="35254" spans="4:8" x14ac:dyDescent="0.25">
      <c r="D35254" s="28"/>
      <c r="F35254" s="28"/>
      <c r="H35254" s="28"/>
    </row>
    <row r="35255" spans="4:8" x14ac:dyDescent="0.25">
      <c r="D35255" s="28"/>
      <c r="F35255" s="28"/>
      <c r="H35255" s="28"/>
    </row>
    <row r="35256" spans="4:8" x14ac:dyDescent="0.25">
      <c r="D35256" s="28"/>
      <c r="F35256" s="28"/>
      <c r="H35256" s="28"/>
    </row>
    <row r="35257" spans="4:8" x14ac:dyDescent="0.25">
      <c r="D35257" s="28"/>
      <c r="F35257" s="28"/>
      <c r="H35257" s="28"/>
    </row>
    <row r="35258" spans="4:8" x14ac:dyDescent="0.25">
      <c r="D35258" s="28"/>
      <c r="F35258" s="28"/>
      <c r="H35258" s="28"/>
    </row>
    <row r="35259" spans="4:8" x14ac:dyDescent="0.25">
      <c r="D35259" s="28"/>
      <c r="F35259" s="28"/>
      <c r="H35259" s="28"/>
    </row>
    <row r="35260" spans="4:8" x14ac:dyDescent="0.25">
      <c r="D35260" s="28"/>
      <c r="F35260" s="28"/>
      <c r="H35260" s="28"/>
    </row>
    <row r="35261" spans="4:8" x14ac:dyDescent="0.25">
      <c r="D35261" s="28"/>
      <c r="F35261" s="28"/>
      <c r="H35261" s="28"/>
    </row>
    <row r="35262" spans="4:8" x14ac:dyDescent="0.25">
      <c r="D35262" s="28"/>
      <c r="F35262" s="28"/>
      <c r="H35262" s="28"/>
    </row>
    <row r="35263" spans="4:8" x14ac:dyDescent="0.25">
      <c r="D35263" s="28"/>
      <c r="F35263" s="28"/>
      <c r="H35263" s="28"/>
    </row>
    <row r="35264" spans="4:8" x14ac:dyDescent="0.25">
      <c r="D35264" s="28"/>
      <c r="F35264" s="28"/>
      <c r="H35264" s="28"/>
    </row>
    <row r="35265" spans="4:8" x14ac:dyDescent="0.25">
      <c r="D35265" s="28"/>
      <c r="F35265" s="28"/>
      <c r="H35265" s="28"/>
    </row>
    <row r="35266" spans="4:8" x14ac:dyDescent="0.25">
      <c r="D35266" s="28"/>
      <c r="F35266" s="28"/>
      <c r="H35266" s="28"/>
    </row>
    <row r="35267" spans="4:8" x14ac:dyDescent="0.25">
      <c r="D35267" s="28"/>
      <c r="F35267" s="28"/>
      <c r="H35267" s="28"/>
    </row>
    <row r="35268" spans="4:8" x14ac:dyDescent="0.25">
      <c r="D35268" s="28"/>
      <c r="F35268" s="28"/>
      <c r="H35268" s="28"/>
    </row>
    <row r="35269" spans="4:8" x14ac:dyDescent="0.25">
      <c r="D35269" s="28"/>
      <c r="F35269" s="28"/>
      <c r="H35269" s="28"/>
    </row>
    <row r="35270" spans="4:8" x14ac:dyDescent="0.25">
      <c r="D35270" s="28"/>
      <c r="F35270" s="28"/>
      <c r="H35270" s="28"/>
    </row>
    <row r="35271" spans="4:8" x14ac:dyDescent="0.25">
      <c r="D35271" s="28"/>
      <c r="F35271" s="28"/>
      <c r="H35271" s="28"/>
    </row>
    <row r="35272" spans="4:8" x14ac:dyDescent="0.25">
      <c r="D35272" s="28"/>
      <c r="F35272" s="28"/>
      <c r="H35272" s="28"/>
    </row>
    <row r="35273" spans="4:8" x14ac:dyDescent="0.25">
      <c r="D35273" s="28"/>
      <c r="F35273" s="28"/>
      <c r="H35273" s="28"/>
    </row>
    <row r="35274" spans="4:8" x14ac:dyDescent="0.25">
      <c r="D35274" s="28"/>
      <c r="F35274" s="28"/>
      <c r="H35274" s="28"/>
    </row>
    <row r="35275" spans="4:8" x14ac:dyDescent="0.25">
      <c r="D35275" s="28"/>
      <c r="F35275" s="28"/>
      <c r="H35275" s="28"/>
    </row>
    <row r="35276" spans="4:8" x14ac:dyDescent="0.25">
      <c r="D35276" s="28"/>
      <c r="F35276" s="28"/>
      <c r="H35276" s="28"/>
    </row>
    <row r="35277" spans="4:8" x14ac:dyDescent="0.25">
      <c r="D35277" s="28"/>
      <c r="F35277" s="28"/>
      <c r="H35277" s="28"/>
    </row>
    <row r="35278" spans="4:8" x14ac:dyDescent="0.25">
      <c r="D35278" s="28"/>
      <c r="F35278" s="28"/>
      <c r="H35278" s="28"/>
    </row>
    <row r="35279" spans="4:8" x14ac:dyDescent="0.25">
      <c r="D35279" s="28"/>
      <c r="F35279" s="28"/>
      <c r="H35279" s="28"/>
    </row>
    <row r="35280" spans="4:8" x14ac:dyDescent="0.25">
      <c r="D35280" s="28"/>
      <c r="F35280" s="28"/>
      <c r="H35280" s="28"/>
    </row>
    <row r="35281" spans="4:8" x14ac:dyDescent="0.25">
      <c r="D35281" s="28"/>
      <c r="F35281" s="28"/>
      <c r="H35281" s="28"/>
    </row>
    <row r="35282" spans="4:8" x14ac:dyDescent="0.25">
      <c r="D35282" s="28"/>
      <c r="F35282" s="28"/>
      <c r="H35282" s="28"/>
    </row>
    <row r="35283" spans="4:8" x14ac:dyDescent="0.25">
      <c r="D35283" s="28"/>
      <c r="F35283" s="28"/>
      <c r="H35283" s="28"/>
    </row>
    <row r="35284" spans="4:8" x14ac:dyDescent="0.25">
      <c r="D35284" s="28"/>
      <c r="F35284" s="28"/>
      <c r="H35284" s="28"/>
    </row>
    <row r="35285" spans="4:8" x14ac:dyDescent="0.25">
      <c r="D35285" s="28"/>
      <c r="F35285" s="28"/>
      <c r="H35285" s="28"/>
    </row>
    <row r="35286" spans="4:8" x14ac:dyDescent="0.25">
      <c r="D35286" s="28"/>
      <c r="F35286" s="28"/>
      <c r="H35286" s="28"/>
    </row>
    <row r="35287" spans="4:8" x14ac:dyDescent="0.25">
      <c r="D35287" s="28"/>
      <c r="F35287" s="28"/>
      <c r="H35287" s="28"/>
    </row>
    <row r="35288" spans="4:8" x14ac:dyDescent="0.25">
      <c r="D35288" s="28"/>
      <c r="F35288" s="28"/>
      <c r="H35288" s="28"/>
    </row>
    <row r="35289" spans="4:8" x14ac:dyDescent="0.25">
      <c r="D35289" s="28"/>
      <c r="F35289" s="28"/>
      <c r="H35289" s="28"/>
    </row>
    <row r="35290" spans="4:8" x14ac:dyDescent="0.25">
      <c r="D35290" s="28"/>
      <c r="F35290" s="28"/>
      <c r="H35290" s="28"/>
    </row>
    <row r="35291" spans="4:8" x14ac:dyDescent="0.25">
      <c r="D35291" s="28"/>
      <c r="F35291" s="28"/>
      <c r="H35291" s="28"/>
    </row>
    <row r="35292" spans="4:8" x14ac:dyDescent="0.25">
      <c r="D35292" s="28"/>
      <c r="F35292" s="28"/>
      <c r="H35292" s="28"/>
    </row>
    <row r="35293" spans="4:8" x14ac:dyDescent="0.25">
      <c r="D35293" s="28"/>
      <c r="F35293" s="28"/>
      <c r="H35293" s="28"/>
    </row>
    <row r="35294" spans="4:8" x14ac:dyDescent="0.25">
      <c r="D35294" s="28"/>
      <c r="F35294" s="28"/>
      <c r="H35294" s="28"/>
    </row>
    <row r="35295" spans="4:8" x14ac:dyDescent="0.25">
      <c r="D35295" s="28"/>
      <c r="F35295" s="28"/>
      <c r="H35295" s="28"/>
    </row>
    <row r="35296" spans="4:8" x14ac:dyDescent="0.25">
      <c r="D35296" s="28"/>
      <c r="F35296" s="28"/>
      <c r="H35296" s="28"/>
    </row>
    <row r="35297" spans="4:8" x14ac:dyDescent="0.25">
      <c r="D35297" s="28"/>
      <c r="F35297" s="28"/>
      <c r="H35297" s="28"/>
    </row>
    <row r="35298" spans="4:8" x14ac:dyDescent="0.25">
      <c r="D35298" s="28"/>
      <c r="F35298" s="28"/>
      <c r="H35298" s="28"/>
    </row>
    <row r="35299" spans="4:8" x14ac:dyDescent="0.25">
      <c r="D35299" s="28"/>
      <c r="F35299" s="28"/>
      <c r="H35299" s="28"/>
    </row>
    <row r="35300" spans="4:8" x14ac:dyDescent="0.25">
      <c r="D35300" s="28"/>
      <c r="F35300" s="28"/>
      <c r="H35300" s="28"/>
    </row>
    <row r="35301" spans="4:8" x14ac:dyDescent="0.25">
      <c r="D35301" s="28"/>
      <c r="F35301" s="28"/>
      <c r="H35301" s="28"/>
    </row>
    <row r="35302" spans="4:8" x14ac:dyDescent="0.25">
      <c r="D35302" s="28"/>
      <c r="F35302" s="28"/>
      <c r="H35302" s="28"/>
    </row>
    <row r="35303" spans="4:8" x14ac:dyDescent="0.25">
      <c r="D35303" s="28"/>
      <c r="F35303" s="28"/>
      <c r="H35303" s="28"/>
    </row>
    <row r="35304" spans="4:8" x14ac:dyDescent="0.25">
      <c r="D35304" s="28"/>
      <c r="F35304" s="28"/>
      <c r="H35304" s="28"/>
    </row>
    <row r="35305" spans="4:8" x14ac:dyDescent="0.25">
      <c r="D35305" s="28"/>
      <c r="F35305" s="28"/>
      <c r="H35305" s="28"/>
    </row>
    <row r="35306" spans="4:8" x14ac:dyDescent="0.25">
      <c r="D35306" s="28"/>
      <c r="F35306" s="28"/>
      <c r="H35306" s="28"/>
    </row>
    <row r="35307" spans="4:8" x14ac:dyDescent="0.25">
      <c r="D35307" s="28"/>
      <c r="F35307" s="28"/>
      <c r="H35307" s="28"/>
    </row>
    <row r="35308" spans="4:8" x14ac:dyDescent="0.25">
      <c r="D35308" s="28"/>
      <c r="F35308" s="28"/>
      <c r="H35308" s="28"/>
    </row>
    <row r="35309" spans="4:8" x14ac:dyDescent="0.25">
      <c r="D35309" s="28"/>
      <c r="F35309" s="28"/>
      <c r="H35309" s="28"/>
    </row>
    <row r="35310" spans="4:8" x14ac:dyDescent="0.25">
      <c r="D35310" s="28"/>
      <c r="F35310" s="28"/>
      <c r="H35310" s="28"/>
    </row>
    <row r="35311" spans="4:8" x14ac:dyDescent="0.25">
      <c r="D35311" s="28"/>
      <c r="F35311" s="28"/>
      <c r="H35311" s="28"/>
    </row>
    <row r="35312" spans="4:8" x14ac:dyDescent="0.25">
      <c r="D35312" s="28"/>
      <c r="F35312" s="28"/>
      <c r="H35312" s="28"/>
    </row>
    <row r="35313" spans="4:8" x14ac:dyDescent="0.25">
      <c r="D35313" s="28"/>
      <c r="F35313" s="28"/>
      <c r="H35313" s="28"/>
    </row>
    <row r="35314" spans="4:8" x14ac:dyDescent="0.25">
      <c r="D35314" s="28"/>
      <c r="F35314" s="28"/>
      <c r="H35314" s="28"/>
    </row>
    <row r="35315" spans="4:8" x14ac:dyDescent="0.25">
      <c r="D35315" s="28"/>
      <c r="F35315" s="28"/>
      <c r="H35315" s="28"/>
    </row>
    <row r="35316" spans="4:8" x14ac:dyDescent="0.25">
      <c r="D35316" s="28"/>
      <c r="F35316" s="28"/>
      <c r="H35316" s="28"/>
    </row>
    <row r="35317" spans="4:8" x14ac:dyDescent="0.25">
      <c r="D35317" s="28"/>
      <c r="F35317" s="28"/>
      <c r="H35317" s="28"/>
    </row>
    <row r="35318" spans="4:8" x14ac:dyDescent="0.25">
      <c r="D35318" s="28"/>
      <c r="F35318" s="28"/>
      <c r="H35318" s="28"/>
    </row>
    <row r="35319" spans="4:8" x14ac:dyDescent="0.25">
      <c r="D35319" s="28"/>
      <c r="F35319" s="28"/>
      <c r="H35319" s="28"/>
    </row>
    <row r="35320" spans="4:8" x14ac:dyDescent="0.25">
      <c r="D35320" s="28"/>
      <c r="F35320" s="28"/>
      <c r="H35320" s="28"/>
    </row>
    <row r="35321" spans="4:8" x14ac:dyDescent="0.25">
      <c r="D35321" s="28"/>
      <c r="F35321" s="28"/>
      <c r="H35321" s="28"/>
    </row>
    <row r="35322" spans="4:8" x14ac:dyDescent="0.25">
      <c r="D35322" s="28"/>
      <c r="F35322" s="28"/>
      <c r="H35322" s="28"/>
    </row>
    <row r="35323" spans="4:8" x14ac:dyDescent="0.25">
      <c r="D35323" s="28"/>
      <c r="F35323" s="28"/>
      <c r="H35323" s="28"/>
    </row>
    <row r="35324" spans="4:8" x14ac:dyDescent="0.25">
      <c r="D35324" s="28"/>
      <c r="F35324" s="28"/>
      <c r="H35324" s="28"/>
    </row>
    <row r="35325" spans="4:8" x14ac:dyDescent="0.25">
      <c r="D35325" s="28"/>
      <c r="F35325" s="28"/>
      <c r="H35325" s="28"/>
    </row>
    <row r="35326" spans="4:8" x14ac:dyDescent="0.25">
      <c r="D35326" s="28"/>
      <c r="F35326" s="28"/>
      <c r="H35326" s="28"/>
    </row>
    <row r="35327" spans="4:8" x14ac:dyDescent="0.25">
      <c r="D35327" s="28"/>
      <c r="F35327" s="28"/>
      <c r="H35327" s="28"/>
    </row>
    <row r="35328" spans="4:8" x14ac:dyDescent="0.25">
      <c r="D35328" s="28"/>
      <c r="F35328" s="28"/>
      <c r="H35328" s="28"/>
    </row>
    <row r="35329" spans="4:8" x14ac:dyDescent="0.25">
      <c r="D35329" s="28"/>
      <c r="F35329" s="28"/>
      <c r="H35329" s="28"/>
    </row>
    <row r="35330" spans="4:8" x14ac:dyDescent="0.25">
      <c r="D35330" s="28"/>
      <c r="F35330" s="28"/>
      <c r="H35330" s="28"/>
    </row>
    <row r="35331" spans="4:8" x14ac:dyDescent="0.25">
      <c r="D35331" s="28"/>
      <c r="F35331" s="28"/>
      <c r="H35331" s="28"/>
    </row>
    <row r="35332" spans="4:8" x14ac:dyDescent="0.25">
      <c r="D35332" s="28"/>
      <c r="F35332" s="28"/>
      <c r="H35332" s="28"/>
    </row>
    <row r="35333" spans="4:8" x14ac:dyDescent="0.25">
      <c r="D35333" s="28"/>
      <c r="F35333" s="28"/>
      <c r="H35333" s="28"/>
    </row>
    <row r="35334" spans="4:8" x14ac:dyDescent="0.25">
      <c r="D35334" s="28"/>
      <c r="F35334" s="28"/>
      <c r="H35334" s="28"/>
    </row>
    <row r="35335" spans="4:8" x14ac:dyDescent="0.25">
      <c r="D35335" s="28"/>
      <c r="F35335" s="28"/>
      <c r="H35335" s="28"/>
    </row>
    <row r="35336" spans="4:8" x14ac:dyDescent="0.25">
      <c r="D35336" s="28"/>
      <c r="F35336" s="28"/>
      <c r="H35336" s="28"/>
    </row>
    <row r="35337" spans="4:8" x14ac:dyDescent="0.25">
      <c r="D35337" s="28"/>
      <c r="F35337" s="28"/>
      <c r="H35337" s="28"/>
    </row>
    <row r="35338" spans="4:8" x14ac:dyDescent="0.25">
      <c r="D35338" s="28"/>
      <c r="F35338" s="28"/>
      <c r="H35338" s="28"/>
    </row>
    <row r="35339" spans="4:8" x14ac:dyDescent="0.25">
      <c r="D35339" s="28"/>
      <c r="F35339" s="28"/>
      <c r="H35339" s="28"/>
    </row>
    <row r="35340" spans="4:8" x14ac:dyDescent="0.25">
      <c r="D35340" s="28"/>
      <c r="F35340" s="28"/>
      <c r="H35340" s="28"/>
    </row>
    <row r="35341" spans="4:8" x14ac:dyDescent="0.25">
      <c r="D35341" s="28"/>
      <c r="F35341" s="28"/>
      <c r="H35341" s="28"/>
    </row>
    <row r="35342" spans="4:8" x14ac:dyDescent="0.25">
      <c r="D35342" s="28"/>
      <c r="F35342" s="28"/>
      <c r="H35342" s="28"/>
    </row>
    <row r="35343" spans="4:8" x14ac:dyDescent="0.25">
      <c r="D35343" s="28"/>
      <c r="F35343" s="28"/>
      <c r="H35343" s="28"/>
    </row>
    <row r="35344" spans="4:8" x14ac:dyDescent="0.25">
      <c r="D35344" s="28"/>
      <c r="F35344" s="28"/>
      <c r="H35344" s="28"/>
    </row>
    <row r="35345" spans="4:8" x14ac:dyDescent="0.25">
      <c r="D35345" s="28"/>
      <c r="F35345" s="28"/>
      <c r="H35345" s="28"/>
    </row>
    <row r="35346" spans="4:8" x14ac:dyDescent="0.25">
      <c r="D35346" s="28"/>
      <c r="F35346" s="28"/>
      <c r="H35346" s="28"/>
    </row>
    <row r="35347" spans="4:8" x14ac:dyDescent="0.25">
      <c r="D35347" s="28"/>
      <c r="F35347" s="28"/>
      <c r="H35347" s="28"/>
    </row>
    <row r="35348" spans="4:8" x14ac:dyDescent="0.25">
      <c r="D35348" s="28"/>
      <c r="F35348" s="28"/>
      <c r="H35348" s="28"/>
    </row>
    <row r="35349" spans="4:8" x14ac:dyDescent="0.25">
      <c r="D35349" s="28"/>
      <c r="F35349" s="28"/>
      <c r="H35349" s="28"/>
    </row>
    <row r="35350" spans="4:8" x14ac:dyDescent="0.25">
      <c r="D35350" s="28"/>
      <c r="F35350" s="28"/>
      <c r="H35350" s="28"/>
    </row>
    <row r="35351" spans="4:8" x14ac:dyDescent="0.25">
      <c r="D35351" s="28"/>
      <c r="F35351" s="28"/>
      <c r="H35351" s="28"/>
    </row>
    <row r="35352" spans="4:8" x14ac:dyDescent="0.25">
      <c r="D35352" s="28"/>
      <c r="F35352" s="28"/>
      <c r="H35352" s="28"/>
    </row>
    <row r="35353" spans="4:8" x14ac:dyDescent="0.25">
      <c r="D35353" s="28"/>
      <c r="F35353" s="28"/>
      <c r="H35353" s="28"/>
    </row>
    <row r="35354" spans="4:8" x14ac:dyDescent="0.25">
      <c r="D35354" s="28"/>
      <c r="F35354" s="28"/>
      <c r="H35354" s="28"/>
    </row>
    <row r="35355" spans="4:8" x14ac:dyDescent="0.25">
      <c r="D35355" s="28"/>
      <c r="F35355" s="28"/>
      <c r="H35355" s="28"/>
    </row>
    <row r="35356" spans="4:8" x14ac:dyDescent="0.25">
      <c r="D35356" s="28"/>
      <c r="F35356" s="28"/>
      <c r="H35356" s="28"/>
    </row>
    <row r="35357" spans="4:8" x14ac:dyDescent="0.25">
      <c r="D35357" s="28"/>
      <c r="F35357" s="28"/>
      <c r="H35357" s="28"/>
    </row>
    <row r="35358" spans="4:8" x14ac:dyDescent="0.25">
      <c r="D35358" s="28"/>
      <c r="F35358" s="28"/>
      <c r="H35358" s="28"/>
    </row>
    <row r="35359" spans="4:8" x14ac:dyDescent="0.25">
      <c r="D35359" s="28"/>
      <c r="F35359" s="28"/>
      <c r="H35359" s="28"/>
    </row>
    <row r="35360" spans="4:8" x14ac:dyDescent="0.25">
      <c r="D35360" s="28"/>
      <c r="F35360" s="28"/>
      <c r="H35360" s="28"/>
    </row>
    <row r="35361" spans="4:8" x14ac:dyDescent="0.25">
      <c r="D35361" s="28"/>
      <c r="F35361" s="28"/>
      <c r="H35361" s="28"/>
    </row>
    <row r="35362" spans="4:8" x14ac:dyDescent="0.25">
      <c r="D35362" s="28"/>
      <c r="F35362" s="28"/>
      <c r="H35362" s="28"/>
    </row>
    <row r="35363" spans="4:8" x14ac:dyDescent="0.25">
      <c r="D35363" s="28"/>
      <c r="F35363" s="28"/>
      <c r="H35363" s="28"/>
    </row>
    <row r="35364" spans="4:8" x14ac:dyDescent="0.25">
      <c r="D35364" s="28"/>
      <c r="F35364" s="28"/>
      <c r="H35364" s="28"/>
    </row>
    <row r="35365" spans="4:8" x14ac:dyDescent="0.25">
      <c r="D35365" s="28"/>
      <c r="F35365" s="28"/>
      <c r="H35365" s="28"/>
    </row>
    <row r="35366" spans="4:8" x14ac:dyDescent="0.25">
      <c r="D35366" s="28"/>
      <c r="F35366" s="28"/>
      <c r="H35366" s="28"/>
    </row>
    <row r="35367" spans="4:8" x14ac:dyDescent="0.25">
      <c r="D35367" s="28"/>
      <c r="F35367" s="28"/>
      <c r="H35367" s="28"/>
    </row>
    <row r="35368" spans="4:8" x14ac:dyDescent="0.25">
      <c r="D35368" s="28"/>
      <c r="F35368" s="28"/>
      <c r="H35368" s="28"/>
    </row>
    <row r="35369" spans="4:8" x14ac:dyDescent="0.25">
      <c r="D35369" s="28"/>
      <c r="F35369" s="28"/>
      <c r="H35369" s="28"/>
    </row>
    <row r="35370" spans="4:8" x14ac:dyDescent="0.25">
      <c r="D35370" s="28"/>
      <c r="F35370" s="28"/>
      <c r="H35370" s="28"/>
    </row>
    <row r="35371" spans="4:8" x14ac:dyDescent="0.25">
      <c r="D35371" s="28"/>
      <c r="F35371" s="28"/>
      <c r="H35371" s="28"/>
    </row>
    <row r="35372" spans="4:8" x14ac:dyDescent="0.25">
      <c r="D35372" s="28"/>
      <c r="F35372" s="28"/>
      <c r="H35372" s="28"/>
    </row>
    <row r="35373" spans="4:8" x14ac:dyDescent="0.25">
      <c r="D35373" s="28"/>
      <c r="F35373" s="28"/>
      <c r="H35373" s="28"/>
    </row>
    <row r="35374" spans="4:8" x14ac:dyDescent="0.25">
      <c r="D35374" s="28"/>
      <c r="F35374" s="28"/>
      <c r="H35374" s="28"/>
    </row>
    <row r="35375" spans="4:8" x14ac:dyDescent="0.25">
      <c r="D35375" s="28"/>
      <c r="F35375" s="28"/>
      <c r="H35375" s="28"/>
    </row>
    <row r="35376" spans="4:8" x14ac:dyDescent="0.25">
      <c r="D35376" s="28"/>
      <c r="F35376" s="28"/>
      <c r="H35376" s="28"/>
    </row>
    <row r="35377" spans="4:8" x14ac:dyDescent="0.25">
      <c r="D35377" s="28"/>
      <c r="F35377" s="28"/>
      <c r="H35377" s="28"/>
    </row>
    <row r="35378" spans="4:8" x14ac:dyDescent="0.25">
      <c r="D35378" s="28"/>
      <c r="F35378" s="28"/>
      <c r="H35378" s="28"/>
    </row>
    <row r="35379" spans="4:8" x14ac:dyDescent="0.25">
      <c r="D35379" s="28"/>
      <c r="F35379" s="28"/>
      <c r="H35379" s="28"/>
    </row>
    <row r="35380" spans="4:8" x14ac:dyDescent="0.25">
      <c r="D35380" s="28"/>
      <c r="F35380" s="28"/>
      <c r="H35380" s="28"/>
    </row>
    <row r="35381" spans="4:8" x14ac:dyDescent="0.25">
      <c r="D35381" s="28"/>
      <c r="F35381" s="28"/>
      <c r="H35381" s="28"/>
    </row>
    <row r="35382" spans="4:8" x14ac:dyDescent="0.25">
      <c r="D35382" s="28"/>
      <c r="F35382" s="28"/>
      <c r="H35382" s="28"/>
    </row>
    <row r="35383" spans="4:8" x14ac:dyDescent="0.25">
      <c r="D35383" s="28"/>
      <c r="F35383" s="28"/>
      <c r="H35383" s="28"/>
    </row>
    <row r="35384" spans="4:8" x14ac:dyDescent="0.25">
      <c r="D35384" s="28"/>
      <c r="F35384" s="28"/>
      <c r="H35384" s="28"/>
    </row>
    <row r="35385" spans="4:8" x14ac:dyDescent="0.25">
      <c r="D35385" s="28"/>
      <c r="F35385" s="28"/>
      <c r="H35385" s="28"/>
    </row>
    <row r="35386" spans="4:8" x14ac:dyDescent="0.25">
      <c r="D35386" s="28"/>
      <c r="F35386" s="28"/>
      <c r="H35386" s="28"/>
    </row>
    <row r="35387" spans="4:8" x14ac:dyDescent="0.25">
      <c r="D35387" s="28"/>
      <c r="F35387" s="28"/>
      <c r="H35387" s="28"/>
    </row>
    <row r="35388" spans="4:8" x14ac:dyDescent="0.25">
      <c r="D35388" s="28"/>
      <c r="F35388" s="28"/>
      <c r="H35388" s="28"/>
    </row>
    <row r="35389" spans="4:8" x14ac:dyDescent="0.25">
      <c r="D35389" s="28"/>
      <c r="F35389" s="28"/>
      <c r="H35389" s="28"/>
    </row>
    <row r="35390" spans="4:8" x14ac:dyDescent="0.25">
      <c r="D35390" s="28"/>
      <c r="F35390" s="28"/>
      <c r="H35390" s="28"/>
    </row>
    <row r="35391" spans="4:8" x14ac:dyDescent="0.25">
      <c r="D35391" s="28"/>
      <c r="F35391" s="28"/>
      <c r="H35391" s="28"/>
    </row>
    <row r="35392" spans="4:8" x14ac:dyDescent="0.25">
      <c r="D35392" s="28"/>
      <c r="F35392" s="28"/>
      <c r="H35392" s="28"/>
    </row>
    <row r="35393" spans="4:8" x14ac:dyDescent="0.25">
      <c r="D35393" s="28"/>
      <c r="F35393" s="28"/>
      <c r="H35393" s="28"/>
    </row>
    <row r="35394" spans="4:8" x14ac:dyDescent="0.25">
      <c r="D35394" s="28"/>
      <c r="F35394" s="28"/>
      <c r="H35394" s="28"/>
    </row>
    <row r="35395" spans="4:8" x14ac:dyDescent="0.25">
      <c r="D35395" s="28"/>
      <c r="F35395" s="28"/>
      <c r="H35395" s="28"/>
    </row>
    <row r="35396" spans="4:8" x14ac:dyDescent="0.25">
      <c r="D35396" s="28"/>
      <c r="F35396" s="28"/>
      <c r="H35396" s="28"/>
    </row>
    <row r="35397" spans="4:8" x14ac:dyDescent="0.25">
      <c r="D35397" s="28"/>
      <c r="F35397" s="28"/>
      <c r="H35397" s="28"/>
    </row>
    <row r="35398" spans="4:8" x14ac:dyDescent="0.25">
      <c r="D35398" s="28"/>
      <c r="F35398" s="28"/>
      <c r="H35398" s="28"/>
    </row>
    <row r="35399" spans="4:8" x14ac:dyDescent="0.25">
      <c r="D35399" s="28"/>
      <c r="F35399" s="28"/>
      <c r="H35399" s="28"/>
    </row>
    <row r="35400" spans="4:8" x14ac:dyDescent="0.25">
      <c r="D35400" s="28"/>
      <c r="F35400" s="28"/>
      <c r="H35400" s="28"/>
    </row>
    <row r="35401" spans="4:8" x14ac:dyDescent="0.25">
      <c r="D35401" s="28"/>
      <c r="F35401" s="28"/>
      <c r="H35401" s="28"/>
    </row>
    <row r="35402" spans="4:8" x14ac:dyDescent="0.25">
      <c r="D35402" s="28"/>
      <c r="F35402" s="28"/>
      <c r="H35402" s="28"/>
    </row>
    <row r="35403" spans="4:8" x14ac:dyDescent="0.25">
      <c r="D35403" s="28"/>
      <c r="F35403" s="28"/>
      <c r="H35403" s="28"/>
    </row>
    <row r="35404" spans="4:8" x14ac:dyDescent="0.25">
      <c r="D35404" s="28"/>
      <c r="F35404" s="28"/>
      <c r="H35404" s="28"/>
    </row>
    <row r="35405" spans="4:8" x14ac:dyDescent="0.25">
      <c r="D35405" s="28"/>
      <c r="F35405" s="28"/>
      <c r="H35405" s="28"/>
    </row>
    <row r="35406" spans="4:8" x14ac:dyDescent="0.25">
      <c r="D35406" s="28"/>
      <c r="F35406" s="28"/>
      <c r="H35406" s="28"/>
    </row>
    <row r="35407" spans="4:8" x14ac:dyDescent="0.25">
      <c r="D35407" s="28"/>
      <c r="F35407" s="28"/>
      <c r="H35407" s="28"/>
    </row>
    <row r="35408" spans="4:8" x14ac:dyDescent="0.25">
      <c r="D35408" s="28"/>
      <c r="F35408" s="28"/>
      <c r="H35408" s="28"/>
    </row>
    <row r="35409" spans="4:8" x14ac:dyDescent="0.25">
      <c r="D35409" s="28"/>
      <c r="F35409" s="28"/>
      <c r="H35409" s="28"/>
    </row>
    <row r="35410" spans="4:8" x14ac:dyDescent="0.25">
      <c r="D35410" s="28"/>
      <c r="F35410" s="28"/>
      <c r="H35410" s="28"/>
    </row>
    <row r="35411" spans="4:8" x14ac:dyDescent="0.25">
      <c r="D35411" s="28"/>
      <c r="F35411" s="28"/>
      <c r="H35411" s="28"/>
    </row>
    <row r="35412" spans="4:8" x14ac:dyDescent="0.25">
      <c r="D35412" s="28"/>
      <c r="F35412" s="28"/>
      <c r="H35412" s="28"/>
    </row>
    <row r="35413" spans="4:8" x14ac:dyDescent="0.25">
      <c r="D35413" s="28"/>
      <c r="F35413" s="28"/>
      <c r="H35413" s="28"/>
    </row>
    <row r="35414" spans="4:8" x14ac:dyDescent="0.25">
      <c r="D35414" s="28"/>
      <c r="F35414" s="28"/>
      <c r="H35414" s="28"/>
    </row>
    <row r="35415" spans="4:8" x14ac:dyDescent="0.25">
      <c r="D35415" s="28"/>
      <c r="F35415" s="28"/>
      <c r="H35415" s="28"/>
    </row>
    <row r="35416" spans="4:8" x14ac:dyDescent="0.25">
      <c r="D35416" s="28"/>
      <c r="F35416" s="28"/>
      <c r="H35416" s="28"/>
    </row>
    <row r="35417" spans="4:8" x14ac:dyDescent="0.25">
      <c r="D35417" s="28"/>
      <c r="F35417" s="28"/>
      <c r="H35417" s="28"/>
    </row>
    <row r="35418" spans="4:8" x14ac:dyDescent="0.25">
      <c r="D35418" s="28"/>
      <c r="F35418" s="28"/>
      <c r="H35418" s="28"/>
    </row>
    <row r="35419" spans="4:8" x14ac:dyDescent="0.25">
      <c r="D35419" s="28"/>
      <c r="F35419" s="28"/>
      <c r="H35419" s="28"/>
    </row>
    <row r="35420" spans="4:8" x14ac:dyDescent="0.25">
      <c r="D35420" s="28"/>
      <c r="F35420" s="28"/>
      <c r="H35420" s="28"/>
    </row>
    <row r="35421" spans="4:8" x14ac:dyDescent="0.25">
      <c r="D35421" s="28"/>
      <c r="F35421" s="28"/>
      <c r="H35421" s="28"/>
    </row>
    <row r="35422" spans="4:8" x14ac:dyDescent="0.25">
      <c r="D35422" s="28"/>
      <c r="F35422" s="28"/>
      <c r="H35422" s="28"/>
    </row>
    <row r="35423" spans="4:8" x14ac:dyDescent="0.25">
      <c r="D35423" s="28"/>
      <c r="F35423" s="28"/>
      <c r="H35423" s="28"/>
    </row>
    <row r="35424" spans="4:8" x14ac:dyDescent="0.25">
      <c r="D35424" s="28"/>
      <c r="F35424" s="28"/>
      <c r="H35424" s="28"/>
    </row>
    <row r="35425" spans="4:8" x14ac:dyDescent="0.25">
      <c r="D35425" s="28"/>
      <c r="F35425" s="28"/>
      <c r="H35425" s="28"/>
    </row>
    <row r="35426" spans="4:8" x14ac:dyDescent="0.25">
      <c r="D35426" s="28"/>
      <c r="F35426" s="28"/>
      <c r="H35426" s="28"/>
    </row>
    <row r="35427" spans="4:8" x14ac:dyDescent="0.25">
      <c r="D35427" s="28"/>
      <c r="F35427" s="28"/>
      <c r="H35427" s="28"/>
    </row>
    <row r="35428" spans="4:8" x14ac:dyDescent="0.25">
      <c r="D35428" s="28"/>
      <c r="F35428" s="28"/>
      <c r="H35428" s="28"/>
    </row>
    <row r="35429" spans="4:8" x14ac:dyDescent="0.25">
      <c r="D35429" s="28"/>
      <c r="F35429" s="28"/>
      <c r="H35429" s="28"/>
    </row>
    <row r="35430" spans="4:8" x14ac:dyDescent="0.25">
      <c r="D35430" s="28"/>
      <c r="F35430" s="28"/>
      <c r="H35430" s="28"/>
    </row>
    <row r="35431" spans="4:8" x14ac:dyDescent="0.25">
      <c r="D35431" s="28"/>
      <c r="F35431" s="28"/>
      <c r="H35431" s="28"/>
    </row>
    <row r="35432" spans="4:8" x14ac:dyDescent="0.25">
      <c r="D35432" s="28"/>
      <c r="F35432" s="28"/>
      <c r="H35432" s="28"/>
    </row>
    <row r="35433" spans="4:8" x14ac:dyDescent="0.25">
      <c r="D35433" s="28"/>
      <c r="F35433" s="28"/>
      <c r="H35433" s="28"/>
    </row>
    <row r="35434" spans="4:8" x14ac:dyDescent="0.25">
      <c r="D35434" s="28"/>
      <c r="F35434" s="28"/>
      <c r="H35434" s="28"/>
    </row>
    <row r="35435" spans="4:8" x14ac:dyDescent="0.25">
      <c r="D35435" s="28"/>
      <c r="F35435" s="28"/>
      <c r="H35435" s="28"/>
    </row>
    <row r="35436" spans="4:8" x14ac:dyDescent="0.25">
      <c r="D35436" s="28"/>
      <c r="F35436" s="28"/>
      <c r="H35436" s="28"/>
    </row>
    <row r="35437" spans="4:8" x14ac:dyDescent="0.25">
      <c r="D35437" s="28"/>
      <c r="F35437" s="28"/>
      <c r="H35437" s="28"/>
    </row>
    <row r="35438" spans="4:8" x14ac:dyDescent="0.25">
      <c r="D35438" s="28"/>
      <c r="F35438" s="28"/>
      <c r="H35438" s="28"/>
    </row>
    <row r="35439" spans="4:8" x14ac:dyDescent="0.25">
      <c r="D35439" s="28"/>
      <c r="F35439" s="28"/>
      <c r="H35439" s="28"/>
    </row>
    <row r="35440" spans="4:8" x14ac:dyDescent="0.25">
      <c r="D35440" s="28"/>
      <c r="F35440" s="28"/>
      <c r="H35440" s="28"/>
    </row>
    <row r="35441" spans="4:8" x14ac:dyDescent="0.25">
      <c r="D35441" s="28"/>
      <c r="F35441" s="28"/>
      <c r="H35441" s="28"/>
    </row>
    <row r="35442" spans="4:8" x14ac:dyDescent="0.25">
      <c r="D35442" s="28"/>
      <c r="F35442" s="28"/>
      <c r="H35442" s="28"/>
    </row>
    <row r="35443" spans="4:8" x14ac:dyDescent="0.25">
      <c r="D35443" s="28"/>
      <c r="F35443" s="28"/>
      <c r="H35443" s="28"/>
    </row>
    <row r="35444" spans="4:8" x14ac:dyDescent="0.25">
      <c r="D35444" s="28"/>
      <c r="F35444" s="28"/>
      <c r="H35444" s="28"/>
    </row>
    <row r="35445" spans="4:8" x14ac:dyDescent="0.25">
      <c r="D35445" s="28"/>
      <c r="F35445" s="28"/>
      <c r="H35445" s="28"/>
    </row>
    <row r="35446" spans="4:8" x14ac:dyDescent="0.25">
      <c r="D35446" s="28"/>
      <c r="F35446" s="28"/>
      <c r="H35446" s="28"/>
    </row>
    <row r="35447" spans="4:8" x14ac:dyDescent="0.25">
      <c r="D35447" s="28"/>
      <c r="F35447" s="28"/>
      <c r="H35447" s="28"/>
    </row>
    <row r="35448" spans="4:8" x14ac:dyDescent="0.25">
      <c r="D35448" s="28"/>
      <c r="F35448" s="28"/>
      <c r="H35448" s="28"/>
    </row>
    <row r="35449" spans="4:8" x14ac:dyDescent="0.25">
      <c r="D35449" s="28"/>
      <c r="F35449" s="28"/>
      <c r="H35449" s="28"/>
    </row>
    <row r="35450" spans="4:8" x14ac:dyDescent="0.25">
      <c r="D35450" s="28"/>
      <c r="F35450" s="28"/>
      <c r="H35450" s="28"/>
    </row>
    <row r="35451" spans="4:8" x14ac:dyDescent="0.25">
      <c r="D35451" s="28"/>
      <c r="F35451" s="28"/>
      <c r="H35451" s="28"/>
    </row>
    <row r="35452" spans="4:8" x14ac:dyDescent="0.25">
      <c r="D35452" s="28"/>
      <c r="F35452" s="28"/>
      <c r="H35452" s="28"/>
    </row>
    <row r="35453" spans="4:8" x14ac:dyDescent="0.25">
      <c r="D35453" s="28"/>
      <c r="F35453" s="28"/>
      <c r="H35453" s="28"/>
    </row>
    <row r="35454" spans="4:8" x14ac:dyDescent="0.25">
      <c r="D35454" s="28"/>
      <c r="F35454" s="28"/>
      <c r="H35454" s="28"/>
    </row>
    <row r="35455" spans="4:8" x14ac:dyDescent="0.25">
      <c r="D35455" s="28"/>
      <c r="F35455" s="28"/>
      <c r="H35455" s="28"/>
    </row>
    <row r="35456" spans="4:8" x14ac:dyDescent="0.25">
      <c r="D35456" s="28"/>
      <c r="F35456" s="28"/>
      <c r="H35456" s="28"/>
    </row>
    <row r="35457" spans="4:8" x14ac:dyDescent="0.25">
      <c r="D35457" s="28"/>
      <c r="F35457" s="28"/>
      <c r="H35457" s="28"/>
    </row>
    <row r="35458" spans="4:8" x14ac:dyDescent="0.25">
      <c r="D35458" s="28"/>
      <c r="F35458" s="28"/>
      <c r="H35458" s="28"/>
    </row>
    <row r="35459" spans="4:8" x14ac:dyDescent="0.25">
      <c r="D35459" s="28"/>
      <c r="F35459" s="28"/>
      <c r="H35459" s="28"/>
    </row>
    <row r="35460" spans="4:8" x14ac:dyDescent="0.25">
      <c r="D35460" s="28"/>
      <c r="F35460" s="28"/>
      <c r="H35460" s="28"/>
    </row>
    <row r="35461" spans="4:8" x14ac:dyDescent="0.25">
      <c r="D35461" s="28"/>
      <c r="F35461" s="28"/>
      <c r="H35461" s="28"/>
    </row>
    <row r="35462" spans="4:8" x14ac:dyDescent="0.25">
      <c r="D35462" s="28"/>
      <c r="F35462" s="28"/>
      <c r="H35462" s="28"/>
    </row>
    <row r="35463" spans="4:8" x14ac:dyDescent="0.25">
      <c r="D35463" s="28"/>
      <c r="F35463" s="28"/>
      <c r="H35463" s="28"/>
    </row>
    <row r="35464" spans="4:8" x14ac:dyDescent="0.25">
      <c r="D35464" s="28"/>
      <c r="F35464" s="28"/>
      <c r="H35464" s="28"/>
    </row>
    <row r="35465" spans="4:8" x14ac:dyDescent="0.25">
      <c r="D35465" s="28"/>
      <c r="F35465" s="28"/>
      <c r="H35465" s="28"/>
    </row>
    <row r="35466" spans="4:8" x14ac:dyDescent="0.25">
      <c r="D35466" s="28"/>
      <c r="F35466" s="28"/>
      <c r="H35466" s="28"/>
    </row>
    <row r="35467" spans="4:8" x14ac:dyDescent="0.25">
      <c r="D35467" s="28"/>
      <c r="F35467" s="28"/>
      <c r="H35467" s="28"/>
    </row>
    <row r="35468" spans="4:8" x14ac:dyDescent="0.25">
      <c r="D35468" s="28"/>
      <c r="F35468" s="28"/>
      <c r="H35468" s="28"/>
    </row>
    <row r="35469" spans="4:8" x14ac:dyDescent="0.25">
      <c r="D35469" s="28"/>
      <c r="F35469" s="28"/>
      <c r="H35469" s="28"/>
    </row>
    <row r="35470" spans="4:8" x14ac:dyDescent="0.25">
      <c r="D35470" s="28"/>
      <c r="F35470" s="28"/>
      <c r="H35470" s="28"/>
    </row>
    <row r="35471" spans="4:8" x14ac:dyDescent="0.25">
      <c r="D35471" s="28"/>
      <c r="F35471" s="28"/>
      <c r="H35471" s="28"/>
    </row>
    <row r="35472" spans="4:8" x14ac:dyDescent="0.25">
      <c r="D35472" s="28"/>
      <c r="F35472" s="28"/>
      <c r="H35472" s="28"/>
    </row>
    <row r="35473" spans="4:8" x14ac:dyDescent="0.25">
      <c r="D35473" s="28"/>
      <c r="F35473" s="28"/>
      <c r="H35473" s="28"/>
    </row>
    <row r="35474" spans="4:8" x14ac:dyDescent="0.25">
      <c r="D35474" s="28"/>
      <c r="F35474" s="28"/>
      <c r="H35474" s="28"/>
    </row>
    <row r="35475" spans="4:8" x14ac:dyDescent="0.25">
      <c r="D35475" s="28"/>
      <c r="F35475" s="28"/>
      <c r="H35475" s="28"/>
    </row>
    <row r="35476" spans="4:8" x14ac:dyDescent="0.25">
      <c r="D35476" s="28"/>
      <c r="F35476" s="28"/>
      <c r="H35476" s="28"/>
    </row>
    <row r="35477" spans="4:8" x14ac:dyDescent="0.25">
      <c r="D35477" s="28"/>
      <c r="F35477" s="28"/>
      <c r="H35477" s="28"/>
    </row>
    <row r="35478" spans="4:8" x14ac:dyDescent="0.25">
      <c r="D35478" s="28"/>
      <c r="F35478" s="28"/>
      <c r="H35478" s="28"/>
    </row>
    <row r="35479" spans="4:8" x14ac:dyDescent="0.25">
      <c r="D35479" s="28"/>
      <c r="F35479" s="28"/>
      <c r="H35479" s="28"/>
    </row>
    <row r="35480" spans="4:8" x14ac:dyDescent="0.25">
      <c r="D35480" s="28"/>
      <c r="F35480" s="28"/>
      <c r="H35480" s="28"/>
    </row>
    <row r="35481" spans="4:8" x14ac:dyDescent="0.25">
      <c r="D35481" s="28"/>
      <c r="F35481" s="28"/>
      <c r="H35481" s="28"/>
    </row>
    <row r="35482" spans="4:8" x14ac:dyDescent="0.25">
      <c r="D35482" s="28"/>
      <c r="F35482" s="28"/>
      <c r="H35482" s="28"/>
    </row>
    <row r="35483" spans="4:8" x14ac:dyDescent="0.25">
      <c r="D35483" s="28"/>
      <c r="F35483" s="28"/>
      <c r="H35483" s="28"/>
    </row>
    <row r="35484" spans="4:8" x14ac:dyDescent="0.25">
      <c r="D35484" s="28"/>
      <c r="F35484" s="28"/>
      <c r="H35484" s="28"/>
    </row>
    <row r="35485" spans="4:8" x14ac:dyDescent="0.25">
      <c r="D35485" s="28"/>
      <c r="F35485" s="28"/>
      <c r="H35485" s="28"/>
    </row>
    <row r="35486" spans="4:8" x14ac:dyDescent="0.25">
      <c r="D35486" s="28"/>
      <c r="F35486" s="28"/>
      <c r="H35486" s="28"/>
    </row>
    <row r="35487" spans="4:8" x14ac:dyDescent="0.25">
      <c r="D35487" s="28"/>
      <c r="F35487" s="28"/>
      <c r="H35487" s="28"/>
    </row>
    <row r="35488" spans="4:8" x14ac:dyDescent="0.25">
      <c r="D35488" s="28"/>
      <c r="F35488" s="28"/>
      <c r="H35488" s="28"/>
    </row>
    <row r="35489" spans="4:8" x14ac:dyDescent="0.25">
      <c r="D35489" s="28"/>
      <c r="F35489" s="28"/>
      <c r="H35489" s="28"/>
    </row>
    <row r="35490" spans="4:8" x14ac:dyDescent="0.25">
      <c r="D35490" s="28"/>
      <c r="F35490" s="28"/>
      <c r="H35490" s="28"/>
    </row>
    <row r="35491" spans="4:8" x14ac:dyDescent="0.25">
      <c r="D35491" s="28"/>
      <c r="F35491" s="28"/>
      <c r="H35491" s="28"/>
    </row>
    <row r="35492" spans="4:8" x14ac:dyDescent="0.25">
      <c r="D35492" s="28"/>
      <c r="F35492" s="28"/>
      <c r="H35492" s="28"/>
    </row>
    <row r="35493" spans="4:8" x14ac:dyDescent="0.25">
      <c r="D35493" s="28"/>
      <c r="F35493" s="28"/>
      <c r="H35493" s="28"/>
    </row>
    <row r="35494" spans="4:8" x14ac:dyDescent="0.25">
      <c r="D35494" s="28"/>
      <c r="F35494" s="28"/>
      <c r="H35494" s="28"/>
    </row>
    <row r="35495" spans="4:8" x14ac:dyDescent="0.25">
      <c r="D35495" s="28"/>
      <c r="F35495" s="28"/>
      <c r="H35495" s="28"/>
    </row>
    <row r="35496" spans="4:8" x14ac:dyDescent="0.25">
      <c r="D35496" s="28"/>
      <c r="F35496" s="28"/>
      <c r="H35496" s="28"/>
    </row>
    <row r="35497" spans="4:8" x14ac:dyDescent="0.25">
      <c r="D35497" s="28"/>
      <c r="F35497" s="28"/>
      <c r="H35497" s="28"/>
    </row>
    <row r="35498" spans="4:8" x14ac:dyDescent="0.25">
      <c r="D35498" s="28"/>
      <c r="F35498" s="28"/>
      <c r="H35498" s="28"/>
    </row>
    <row r="35499" spans="4:8" x14ac:dyDescent="0.25">
      <c r="D35499" s="28"/>
      <c r="F35499" s="28"/>
      <c r="H35499" s="28"/>
    </row>
    <row r="35500" spans="4:8" x14ac:dyDescent="0.25">
      <c r="D35500" s="28"/>
      <c r="F35500" s="28"/>
      <c r="H35500" s="28"/>
    </row>
    <row r="35501" spans="4:8" x14ac:dyDescent="0.25">
      <c r="D35501" s="28"/>
      <c r="F35501" s="28"/>
      <c r="H35501" s="28"/>
    </row>
    <row r="35502" spans="4:8" x14ac:dyDescent="0.25">
      <c r="D35502" s="28"/>
      <c r="F35502" s="28"/>
      <c r="H35502" s="28"/>
    </row>
    <row r="35503" spans="4:8" x14ac:dyDescent="0.25">
      <c r="D35503" s="28"/>
      <c r="F35503" s="28"/>
      <c r="H35503" s="28"/>
    </row>
    <row r="35504" spans="4:8" x14ac:dyDescent="0.25">
      <c r="D35504" s="28"/>
      <c r="F35504" s="28"/>
      <c r="H35504" s="28"/>
    </row>
    <row r="35505" spans="4:8" x14ac:dyDescent="0.25">
      <c r="D35505" s="28"/>
      <c r="F35505" s="28"/>
      <c r="H35505" s="28"/>
    </row>
    <row r="35506" spans="4:8" x14ac:dyDescent="0.25">
      <c r="D35506" s="28"/>
      <c r="F35506" s="28"/>
      <c r="H35506" s="28"/>
    </row>
    <row r="35507" spans="4:8" x14ac:dyDescent="0.25">
      <c r="D35507" s="28"/>
      <c r="F35507" s="28"/>
      <c r="H35507" s="28"/>
    </row>
    <row r="35508" spans="4:8" x14ac:dyDescent="0.25">
      <c r="D35508" s="28"/>
      <c r="F35508" s="28"/>
      <c r="H35508" s="28"/>
    </row>
    <row r="35509" spans="4:8" x14ac:dyDescent="0.25">
      <c r="D35509" s="28"/>
      <c r="F35509" s="28"/>
      <c r="H35509" s="28"/>
    </row>
    <row r="35510" spans="4:8" x14ac:dyDescent="0.25">
      <c r="D35510" s="28"/>
      <c r="F35510" s="28"/>
      <c r="H35510" s="28"/>
    </row>
    <row r="35511" spans="4:8" x14ac:dyDescent="0.25">
      <c r="D35511" s="28"/>
      <c r="F35511" s="28"/>
      <c r="H35511" s="28"/>
    </row>
    <row r="35512" spans="4:8" x14ac:dyDescent="0.25">
      <c r="D35512" s="28"/>
      <c r="F35512" s="28"/>
      <c r="H35512" s="28"/>
    </row>
    <row r="35513" spans="4:8" x14ac:dyDescent="0.25">
      <c r="D35513" s="28"/>
      <c r="F35513" s="28"/>
      <c r="H35513" s="28"/>
    </row>
    <row r="35514" spans="4:8" x14ac:dyDescent="0.25">
      <c r="D35514" s="28"/>
      <c r="F35514" s="28"/>
      <c r="H35514" s="28"/>
    </row>
    <row r="35515" spans="4:8" x14ac:dyDescent="0.25">
      <c r="D35515" s="28"/>
      <c r="F35515" s="28"/>
      <c r="H35515" s="28"/>
    </row>
    <row r="35516" spans="4:8" x14ac:dyDescent="0.25">
      <c r="D35516" s="28"/>
      <c r="F35516" s="28"/>
      <c r="H35516" s="28"/>
    </row>
    <row r="35517" spans="4:8" x14ac:dyDescent="0.25">
      <c r="D35517" s="28"/>
      <c r="F35517" s="28"/>
      <c r="H35517" s="28"/>
    </row>
    <row r="35518" spans="4:8" x14ac:dyDescent="0.25">
      <c r="D35518" s="28"/>
      <c r="F35518" s="28"/>
      <c r="H35518" s="28"/>
    </row>
    <row r="35519" spans="4:8" x14ac:dyDescent="0.25">
      <c r="D35519" s="28"/>
      <c r="F35519" s="28"/>
      <c r="H35519" s="28"/>
    </row>
    <row r="35520" spans="4:8" x14ac:dyDescent="0.25">
      <c r="D35520" s="28"/>
      <c r="F35520" s="28"/>
      <c r="H35520" s="28"/>
    </row>
    <row r="35521" spans="4:8" x14ac:dyDescent="0.25">
      <c r="D35521" s="28"/>
      <c r="F35521" s="28"/>
      <c r="H35521" s="28"/>
    </row>
    <row r="35522" spans="4:8" x14ac:dyDescent="0.25">
      <c r="D35522" s="28"/>
      <c r="F35522" s="28"/>
      <c r="H35522" s="28"/>
    </row>
    <row r="35523" spans="4:8" x14ac:dyDescent="0.25">
      <c r="D35523" s="28"/>
      <c r="F35523" s="28"/>
      <c r="H35523" s="28"/>
    </row>
    <row r="35524" spans="4:8" x14ac:dyDescent="0.25">
      <c r="D35524" s="28"/>
      <c r="F35524" s="28"/>
      <c r="H35524" s="28"/>
    </row>
    <row r="35525" spans="4:8" x14ac:dyDescent="0.25">
      <c r="D35525" s="28"/>
      <c r="F35525" s="28"/>
      <c r="H35525" s="28"/>
    </row>
    <row r="35526" spans="4:8" x14ac:dyDescent="0.25">
      <c r="D35526" s="28"/>
      <c r="F35526" s="28"/>
      <c r="H35526" s="28"/>
    </row>
    <row r="35527" spans="4:8" x14ac:dyDescent="0.25">
      <c r="D35527" s="28"/>
      <c r="F35527" s="28"/>
      <c r="H35527" s="28"/>
    </row>
    <row r="35528" spans="4:8" x14ac:dyDescent="0.25">
      <c r="D35528" s="28"/>
      <c r="F35528" s="28"/>
      <c r="H35528" s="28"/>
    </row>
    <row r="35529" spans="4:8" x14ac:dyDescent="0.25">
      <c r="D35529" s="28"/>
      <c r="F35529" s="28"/>
      <c r="H35529" s="28"/>
    </row>
    <row r="35530" spans="4:8" x14ac:dyDescent="0.25">
      <c r="D35530" s="28"/>
      <c r="F35530" s="28"/>
      <c r="H35530" s="28"/>
    </row>
    <row r="35531" spans="4:8" x14ac:dyDescent="0.25">
      <c r="D35531" s="28"/>
      <c r="F35531" s="28"/>
      <c r="H35531" s="28"/>
    </row>
    <row r="35532" spans="4:8" x14ac:dyDescent="0.25">
      <c r="D35532" s="28"/>
      <c r="F35532" s="28"/>
      <c r="H35532" s="28"/>
    </row>
    <row r="35533" spans="4:8" x14ac:dyDescent="0.25">
      <c r="D35533" s="28"/>
      <c r="F35533" s="28"/>
      <c r="H35533" s="28"/>
    </row>
    <row r="35534" spans="4:8" x14ac:dyDescent="0.25">
      <c r="D35534" s="28"/>
      <c r="F35534" s="28"/>
      <c r="H35534" s="28"/>
    </row>
    <row r="35535" spans="4:8" x14ac:dyDescent="0.25">
      <c r="D35535" s="28"/>
      <c r="F35535" s="28"/>
      <c r="H35535" s="28"/>
    </row>
    <row r="35536" spans="4:8" x14ac:dyDescent="0.25">
      <c r="D35536" s="28"/>
      <c r="F35536" s="28"/>
      <c r="H35536" s="28"/>
    </row>
    <row r="35537" spans="4:8" x14ac:dyDescent="0.25">
      <c r="D35537" s="28"/>
      <c r="F35537" s="28"/>
      <c r="H35537" s="28"/>
    </row>
    <row r="35538" spans="4:8" x14ac:dyDescent="0.25">
      <c r="D35538" s="28"/>
      <c r="F35538" s="28"/>
      <c r="H35538" s="28"/>
    </row>
    <row r="35539" spans="4:8" x14ac:dyDescent="0.25">
      <c r="D35539" s="28"/>
      <c r="F35539" s="28"/>
      <c r="H35539" s="28"/>
    </row>
    <row r="35540" spans="4:8" x14ac:dyDescent="0.25">
      <c r="D35540" s="28"/>
      <c r="F35540" s="28"/>
      <c r="H35540" s="28"/>
    </row>
    <row r="35541" spans="4:8" x14ac:dyDescent="0.25">
      <c r="D35541" s="28"/>
      <c r="F35541" s="28"/>
      <c r="H35541" s="28"/>
    </row>
    <row r="35542" spans="4:8" x14ac:dyDescent="0.25">
      <c r="D35542" s="28"/>
      <c r="F35542" s="28"/>
      <c r="H35542" s="28"/>
    </row>
    <row r="35543" spans="4:8" x14ac:dyDescent="0.25">
      <c r="D35543" s="28"/>
      <c r="F35543" s="28"/>
      <c r="H35543" s="28"/>
    </row>
    <row r="35544" spans="4:8" x14ac:dyDescent="0.25">
      <c r="D35544" s="28"/>
      <c r="F35544" s="28"/>
      <c r="H35544" s="28"/>
    </row>
    <row r="35545" spans="4:8" x14ac:dyDescent="0.25">
      <c r="D35545" s="28"/>
      <c r="F35545" s="28"/>
      <c r="H35545" s="28"/>
    </row>
    <row r="35546" spans="4:8" x14ac:dyDescent="0.25">
      <c r="D35546" s="28"/>
      <c r="F35546" s="28"/>
      <c r="H35546" s="28"/>
    </row>
    <row r="35547" spans="4:8" x14ac:dyDescent="0.25">
      <c r="D35547" s="28"/>
      <c r="F35547" s="28"/>
      <c r="H35547" s="28"/>
    </row>
    <row r="35548" spans="4:8" x14ac:dyDescent="0.25">
      <c r="D35548" s="28"/>
      <c r="F35548" s="28"/>
      <c r="H35548" s="28"/>
    </row>
    <row r="35549" spans="4:8" x14ac:dyDescent="0.25">
      <c r="D35549" s="28"/>
      <c r="F35549" s="28"/>
      <c r="H35549" s="28"/>
    </row>
    <row r="35550" spans="4:8" x14ac:dyDescent="0.25">
      <c r="D35550" s="28"/>
      <c r="F35550" s="28"/>
      <c r="H35550" s="28"/>
    </row>
    <row r="35551" spans="4:8" x14ac:dyDescent="0.25">
      <c r="D35551" s="28"/>
      <c r="F35551" s="28"/>
      <c r="H35551" s="28"/>
    </row>
    <row r="35552" spans="4:8" x14ac:dyDescent="0.25">
      <c r="D35552" s="28"/>
      <c r="F35552" s="28"/>
      <c r="H35552" s="28"/>
    </row>
    <row r="35553" spans="4:8" x14ac:dyDescent="0.25">
      <c r="D35553" s="28"/>
      <c r="F35553" s="28"/>
      <c r="H35553" s="28"/>
    </row>
    <row r="35554" spans="4:8" x14ac:dyDescent="0.25">
      <c r="D35554" s="28"/>
      <c r="F35554" s="28"/>
      <c r="H35554" s="28"/>
    </row>
    <row r="35555" spans="4:8" x14ac:dyDescent="0.25">
      <c r="D35555" s="28"/>
      <c r="F35555" s="28"/>
      <c r="H35555" s="28"/>
    </row>
    <row r="35556" spans="4:8" x14ac:dyDescent="0.25">
      <c r="D35556" s="28"/>
      <c r="F35556" s="28"/>
      <c r="H35556" s="28"/>
    </row>
    <row r="35557" spans="4:8" x14ac:dyDescent="0.25">
      <c r="D35557" s="28"/>
      <c r="F35557" s="28"/>
      <c r="H35557" s="28"/>
    </row>
    <row r="35558" spans="4:8" x14ac:dyDescent="0.25">
      <c r="D35558" s="28"/>
      <c r="F35558" s="28"/>
      <c r="H35558" s="28"/>
    </row>
    <row r="35559" spans="4:8" x14ac:dyDescent="0.25">
      <c r="D35559" s="28"/>
      <c r="F35559" s="28"/>
      <c r="H35559" s="28"/>
    </row>
    <row r="35560" spans="4:8" x14ac:dyDescent="0.25">
      <c r="D35560" s="28"/>
      <c r="F35560" s="28"/>
      <c r="H35560" s="28"/>
    </row>
    <row r="35561" spans="4:8" x14ac:dyDescent="0.25">
      <c r="D35561" s="28"/>
      <c r="F35561" s="28"/>
      <c r="H35561" s="28"/>
    </row>
    <row r="35562" spans="4:8" x14ac:dyDescent="0.25">
      <c r="D35562" s="28"/>
      <c r="F35562" s="28"/>
      <c r="H35562" s="28"/>
    </row>
    <row r="35563" spans="4:8" x14ac:dyDescent="0.25">
      <c r="D35563" s="28"/>
      <c r="F35563" s="28"/>
      <c r="H35563" s="28"/>
    </row>
    <row r="35564" spans="4:8" x14ac:dyDescent="0.25">
      <c r="D35564" s="28"/>
      <c r="F35564" s="28"/>
      <c r="H35564" s="28"/>
    </row>
    <row r="35565" spans="4:8" x14ac:dyDescent="0.25">
      <c r="D35565" s="28"/>
      <c r="F35565" s="28"/>
      <c r="H35565" s="28"/>
    </row>
    <row r="35566" spans="4:8" x14ac:dyDescent="0.25">
      <c r="D35566" s="28"/>
      <c r="F35566" s="28"/>
      <c r="H35566" s="28"/>
    </row>
    <row r="35567" spans="4:8" x14ac:dyDescent="0.25">
      <c r="D35567" s="28"/>
      <c r="F35567" s="28"/>
      <c r="H35567" s="28"/>
    </row>
    <row r="35568" spans="4:8" x14ac:dyDescent="0.25">
      <c r="D35568" s="28"/>
      <c r="F35568" s="28"/>
      <c r="H35568" s="28"/>
    </row>
    <row r="35569" spans="4:8" x14ac:dyDescent="0.25">
      <c r="D35569" s="28"/>
      <c r="F35569" s="28"/>
      <c r="H35569" s="28"/>
    </row>
    <row r="35570" spans="4:8" x14ac:dyDescent="0.25">
      <c r="D35570" s="28"/>
      <c r="F35570" s="28"/>
      <c r="H35570" s="28"/>
    </row>
    <row r="35571" spans="4:8" x14ac:dyDescent="0.25">
      <c r="D35571" s="28"/>
      <c r="F35571" s="28"/>
      <c r="H35571" s="28"/>
    </row>
    <row r="35572" spans="4:8" x14ac:dyDescent="0.25">
      <c r="D35572" s="28"/>
      <c r="F35572" s="28"/>
      <c r="H35572" s="28"/>
    </row>
    <row r="35573" spans="4:8" x14ac:dyDescent="0.25">
      <c r="D35573" s="28"/>
      <c r="F35573" s="28"/>
      <c r="H35573" s="28"/>
    </row>
    <row r="35574" spans="4:8" x14ac:dyDescent="0.25">
      <c r="D35574" s="28"/>
      <c r="F35574" s="28"/>
      <c r="H35574" s="28"/>
    </row>
    <row r="35575" spans="4:8" x14ac:dyDescent="0.25">
      <c r="D35575" s="28"/>
      <c r="F35575" s="28"/>
      <c r="H35575" s="28"/>
    </row>
    <row r="35576" spans="4:8" x14ac:dyDescent="0.25">
      <c r="D35576" s="28"/>
      <c r="F35576" s="28"/>
      <c r="H35576" s="28"/>
    </row>
    <row r="35577" spans="4:8" x14ac:dyDescent="0.25">
      <c r="D35577" s="28"/>
      <c r="F35577" s="28"/>
      <c r="H35577" s="28"/>
    </row>
    <row r="35578" spans="4:8" x14ac:dyDescent="0.25">
      <c r="D35578" s="28"/>
      <c r="F35578" s="28"/>
      <c r="H35578" s="28"/>
    </row>
    <row r="35579" spans="4:8" x14ac:dyDescent="0.25">
      <c r="D35579" s="28"/>
      <c r="F35579" s="28"/>
      <c r="H35579" s="28"/>
    </row>
    <row r="35580" spans="4:8" x14ac:dyDescent="0.25">
      <c r="D35580" s="28"/>
      <c r="F35580" s="28"/>
      <c r="H35580" s="28"/>
    </row>
    <row r="35581" spans="4:8" x14ac:dyDescent="0.25">
      <c r="D35581" s="28"/>
      <c r="F35581" s="28"/>
      <c r="H35581" s="28"/>
    </row>
    <row r="35582" spans="4:8" x14ac:dyDescent="0.25">
      <c r="D35582" s="28"/>
      <c r="F35582" s="28"/>
      <c r="H35582" s="28"/>
    </row>
    <row r="35583" spans="4:8" x14ac:dyDescent="0.25">
      <c r="D35583" s="28"/>
      <c r="F35583" s="28"/>
      <c r="H35583" s="28"/>
    </row>
    <row r="35584" spans="4:8" x14ac:dyDescent="0.25">
      <c r="D35584" s="28"/>
      <c r="F35584" s="28"/>
      <c r="H35584" s="28"/>
    </row>
    <row r="35585" spans="4:8" x14ac:dyDescent="0.25">
      <c r="D35585" s="28"/>
      <c r="F35585" s="28"/>
      <c r="H35585" s="28"/>
    </row>
    <row r="35586" spans="4:8" x14ac:dyDescent="0.25">
      <c r="D35586" s="28"/>
      <c r="F35586" s="28"/>
      <c r="H35586" s="28"/>
    </row>
    <row r="35587" spans="4:8" x14ac:dyDescent="0.25">
      <c r="D35587" s="28"/>
      <c r="F35587" s="28"/>
      <c r="H35587" s="28"/>
    </row>
    <row r="35588" spans="4:8" x14ac:dyDescent="0.25">
      <c r="D35588" s="28"/>
      <c r="F35588" s="28"/>
      <c r="H35588" s="28"/>
    </row>
    <row r="35589" spans="4:8" x14ac:dyDescent="0.25">
      <c r="D35589" s="28"/>
      <c r="F35589" s="28"/>
      <c r="H35589" s="28"/>
    </row>
    <row r="35590" spans="4:8" x14ac:dyDescent="0.25">
      <c r="D35590" s="28"/>
      <c r="F35590" s="28"/>
      <c r="H35590" s="28"/>
    </row>
    <row r="35591" spans="4:8" x14ac:dyDescent="0.25">
      <c r="D35591" s="28"/>
      <c r="F35591" s="28"/>
      <c r="H35591" s="28"/>
    </row>
    <row r="35592" spans="4:8" x14ac:dyDescent="0.25">
      <c r="D35592" s="28"/>
      <c r="F35592" s="28"/>
      <c r="H35592" s="28"/>
    </row>
    <row r="35593" spans="4:8" x14ac:dyDescent="0.25">
      <c r="D35593" s="28"/>
      <c r="F35593" s="28"/>
      <c r="H35593" s="28"/>
    </row>
    <row r="35594" spans="4:8" x14ac:dyDescent="0.25">
      <c r="D35594" s="28"/>
      <c r="F35594" s="28"/>
      <c r="H35594" s="28"/>
    </row>
    <row r="35595" spans="4:8" x14ac:dyDescent="0.25">
      <c r="D35595" s="28"/>
      <c r="F35595" s="28"/>
      <c r="H35595" s="28"/>
    </row>
    <row r="35596" spans="4:8" x14ac:dyDescent="0.25">
      <c r="D35596" s="28"/>
      <c r="F35596" s="28"/>
      <c r="H35596" s="28"/>
    </row>
    <row r="35597" spans="4:8" x14ac:dyDescent="0.25">
      <c r="D35597" s="28"/>
      <c r="F35597" s="28"/>
      <c r="H35597" s="28"/>
    </row>
    <row r="35598" spans="4:8" x14ac:dyDescent="0.25">
      <c r="D35598" s="28"/>
      <c r="F35598" s="28"/>
      <c r="H35598" s="28"/>
    </row>
    <row r="35599" spans="4:8" x14ac:dyDescent="0.25">
      <c r="D35599" s="28"/>
      <c r="F35599" s="28"/>
      <c r="H35599" s="28"/>
    </row>
    <row r="35600" spans="4:8" x14ac:dyDescent="0.25">
      <c r="D35600" s="28"/>
      <c r="F35600" s="28"/>
      <c r="H35600" s="28"/>
    </row>
    <row r="35601" spans="4:8" x14ac:dyDescent="0.25">
      <c r="D35601" s="28"/>
      <c r="F35601" s="28"/>
      <c r="H35601" s="28"/>
    </row>
    <row r="35602" spans="4:8" x14ac:dyDescent="0.25">
      <c r="D35602" s="28"/>
      <c r="F35602" s="28"/>
      <c r="H35602" s="28"/>
    </row>
    <row r="35603" spans="4:8" x14ac:dyDescent="0.25">
      <c r="D35603" s="28"/>
      <c r="F35603" s="28"/>
      <c r="H35603" s="28"/>
    </row>
    <row r="35604" spans="4:8" x14ac:dyDescent="0.25">
      <c r="D35604" s="28"/>
      <c r="F35604" s="28"/>
      <c r="H35604" s="28"/>
    </row>
    <row r="35605" spans="4:8" x14ac:dyDescent="0.25">
      <c r="D35605" s="28"/>
      <c r="F35605" s="28"/>
      <c r="H35605" s="28"/>
    </row>
    <row r="35606" spans="4:8" x14ac:dyDescent="0.25">
      <c r="D35606" s="28"/>
      <c r="F35606" s="28"/>
      <c r="H35606" s="28"/>
    </row>
    <row r="35607" spans="4:8" x14ac:dyDescent="0.25">
      <c r="D35607" s="28"/>
      <c r="F35607" s="28"/>
      <c r="H35607" s="28"/>
    </row>
    <row r="35608" spans="4:8" x14ac:dyDescent="0.25">
      <c r="D35608" s="28"/>
      <c r="F35608" s="28"/>
      <c r="H35608" s="28"/>
    </row>
    <row r="35609" spans="4:8" x14ac:dyDescent="0.25">
      <c r="D35609" s="28"/>
      <c r="F35609" s="28"/>
      <c r="H35609" s="28"/>
    </row>
    <row r="35610" spans="4:8" x14ac:dyDescent="0.25">
      <c r="D35610" s="28"/>
      <c r="F35610" s="28"/>
      <c r="H35610" s="28"/>
    </row>
    <row r="35611" spans="4:8" x14ac:dyDescent="0.25">
      <c r="D35611" s="28"/>
      <c r="F35611" s="28"/>
      <c r="H35611" s="28"/>
    </row>
    <row r="35612" spans="4:8" x14ac:dyDescent="0.25">
      <c r="D35612" s="28"/>
      <c r="F35612" s="28"/>
      <c r="H35612" s="28"/>
    </row>
    <row r="35613" spans="4:8" x14ac:dyDescent="0.25">
      <c r="D35613" s="28"/>
      <c r="F35613" s="28"/>
      <c r="H35613" s="28"/>
    </row>
    <row r="35614" spans="4:8" x14ac:dyDescent="0.25">
      <c r="D35614" s="28"/>
      <c r="F35614" s="28"/>
      <c r="H35614" s="28"/>
    </row>
    <row r="35615" spans="4:8" x14ac:dyDescent="0.25">
      <c r="D35615" s="28"/>
      <c r="F35615" s="28"/>
      <c r="H35615" s="28"/>
    </row>
    <row r="35616" spans="4:8" x14ac:dyDescent="0.25">
      <c r="D35616" s="28"/>
      <c r="F35616" s="28"/>
      <c r="H35616" s="28"/>
    </row>
    <row r="35617" spans="4:8" x14ac:dyDescent="0.25">
      <c r="D35617" s="28"/>
      <c r="F35617" s="28"/>
      <c r="H35617" s="28"/>
    </row>
    <row r="35618" spans="4:8" x14ac:dyDescent="0.25">
      <c r="D35618" s="28"/>
      <c r="F35618" s="28"/>
      <c r="H35618" s="28"/>
    </row>
    <row r="35619" spans="4:8" x14ac:dyDescent="0.25">
      <c r="D35619" s="28"/>
      <c r="F35619" s="28"/>
      <c r="H35619" s="28"/>
    </row>
    <row r="35620" spans="4:8" x14ac:dyDescent="0.25">
      <c r="D35620" s="28"/>
      <c r="F35620" s="28"/>
      <c r="H35620" s="28"/>
    </row>
    <row r="35621" spans="4:8" x14ac:dyDescent="0.25">
      <c r="D35621" s="28"/>
      <c r="F35621" s="28"/>
      <c r="H35621" s="28"/>
    </row>
    <row r="35622" spans="4:8" x14ac:dyDescent="0.25">
      <c r="D35622" s="28"/>
      <c r="F35622" s="28"/>
      <c r="H35622" s="28"/>
    </row>
    <row r="35623" spans="4:8" x14ac:dyDescent="0.25">
      <c r="D35623" s="28"/>
      <c r="F35623" s="28"/>
      <c r="H35623" s="28"/>
    </row>
    <row r="35624" spans="4:8" x14ac:dyDescent="0.25">
      <c r="D35624" s="28"/>
      <c r="F35624" s="28"/>
      <c r="H35624" s="28"/>
    </row>
    <row r="35625" spans="4:8" x14ac:dyDescent="0.25">
      <c r="D35625" s="28"/>
      <c r="F35625" s="28"/>
      <c r="H35625" s="28"/>
    </row>
    <row r="35626" spans="4:8" x14ac:dyDescent="0.25">
      <c r="D35626" s="28"/>
      <c r="F35626" s="28"/>
      <c r="H35626" s="28"/>
    </row>
    <row r="35627" spans="4:8" x14ac:dyDescent="0.25">
      <c r="D35627" s="28"/>
      <c r="F35627" s="28"/>
      <c r="H35627" s="28"/>
    </row>
    <row r="35628" spans="4:8" x14ac:dyDescent="0.25">
      <c r="D35628" s="28"/>
      <c r="F35628" s="28"/>
      <c r="H35628" s="28"/>
    </row>
    <row r="35629" spans="4:8" x14ac:dyDescent="0.25">
      <c r="D35629" s="28"/>
      <c r="F35629" s="28"/>
      <c r="H35629" s="28"/>
    </row>
    <row r="35630" spans="4:8" x14ac:dyDescent="0.25">
      <c r="D35630" s="28"/>
      <c r="F35630" s="28"/>
      <c r="H35630" s="28"/>
    </row>
    <row r="35631" spans="4:8" x14ac:dyDescent="0.25">
      <c r="D35631" s="28"/>
      <c r="F35631" s="28"/>
      <c r="H35631" s="28"/>
    </row>
    <row r="35632" spans="4:8" x14ac:dyDescent="0.25">
      <c r="D35632" s="28"/>
      <c r="F35632" s="28"/>
      <c r="H35632" s="28"/>
    </row>
    <row r="35633" spans="4:8" x14ac:dyDescent="0.25">
      <c r="D35633" s="28"/>
      <c r="F35633" s="28"/>
      <c r="H35633" s="28"/>
    </row>
    <row r="35634" spans="4:8" x14ac:dyDescent="0.25">
      <c r="D35634" s="28"/>
      <c r="F35634" s="28"/>
      <c r="H35634" s="28"/>
    </row>
    <row r="35635" spans="4:8" x14ac:dyDescent="0.25">
      <c r="D35635" s="28"/>
      <c r="F35635" s="28"/>
      <c r="H35635" s="28"/>
    </row>
    <row r="35636" spans="4:8" x14ac:dyDescent="0.25">
      <c r="D35636" s="28"/>
      <c r="F35636" s="28"/>
      <c r="H35636" s="28"/>
    </row>
    <row r="35637" spans="4:8" x14ac:dyDescent="0.25">
      <c r="D35637" s="28"/>
      <c r="F35637" s="28"/>
      <c r="H35637" s="28"/>
    </row>
    <row r="35638" spans="4:8" x14ac:dyDescent="0.25">
      <c r="D35638" s="28"/>
      <c r="F35638" s="28"/>
      <c r="H35638" s="28"/>
    </row>
    <row r="35639" spans="4:8" x14ac:dyDescent="0.25">
      <c r="D35639" s="28"/>
      <c r="F35639" s="28"/>
      <c r="H35639" s="28"/>
    </row>
    <row r="35640" spans="4:8" x14ac:dyDescent="0.25">
      <c r="D35640" s="28"/>
      <c r="F35640" s="28"/>
      <c r="H35640" s="28"/>
    </row>
    <row r="35641" spans="4:8" x14ac:dyDescent="0.25">
      <c r="D35641" s="28"/>
      <c r="F35641" s="28"/>
      <c r="H35641" s="28"/>
    </row>
    <row r="35642" spans="4:8" x14ac:dyDescent="0.25">
      <c r="D35642" s="28"/>
      <c r="F35642" s="28"/>
      <c r="H35642" s="28"/>
    </row>
    <row r="35643" spans="4:8" x14ac:dyDescent="0.25">
      <c r="D35643" s="28"/>
      <c r="F35643" s="28"/>
      <c r="H35643" s="28"/>
    </row>
    <row r="35644" spans="4:8" x14ac:dyDescent="0.25">
      <c r="D35644" s="28"/>
      <c r="F35644" s="28"/>
      <c r="H35644" s="28"/>
    </row>
    <row r="35645" spans="4:8" x14ac:dyDescent="0.25">
      <c r="D35645" s="28"/>
      <c r="F35645" s="28"/>
      <c r="H35645" s="28"/>
    </row>
    <row r="35646" spans="4:8" x14ac:dyDescent="0.25">
      <c r="D35646" s="28"/>
      <c r="F35646" s="28"/>
      <c r="H35646" s="28"/>
    </row>
    <row r="35647" spans="4:8" x14ac:dyDescent="0.25">
      <c r="D35647" s="28"/>
      <c r="F35647" s="28"/>
      <c r="H35647" s="28"/>
    </row>
    <row r="35648" spans="4:8" x14ac:dyDescent="0.25">
      <c r="D35648" s="28"/>
      <c r="F35648" s="28"/>
      <c r="H35648" s="28"/>
    </row>
    <row r="35649" spans="4:8" x14ac:dyDescent="0.25">
      <c r="D35649" s="28"/>
      <c r="F35649" s="28"/>
      <c r="H35649" s="28"/>
    </row>
    <row r="35650" spans="4:8" x14ac:dyDescent="0.25">
      <c r="D35650" s="28"/>
      <c r="F35650" s="28"/>
      <c r="H35650" s="28"/>
    </row>
    <row r="35651" spans="4:8" x14ac:dyDescent="0.25">
      <c r="D35651" s="28"/>
      <c r="F35651" s="28"/>
      <c r="H35651" s="28"/>
    </row>
    <row r="35652" spans="4:8" x14ac:dyDescent="0.25">
      <c r="D35652" s="28"/>
      <c r="F35652" s="28"/>
      <c r="H35652" s="28"/>
    </row>
    <row r="35653" spans="4:8" x14ac:dyDescent="0.25">
      <c r="D35653" s="28"/>
      <c r="F35653" s="28"/>
      <c r="H35653" s="28"/>
    </row>
    <row r="35654" spans="4:8" x14ac:dyDescent="0.25">
      <c r="D35654" s="28"/>
      <c r="F35654" s="28"/>
      <c r="H35654" s="28"/>
    </row>
    <row r="35655" spans="4:8" x14ac:dyDescent="0.25">
      <c r="D35655" s="28"/>
      <c r="F35655" s="28"/>
      <c r="H35655" s="28"/>
    </row>
    <row r="35656" spans="4:8" x14ac:dyDescent="0.25">
      <c r="D35656" s="28"/>
      <c r="F35656" s="28"/>
      <c r="H35656" s="28"/>
    </row>
    <row r="35657" spans="4:8" x14ac:dyDescent="0.25">
      <c r="D35657" s="28"/>
      <c r="F35657" s="28"/>
      <c r="H35657" s="28"/>
    </row>
    <row r="35658" spans="4:8" x14ac:dyDescent="0.25">
      <c r="D35658" s="28"/>
      <c r="F35658" s="28"/>
      <c r="H35658" s="28"/>
    </row>
    <row r="35659" spans="4:8" x14ac:dyDescent="0.25">
      <c r="D35659" s="28"/>
      <c r="F35659" s="28"/>
      <c r="H35659" s="28"/>
    </row>
    <row r="35660" spans="4:8" x14ac:dyDescent="0.25">
      <c r="D35660" s="28"/>
      <c r="F35660" s="28"/>
      <c r="H35660" s="28"/>
    </row>
    <row r="35661" spans="4:8" x14ac:dyDescent="0.25">
      <c r="D35661" s="28"/>
      <c r="F35661" s="28"/>
      <c r="H35661" s="28"/>
    </row>
    <row r="35662" spans="4:8" x14ac:dyDescent="0.25">
      <c r="D35662" s="28"/>
      <c r="F35662" s="28"/>
      <c r="H35662" s="28"/>
    </row>
    <row r="35663" spans="4:8" x14ac:dyDescent="0.25">
      <c r="D35663" s="28"/>
      <c r="F35663" s="28"/>
      <c r="H35663" s="28"/>
    </row>
    <row r="35664" spans="4:8" x14ac:dyDescent="0.25">
      <c r="D35664" s="28"/>
      <c r="F35664" s="28"/>
      <c r="H35664" s="28"/>
    </row>
    <row r="35665" spans="4:8" x14ac:dyDescent="0.25">
      <c r="D35665" s="28"/>
      <c r="F35665" s="28"/>
      <c r="H35665" s="28"/>
    </row>
    <row r="35666" spans="4:8" x14ac:dyDescent="0.25">
      <c r="D35666" s="28"/>
      <c r="F35666" s="28"/>
      <c r="H35666" s="28"/>
    </row>
    <row r="35667" spans="4:8" x14ac:dyDescent="0.25">
      <c r="D35667" s="28"/>
      <c r="F35667" s="28"/>
      <c r="H35667" s="28"/>
    </row>
    <row r="35668" spans="4:8" x14ac:dyDescent="0.25">
      <c r="D35668" s="28"/>
      <c r="F35668" s="28"/>
      <c r="H35668" s="28"/>
    </row>
    <row r="35669" spans="4:8" x14ac:dyDescent="0.25">
      <c r="D35669" s="28"/>
      <c r="F35669" s="28"/>
      <c r="H35669" s="28"/>
    </row>
    <row r="35670" spans="4:8" x14ac:dyDescent="0.25">
      <c r="D35670" s="28"/>
      <c r="F35670" s="28"/>
      <c r="H35670" s="28"/>
    </row>
    <row r="35671" spans="4:8" x14ac:dyDescent="0.25">
      <c r="D35671" s="28"/>
      <c r="F35671" s="28"/>
      <c r="H35671" s="28"/>
    </row>
    <row r="35672" spans="4:8" x14ac:dyDescent="0.25">
      <c r="D35672" s="28"/>
      <c r="F35672" s="28"/>
      <c r="H35672" s="28"/>
    </row>
    <row r="35673" spans="4:8" x14ac:dyDescent="0.25">
      <c r="D35673" s="28"/>
      <c r="F35673" s="28"/>
      <c r="H35673" s="28"/>
    </row>
    <row r="35674" spans="4:8" x14ac:dyDescent="0.25">
      <c r="D35674" s="28"/>
      <c r="F35674" s="28"/>
      <c r="H35674" s="28"/>
    </row>
    <row r="35675" spans="4:8" x14ac:dyDescent="0.25">
      <c r="D35675" s="28"/>
      <c r="F35675" s="28"/>
      <c r="H35675" s="28"/>
    </row>
    <row r="35676" spans="4:8" x14ac:dyDescent="0.25">
      <c r="D35676" s="28"/>
      <c r="F35676" s="28"/>
      <c r="H35676" s="28"/>
    </row>
    <row r="35677" spans="4:8" x14ac:dyDescent="0.25">
      <c r="D35677" s="28"/>
      <c r="F35677" s="28"/>
      <c r="H35677" s="28"/>
    </row>
    <row r="35678" spans="4:8" x14ac:dyDescent="0.25">
      <c r="D35678" s="28"/>
      <c r="F35678" s="28"/>
      <c r="H35678" s="28"/>
    </row>
    <row r="35679" spans="4:8" x14ac:dyDescent="0.25">
      <c r="D35679" s="28"/>
      <c r="F35679" s="28"/>
      <c r="H35679" s="28"/>
    </row>
    <row r="35680" spans="4:8" x14ac:dyDescent="0.25">
      <c r="D35680" s="28"/>
      <c r="F35680" s="28"/>
      <c r="H35680" s="28"/>
    </row>
    <row r="35681" spans="4:8" x14ac:dyDescent="0.25">
      <c r="D35681" s="28"/>
      <c r="F35681" s="28"/>
      <c r="H35681" s="28"/>
    </row>
    <row r="35682" spans="4:8" x14ac:dyDescent="0.25">
      <c r="D35682" s="28"/>
      <c r="F35682" s="28"/>
      <c r="H35682" s="28"/>
    </row>
    <row r="35683" spans="4:8" x14ac:dyDescent="0.25">
      <c r="D35683" s="28"/>
      <c r="F35683" s="28"/>
      <c r="H35683" s="28"/>
    </row>
    <row r="35684" spans="4:8" x14ac:dyDescent="0.25">
      <c r="D35684" s="28"/>
      <c r="F35684" s="28"/>
      <c r="H35684" s="28"/>
    </row>
    <row r="35685" spans="4:8" x14ac:dyDescent="0.25">
      <c r="D35685" s="28"/>
      <c r="F35685" s="28"/>
      <c r="H35685" s="28"/>
    </row>
    <row r="35686" spans="4:8" x14ac:dyDescent="0.25">
      <c r="D35686" s="28"/>
      <c r="F35686" s="28"/>
      <c r="H35686" s="28"/>
    </row>
    <row r="35687" spans="4:8" x14ac:dyDescent="0.25">
      <c r="D35687" s="28"/>
      <c r="F35687" s="28"/>
      <c r="H35687" s="28"/>
    </row>
    <row r="35688" spans="4:8" x14ac:dyDescent="0.25">
      <c r="D35688" s="28"/>
      <c r="F35688" s="28"/>
      <c r="H35688" s="28"/>
    </row>
    <row r="35689" spans="4:8" x14ac:dyDescent="0.25">
      <c r="D35689" s="28"/>
      <c r="F35689" s="28"/>
      <c r="H35689" s="28"/>
    </row>
    <row r="35690" spans="4:8" x14ac:dyDescent="0.25">
      <c r="D35690" s="28"/>
      <c r="F35690" s="28"/>
      <c r="H35690" s="28"/>
    </row>
    <row r="35691" spans="4:8" x14ac:dyDescent="0.25">
      <c r="D35691" s="28"/>
      <c r="F35691" s="28"/>
      <c r="H35691" s="28"/>
    </row>
    <row r="35692" spans="4:8" x14ac:dyDescent="0.25">
      <c r="D35692" s="28"/>
      <c r="F35692" s="28"/>
      <c r="H35692" s="28"/>
    </row>
    <row r="35693" spans="4:8" x14ac:dyDescent="0.25">
      <c r="D35693" s="28"/>
      <c r="F35693" s="28"/>
      <c r="H35693" s="28"/>
    </row>
    <row r="35694" spans="4:8" x14ac:dyDescent="0.25">
      <c r="D35694" s="28"/>
      <c r="F35694" s="28"/>
      <c r="H35694" s="28"/>
    </row>
    <row r="35695" spans="4:8" x14ac:dyDescent="0.25">
      <c r="D35695" s="28"/>
      <c r="F35695" s="28"/>
      <c r="H35695" s="28"/>
    </row>
    <row r="35696" spans="4:8" x14ac:dyDescent="0.25">
      <c r="D35696" s="28"/>
      <c r="F35696" s="28"/>
      <c r="H35696" s="28"/>
    </row>
    <row r="35697" spans="4:8" x14ac:dyDescent="0.25">
      <c r="D35697" s="28"/>
      <c r="F35697" s="28"/>
      <c r="H35697" s="28"/>
    </row>
    <row r="35698" spans="4:8" x14ac:dyDescent="0.25">
      <c r="D35698" s="28"/>
      <c r="F35698" s="28"/>
      <c r="H35698" s="28"/>
    </row>
    <row r="35699" spans="4:8" x14ac:dyDescent="0.25">
      <c r="D35699" s="28"/>
      <c r="F35699" s="28"/>
      <c r="H35699" s="28"/>
    </row>
    <row r="35700" spans="4:8" x14ac:dyDescent="0.25">
      <c r="D35700" s="28"/>
      <c r="F35700" s="28"/>
      <c r="H35700" s="28"/>
    </row>
    <row r="35701" spans="4:8" x14ac:dyDescent="0.25">
      <c r="D35701" s="28"/>
      <c r="F35701" s="28"/>
      <c r="H35701" s="28"/>
    </row>
    <row r="35702" spans="4:8" x14ac:dyDescent="0.25">
      <c r="D35702" s="28"/>
      <c r="F35702" s="28"/>
      <c r="H35702" s="28"/>
    </row>
    <row r="35703" spans="4:8" x14ac:dyDescent="0.25">
      <c r="D35703" s="28"/>
      <c r="F35703" s="28"/>
      <c r="H35703" s="28"/>
    </row>
    <row r="35704" spans="4:8" x14ac:dyDescent="0.25">
      <c r="D35704" s="28"/>
      <c r="F35704" s="28"/>
      <c r="H35704" s="28"/>
    </row>
    <row r="35705" spans="4:8" x14ac:dyDescent="0.25">
      <c r="D35705" s="28"/>
      <c r="F35705" s="28"/>
      <c r="H35705" s="28"/>
    </row>
    <row r="35706" spans="4:8" x14ac:dyDescent="0.25">
      <c r="D35706" s="28"/>
      <c r="F35706" s="28"/>
      <c r="H35706" s="28"/>
    </row>
    <row r="35707" spans="4:8" x14ac:dyDescent="0.25">
      <c r="D35707" s="28"/>
      <c r="F35707" s="28"/>
      <c r="H35707" s="28"/>
    </row>
    <row r="35708" spans="4:8" x14ac:dyDescent="0.25">
      <c r="D35708" s="28"/>
      <c r="F35708" s="28"/>
      <c r="H35708" s="28"/>
    </row>
    <row r="35709" spans="4:8" x14ac:dyDescent="0.25">
      <c r="D35709" s="28"/>
      <c r="F35709" s="28"/>
      <c r="H35709" s="28"/>
    </row>
    <row r="35710" spans="4:8" x14ac:dyDescent="0.25">
      <c r="D35710" s="28"/>
      <c r="F35710" s="28"/>
      <c r="H35710" s="28"/>
    </row>
    <row r="35711" spans="4:8" x14ac:dyDescent="0.25">
      <c r="D35711" s="28"/>
      <c r="F35711" s="28"/>
      <c r="H35711" s="28"/>
    </row>
    <row r="35712" spans="4:8" x14ac:dyDescent="0.25">
      <c r="D35712" s="28"/>
      <c r="F35712" s="28"/>
      <c r="H35712" s="28"/>
    </row>
    <row r="35713" spans="4:8" x14ac:dyDescent="0.25">
      <c r="D35713" s="28"/>
      <c r="F35713" s="28"/>
      <c r="H35713" s="28"/>
    </row>
    <row r="35714" spans="4:8" x14ac:dyDescent="0.25">
      <c r="D35714" s="28"/>
      <c r="F35714" s="28"/>
      <c r="H35714" s="28"/>
    </row>
    <row r="35715" spans="4:8" x14ac:dyDescent="0.25">
      <c r="D35715" s="28"/>
      <c r="F35715" s="28"/>
      <c r="H35715" s="28"/>
    </row>
    <row r="35716" spans="4:8" x14ac:dyDescent="0.25">
      <c r="D35716" s="28"/>
      <c r="F35716" s="28"/>
      <c r="H35716" s="28"/>
    </row>
    <row r="35717" spans="4:8" x14ac:dyDescent="0.25">
      <c r="D35717" s="28"/>
      <c r="F35717" s="28"/>
      <c r="H35717" s="28"/>
    </row>
    <row r="35718" spans="4:8" x14ac:dyDescent="0.25">
      <c r="D35718" s="28"/>
      <c r="F35718" s="28"/>
      <c r="H35718" s="28"/>
    </row>
    <row r="35719" spans="4:8" x14ac:dyDescent="0.25">
      <c r="D35719" s="28"/>
      <c r="F35719" s="28"/>
      <c r="H35719" s="28"/>
    </row>
    <row r="35720" spans="4:8" x14ac:dyDescent="0.25">
      <c r="D35720" s="28"/>
      <c r="F35720" s="28"/>
      <c r="H35720" s="28"/>
    </row>
    <row r="35721" spans="4:8" x14ac:dyDescent="0.25">
      <c r="D35721" s="28"/>
      <c r="F35721" s="28"/>
      <c r="H35721" s="28"/>
    </row>
    <row r="35722" spans="4:8" x14ac:dyDescent="0.25">
      <c r="D35722" s="28"/>
      <c r="F35722" s="28"/>
      <c r="H35722" s="28"/>
    </row>
    <row r="35723" spans="4:8" x14ac:dyDescent="0.25">
      <c r="D35723" s="28"/>
      <c r="F35723" s="28"/>
      <c r="H35723" s="28"/>
    </row>
    <row r="35724" spans="4:8" x14ac:dyDescent="0.25">
      <c r="D35724" s="28"/>
      <c r="F35724" s="28"/>
      <c r="H35724" s="28"/>
    </row>
    <row r="35725" spans="4:8" x14ac:dyDescent="0.25">
      <c r="D35725" s="28"/>
      <c r="F35725" s="28"/>
      <c r="H35725" s="28"/>
    </row>
    <row r="35726" spans="4:8" x14ac:dyDescent="0.25">
      <c r="D35726" s="28"/>
      <c r="F35726" s="28"/>
      <c r="H35726" s="28"/>
    </row>
    <row r="35727" spans="4:8" x14ac:dyDescent="0.25">
      <c r="D35727" s="28"/>
      <c r="F35727" s="28"/>
      <c r="H35727" s="28"/>
    </row>
    <row r="35728" spans="4:8" x14ac:dyDescent="0.25">
      <c r="D35728" s="28"/>
      <c r="F35728" s="28"/>
      <c r="H35728" s="28"/>
    </row>
    <row r="35729" spans="4:8" x14ac:dyDescent="0.25">
      <c r="D35729" s="28"/>
      <c r="F35729" s="28"/>
      <c r="H35729" s="28"/>
    </row>
    <row r="35730" spans="4:8" x14ac:dyDescent="0.25">
      <c r="D35730" s="28"/>
      <c r="F35730" s="28"/>
      <c r="H35730" s="28"/>
    </row>
    <row r="35731" spans="4:8" x14ac:dyDescent="0.25">
      <c r="D35731" s="28"/>
      <c r="F35731" s="28"/>
      <c r="H35731" s="28"/>
    </row>
    <row r="35732" spans="4:8" x14ac:dyDescent="0.25">
      <c r="D35732" s="28"/>
      <c r="F35732" s="28"/>
      <c r="H35732" s="28"/>
    </row>
    <row r="35733" spans="4:8" x14ac:dyDescent="0.25">
      <c r="D35733" s="28"/>
      <c r="F35733" s="28"/>
      <c r="H35733" s="28"/>
    </row>
    <row r="35734" spans="4:8" x14ac:dyDescent="0.25">
      <c r="D35734" s="28"/>
      <c r="F35734" s="28"/>
      <c r="H35734" s="28"/>
    </row>
    <row r="35735" spans="4:8" x14ac:dyDescent="0.25">
      <c r="D35735" s="28"/>
      <c r="F35735" s="28"/>
      <c r="H35735" s="28"/>
    </row>
    <row r="35736" spans="4:8" x14ac:dyDescent="0.25">
      <c r="D35736" s="28"/>
      <c r="F35736" s="28"/>
      <c r="H35736" s="28"/>
    </row>
    <row r="35737" spans="4:8" x14ac:dyDescent="0.25">
      <c r="D35737" s="28"/>
      <c r="F35737" s="28"/>
      <c r="H35737" s="28"/>
    </row>
    <row r="35738" spans="4:8" x14ac:dyDescent="0.25">
      <c r="D35738" s="28"/>
      <c r="F35738" s="28"/>
      <c r="H35738" s="28"/>
    </row>
    <row r="35739" spans="4:8" x14ac:dyDescent="0.25">
      <c r="D35739" s="28"/>
      <c r="F35739" s="28"/>
      <c r="H35739" s="28"/>
    </row>
    <row r="35740" spans="4:8" x14ac:dyDescent="0.25">
      <c r="D35740" s="28"/>
      <c r="F35740" s="28"/>
      <c r="H35740" s="28"/>
    </row>
    <row r="35741" spans="4:8" x14ac:dyDescent="0.25">
      <c r="D35741" s="28"/>
      <c r="F35741" s="28"/>
      <c r="H35741" s="28"/>
    </row>
    <row r="35742" spans="4:8" x14ac:dyDescent="0.25">
      <c r="D35742" s="28"/>
      <c r="F35742" s="28"/>
      <c r="H35742" s="28"/>
    </row>
    <row r="35743" spans="4:8" x14ac:dyDescent="0.25">
      <c r="D35743" s="28"/>
      <c r="F35743" s="28"/>
      <c r="H35743" s="28"/>
    </row>
    <row r="35744" spans="4:8" x14ac:dyDescent="0.25">
      <c r="D35744" s="28"/>
      <c r="F35744" s="28"/>
      <c r="H35744" s="28"/>
    </row>
    <row r="35745" spans="4:8" x14ac:dyDescent="0.25">
      <c r="D35745" s="28"/>
      <c r="F35745" s="28"/>
      <c r="H35745" s="28"/>
    </row>
    <row r="35746" spans="4:8" x14ac:dyDescent="0.25">
      <c r="D35746" s="28"/>
      <c r="F35746" s="28"/>
      <c r="H35746" s="28"/>
    </row>
    <row r="35747" spans="4:8" x14ac:dyDescent="0.25">
      <c r="D35747" s="28"/>
      <c r="F35747" s="28"/>
      <c r="H35747" s="28"/>
    </row>
    <row r="35748" spans="4:8" x14ac:dyDescent="0.25">
      <c r="D35748" s="28"/>
      <c r="F35748" s="28"/>
      <c r="H35748" s="28"/>
    </row>
    <row r="35749" spans="4:8" x14ac:dyDescent="0.25">
      <c r="D35749" s="28"/>
      <c r="F35749" s="28"/>
      <c r="H35749" s="28"/>
    </row>
    <row r="35750" spans="4:8" x14ac:dyDescent="0.25">
      <c r="D35750" s="28"/>
      <c r="F35750" s="28"/>
      <c r="H35750" s="28"/>
    </row>
    <row r="35751" spans="4:8" x14ac:dyDescent="0.25">
      <c r="D35751" s="28"/>
      <c r="F35751" s="28"/>
      <c r="H35751" s="28"/>
    </row>
    <row r="35752" spans="4:8" x14ac:dyDescent="0.25">
      <c r="D35752" s="28"/>
      <c r="F35752" s="28"/>
      <c r="H35752" s="28"/>
    </row>
    <row r="35753" spans="4:8" x14ac:dyDescent="0.25">
      <c r="D35753" s="28"/>
      <c r="F35753" s="28"/>
      <c r="H35753" s="28"/>
    </row>
    <row r="35754" spans="4:8" x14ac:dyDescent="0.25">
      <c r="D35754" s="28"/>
      <c r="F35754" s="28"/>
      <c r="H35754" s="28"/>
    </row>
    <row r="35755" spans="4:8" x14ac:dyDescent="0.25">
      <c r="D35755" s="28"/>
      <c r="F35755" s="28"/>
      <c r="H35755" s="28"/>
    </row>
    <row r="35756" spans="4:8" x14ac:dyDescent="0.25">
      <c r="D35756" s="28"/>
      <c r="F35756" s="28"/>
      <c r="H35756" s="28"/>
    </row>
    <row r="35757" spans="4:8" x14ac:dyDescent="0.25">
      <c r="D35757" s="28"/>
      <c r="F35757" s="28"/>
      <c r="H35757" s="28"/>
    </row>
    <row r="35758" spans="4:8" x14ac:dyDescent="0.25">
      <c r="D35758" s="28"/>
      <c r="F35758" s="28"/>
      <c r="H35758" s="28"/>
    </row>
    <row r="35759" spans="4:8" x14ac:dyDescent="0.25">
      <c r="D35759" s="28"/>
      <c r="F35759" s="28"/>
      <c r="H35759" s="28"/>
    </row>
    <row r="35760" spans="4:8" x14ac:dyDescent="0.25">
      <c r="D35760" s="28"/>
      <c r="F35760" s="28"/>
      <c r="H35760" s="28"/>
    </row>
    <row r="35761" spans="4:8" x14ac:dyDescent="0.25">
      <c r="D35761" s="28"/>
      <c r="F35761" s="28"/>
      <c r="H35761" s="28"/>
    </row>
    <row r="35762" spans="4:8" x14ac:dyDescent="0.25">
      <c r="D35762" s="28"/>
      <c r="F35762" s="28"/>
      <c r="H35762" s="28"/>
    </row>
    <row r="35763" spans="4:8" x14ac:dyDescent="0.25">
      <c r="D35763" s="28"/>
      <c r="F35763" s="28"/>
      <c r="H35763" s="28"/>
    </row>
    <row r="35764" spans="4:8" x14ac:dyDescent="0.25">
      <c r="D35764" s="28"/>
      <c r="F35764" s="28"/>
      <c r="H35764" s="28"/>
    </row>
    <row r="35765" spans="4:8" x14ac:dyDescent="0.25">
      <c r="D35765" s="28"/>
      <c r="F35765" s="28"/>
      <c r="H35765" s="28"/>
    </row>
    <row r="35766" spans="4:8" x14ac:dyDescent="0.25">
      <c r="D35766" s="28"/>
      <c r="F35766" s="28"/>
      <c r="H35766" s="28"/>
    </row>
    <row r="35767" spans="4:8" x14ac:dyDescent="0.25">
      <c r="D35767" s="28"/>
      <c r="F35767" s="28"/>
      <c r="H35767" s="28"/>
    </row>
    <row r="35768" spans="4:8" x14ac:dyDescent="0.25">
      <c r="D35768" s="28"/>
      <c r="F35768" s="28"/>
      <c r="H35768" s="28"/>
    </row>
    <row r="35769" spans="4:8" x14ac:dyDescent="0.25">
      <c r="D35769" s="28"/>
      <c r="F35769" s="28"/>
      <c r="H35769" s="28"/>
    </row>
    <row r="35770" spans="4:8" x14ac:dyDescent="0.25">
      <c r="D35770" s="28"/>
      <c r="F35770" s="28"/>
      <c r="H35770" s="28"/>
    </row>
    <row r="35771" spans="4:8" x14ac:dyDescent="0.25">
      <c r="D35771" s="28"/>
      <c r="F35771" s="28"/>
      <c r="H35771" s="28"/>
    </row>
    <row r="35772" spans="4:8" x14ac:dyDescent="0.25">
      <c r="D35772" s="28"/>
      <c r="F35772" s="28"/>
      <c r="H35772" s="28"/>
    </row>
    <row r="35773" spans="4:8" x14ac:dyDescent="0.25">
      <c r="D35773" s="28"/>
      <c r="F35773" s="28"/>
      <c r="H35773" s="28"/>
    </row>
    <row r="35774" spans="4:8" x14ac:dyDescent="0.25">
      <c r="D35774" s="28"/>
      <c r="F35774" s="28"/>
      <c r="H35774" s="28"/>
    </row>
    <row r="35775" spans="4:8" x14ac:dyDescent="0.25">
      <c r="D35775" s="28"/>
      <c r="F35775" s="28"/>
      <c r="H35775" s="28"/>
    </row>
    <row r="35776" spans="4:8" x14ac:dyDescent="0.25">
      <c r="D35776" s="28"/>
      <c r="F35776" s="28"/>
      <c r="H35776" s="28"/>
    </row>
    <row r="35777" spans="4:8" x14ac:dyDescent="0.25">
      <c r="D35777" s="28"/>
      <c r="F35777" s="28"/>
      <c r="H35777" s="28"/>
    </row>
    <row r="35778" spans="4:8" x14ac:dyDescent="0.25">
      <c r="D35778" s="28"/>
      <c r="F35778" s="28"/>
      <c r="H35778" s="28"/>
    </row>
    <row r="35779" spans="4:8" x14ac:dyDescent="0.25">
      <c r="D35779" s="28"/>
      <c r="F35779" s="28"/>
      <c r="H35779" s="28"/>
    </row>
    <row r="35780" spans="4:8" x14ac:dyDescent="0.25">
      <c r="D35780" s="28"/>
      <c r="F35780" s="28"/>
      <c r="H35780" s="28"/>
    </row>
    <row r="35781" spans="4:8" x14ac:dyDescent="0.25">
      <c r="D35781" s="28"/>
      <c r="F35781" s="28"/>
      <c r="H35781" s="28"/>
    </row>
    <row r="35782" spans="4:8" x14ac:dyDescent="0.25">
      <c r="D35782" s="28"/>
      <c r="F35782" s="28"/>
      <c r="H35782" s="28"/>
    </row>
    <row r="35783" spans="4:8" x14ac:dyDescent="0.25">
      <c r="D35783" s="28"/>
      <c r="F35783" s="28"/>
      <c r="H35783" s="28"/>
    </row>
    <row r="35784" spans="4:8" x14ac:dyDescent="0.25">
      <c r="D35784" s="28"/>
      <c r="F35784" s="28"/>
      <c r="H35784" s="28"/>
    </row>
    <row r="35785" spans="4:8" x14ac:dyDescent="0.25">
      <c r="D35785" s="28"/>
      <c r="F35785" s="28"/>
      <c r="H35785" s="28"/>
    </row>
    <row r="35786" spans="4:8" x14ac:dyDescent="0.25">
      <c r="D35786" s="28"/>
      <c r="F35786" s="28"/>
      <c r="H35786" s="28"/>
    </row>
    <row r="35787" spans="4:8" x14ac:dyDescent="0.25">
      <c r="D35787" s="28"/>
      <c r="F35787" s="28"/>
      <c r="H35787" s="28"/>
    </row>
    <row r="35788" spans="4:8" x14ac:dyDescent="0.25">
      <c r="D35788" s="28"/>
      <c r="F35788" s="28"/>
      <c r="H35788" s="28"/>
    </row>
    <row r="35789" spans="4:8" x14ac:dyDescent="0.25">
      <c r="D35789" s="28"/>
      <c r="F35789" s="28"/>
      <c r="H35789" s="28"/>
    </row>
    <row r="35790" spans="4:8" x14ac:dyDescent="0.25">
      <c r="D35790" s="28"/>
      <c r="F35790" s="28"/>
      <c r="H35790" s="28"/>
    </row>
    <row r="35791" spans="4:8" x14ac:dyDescent="0.25">
      <c r="D35791" s="28"/>
      <c r="F35791" s="28"/>
      <c r="H35791" s="28"/>
    </row>
    <row r="35792" spans="4:8" x14ac:dyDescent="0.25">
      <c r="D35792" s="28"/>
      <c r="F35792" s="28"/>
      <c r="H35792" s="28"/>
    </row>
    <row r="35793" spans="4:8" x14ac:dyDescent="0.25">
      <c r="D35793" s="28"/>
      <c r="F35793" s="28"/>
      <c r="H35793" s="28"/>
    </row>
    <row r="35794" spans="4:8" x14ac:dyDescent="0.25">
      <c r="D35794" s="28"/>
      <c r="F35794" s="28"/>
      <c r="H35794" s="28"/>
    </row>
    <row r="35795" spans="4:8" x14ac:dyDescent="0.25">
      <c r="D35795" s="28"/>
      <c r="F35795" s="28"/>
      <c r="H35795" s="28"/>
    </row>
    <row r="35796" spans="4:8" x14ac:dyDescent="0.25">
      <c r="D35796" s="28"/>
      <c r="F35796" s="28"/>
      <c r="H35796" s="28"/>
    </row>
    <row r="35797" spans="4:8" x14ac:dyDescent="0.25">
      <c r="D35797" s="28"/>
      <c r="F35797" s="28"/>
      <c r="H35797" s="28"/>
    </row>
    <row r="35798" spans="4:8" x14ac:dyDescent="0.25">
      <c r="D35798" s="28"/>
      <c r="F35798" s="28"/>
      <c r="H35798" s="28"/>
    </row>
    <row r="35799" spans="4:8" x14ac:dyDescent="0.25">
      <c r="D35799" s="28"/>
      <c r="F35799" s="28"/>
      <c r="H35799" s="28"/>
    </row>
    <row r="35800" spans="4:8" x14ac:dyDescent="0.25">
      <c r="D35800" s="28"/>
      <c r="F35800" s="28"/>
      <c r="H35800" s="28"/>
    </row>
    <row r="35801" spans="4:8" x14ac:dyDescent="0.25">
      <c r="D35801" s="28"/>
      <c r="F35801" s="28"/>
      <c r="H35801" s="28"/>
    </row>
    <row r="35802" spans="4:8" x14ac:dyDescent="0.25">
      <c r="D35802" s="28"/>
      <c r="F35802" s="28"/>
      <c r="H35802" s="28"/>
    </row>
    <row r="35803" spans="4:8" x14ac:dyDescent="0.25">
      <c r="D35803" s="28"/>
      <c r="F35803" s="28"/>
      <c r="H35803" s="28"/>
    </row>
    <row r="35804" spans="4:8" x14ac:dyDescent="0.25">
      <c r="D35804" s="28"/>
      <c r="F35804" s="28"/>
      <c r="H35804" s="28"/>
    </row>
    <row r="35805" spans="4:8" x14ac:dyDescent="0.25">
      <c r="D35805" s="28"/>
      <c r="F35805" s="28"/>
      <c r="H35805" s="28"/>
    </row>
    <row r="35806" spans="4:8" x14ac:dyDescent="0.25">
      <c r="D35806" s="28"/>
      <c r="F35806" s="28"/>
      <c r="H35806" s="28"/>
    </row>
    <row r="35807" spans="4:8" x14ac:dyDescent="0.25">
      <c r="D35807" s="28"/>
      <c r="F35807" s="28"/>
      <c r="H35807" s="28"/>
    </row>
    <row r="35808" spans="4:8" x14ac:dyDescent="0.25">
      <c r="D35808" s="28"/>
      <c r="F35808" s="28"/>
      <c r="H35808" s="28"/>
    </row>
    <row r="35809" spans="4:8" x14ac:dyDescent="0.25">
      <c r="D35809" s="28"/>
      <c r="F35809" s="28"/>
      <c r="H35809" s="28"/>
    </row>
    <row r="35810" spans="4:8" x14ac:dyDescent="0.25">
      <c r="D35810" s="28"/>
      <c r="F35810" s="28"/>
      <c r="H35810" s="28"/>
    </row>
    <row r="35811" spans="4:8" x14ac:dyDescent="0.25">
      <c r="D35811" s="28"/>
      <c r="F35811" s="28"/>
      <c r="H35811" s="28"/>
    </row>
    <row r="35812" spans="4:8" x14ac:dyDescent="0.25">
      <c r="D35812" s="28"/>
      <c r="F35812" s="28"/>
      <c r="H35812" s="28"/>
    </row>
    <row r="35813" spans="4:8" x14ac:dyDescent="0.25">
      <c r="D35813" s="28"/>
      <c r="F35813" s="28"/>
      <c r="H35813" s="28"/>
    </row>
    <row r="35814" spans="4:8" x14ac:dyDescent="0.25">
      <c r="D35814" s="28"/>
      <c r="F35814" s="28"/>
      <c r="H35814" s="28"/>
    </row>
    <row r="35815" spans="4:8" x14ac:dyDescent="0.25">
      <c r="D35815" s="28"/>
      <c r="F35815" s="28"/>
      <c r="H35815" s="28"/>
    </row>
    <row r="35816" spans="4:8" x14ac:dyDescent="0.25">
      <c r="D35816" s="28"/>
      <c r="F35816" s="28"/>
      <c r="H35816" s="28"/>
    </row>
    <row r="35817" spans="4:8" x14ac:dyDescent="0.25">
      <c r="D35817" s="28"/>
      <c r="F35817" s="28"/>
      <c r="H35817" s="28"/>
    </row>
    <row r="35818" spans="4:8" x14ac:dyDescent="0.25">
      <c r="D35818" s="28"/>
      <c r="F35818" s="28"/>
      <c r="H35818" s="28"/>
    </row>
    <row r="35819" spans="4:8" x14ac:dyDescent="0.25">
      <c r="D35819" s="28"/>
      <c r="F35819" s="28"/>
      <c r="H35819" s="28"/>
    </row>
    <row r="35820" spans="4:8" x14ac:dyDescent="0.25">
      <c r="D35820" s="28"/>
      <c r="F35820" s="28"/>
      <c r="H35820" s="28"/>
    </row>
    <row r="35821" spans="4:8" x14ac:dyDescent="0.25">
      <c r="D35821" s="28"/>
      <c r="F35821" s="28"/>
      <c r="H35821" s="28"/>
    </row>
    <row r="35822" spans="4:8" x14ac:dyDescent="0.25">
      <c r="D35822" s="28"/>
      <c r="F35822" s="28"/>
      <c r="H35822" s="28"/>
    </row>
    <row r="35823" spans="4:8" x14ac:dyDescent="0.25">
      <c r="D35823" s="28"/>
      <c r="F35823" s="28"/>
      <c r="H35823" s="28"/>
    </row>
    <row r="35824" spans="4:8" x14ac:dyDescent="0.25">
      <c r="D35824" s="28"/>
      <c r="F35824" s="28"/>
      <c r="H35824" s="28"/>
    </row>
    <row r="35825" spans="4:8" x14ac:dyDescent="0.25">
      <c r="D35825" s="28"/>
      <c r="F35825" s="28"/>
      <c r="H35825" s="28"/>
    </row>
    <row r="35826" spans="4:8" x14ac:dyDescent="0.25">
      <c r="D35826" s="28"/>
      <c r="F35826" s="28"/>
      <c r="H35826" s="28"/>
    </row>
    <row r="35827" spans="4:8" x14ac:dyDescent="0.25">
      <c r="D35827" s="28"/>
      <c r="F35827" s="28"/>
      <c r="H35827" s="28"/>
    </row>
    <row r="35828" spans="4:8" x14ac:dyDescent="0.25">
      <c r="D35828" s="28"/>
      <c r="F35828" s="28"/>
      <c r="H35828" s="28"/>
    </row>
    <row r="35829" spans="4:8" x14ac:dyDescent="0.25">
      <c r="D35829" s="28"/>
      <c r="F35829" s="28"/>
      <c r="H35829" s="28"/>
    </row>
    <row r="35830" spans="4:8" x14ac:dyDescent="0.25">
      <c r="D35830" s="28"/>
      <c r="F35830" s="28"/>
      <c r="H35830" s="28"/>
    </row>
    <row r="35831" spans="4:8" x14ac:dyDescent="0.25">
      <c r="D35831" s="28"/>
      <c r="F35831" s="28"/>
      <c r="H35831" s="28"/>
    </row>
    <row r="35832" spans="4:8" x14ac:dyDescent="0.25">
      <c r="D35832" s="28"/>
      <c r="F35832" s="28"/>
      <c r="H35832" s="28"/>
    </row>
    <row r="35833" spans="4:8" x14ac:dyDescent="0.25">
      <c r="D35833" s="28"/>
      <c r="F35833" s="28"/>
      <c r="H35833" s="28"/>
    </row>
    <row r="35834" spans="4:8" x14ac:dyDescent="0.25">
      <c r="D35834" s="28"/>
      <c r="F35834" s="28"/>
      <c r="H35834" s="28"/>
    </row>
    <row r="35835" spans="4:8" x14ac:dyDescent="0.25">
      <c r="D35835" s="28"/>
      <c r="F35835" s="28"/>
      <c r="H35835" s="28"/>
    </row>
    <row r="35836" spans="4:8" x14ac:dyDescent="0.25">
      <c r="D35836" s="28"/>
      <c r="F35836" s="28"/>
      <c r="H35836" s="28"/>
    </row>
    <row r="35837" spans="4:8" x14ac:dyDescent="0.25">
      <c r="D35837" s="28"/>
      <c r="F35837" s="28"/>
      <c r="H35837" s="28"/>
    </row>
    <row r="35838" spans="4:8" x14ac:dyDescent="0.25">
      <c r="D35838" s="28"/>
      <c r="F35838" s="28"/>
      <c r="H35838" s="28"/>
    </row>
    <row r="35839" spans="4:8" x14ac:dyDescent="0.25">
      <c r="D35839" s="28"/>
      <c r="F35839" s="28"/>
      <c r="H35839" s="28"/>
    </row>
    <row r="35840" spans="4:8" x14ac:dyDescent="0.25">
      <c r="D35840" s="28"/>
      <c r="F35840" s="28"/>
      <c r="H35840" s="28"/>
    </row>
    <row r="35841" spans="4:8" x14ac:dyDescent="0.25">
      <c r="D35841" s="28"/>
      <c r="F35841" s="28"/>
      <c r="H35841" s="28"/>
    </row>
    <row r="35842" spans="4:8" x14ac:dyDescent="0.25">
      <c r="D35842" s="28"/>
      <c r="F35842" s="28"/>
      <c r="H35842" s="28"/>
    </row>
    <row r="35843" spans="4:8" x14ac:dyDescent="0.25">
      <c r="D35843" s="28"/>
      <c r="F35843" s="28"/>
      <c r="H35843" s="28"/>
    </row>
    <row r="35844" spans="4:8" x14ac:dyDescent="0.25">
      <c r="D35844" s="28"/>
      <c r="F35844" s="28"/>
      <c r="H35844" s="28"/>
    </row>
    <row r="35845" spans="4:8" x14ac:dyDescent="0.25">
      <c r="D35845" s="28"/>
      <c r="F35845" s="28"/>
      <c r="H35845" s="28"/>
    </row>
    <row r="35846" spans="4:8" x14ac:dyDescent="0.25">
      <c r="D35846" s="28"/>
      <c r="F35846" s="28"/>
      <c r="H35846" s="28"/>
    </row>
    <row r="35847" spans="4:8" x14ac:dyDescent="0.25">
      <c r="D35847" s="28"/>
      <c r="F35847" s="28"/>
      <c r="H35847" s="28"/>
    </row>
    <row r="35848" spans="4:8" x14ac:dyDescent="0.25">
      <c r="D35848" s="28"/>
      <c r="F35848" s="28"/>
      <c r="H35848" s="28"/>
    </row>
    <row r="35849" spans="4:8" x14ac:dyDescent="0.25">
      <c r="D35849" s="28"/>
      <c r="F35849" s="28"/>
      <c r="H35849" s="28"/>
    </row>
    <row r="35850" spans="4:8" x14ac:dyDescent="0.25">
      <c r="D35850" s="28"/>
      <c r="F35850" s="28"/>
      <c r="H35850" s="28"/>
    </row>
    <row r="35851" spans="4:8" x14ac:dyDescent="0.25">
      <c r="D35851" s="28"/>
      <c r="F35851" s="28"/>
      <c r="H35851" s="28"/>
    </row>
    <row r="35852" spans="4:8" x14ac:dyDescent="0.25">
      <c r="D35852" s="28"/>
      <c r="F35852" s="28"/>
      <c r="H35852" s="28"/>
    </row>
    <row r="35853" spans="4:8" x14ac:dyDescent="0.25">
      <c r="D35853" s="28"/>
      <c r="F35853" s="28"/>
      <c r="H35853" s="28"/>
    </row>
    <row r="35854" spans="4:8" x14ac:dyDescent="0.25">
      <c r="D35854" s="28"/>
      <c r="F35854" s="28"/>
      <c r="H35854" s="28"/>
    </row>
    <row r="35855" spans="4:8" x14ac:dyDescent="0.25">
      <c r="D35855" s="28"/>
      <c r="F35855" s="28"/>
      <c r="H35855" s="28"/>
    </row>
    <row r="35856" spans="4:8" x14ac:dyDescent="0.25">
      <c r="D35856" s="28"/>
      <c r="F35856" s="28"/>
      <c r="H35856" s="28"/>
    </row>
    <row r="35857" spans="4:8" x14ac:dyDescent="0.25">
      <c r="D35857" s="28"/>
      <c r="F35857" s="28"/>
      <c r="H35857" s="28"/>
    </row>
    <row r="35858" spans="4:8" x14ac:dyDescent="0.25">
      <c r="D35858" s="28"/>
      <c r="F35858" s="28"/>
      <c r="H35858" s="28"/>
    </row>
    <row r="35859" spans="4:8" x14ac:dyDescent="0.25">
      <c r="D35859" s="28"/>
      <c r="F35859" s="28"/>
      <c r="H35859" s="28"/>
    </row>
    <row r="35860" spans="4:8" x14ac:dyDescent="0.25">
      <c r="D35860" s="28"/>
      <c r="F35860" s="28"/>
      <c r="H35860" s="28"/>
    </row>
    <row r="35861" spans="4:8" x14ac:dyDescent="0.25">
      <c r="D35861" s="28"/>
      <c r="F35861" s="28"/>
      <c r="H35861" s="28"/>
    </row>
    <row r="35862" spans="4:8" x14ac:dyDescent="0.25">
      <c r="D35862" s="28"/>
      <c r="F35862" s="28"/>
      <c r="H35862" s="28"/>
    </row>
    <row r="35863" spans="4:8" x14ac:dyDescent="0.25">
      <c r="D35863" s="28"/>
      <c r="F35863" s="28"/>
      <c r="H35863" s="28"/>
    </row>
    <row r="35864" spans="4:8" x14ac:dyDescent="0.25">
      <c r="D35864" s="28"/>
      <c r="F35864" s="28"/>
      <c r="H35864" s="28"/>
    </row>
    <row r="35865" spans="4:8" x14ac:dyDescent="0.25">
      <c r="D35865" s="28"/>
      <c r="F35865" s="28"/>
      <c r="H35865" s="28"/>
    </row>
    <row r="35866" spans="4:8" x14ac:dyDescent="0.25">
      <c r="D35866" s="28"/>
      <c r="F35866" s="28"/>
      <c r="H35866" s="28"/>
    </row>
    <row r="35867" spans="4:8" x14ac:dyDescent="0.25">
      <c r="D35867" s="28"/>
      <c r="F35867" s="28"/>
      <c r="H35867" s="28"/>
    </row>
    <row r="35868" spans="4:8" x14ac:dyDescent="0.25">
      <c r="D35868" s="28"/>
      <c r="F35868" s="28"/>
      <c r="H35868" s="28"/>
    </row>
    <row r="35869" spans="4:8" x14ac:dyDescent="0.25">
      <c r="D35869" s="28"/>
      <c r="F35869" s="28"/>
      <c r="H35869" s="28"/>
    </row>
    <row r="35870" spans="4:8" x14ac:dyDescent="0.25">
      <c r="D35870" s="28"/>
      <c r="F35870" s="28"/>
      <c r="H35870" s="28"/>
    </row>
    <row r="35871" spans="4:8" x14ac:dyDescent="0.25">
      <c r="D35871" s="28"/>
      <c r="F35871" s="28"/>
      <c r="H35871" s="28"/>
    </row>
    <row r="35872" spans="4:8" x14ac:dyDescent="0.25">
      <c r="D35872" s="28"/>
      <c r="F35872" s="28"/>
      <c r="H35872" s="28"/>
    </row>
    <row r="35873" spans="4:8" x14ac:dyDescent="0.25">
      <c r="D35873" s="28"/>
      <c r="F35873" s="28"/>
      <c r="H35873" s="28"/>
    </row>
    <row r="35874" spans="4:8" x14ac:dyDescent="0.25">
      <c r="D35874" s="28"/>
      <c r="F35874" s="28"/>
      <c r="H35874" s="28"/>
    </row>
    <row r="35875" spans="4:8" x14ac:dyDescent="0.25">
      <c r="D35875" s="28"/>
      <c r="F35875" s="28"/>
      <c r="H35875" s="28"/>
    </row>
    <row r="35876" spans="4:8" x14ac:dyDescent="0.25">
      <c r="D35876" s="28"/>
      <c r="F35876" s="28"/>
      <c r="H35876" s="28"/>
    </row>
    <row r="35877" spans="4:8" x14ac:dyDescent="0.25">
      <c r="D35877" s="28"/>
      <c r="F35877" s="28"/>
      <c r="H35877" s="28"/>
    </row>
    <row r="35878" spans="4:8" x14ac:dyDescent="0.25">
      <c r="D35878" s="28"/>
      <c r="F35878" s="28"/>
      <c r="H35878" s="28"/>
    </row>
    <row r="35879" spans="4:8" x14ac:dyDescent="0.25">
      <c r="D35879" s="28"/>
      <c r="F35879" s="28"/>
      <c r="H35879" s="28"/>
    </row>
    <row r="35880" spans="4:8" x14ac:dyDescent="0.25">
      <c r="D35880" s="28"/>
      <c r="F35880" s="28"/>
      <c r="H35880" s="28"/>
    </row>
    <row r="35881" spans="4:8" x14ac:dyDescent="0.25">
      <c r="D35881" s="28"/>
      <c r="F35881" s="28"/>
      <c r="H35881" s="28"/>
    </row>
    <row r="35882" spans="4:8" x14ac:dyDescent="0.25">
      <c r="D35882" s="28"/>
      <c r="F35882" s="28"/>
      <c r="H35882" s="28"/>
    </row>
    <row r="35883" spans="4:8" x14ac:dyDescent="0.25">
      <c r="D35883" s="28"/>
      <c r="F35883" s="28"/>
      <c r="H35883" s="28"/>
    </row>
    <row r="35884" spans="4:8" x14ac:dyDescent="0.25">
      <c r="D35884" s="28"/>
      <c r="F35884" s="28"/>
      <c r="H35884" s="28"/>
    </row>
    <row r="35885" spans="4:8" x14ac:dyDescent="0.25">
      <c r="D35885" s="28"/>
      <c r="F35885" s="28"/>
      <c r="H35885" s="28"/>
    </row>
    <row r="35886" spans="4:8" x14ac:dyDescent="0.25">
      <c r="D35886" s="28"/>
      <c r="F35886" s="28"/>
      <c r="H35886" s="28"/>
    </row>
    <row r="35887" spans="4:8" x14ac:dyDescent="0.25">
      <c r="D35887" s="28"/>
      <c r="F35887" s="28"/>
      <c r="H35887" s="28"/>
    </row>
    <row r="35888" spans="4:8" x14ac:dyDescent="0.25">
      <c r="D35888" s="28"/>
      <c r="F35888" s="28"/>
      <c r="H35888" s="28"/>
    </row>
    <row r="35889" spans="4:8" x14ac:dyDescent="0.25">
      <c r="D35889" s="28"/>
      <c r="F35889" s="28"/>
      <c r="H35889" s="28"/>
    </row>
    <row r="35890" spans="4:8" x14ac:dyDescent="0.25">
      <c r="D35890" s="28"/>
      <c r="F35890" s="28"/>
      <c r="H35890" s="28"/>
    </row>
    <row r="35891" spans="4:8" x14ac:dyDescent="0.25">
      <c r="D35891" s="28"/>
      <c r="F35891" s="28"/>
      <c r="H35891" s="28"/>
    </row>
    <row r="35892" spans="4:8" x14ac:dyDescent="0.25">
      <c r="D35892" s="28"/>
      <c r="F35892" s="28"/>
      <c r="H35892" s="28"/>
    </row>
    <row r="35893" spans="4:8" x14ac:dyDescent="0.25">
      <c r="D35893" s="28"/>
      <c r="F35893" s="28"/>
      <c r="H35893" s="28"/>
    </row>
    <row r="35894" spans="4:8" x14ac:dyDescent="0.25">
      <c r="D35894" s="28"/>
      <c r="F35894" s="28"/>
      <c r="H35894" s="28"/>
    </row>
    <row r="35895" spans="4:8" x14ac:dyDescent="0.25">
      <c r="D35895" s="28"/>
      <c r="F35895" s="28"/>
      <c r="H35895" s="28"/>
    </row>
    <row r="35896" spans="4:8" x14ac:dyDescent="0.25">
      <c r="D35896" s="28"/>
      <c r="F35896" s="28"/>
      <c r="H35896" s="28"/>
    </row>
    <row r="35897" spans="4:8" x14ac:dyDescent="0.25">
      <c r="D35897" s="28"/>
      <c r="F35897" s="28"/>
      <c r="H35897" s="28"/>
    </row>
    <row r="35898" spans="4:8" x14ac:dyDescent="0.25">
      <c r="D35898" s="28"/>
      <c r="F35898" s="28"/>
      <c r="H35898" s="28"/>
    </row>
    <row r="35899" spans="4:8" x14ac:dyDescent="0.25">
      <c r="D35899" s="28"/>
      <c r="F35899" s="28"/>
      <c r="H35899" s="28"/>
    </row>
    <row r="35900" spans="4:8" x14ac:dyDescent="0.25">
      <c r="D35900" s="28"/>
      <c r="F35900" s="28"/>
      <c r="H35900" s="28"/>
    </row>
    <row r="35901" spans="4:8" x14ac:dyDescent="0.25">
      <c r="D35901" s="28"/>
      <c r="F35901" s="28"/>
      <c r="H35901" s="28"/>
    </row>
    <row r="35902" spans="4:8" x14ac:dyDescent="0.25">
      <c r="D35902" s="28"/>
      <c r="F35902" s="28"/>
      <c r="H35902" s="28"/>
    </row>
    <row r="35903" spans="4:8" x14ac:dyDescent="0.25">
      <c r="D35903" s="28"/>
      <c r="F35903" s="28"/>
      <c r="H35903" s="28"/>
    </row>
    <row r="35904" spans="4:8" x14ac:dyDescent="0.25">
      <c r="D35904" s="28"/>
      <c r="F35904" s="28"/>
      <c r="H35904" s="28"/>
    </row>
    <row r="35905" spans="4:8" x14ac:dyDescent="0.25">
      <c r="D35905" s="28"/>
      <c r="F35905" s="28"/>
      <c r="H35905" s="28"/>
    </row>
    <row r="35906" spans="4:8" x14ac:dyDescent="0.25">
      <c r="D35906" s="28"/>
      <c r="F35906" s="28"/>
      <c r="H35906" s="28"/>
    </row>
    <row r="35907" spans="4:8" x14ac:dyDescent="0.25">
      <c r="D35907" s="28"/>
      <c r="F35907" s="28"/>
      <c r="H35907" s="28"/>
    </row>
    <row r="35908" spans="4:8" x14ac:dyDescent="0.25">
      <c r="D35908" s="28"/>
      <c r="F35908" s="28"/>
      <c r="H35908" s="28"/>
    </row>
    <row r="35909" spans="4:8" x14ac:dyDescent="0.25">
      <c r="D35909" s="28"/>
      <c r="F35909" s="28"/>
      <c r="H35909" s="28"/>
    </row>
    <row r="35910" spans="4:8" x14ac:dyDescent="0.25">
      <c r="D35910" s="28"/>
      <c r="F35910" s="28"/>
      <c r="H35910" s="28"/>
    </row>
    <row r="35911" spans="4:8" x14ac:dyDescent="0.25">
      <c r="D35911" s="28"/>
      <c r="F35911" s="28"/>
      <c r="H35911" s="28"/>
    </row>
    <row r="35912" spans="4:8" x14ac:dyDescent="0.25">
      <c r="D35912" s="28"/>
      <c r="F35912" s="28"/>
      <c r="H35912" s="28"/>
    </row>
    <row r="35913" spans="4:8" x14ac:dyDescent="0.25">
      <c r="D35913" s="28"/>
      <c r="F35913" s="28"/>
      <c r="H35913" s="28"/>
    </row>
    <row r="35914" spans="4:8" x14ac:dyDescent="0.25">
      <c r="D35914" s="28"/>
      <c r="F35914" s="28"/>
      <c r="H35914" s="28"/>
    </row>
    <row r="35915" spans="4:8" x14ac:dyDescent="0.25">
      <c r="D35915" s="28"/>
      <c r="F35915" s="28"/>
      <c r="H35915" s="28"/>
    </row>
    <row r="35916" spans="4:8" x14ac:dyDescent="0.25">
      <c r="D35916" s="28"/>
      <c r="F35916" s="28"/>
      <c r="H35916" s="28"/>
    </row>
    <row r="35917" spans="4:8" x14ac:dyDescent="0.25">
      <c r="D35917" s="28"/>
      <c r="F35917" s="28"/>
      <c r="H35917" s="28"/>
    </row>
    <row r="35918" spans="4:8" x14ac:dyDescent="0.25">
      <c r="D35918" s="28"/>
      <c r="F35918" s="28"/>
      <c r="H35918" s="28"/>
    </row>
    <row r="35919" spans="4:8" x14ac:dyDescent="0.25">
      <c r="D35919" s="28"/>
      <c r="F35919" s="28"/>
      <c r="H35919" s="28"/>
    </row>
    <row r="35920" spans="4:8" x14ac:dyDescent="0.25">
      <c r="D35920" s="28"/>
      <c r="F35920" s="28"/>
      <c r="H35920" s="28"/>
    </row>
    <row r="35921" spans="4:8" x14ac:dyDescent="0.25">
      <c r="D35921" s="28"/>
      <c r="F35921" s="28"/>
      <c r="H35921" s="28"/>
    </row>
    <row r="35922" spans="4:8" x14ac:dyDescent="0.25">
      <c r="D35922" s="28"/>
      <c r="F35922" s="28"/>
      <c r="H35922" s="28"/>
    </row>
    <row r="35923" spans="4:8" x14ac:dyDescent="0.25">
      <c r="D35923" s="28"/>
      <c r="F35923" s="28"/>
      <c r="H35923" s="28"/>
    </row>
    <row r="35924" spans="4:8" x14ac:dyDescent="0.25">
      <c r="D35924" s="28"/>
      <c r="F35924" s="28"/>
      <c r="H35924" s="28"/>
    </row>
    <row r="35925" spans="4:8" x14ac:dyDescent="0.25">
      <c r="D35925" s="28"/>
      <c r="F35925" s="28"/>
      <c r="H35925" s="28"/>
    </row>
    <row r="35926" spans="4:8" x14ac:dyDescent="0.25">
      <c r="D35926" s="28"/>
      <c r="F35926" s="28"/>
      <c r="H35926" s="28"/>
    </row>
    <row r="35927" spans="4:8" x14ac:dyDescent="0.25">
      <c r="D35927" s="28"/>
      <c r="F35927" s="28"/>
      <c r="H35927" s="28"/>
    </row>
    <row r="35928" spans="4:8" x14ac:dyDescent="0.25">
      <c r="D35928" s="28"/>
      <c r="F35928" s="28"/>
      <c r="H35928" s="28"/>
    </row>
    <row r="35929" spans="4:8" x14ac:dyDescent="0.25">
      <c r="D35929" s="28"/>
      <c r="F35929" s="28"/>
      <c r="H35929" s="28"/>
    </row>
    <row r="35930" spans="4:8" x14ac:dyDescent="0.25">
      <c r="D35930" s="28"/>
      <c r="F35930" s="28"/>
      <c r="H35930" s="28"/>
    </row>
    <row r="35931" spans="4:8" x14ac:dyDescent="0.25">
      <c r="D35931" s="28"/>
      <c r="F35931" s="28"/>
      <c r="H35931" s="28"/>
    </row>
    <row r="35932" spans="4:8" x14ac:dyDescent="0.25">
      <c r="D35932" s="28"/>
      <c r="F35932" s="28"/>
      <c r="H35932" s="28"/>
    </row>
    <row r="35933" spans="4:8" x14ac:dyDescent="0.25">
      <c r="D35933" s="28"/>
      <c r="F35933" s="28"/>
      <c r="H35933" s="28"/>
    </row>
    <row r="35934" spans="4:8" x14ac:dyDescent="0.25">
      <c r="D35934" s="28"/>
      <c r="F35934" s="28"/>
      <c r="H35934" s="28"/>
    </row>
    <row r="35935" spans="4:8" x14ac:dyDescent="0.25">
      <c r="D35935" s="28"/>
      <c r="F35935" s="28"/>
      <c r="H35935" s="28"/>
    </row>
    <row r="35936" spans="4:8" x14ac:dyDescent="0.25">
      <c r="D35936" s="28"/>
      <c r="F35936" s="28"/>
      <c r="H35936" s="28"/>
    </row>
    <row r="35937" spans="4:8" x14ac:dyDescent="0.25">
      <c r="D35937" s="28"/>
      <c r="F35937" s="28"/>
      <c r="H35937" s="28"/>
    </row>
    <row r="35938" spans="4:8" x14ac:dyDescent="0.25">
      <c r="D35938" s="28"/>
      <c r="F35938" s="28"/>
      <c r="H35938" s="28"/>
    </row>
    <row r="35939" spans="4:8" x14ac:dyDescent="0.25">
      <c r="D35939" s="28"/>
      <c r="F35939" s="28"/>
      <c r="H35939" s="28"/>
    </row>
    <row r="35940" spans="4:8" x14ac:dyDescent="0.25">
      <c r="D35940" s="28"/>
      <c r="F35940" s="28"/>
      <c r="H35940" s="28"/>
    </row>
    <row r="35941" spans="4:8" x14ac:dyDescent="0.25">
      <c r="D35941" s="28"/>
      <c r="F35941" s="28"/>
      <c r="H35941" s="28"/>
    </row>
    <row r="35942" spans="4:8" x14ac:dyDescent="0.25">
      <c r="D35942" s="28"/>
      <c r="F35942" s="28"/>
      <c r="H35942" s="28"/>
    </row>
    <row r="35943" spans="4:8" x14ac:dyDescent="0.25">
      <c r="D35943" s="28"/>
      <c r="F35943" s="28"/>
      <c r="H35943" s="28"/>
    </row>
    <row r="35944" spans="4:8" x14ac:dyDescent="0.25">
      <c r="D35944" s="28"/>
      <c r="F35944" s="28"/>
      <c r="H35944" s="28"/>
    </row>
    <row r="35945" spans="4:8" x14ac:dyDescent="0.25">
      <c r="D35945" s="28"/>
      <c r="F35945" s="28"/>
      <c r="H35945" s="28"/>
    </row>
    <row r="35946" spans="4:8" x14ac:dyDescent="0.25">
      <c r="D35946" s="28"/>
      <c r="F35946" s="28"/>
      <c r="H35946" s="28"/>
    </row>
    <row r="35947" spans="4:8" x14ac:dyDescent="0.25">
      <c r="D35947" s="28"/>
      <c r="F35947" s="28"/>
      <c r="H35947" s="28"/>
    </row>
    <row r="35948" spans="4:8" x14ac:dyDescent="0.25">
      <c r="D35948" s="28"/>
      <c r="F35948" s="28"/>
      <c r="H35948" s="28"/>
    </row>
    <row r="35949" spans="4:8" x14ac:dyDescent="0.25">
      <c r="D35949" s="28"/>
      <c r="F35949" s="28"/>
      <c r="H35949" s="28"/>
    </row>
    <row r="35950" spans="4:8" x14ac:dyDescent="0.25">
      <c r="D35950" s="28"/>
      <c r="F35950" s="28"/>
      <c r="H35950" s="28"/>
    </row>
    <row r="35951" spans="4:8" x14ac:dyDescent="0.25">
      <c r="D35951" s="28"/>
      <c r="F35951" s="28"/>
      <c r="H35951" s="28"/>
    </row>
    <row r="35952" spans="4:8" x14ac:dyDescent="0.25">
      <c r="D35952" s="28"/>
      <c r="F35952" s="28"/>
      <c r="H35952" s="28"/>
    </row>
    <row r="35953" spans="4:8" x14ac:dyDescent="0.25">
      <c r="D35953" s="28"/>
      <c r="F35953" s="28"/>
      <c r="H35953" s="28"/>
    </row>
    <row r="35954" spans="4:8" x14ac:dyDescent="0.25">
      <c r="D35954" s="28"/>
      <c r="F35954" s="28"/>
      <c r="H35954" s="28"/>
    </row>
    <row r="35955" spans="4:8" x14ac:dyDescent="0.25">
      <c r="D35955" s="28"/>
      <c r="F35955" s="28"/>
      <c r="H35955" s="28"/>
    </row>
    <row r="35956" spans="4:8" x14ac:dyDescent="0.25">
      <c r="D35956" s="28"/>
      <c r="F35956" s="28"/>
      <c r="H35956" s="28"/>
    </row>
    <row r="35957" spans="4:8" x14ac:dyDescent="0.25">
      <c r="D35957" s="28"/>
      <c r="F35957" s="28"/>
      <c r="H35957" s="28"/>
    </row>
    <row r="35958" spans="4:8" x14ac:dyDescent="0.25">
      <c r="D35958" s="28"/>
      <c r="F35958" s="28"/>
      <c r="H35958" s="28"/>
    </row>
    <row r="35959" spans="4:8" x14ac:dyDescent="0.25">
      <c r="D35959" s="28"/>
      <c r="F35959" s="28"/>
      <c r="H35959" s="28"/>
    </row>
    <row r="35960" spans="4:8" x14ac:dyDescent="0.25">
      <c r="D35960" s="28"/>
      <c r="F35960" s="28"/>
      <c r="H35960" s="28"/>
    </row>
    <row r="35961" spans="4:8" x14ac:dyDescent="0.25">
      <c r="D35961" s="28"/>
      <c r="F35961" s="28"/>
      <c r="H35961" s="28"/>
    </row>
    <row r="35962" spans="4:8" x14ac:dyDescent="0.25">
      <c r="D35962" s="28"/>
      <c r="F35962" s="28"/>
      <c r="H35962" s="28"/>
    </row>
    <row r="35963" spans="4:8" x14ac:dyDescent="0.25">
      <c r="D35963" s="28"/>
      <c r="F35963" s="28"/>
      <c r="H35963" s="28"/>
    </row>
    <row r="35964" spans="4:8" x14ac:dyDescent="0.25">
      <c r="D35964" s="28"/>
      <c r="F35964" s="28"/>
      <c r="H35964" s="28"/>
    </row>
    <row r="35965" spans="4:8" x14ac:dyDescent="0.25">
      <c r="D35965" s="28"/>
      <c r="F35965" s="28"/>
      <c r="H35965" s="28"/>
    </row>
    <row r="35966" spans="4:8" x14ac:dyDescent="0.25">
      <c r="D35966" s="28"/>
      <c r="F35966" s="28"/>
      <c r="H35966" s="28"/>
    </row>
    <row r="35967" spans="4:8" x14ac:dyDescent="0.25">
      <c r="D35967" s="28"/>
      <c r="F35967" s="28"/>
      <c r="H35967" s="28"/>
    </row>
    <row r="35968" spans="4:8" x14ac:dyDescent="0.25">
      <c r="D35968" s="28"/>
      <c r="F35968" s="28"/>
      <c r="H35968" s="28"/>
    </row>
    <row r="35969" spans="4:8" x14ac:dyDescent="0.25">
      <c r="D35969" s="28"/>
      <c r="F35969" s="28"/>
      <c r="H35969" s="28"/>
    </row>
    <row r="35970" spans="4:8" x14ac:dyDescent="0.25">
      <c r="D35970" s="28"/>
      <c r="F35970" s="28"/>
      <c r="H35970" s="28"/>
    </row>
    <row r="35971" spans="4:8" x14ac:dyDescent="0.25">
      <c r="D35971" s="28"/>
      <c r="F35971" s="28"/>
      <c r="H35971" s="28"/>
    </row>
    <row r="35972" spans="4:8" x14ac:dyDescent="0.25">
      <c r="D35972" s="28"/>
      <c r="F35972" s="28"/>
      <c r="H35972" s="28"/>
    </row>
    <row r="35973" spans="4:8" x14ac:dyDescent="0.25">
      <c r="D35973" s="28"/>
      <c r="F35973" s="28"/>
      <c r="H35973" s="28"/>
    </row>
    <row r="35974" spans="4:8" x14ac:dyDescent="0.25">
      <c r="D35974" s="28"/>
      <c r="F35974" s="28"/>
      <c r="H35974" s="28"/>
    </row>
    <row r="35975" spans="4:8" x14ac:dyDescent="0.25">
      <c r="D35975" s="28"/>
      <c r="F35975" s="28"/>
      <c r="H35975" s="28"/>
    </row>
    <row r="35976" spans="4:8" x14ac:dyDescent="0.25">
      <c r="D35976" s="28"/>
      <c r="F35976" s="28"/>
      <c r="H35976" s="28"/>
    </row>
    <row r="35977" spans="4:8" x14ac:dyDescent="0.25">
      <c r="D35977" s="28"/>
      <c r="F35977" s="28"/>
      <c r="H35977" s="28"/>
    </row>
    <row r="35978" spans="4:8" x14ac:dyDescent="0.25">
      <c r="D35978" s="28"/>
      <c r="F35978" s="28"/>
      <c r="H35978" s="28"/>
    </row>
    <row r="35979" spans="4:8" x14ac:dyDescent="0.25">
      <c r="D35979" s="28"/>
      <c r="F35979" s="28"/>
      <c r="H35979" s="28"/>
    </row>
    <row r="35980" spans="4:8" x14ac:dyDescent="0.25">
      <c r="D35980" s="28"/>
      <c r="F35980" s="28"/>
      <c r="H35980" s="28"/>
    </row>
    <row r="35981" spans="4:8" x14ac:dyDescent="0.25">
      <c r="D35981" s="28"/>
      <c r="F35981" s="28"/>
      <c r="H35981" s="28"/>
    </row>
    <row r="35982" spans="4:8" x14ac:dyDescent="0.25">
      <c r="D35982" s="28"/>
      <c r="F35982" s="28"/>
      <c r="H35982" s="28"/>
    </row>
    <row r="35983" spans="4:8" x14ac:dyDescent="0.25">
      <c r="D35983" s="28"/>
      <c r="F35983" s="28"/>
      <c r="H35983" s="28"/>
    </row>
    <row r="35984" spans="4:8" x14ac:dyDescent="0.25">
      <c r="D35984" s="28"/>
      <c r="F35984" s="28"/>
      <c r="H35984" s="28"/>
    </row>
    <row r="35985" spans="4:8" x14ac:dyDescent="0.25">
      <c r="D35985" s="28"/>
      <c r="F35985" s="28"/>
      <c r="H35985" s="28"/>
    </row>
    <row r="35986" spans="4:8" x14ac:dyDescent="0.25">
      <c r="D35986" s="28"/>
      <c r="F35986" s="28"/>
      <c r="H35986" s="28"/>
    </row>
    <row r="35987" spans="4:8" x14ac:dyDescent="0.25">
      <c r="D35987" s="28"/>
      <c r="F35987" s="28"/>
      <c r="H35987" s="28"/>
    </row>
    <row r="35988" spans="4:8" x14ac:dyDescent="0.25">
      <c r="D35988" s="28"/>
      <c r="F35988" s="28"/>
      <c r="H35988" s="28"/>
    </row>
    <row r="35989" spans="4:8" x14ac:dyDescent="0.25">
      <c r="D35989" s="28"/>
      <c r="F35989" s="28"/>
      <c r="H35989" s="28"/>
    </row>
    <row r="35990" spans="4:8" x14ac:dyDescent="0.25">
      <c r="D35990" s="28"/>
      <c r="F35990" s="28"/>
      <c r="H35990" s="28"/>
    </row>
    <row r="35991" spans="4:8" x14ac:dyDescent="0.25">
      <c r="D35991" s="28"/>
      <c r="F35991" s="28"/>
      <c r="H35991" s="28"/>
    </row>
    <row r="35992" spans="4:8" x14ac:dyDescent="0.25">
      <c r="D35992" s="28"/>
      <c r="F35992" s="28"/>
      <c r="H35992" s="28"/>
    </row>
    <row r="35993" spans="4:8" x14ac:dyDescent="0.25">
      <c r="D35993" s="28"/>
      <c r="F35993" s="28"/>
      <c r="H35993" s="28"/>
    </row>
    <row r="35994" spans="4:8" x14ac:dyDescent="0.25">
      <c r="D35994" s="28"/>
      <c r="F35994" s="28"/>
      <c r="H35994" s="28"/>
    </row>
    <row r="35995" spans="4:8" x14ac:dyDescent="0.25">
      <c r="D35995" s="28"/>
      <c r="F35995" s="28"/>
      <c r="H35995" s="28"/>
    </row>
    <row r="35996" spans="4:8" x14ac:dyDescent="0.25">
      <c r="D35996" s="28"/>
      <c r="F35996" s="28"/>
      <c r="H35996" s="28"/>
    </row>
    <row r="35997" spans="4:8" x14ac:dyDescent="0.25">
      <c r="D35997" s="28"/>
      <c r="F35997" s="28"/>
      <c r="H35997" s="28"/>
    </row>
    <row r="35998" spans="4:8" x14ac:dyDescent="0.25">
      <c r="D35998" s="28"/>
      <c r="F35998" s="28"/>
      <c r="H35998" s="28"/>
    </row>
    <row r="35999" spans="4:8" x14ac:dyDescent="0.25">
      <c r="D35999" s="28"/>
      <c r="F35999" s="28"/>
      <c r="H35999" s="28"/>
    </row>
    <row r="36000" spans="4:8" x14ac:dyDescent="0.25">
      <c r="D36000" s="28"/>
      <c r="F36000" s="28"/>
      <c r="H36000" s="28"/>
    </row>
    <row r="36001" spans="4:8" x14ac:dyDescent="0.25">
      <c r="D36001" s="28"/>
      <c r="F36001" s="28"/>
      <c r="H36001" s="28"/>
    </row>
    <row r="36002" spans="4:8" x14ac:dyDescent="0.25">
      <c r="D36002" s="28"/>
      <c r="F36002" s="28"/>
      <c r="H36002" s="28"/>
    </row>
    <row r="36003" spans="4:8" x14ac:dyDescent="0.25">
      <c r="D36003" s="28"/>
      <c r="F36003" s="28"/>
      <c r="H36003" s="28"/>
    </row>
    <row r="36004" spans="4:8" x14ac:dyDescent="0.25">
      <c r="D36004" s="28"/>
      <c r="F36004" s="28"/>
      <c r="H36004" s="28"/>
    </row>
    <row r="36005" spans="4:8" x14ac:dyDescent="0.25">
      <c r="D36005" s="28"/>
      <c r="F36005" s="28"/>
      <c r="H36005" s="28"/>
    </row>
    <row r="36006" spans="4:8" x14ac:dyDescent="0.25">
      <c r="D36006" s="28"/>
      <c r="F36006" s="28"/>
      <c r="H36006" s="28"/>
    </row>
    <row r="36007" spans="4:8" x14ac:dyDescent="0.25">
      <c r="D36007" s="28"/>
      <c r="F36007" s="28"/>
      <c r="H36007" s="28"/>
    </row>
    <row r="36008" spans="4:8" x14ac:dyDescent="0.25">
      <c r="D36008" s="28"/>
      <c r="F36008" s="28"/>
      <c r="H36008" s="28"/>
    </row>
    <row r="36009" spans="4:8" x14ac:dyDescent="0.25">
      <c r="D36009" s="28"/>
      <c r="F36009" s="28"/>
      <c r="H36009" s="28"/>
    </row>
    <row r="36010" spans="4:8" x14ac:dyDescent="0.25">
      <c r="D36010" s="28"/>
      <c r="F36010" s="28"/>
      <c r="H36010" s="28"/>
    </row>
    <row r="36011" spans="4:8" x14ac:dyDescent="0.25">
      <c r="D36011" s="28"/>
      <c r="F36011" s="28"/>
      <c r="H36011" s="28"/>
    </row>
    <row r="36012" spans="4:8" x14ac:dyDescent="0.25">
      <c r="D36012" s="28"/>
      <c r="F36012" s="28"/>
      <c r="H36012" s="28"/>
    </row>
    <row r="36013" spans="4:8" x14ac:dyDescent="0.25">
      <c r="D36013" s="28"/>
      <c r="F36013" s="28"/>
      <c r="H36013" s="28"/>
    </row>
    <row r="36014" spans="4:8" x14ac:dyDescent="0.25">
      <c r="D36014" s="28"/>
      <c r="F36014" s="28"/>
      <c r="H36014" s="28"/>
    </row>
    <row r="36015" spans="4:8" x14ac:dyDescent="0.25">
      <c r="D36015" s="28"/>
      <c r="F36015" s="28"/>
      <c r="H36015" s="28"/>
    </row>
    <row r="36016" spans="4:8" x14ac:dyDescent="0.25">
      <c r="D36016" s="28"/>
      <c r="F36016" s="28"/>
      <c r="H36016" s="28"/>
    </row>
    <row r="36017" spans="4:8" x14ac:dyDescent="0.25">
      <c r="D36017" s="28"/>
      <c r="F36017" s="28"/>
      <c r="H36017" s="28"/>
    </row>
    <row r="36018" spans="4:8" x14ac:dyDescent="0.25">
      <c r="D36018" s="28"/>
      <c r="F36018" s="28"/>
      <c r="H36018" s="28"/>
    </row>
    <row r="36019" spans="4:8" x14ac:dyDescent="0.25">
      <c r="D36019" s="28"/>
      <c r="F36019" s="28"/>
      <c r="H36019" s="28"/>
    </row>
    <row r="36020" spans="4:8" x14ac:dyDescent="0.25">
      <c r="D36020" s="28"/>
      <c r="F36020" s="28"/>
      <c r="H36020" s="28"/>
    </row>
    <row r="36021" spans="4:8" x14ac:dyDescent="0.25">
      <c r="D36021" s="28"/>
      <c r="F36021" s="28"/>
      <c r="H36021" s="28"/>
    </row>
    <row r="36022" spans="4:8" x14ac:dyDescent="0.25">
      <c r="D36022" s="28"/>
      <c r="F36022" s="28"/>
      <c r="H36022" s="28"/>
    </row>
    <row r="36023" spans="4:8" x14ac:dyDescent="0.25">
      <c r="D36023" s="28"/>
      <c r="F36023" s="28"/>
      <c r="H36023" s="28"/>
    </row>
    <row r="36024" spans="4:8" x14ac:dyDescent="0.25">
      <c r="D36024" s="28"/>
      <c r="F36024" s="28"/>
      <c r="H36024" s="28"/>
    </row>
    <row r="36025" spans="4:8" x14ac:dyDescent="0.25">
      <c r="D36025" s="28"/>
      <c r="F36025" s="28"/>
      <c r="H36025" s="28"/>
    </row>
    <row r="36026" spans="4:8" x14ac:dyDescent="0.25">
      <c r="D36026" s="28"/>
      <c r="F36026" s="28"/>
      <c r="H36026" s="28"/>
    </row>
    <row r="36027" spans="4:8" x14ac:dyDescent="0.25">
      <c r="D36027" s="28"/>
      <c r="F36027" s="28"/>
      <c r="H36027" s="28"/>
    </row>
    <row r="36028" spans="4:8" x14ac:dyDescent="0.25">
      <c r="D36028" s="28"/>
      <c r="F36028" s="28"/>
      <c r="H36028" s="28"/>
    </row>
    <row r="36029" spans="4:8" x14ac:dyDescent="0.25">
      <c r="D36029" s="28"/>
      <c r="F36029" s="28"/>
      <c r="H36029" s="28"/>
    </row>
    <row r="36030" spans="4:8" x14ac:dyDescent="0.25">
      <c r="D36030" s="28"/>
      <c r="F36030" s="28"/>
      <c r="H36030" s="28"/>
    </row>
    <row r="36031" spans="4:8" x14ac:dyDescent="0.25">
      <c r="D36031" s="28"/>
      <c r="F36031" s="28"/>
      <c r="H36031" s="28"/>
    </row>
    <row r="36032" spans="4:8" x14ac:dyDescent="0.25">
      <c r="D36032" s="28"/>
      <c r="F36032" s="28"/>
      <c r="H36032" s="28"/>
    </row>
    <row r="36033" spans="4:8" x14ac:dyDescent="0.25">
      <c r="D36033" s="28"/>
      <c r="F36033" s="28"/>
      <c r="H36033" s="28"/>
    </row>
    <row r="36034" spans="4:8" x14ac:dyDescent="0.25">
      <c r="D36034" s="28"/>
      <c r="F36034" s="28"/>
      <c r="H36034" s="28"/>
    </row>
    <row r="36035" spans="4:8" x14ac:dyDescent="0.25">
      <c r="D36035" s="28"/>
      <c r="F36035" s="28"/>
      <c r="H36035" s="28"/>
    </row>
    <row r="36036" spans="4:8" x14ac:dyDescent="0.25">
      <c r="D36036" s="28"/>
      <c r="F36036" s="28"/>
      <c r="H36036" s="28"/>
    </row>
    <row r="36037" spans="4:8" x14ac:dyDescent="0.25">
      <c r="D36037" s="28"/>
      <c r="F36037" s="28"/>
      <c r="H36037" s="28"/>
    </row>
    <row r="36038" spans="4:8" x14ac:dyDescent="0.25">
      <c r="D36038" s="28"/>
      <c r="F36038" s="28"/>
      <c r="H36038" s="28"/>
    </row>
    <row r="36039" spans="4:8" x14ac:dyDescent="0.25">
      <c r="D36039" s="28"/>
      <c r="F36039" s="28"/>
      <c r="H36039" s="28"/>
    </row>
    <row r="36040" spans="4:8" x14ac:dyDescent="0.25">
      <c r="D36040" s="28"/>
      <c r="F36040" s="28"/>
      <c r="H36040" s="28"/>
    </row>
    <row r="36041" spans="4:8" x14ac:dyDescent="0.25">
      <c r="D36041" s="28"/>
      <c r="F36041" s="28"/>
      <c r="H36041" s="28"/>
    </row>
    <row r="36042" spans="4:8" x14ac:dyDescent="0.25">
      <c r="D36042" s="28"/>
      <c r="F36042" s="28"/>
      <c r="H36042" s="28"/>
    </row>
    <row r="36043" spans="4:8" x14ac:dyDescent="0.25">
      <c r="D36043" s="28"/>
      <c r="F36043" s="28"/>
      <c r="H36043" s="28"/>
    </row>
    <row r="36044" spans="4:8" x14ac:dyDescent="0.25">
      <c r="D36044" s="28"/>
      <c r="F36044" s="28"/>
      <c r="H36044" s="28"/>
    </row>
    <row r="36045" spans="4:8" x14ac:dyDescent="0.25">
      <c r="D36045" s="28"/>
      <c r="F36045" s="28"/>
      <c r="H36045" s="28"/>
    </row>
    <row r="36046" spans="4:8" x14ac:dyDescent="0.25">
      <c r="D36046" s="28"/>
      <c r="F36046" s="28"/>
      <c r="H36046" s="28"/>
    </row>
    <row r="36047" spans="4:8" x14ac:dyDescent="0.25">
      <c r="D36047" s="28"/>
      <c r="F36047" s="28"/>
      <c r="H36047" s="28"/>
    </row>
    <row r="36048" spans="4:8" x14ac:dyDescent="0.25">
      <c r="D36048" s="28"/>
      <c r="F36048" s="28"/>
      <c r="H36048" s="28"/>
    </row>
    <row r="36049" spans="4:8" x14ac:dyDescent="0.25">
      <c r="D36049" s="28"/>
      <c r="F36049" s="28"/>
      <c r="H36049" s="28"/>
    </row>
    <row r="36050" spans="4:8" x14ac:dyDescent="0.25">
      <c r="D36050" s="28"/>
      <c r="F36050" s="28"/>
      <c r="H36050" s="28"/>
    </row>
    <row r="36051" spans="4:8" x14ac:dyDescent="0.25">
      <c r="D36051" s="28"/>
      <c r="F36051" s="28"/>
      <c r="H36051" s="28"/>
    </row>
    <row r="36052" spans="4:8" x14ac:dyDescent="0.25">
      <c r="D36052" s="28"/>
      <c r="F36052" s="28"/>
      <c r="H36052" s="28"/>
    </row>
    <row r="36053" spans="4:8" x14ac:dyDescent="0.25">
      <c r="D36053" s="28"/>
      <c r="F36053" s="28"/>
      <c r="H36053" s="28"/>
    </row>
    <row r="36054" spans="4:8" x14ac:dyDescent="0.25">
      <c r="D36054" s="28"/>
      <c r="F36054" s="28"/>
      <c r="H36054" s="28"/>
    </row>
    <row r="36055" spans="4:8" x14ac:dyDescent="0.25">
      <c r="D36055" s="28"/>
      <c r="F36055" s="28"/>
      <c r="H36055" s="28"/>
    </row>
    <row r="36056" spans="4:8" x14ac:dyDescent="0.25">
      <c r="D36056" s="28"/>
      <c r="F36056" s="28"/>
      <c r="H36056" s="28"/>
    </row>
    <row r="36057" spans="4:8" x14ac:dyDescent="0.25">
      <c r="D36057" s="28"/>
      <c r="F36057" s="28"/>
      <c r="H36057" s="28"/>
    </row>
    <row r="36058" spans="4:8" x14ac:dyDescent="0.25">
      <c r="D36058" s="28"/>
      <c r="F36058" s="28"/>
      <c r="H36058" s="28"/>
    </row>
    <row r="36059" spans="4:8" x14ac:dyDescent="0.25">
      <c r="D36059" s="28"/>
      <c r="F36059" s="28"/>
      <c r="H36059" s="28"/>
    </row>
    <row r="36060" spans="4:8" x14ac:dyDescent="0.25">
      <c r="D36060" s="28"/>
      <c r="F36060" s="28"/>
      <c r="H36060" s="28"/>
    </row>
    <row r="36061" spans="4:8" x14ac:dyDescent="0.25">
      <c r="D36061" s="28"/>
      <c r="F36061" s="28"/>
      <c r="H36061" s="28"/>
    </row>
    <row r="36062" spans="4:8" x14ac:dyDescent="0.25">
      <c r="D36062" s="28"/>
      <c r="F36062" s="28"/>
      <c r="H36062" s="28"/>
    </row>
    <row r="36063" spans="4:8" x14ac:dyDescent="0.25">
      <c r="D36063" s="28"/>
      <c r="F36063" s="28"/>
      <c r="H36063" s="28"/>
    </row>
    <row r="36064" spans="4:8" x14ac:dyDescent="0.25">
      <c r="D36064" s="28"/>
      <c r="F36064" s="28"/>
      <c r="H36064" s="28"/>
    </row>
    <row r="36065" spans="4:8" x14ac:dyDescent="0.25">
      <c r="D36065" s="28"/>
      <c r="F36065" s="28"/>
      <c r="H36065" s="28"/>
    </row>
    <row r="36066" spans="4:8" x14ac:dyDescent="0.25">
      <c r="D36066" s="28"/>
      <c r="F36066" s="28"/>
      <c r="H36066" s="28"/>
    </row>
    <row r="36067" spans="4:8" x14ac:dyDescent="0.25">
      <c r="D36067" s="28"/>
      <c r="F36067" s="28"/>
      <c r="H36067" s="28"/>
    </row>
    <row r="36068" spans="4:8" x14ac:dyDescent="0.25">
      <c r="D36068" s="28"/>
      <c r="F36068" s="28"/>
      <c r="H36068" s="28"/>
    </row>
    <row r="36069" spans="4:8" x14ac:dyDescent="0.25">
      <c r="D36069" s="28"/>
      <c r="F36069" s="28"/>
      <c r="H36069" s="28"/>
    </row>
    <row r="36070" spans="4:8" x14ac:dyDescent="0.25">
      <c r="D36070" s="28"/>
      <c r="F36070" s="28"/>
      <c r="H36070" s="28"/>
    </row>
    <row r="36071" spans="4:8" x14ac:dyDescent="0.25">
      <c r="D36071" s="28"/>
      <c r="F36071" s="28"/>
      <c r="H36071" s="28"/>
    </row>
    <row r="36072" spans="4:8" x14ac:dyDescent="0.25">
      <c r="D36072" s="28"/>
      <c r="F36072" s="28"/>
      <c r="H36072" s="28"/>
    </row>
    <row r="36073" spans="4:8" x14ac:dyDescent="0.25">
      <c r="D36073" s="28"/>
      <c r="F36073" s="28"/>
      <c r="H36073" s="28"/>
    </row>
    <row r="36074" spans="4:8" x14ac:dyDescent="0.25">
      <c r="D36074" s="28"/>
      <c r="F36074" s="28"/>
      <c r="H36074" s="28"/>
    </row>
    <row r="36075" spans="4:8" x14ac:dyDescent="0.25">
      <c r="D36075" s="28"/>
      <c r="F36075" s="28"/>
      <c r="H36075" s="28"/>
    </row>
    <row r="36076" spans="4:8" x14ac:dyDescent="0.25">
      <c r="D36076" s="28"/>
      <c r="F36076" s="28"/>
      <c r="H36076" s="28"/>
    </row>
    <row r="36077" spans="4:8" x14ac:dyDescent="0.25">
      <c r="D36077" s="28"/>
      <c r="F36077" s="28"/>
      <c r="H36077" s="28"/>
    </row>
    <row r="36078" spans="4:8" x14ac:dyDescent="0.25">
      <c r="D36078" s="28"/>
      <c r="F36078" s="28"/>
      <c r="H36078" s="28"/>
    </row>
    <row r="36079" spans="4:8" x14ac:dyDescent="0.25">
      <c r="D36079" s="28"/>
      <c r="F36079" s="28"/>
      <c r="H36079" s="28"/>
    </row>
    <row r="36080" spans="4:8" x14ac:dyDescent="0.25">
      <c r="D36080" s="28"/>
      <c r="F36080" s="28"/>
      <c r="H36080" s="28"/>
    </row>
    <row r="36081" spans="4:8" x14ac:dyDescent="0.25">
      <c r="D36081" s="28"/>
      <c r="F36081" s="28"/>
      <c r="H36081" s="28"/>
    </row>
    <row r="36082" spans="4:8" x14ac:dyDescent="0.25">
      <c r="D36082" s="28"/>
      <c r="F36082" s="28"/>
      <c r="H36082" s="28"/>
    </row>
    <row r="36083" spans="4:8" x14ac:dyDescent="0.25">
      <c r="D36083" s="28"/>
      <c r="F36083" s="28"/>
      <c r="H36083" s="28"/>
    </row>
    <row r="36084" spans="4:8" x14ac:dyDescent="0.25">
      <c r="D36084" s="28"/>
      <c r="F36084" s="28"/>
      <c r="H36084" s="28"/>
    </row>
    <row r="36085" spans="4:8" x14ac:dyDescent="0.25">
      <c r="D36085" s="28"/>
      <c r="F36085" s="28"/>
      <c r="H36085" s="28"/>
    </row>
    <row r="36086" spans="4:8" x14ac:dyDescent="0.25">
      <c r="D36086" s="28"/>
      <c r="F36086" s="28"/>
      <c r="H36086" s="28"/>
    </row>
    <row r="36087" spans="4:8" x14ac:dyDescent="0.25">
      <c r="D36087" s="28"/>
      <c r="F36087" s="28"/>
      <c r="H36087" s="28"/>
    </row>
    <row r="36088" spans="4:8" x14ac:dyDescent="0.25">
      <c r="D36088" s="28"/>
      <c r="F36088" s="28"/>
      <c r="H36088" s="28"/>
    </row>
    <row r="36089" spans="4:8" x14ac:dyDescent="0.25">
      <c r="D36089" s="28"/>
      <c r="F36089" s="28"/>
      <c r="H36089" s="28"/>
    </row>
    <row r="36090" spans="4:8" x14ac:dyDescent="0.25">
      <c r="D36090" s="28"/>
      <c r="F36090" s="28"/>
      <c r="H36090" s="28"/>
    </row>
    <row r="36091" spans="4:8" x14ac:dyDescent="0.25">
      <c r="D36091" s="28"/>
      <c r="F36091" s="28"/>
      <c r="H36091" s="28"/>
    </row>
    <row r="36092" spans="4:8" x14ac:dyDescent="0.25">
      <c r="D36092" s="28"/>
      <c r="F36092" s="28"/>
      <c r="H36092" s="28"/>
    </row>
    <row r="36093" spans="4:8" x14ac:dyDescent="0.25">
      <c r="D36093" s="28"/>
      <c r="F36093" s="28"/>
      <c r="H36093" s="28"/>
    </row>
    <row r="36094" spans="4:8" x14ac:dyDescent="0.25">
      <c r="D36094" s="28"/>
      <c r="F36094" s="28"/>
      <c r="H36094" s="28"/>
    </row>
    <row r="36095" spans="4:8" x14ac:dyDescent="0.25">
      <c r="D36095" s="28"/>
      <c r="F36095" s="28"/>
      <c r="H36095" s="28"/>
    </row>
    <row r="36096" spans="4:8" x14ac:dyDescent="0.25">
      <c r="D36096" s="28"/>
      <c r="F36096" s="28"/>
      <c r="H36096" s="28"/>
    </row>
    <row r="36097" spans="4:8" x14ac:dyDescent="0.25">
      <c r="D36097" s="28"/>
      <c r="F36097" s="28"/>
      <c r="H36097" s="28"/>
    </row>
    <row r="36098" spans="4:8" x14ac:dyDescent="0.25">
      <c r="D36098" s="28"/>
      <c r="F36098" s="28"/>
      <c r="H36098" s="28"/>
    </row>
    <row r="36099" spans="4:8" x14ac:dyDescent="0.25">
      <c r="D36099" s="28"/>
      <c r="F36099" s="28"/>
      <c r="H36099" s="28"/>
    </row>
    <row r="36100" spans="4:8" x14ac:dyDescent="0.25">
      <c r="D36100" s="28"/>
      <c r="F36100" s="28"/>
      <c r="H36100" s="28"/>
    </row>
    <row r="36101" spans="4:8" x14ac:dyDescent="0.25">
      <c r="D36101" s="28"/>
      <c r="F36101" s="28"/>
      <c r="H36101" s="28"/>
    </row>
    <row r="36102" spans="4:8" x14ac:dyDescent="0.25">
      <c r="D36102" s="28"/>
      <c r="F36102" s="28"/>
      <c r="H36102" s="28"/>
    </row>
    <row r="36103" spans="4:8" x14ac:dyDescent="0.25">
      <c r="D36103" s="28"/>
      <c r="F36103" s="28"/>
      <c r="H36103" s="28"/>
    </row>
    <row r="36104" spans="4:8" x14ac:dyDescent="0.25">
      <c r="D36104" s="28"/>
      <c r="F36104" s="28"/>
      <c r="H36104" s="28"/>
    </row>
    <row r="36105" spans="4:8" x14ac:dyDescent="0.25">
      <c r="D36105" s="28"/>
      <c r="F36105" s="28"/>
      <c r="H36105" s="28"/>
    </row>
    <row r="36106" spans="4:8" x14ac:dyDescent="0.25">
      <c r="D36106" s="28"/>
      <c r="F36106" s="28"/>
      <c r="H36106" s="28"/>
    </row>
    <row r="36107" spans="4:8" x14ac:dyDescent="0.25">
      <c r="D36107" s="28"/>
      <c r="F36107" s="28"/>
      <c r="H36107" s="28"/>
    </row>
    <row r="36108" spans="4:8" x14ac:dyDescent="0.25">
      <c r="D36108" s="28"/>
      <c r="F36108" s="28"/>
      <c r="H36108" s="28"/>
    </row>
    <row r="36109" spans="4:8" x14ac:dyDescent="0.25">
      <c r="D36109" s="28"/>
      <c r="F36109" s="28"/>
      <c r="H36109" s="28"/>
    </row>
    <row r="36110" spans="4:8" x14ac:dyDescent="0.25">
      <c r="D36110" s="28"/>
      <c r="F36110" s="28"/>
      <c r="H36110" s="28"/>
    </row>
    <row r="36111" spans="4:8" x14ac:dyDescent="0.25">
      <c r="D36111" s="28"/>
      <c r="F36111" s="28"/>
      <c r="H36111" s="28"/>
    </row>
    <row r="36112" spans="4:8" x14ac:dyDescent="0.25">
      <c r="D36112" s="28"/>
      <c r="F36112" s="28"/>
      <c r="H36112" s="28"/>
    </row>
    <row r="36113" spans="4:8" x14ac:dyDescent="0.25">
      <c r="D36113" s="28"/>
      <c r="F36113" s="28"/>
      <c r="H36113" s="28"/>
    </row>
    <row r="36114" spans="4:8" x14ac:dyDescent="0.25">
      <c r="D36114" s="28"/>
      <c r="F36114" s="28"/>
      <c r="H36114" s="28"/>
    </row>
    <row r="36115" spans="4:8" x14ac:dyDescent="0.25">
      <c r="D36115" s="28"/>
      <c r="F36115" s="28"/>
      <c r="H36115" s="28"/>
    </row>
    <row r="36116" spans="4:8" x14ac:dyDescent="0.25">
      <c r="D36116" s="28"/>
      <c r="F36116" s="28"/>
      <c r="H36116" s="28"/>
    </row>
    <row r="36117" spans="4:8" x14ac:dyDescent="0.25">
      <c r="D36117" s="28"/>
      <c r="F36117" s="28"/>
      <c r="H36117" s="28"/>
    </row>
    <row r="36118" spans="4:8" x14ac:dyDescent="0.25">
      <c r="D36118" s="28"/>
      <c r="F36118" s="28"/>
      <c r="H36118" s="28"/>
    </row>
    <row r="36119" spans="4:8" x14ac:dyDescent="0.25">
      <c r="D36119" s="28"/>
      <c r="F36119" s="28"/>
      <c r="H36119" s="28"/>
    </row>
    <row r="36120" spans="4:8" x14ac:dyDescent="0.25">
      <c r="D36120" s="28"/>
      <c r="F36120" s="28"/>
      <c r="H36120" s="28"/>
    </row>
    <row r="36121" spans="4:8" x14ac:dyDescent="0.25">
      <c r="D36121" s="28"/>
      <c r="F36121" s="28"/>
      <c r="H36121" s="28"/>
    </row>
    <row r="36122" spans="4:8" x14ac:dyDescent="0.25">
      <c r="D36122" s="28"/>
      <c r="F36122" s="28"/>
      <c r="H36122" s="28"/>
    </row>
    <row r="36123" spans="4:8" x14ac:dyDescent="0.25">
      <c r="D36123" s="28"/>
      <c r="F36123" s="28"/>
      <c r="H36123" s="28"/>
    </row>
    <row r="36124" spans="4:8" x14ac:dyDescent="0.25">
      <c r="D36124" s="28"/>
      <c r="F36124" s="28"/>
      <c r="H36124" s="28"/>
    </row>
    <row r="36125" spans="4:8" x14ac:dyDescent="0.25">
      <c r="D36125" s="28"/>
      <c r="F36125" s="28"/>
      <c r="H36125" s="28"/>
    </row>
    <row r="36126" spans="4:8" x14ac:dyDescent="0.25">
      <c r="D36126" s="28"/>
      <c r="F36126" s="28"/>
      <c r="H36126" s="28"/>
    </row>
    <row r="36127" spans="4:8" x14ac:dyDescent="0.25">
      <c r="D36127" s="28"/>
      <c r="F36127" s="28"/>
      <c r="H36127" s="28"/>
    </row>
    <row r="36128" spans="4:8" x14ac:dyDescent="0.25">
      <c r="D36128" s="28"/>
      <c r="F36128" s="28"/>
      <c r="H36128" s="28"/>
    </row>
    <row r="36129" spans="4:8" x14ac:dyDescent="0.25">
      <c r="D36129" s="28"/>
      <c r="F36129" s="28"/>
      <c r="H36129" s="28"/>
    </row>
    <row r="36130" spans="4:8" x14ac:dyDescent="0.25">
      <c r="D36130" s="28"/>
      <c r="F36130" s="28"/>
      <c r="H36130" s="28"/>
    </row>
    <row r="36131" spans="4:8" x14ac:dyDescent="0.25">
      <c r="D36131" s="28"/>
      <c r="F36131" s="28"/>
      <c r="H36131" s="28"/>
    </row>
    <row r="36132" spans="4:8" x14ac:dyDescent="0.25">
      <c r="D36132" s="28"/>
      <c r="F36132" s="28"/>
      <c r="H36132" s="28"/>
    </row>
    <row r="36133" spans="4:8" x14ac:dyDescent="0.25">
      <c r="D36133" s="28"/>
      <c r="F36133" s="28"/>
      <c r="H36133" s="28"/>
    </row>
    <row r="36134" spans="4:8" x14ac:dyDescent="0.25">
      <c r="D36134" s="28"/>
      <c r="F36134" s="28"/>
      <c r="H36134" s="28"/>
    </row>
    <row r="36135" spans="4:8" x14ac:dyDescent="0.25">
      <c r="D36135" s="28"/>
      <c r="F36135" s="28"/>
      <c r="H36135" s="28"/>
    </row>
    <row r="36136" spans="4:8" x14ac:dyDescent="0.25">
      <c r="D36136" s="28"/>
      <c r="F36136" s="28"/>
      <c r="H36136" s="28"/>
    </row>
    <row r="36137" spans="4:8" x14ac:dyDescent="0.25">
      <c r="D36137" s="28"/>
      <c r="F36137" s="28"/>
      <c r="H36137" s="28"/>
    </row>
    <row r="36138" spans="4:8" x14ac:dyDescent="0.25">
      <c r="D36138" s="28"/>
      <c r="F36138" s="28"/>
      <c r="H36138" s="28"/>
    </row>
    <row r="36139" spans="4:8" x14ac:dyDescent="0.25">
      <c r="D36139" s="28"/>
      <c r="F36139" s="28"/>
      <c r="H36139" s="28"/>
    </row>
    <row r="36140" spans="4:8" x14ac:dyDescent="0.25">
      <c r="D36140" s="28"/>
      <c r="F36140" s="28"/>
      <c r="H36140" s="28"/>
    </row>
    <row r="36141" spans="4:8" x14ac:dyDescent="0.25">
      <c r="D36141" s="28"/>
      <c r="F36141" s="28"/>
      <c r="H36141" s="28"/>
    </row>
    <row r="36142" spans="4:8" x14ac:dyDescent="0.25">
      <c r="D36142" s="28"/>
      <c r="F36142" s="28"/>
      <c r="H36142" s="28"/>
    </row>
    <row r="36143" spans="4:8" x14ac:dyDescent="0.25">
      <c r="D36143" s="28"/>
      <c r="F36143" s="28"/>
      <c r="H36143" s="28"/>
    </row>
    <row r="36144" spans="4:8" x14ac:dyDescent="0.25">
      <c r="D36144" s="28"/>
      <c r="F36144" s="28"/>
      <c r="H36144" s="28"/>
    </row>
    <row r="36145" spans="4:8" x14ac:dyDescent="0.25">
      <c r="D36145" s="28"/>
      <c r="F36145" s="28"/>
      <c r="H36145" s="28"/>
    </row>
    <row r="36146" spans="4:8" x14ac:dyDescent="0.25">
      <c r="D36146" s="28"/>
      <c r="F36146" s="28"/>
      <c r="H36146" s="28"/>
    </row>
    <row r="36147" spans="4:8" x14ac:dyDescent="0.25">
      <c r="D36147" s="28"/>
      <c r="F36147" s="28"/>
      <c r="H36147" s="28"/>
    </row>
    <row r="36148" spans="4:8" x14ac:dyDescent="0.25">
      <c r="D36148" s="28"/>
      <c r="F36148" s="28"/>
      <c r="H36148" s="28"/>
    </row>
    <row r="36149" spans="4:8" x14ac:dyDescent="0.25">
      <c r="D36149" s="28"/>
      <c r="F36149" s="28"/>
      <c r="H36149" s="28"/>
    </row>
    <row r="36150" spans="4:8" x14ac:dyDescent="0.25">
      <c r="D36150" s="28"/>
      <c r="F36150" s="28"/>
      <c r="H36150" s="28"/>
    </row>
    <row r="36151" spans="4:8" x14ac:dyDescent="0.25">
      <c r="D36151" s="28"/>
      <c r="F36151" s="28"/>
      <c r="H36151" s="28"/>
    </row>
    <row r="36152" spans="4:8" x14ac:dyDescent="0.25">
      <c r="D36152" s="28"/>
      <c r="F36152" s="28"/>
      <c r="H36152" s="28"/>
    </row>
    <row r="36153" spans="4:8" x14ac:dyDescent="0.25">
      <c r="D36153" s="28"/>
      <c r="F36153" s="28"/>
      <c r="H36153" s="28"/>
    </row>
    <row r="36154" spans="4:8" x14ac:dyDescent="0.25">
      <c r="D36154" s="28"/>
      <c r="F36154" s="28"/>
      <c r="H36154" s="28"/>
    </row>
    <row r="36155" spans="4:8" x14ac:dyDescent="0.25">
      <c r="D36155" s="28"/>
      <c r="F36155" s="28"/>
      <c r="H36155" s="28"/>
    </row>
    <row r="36156" spans="4:8" x14ac:dyDescent="0.25">
      <c r="D36156" s="28"/>
      <c r="F36156" s="28"/>
      <c r="H36156" s="28"/>
    </row>
    <row r="36157" spans="4:8" x14ac:dyDescent="0.25">
      <c r="D36157" s="28"/>
      <c r="F36157" s="28"/>
      <c r="H36157" s="28"/>
    </row>
    <row r="36158" spans="4:8" x14ac:dyDescent="0.25">
      <c r="D36158" s="28"/>
      <c r="F36158" s="28"/>
      <c r="H36158" s="28"/>
    </row>
    <row r="36159" spans="4:8" x14ac:dyDescent="0.25">
      <c r="D36159" s="28"/>
      <c r="F36159" s="28"/>
      <c r="H36159" s="28"/>
    </row>
    <row r="36160" spans="4:8" x14ac:dyDescent="0.25">
      <c r="D36160" s="28"/>
      <c r="F36160" s="28"/>
      <c r="H36160" s="28"/>
    </row>
    <row r="36161" spans="4:8" x14ac:dyDescent="0.25">
      <c r="D36161" s="28"/>
      <c r="F36161" s="28"/>
      <c r="H36161" s="28"/>
    </row>
    <row r="36162" spans="4:8" x14ac:dyDescent="0.25">
      <c r="D36162" s="28"/>
      <c r="F36162" s="28"/>
      <c r="H36162" s="28"/>
    </row>
    <row r="36163" spans="4:8" x14ac:dyDescent="0.25">
      <c r="D36163" s="28"/>
      <c r="F36163" s="28"/>
      <c r="H36163" s="28"/>
    </row>
    <row r="36164" spans="4:8" x14ac:dyDescent="0.25">
      <c r="D36164" s="28"/>
      <c r="F36164" s="28"/>
      <c r="H36164" s="28"/>
    </row>
    <row r="36165" spans="4:8" x14ac:dyDescent="0.25">
      <c r="D36165" s="28"/>
      <c r="F36165" s="28"/>
      <c r="H36165" s="28"/>
    </row>
    <row r="36166" spans="4:8" x14ac:dyDescent="0.25">
      <c r="D36166" s="28"/>
      <c r="F36166" s="28"/>
      <c r="H36166" s="28"/>
    </row>
    <row r="36167" spans="4:8" x14ac:dyDescent="0.25">
      <c r="D36167" s="28"/>
      <c r="F36167" s="28"/>
      <c r="H36167" s="28"/>
    </row>
    <row r="36168" spans="4:8" x14ac:dyDescent="0.25">
      <c r="D36168" s="28"/>
      <c r="F36168" s="28"/>
      <c r="H36168" s="28"/>
    </row>
    <row r="36169" spans="4:8" x14ac:dyDescent="0.25">
      <c r="D36169" s="28"/>
      <c r="F36169" s="28"/>
      <c r="H36169" s="28"/>
    </row>
    <row r="36170" spans="4:8" x14ac:dyDescent="0.25">
      <c r="D36170" s="28"/>
      <c r="F36170" s="28"/>
      <c r="H36170" s="28"/>
    </row>
    <row r="36171" spans="4:8" x14ac:dyDescent="0.25">
      <c r="D36171" s="28"/>
      <c r="F36171" s="28"/>
      <c r="H36171" s="28"/>
    </row>
    <row r="36172" spans="4:8" x14ac:dyDescent="0.25">
      <c r="D36172" s="28"/>
      <c r="F36172" s="28"/>
      <c r="H36172" s="28"/>
    </row>
    <row r="36173" spans="4:8" x14ac:dyDescent="0.25">
      <c r="D36173" s="28"/>
      <c r="F36173" s="28"/>
      <c r="H36173" s="28"/>
    </row>
    <row r="36174" spans="4:8" x14ac:dyDescent="0.25">
      <c r="D36174" s="28"/>
      <c r="F36174" s="28"/>
      <c r="H36174" s="28"/>
    </row>
    <row r="36175" spans="4:8" x14ac:dyDescent="0.25">
      <c r="D36175" s="28"/>
      <c r="F36175" s="28"/>
      <c r="H36175" s="28"/>
    </row>
    <row r="36176" spans="4:8" x14ac:dyDescent="0.25">
      <c r="D36176" s="28"/>
      <c r="F36176" s="28"/>
      <c r="H36176" s="28"/>
    </row>
    <row r="36177" spans="4:8" x14ac:dyDescent="0.25">
      <c r="D36177" s="28"/>
      <c r="F36177" s="28"/>
      <c r="H36177" s="28"/>
    </row>
    <row r="36178" spans="4:8" x14ac:dyDescent="0.25">
      <c r="D36178" s="28"/>
      <c r="F36178" s="28"/>
      <c r="H36178" s="28"/>
    </row>
    <row r="36179" spans="4:8" x14ac:dyDescent="0.25">
      <c r="D36179" s="28"/>
      <c r="F36179" s="28"/>
      <c r="H36179" s="28"/>
    </row>
    <row r="36180" spans="4:8" x14ac:dyDescent="0.25">
      <c r="D36180" s="28"/>
      <c r="F36180" s="28"/>
      <c r="H36180" s="28"/>
    </row>
    <row r="36181" spans="4:8" x14ac:dyDescent="0.25">
      <c r="D36181" s="28"/>
      <c r="F36181" s="28"/>
      <c r="H36181" s="28"/>
    </row>
    <row r="36182" spans="4:8" x14ac:dyDescent="0.25">
      <c r="D36182" s="28"/>
      <c r="F36182" s="28"/>
      <c r="H36182" s="28"/>
    </row>
    <row r="36183" spans="4:8" x14ac:dyDescent="0.25">
      <c r="D36183" s="28"/>
      <c r="F36183" s="28"/>
      <c r="H36183" s="28"/>
    </row>
    <row r="36184" spans="4:8" x14ac:dyDescent="0.25">
      <c r="D36184" s="28"/>
      <c r="F36184" s="28"/>
      <c r="H36184" s="28"/>
    </row>
    <row r="36185" spans="4:8" x14ac:dyDescent="0.25">
      <c r="D36185" s="28"/>
      <c r="F36185" s="28"/>
      <c r="H36185" s="28"/>
    </row>
    <row r="36186" spans="4:8" x14ac:dyDescent="0.25">
      <c r="D36186" s="28"/>
      <c r="F36186" s="28"/>
      <c r="H36186" s="28"/>
    </row>
    <row r="36187" spans="4:8" x14ac:dyDescent="0.25">
      <c r="D36187" s="28"/>
      <c r="F36187" s="28"/>
      <c r="H36187" s="28"/>
    </row>
    <row r="36188" spans="4:8" x14ac:dyDescent="0.25">
      <c r="D36188" s="28"/>
      <c r="F36188" s="28"/>
      <c r="H36188" s="28"/>
    </row>
    <row r="36189" spans="4:8" x14ac:dyDescent="0.25">
      <c r="D36189" s="28"/>
      <c r="F36189" s="28"/>
      <c r="H36189" s="28"/>
    </row>
    <row r="36190" spans="4:8" x14ac:dyDescent="0.25">
      <c r="D36190" s="28"/>
      <c r="F36190" s="28"/>
      <c r="H36190" s="28"/>
    </row>
    <row r="36191" spans="4:8" x14ac:dyDescent="0.25">
      <c r="D36191" s="28"/>
      <c r="F36191" s="28"/>
      <c r="H36191" s="28"/>
    </row>
    <row r="36192" spans="4:8" x14ac:dyDescent="0.25">
      <c r="D36192" s="28"/>
      <c r="F36192" s="28"/>
      <c r="H36192" s="28"/>
    </row>
    <row r="36193" spans="4:8" x14ac:dyDescent="0.25">
      <c r="D36193" s="28"/>
      <c r="F36193" s="28"/>
      <c r="H36193" s="28"/>
    </row>
    <row r="36194" spans="4:8" x14ac:dyDescent="0.25">
      <c r="D36194" s="28"/>
      <c r="F36194" s="28"/>
      <c r="H36194" s="28"/>
    </row>
    <row r="36195" spans="4:8" x14ac:dyDescent="0.25">
      <c r="D36195" s="28"/>
      <c r="F36195" s="28"/>
      <c r="H36195" s="28"/>
    </row>
    <row r="36196" spans="4:8" x14ac:dyDescent="0.25">
      <c r="D36196" s="28"/>
      <c r="F36196" s="28"/>
      <c r="H36196" s="28"/>
    </row>
    <row r="36197" spans="4:8" x14ac:dyDescent="0.25">
      <c r="D36197" s="28"/>
      <c r="F36197" s="28"/>
      <c r="H36197" s="28"/>
    </row>
    <row r="36198" spans="4:8" x14ac:dyDescent="0.25">
      <c r="D36198" s="28"/>
      <c r="F36198" s="28"/>
      <c r="H36198" s="28"/>
    </row>
    <row r="36199" spans="4:8" x14ac:dyDescent="0.25">
      <c r="D36199" s="28"/>
      <c r="F36199" s="28"/>
      <c r="H36199" s="28"/>
    </row>
    <row r="36200" spans="4:8" x14ac:dyDescent="0.25">
      <c r="D36200" s="28"/>
      <c r="F36200" s="28"/>
      <c r="H36200" s="28"/>
    </row>
    <row r="36201" spans="4:8" x14ac:dyDescent="0.25">
      <c r="D36201" s="28"/>
      <c r="F36201" s="28"/>
      <c r="H36201" s="28"/>
    </row>
    <row r="36202" spans="4:8" x14ac:dyDescent="0.25">
      <c r="D36202" s="28"/>
      <c r="F36202" s="28"/>
      <c r="H36202" s="28"/>
    </row>
    <row r="36203" spans="4:8" x14ac:dyDescent="0.25">
      <c r="D36203" s="28"/>
      <c r="F36203" s="28"/>
      <c r="H36203" s="28"/>
    </row>
    <row r="36204" spans="4:8" x14ac:dyDescent="0.25">
      <c r="D36204" s="28"/>
      <c r="F36204" s="28"/>
      <c r="H36204" s="28"/>
    </row>
    <row r="36205" spans="4:8" x14ac:dyDescent="0.25">
      <c r="D36205" s="28"/>
      <c r="F36205" s="28"/>
      <c r="H36205" s="28"/>
    </row>
    <row r="36206" spans="4:8" x14ac:dyDescent="0.25">
      <c r="D36206" s="28"/>
      <c r="F36206" s="28"/>
      <c r="H36206" s="28"/>
    </row>
    <row r="36207" spans="4:8" x14ac:dyDescent="0.25">
      <c r="D36207" s="28"/>
      <c r="F36207" s="28"/>
      <c r="H36207" s="28"/>
    </row>
    <row r="36208" spans="4:8" x14ac:dyDescent="0.25">
      <c r="D36208" s="28"/>
      <c r="F36208" s="28"/>
      <c r="H36208" s="28"/>
    </row>
    <row r="36209" spans="4:8" x14ac:dyDescent="0.25">
      <c r="D36209" s="28"/>
      <c r="F36209" s="28"/>
      <c r="H36209" s="28"/>
    </row>
    <row r="36210" spans="4:8" x14ac:dyDescent="0.25">
      <c r="D36210" s="28"/>
      <c r="F36210" s="28"/>
      <c r="H36210" s="28"/>
    </row>
    <row r="36211" spans="4:8" x14ac:dyDescent="0.25">
      <c r="D36211" s="28"/>
      <c r="F36211" s="28"/>
      <c r="H36211" s="28"/>
    </row>
    <row r="36212" spans="4:8" x14ac:dyDescent="0.25">
      <c r="D36212" s="28"/>
      <c r="F36212" s="28"/>
      <c r="H36212" s="28"/>
    </row>
    <row r="36213" spans="4:8" x14ac:dyDescent="0.25">
      <c r="D36213" s="28"/>
      <c r="F36213" s="28"/>
      <c r="H36213" s="28"/>
    </row>
    <row r="36214" spans="4:8" x14ac:dyDescent="0.25">
      <c r="D36214" s="28"/>
      <c r="F36214" s="28"/>
      <c r="H36214" s="28"/>
    </row>
    <row r="36215" spans="4:8" x14ac:dyDescent="0.25">
      <c r="D36215" s="28"/>
      <c r="F36215" s="28"/>
      <c r="H36215" s="28"/>
    </row>
    <row r="36216" spans="4:8" x14ac:dyDescent="0.25">
      <c r="D36216" s="28"/>
      <c r="F36216" s="28"/>
      <c r="H36216" s="28"/>
    </row>
    <row r="36217" spans="4:8" x14ac:dyDescent="0.25">
      <c r="D36217" s="28"/>
      <c r="F36217" s="28"/>
      <c r="H36217" s="28"/>
    </row>
    <row r="36218" spans="4:8" x14ac:dyDescent="0.25">
      <c r="D36218" s="28"/>
      <c r="F36218" s="28"/>
      <c r="H36218" s="28"/>
    </row>
    <row r="36219" spans="4:8" x14ac:dyDescent="0.25">
      <c r="D36219" s="28"/>
      <c r="F36219" s="28"/>
      <c r="H36219" s="28"/>
    </row>
    <row r="36220" spans="4:8" x14ac:dyDescent="0.25">
      <c r="D36220" s="28"/>
      <c r="F36220" s="28"/>
      <c r="H36220" s="28"/>
    </row>
    <row r="36221" spans="4:8" x14ac:dyDescent="0.25">
      <c r="D36221" s="28"/>
      <c r="F36221" s="28"/>
      <c r="H36221" s="28"/>
    </row>
    <row r="36222" spans="4:8" x14ac:dyDescent="0.25">
      <c r="D36222" s="28"/>
      <c r="F36222" s="28"/>
      <c r="H36222" s="28"/>
    </row>
    <row r="36223" spans="4:8" x14ac:dyDescent="0.25">
      <c r="D36223" s="28"/>
      <c r="F36223" s="28"/>
      <c r="H36223" s="28"/>
    </row>
    <row r="36224" spans="4:8" x14ac:dyDescent="0.25">
      <c r="D36224" s="28"/>
      <c r="F36224" s="28"/>
      <c r="H36224" s="28"/>
    </row>
    <row r="36225" spans="4:8" x14ac:dyDescent="0.25">
      <c r="D36225" s="28"/>
      <c r="F36225" s="28"/>
      <c r="H36225" s="28"/>
    </row>
    <row r="36226" spans="4:8" x14ac:dyDescent="0.25">
      <c r="D36226" s="28"/>
      <c r="F36226" s="28"/>
      <c r="H36226" s="28"/>
    </row>
    <row r="36227" spans="4:8" x14ac:dyDescent="0.25">
      <c r="D36227" s="28"/>
      <c r="F36227" s="28"/>
      <c r="H36227" s="28"/>
    </row>
    <row r="36228" spans="4:8" x14ac:dyDescent="0.25">
      <c r="D36228" s="28"/>
      <c r="F36228" s="28"/>
      <c r="H36228" s="28"/>
    </row>
    <row r="36229" spans="4:8" x14ac:dyDescent="0.25">
      <c r="D36229" s="28"/>
      <c r="F36229" s="28"/>
      <c r="H36229" s="28"/>
    </row>
    <row r="36230" spans="4:8" x14ac:dyDescent="0.25">
      <c r="D36230" s="28"/>
      <c r="F36230" s="28"/>
      <c r="H36230" s="28"/>
    </row>
    <row r="36231" spans="4:8" x14ac:dyDescent="0.25">
      <c r="D36231" s="28"/>
      <c r="F36231" s="28"/>
      <c r="H36231" s="28"/>
    </row>
    <row r="36232" spans="4:8" x14ac:dyDescent="0.25">
      <c r="D36232" s="28"/>
      <c r="F36232" s="28"/>
      <c r="H36232" s="28"/>
    </row>
    <row r="36233" spans="4:8" x14ac:dyDescent="0.25">
      <c r="D36233" s="28"/>
      <c r="F36233" s="28"/>
      <c r="H36233" s="28"/>
    </row>
    <row r="36234" spans="4:8" x14ac:dyDescent="0.25">
      <c r="D36234" s="28"/>
      <c r="F36234" s="28"/>
      <c r="H36234" s="28"/>
    </row>
    <row r="36235" spans="4:8" x14ac:dyDescent="0.25">
      <c r="D36235" s="28"/>
      <c r="F36235" s="28"/>
      <c r="H36235" s="28"/>
    </row>
    <row r="36236" spans="4:8" x14ac:dyDescent="0.25">
      <c r="D36236" s="28"/>
      <c r="F36236" s="28"/>
      <c r="H36236" s="28"/>
    </row>
    <row r="36237" spans="4:8" x14ac:dyDescent="0.25">
      <c r="D36237" s="28"/>
      <c r="F36237" s="28"/>
      <c r="H36237" s="28"/>
    </row>
    <row r="36238" spans="4:8" x14ac:dyDescent="0.25">
      <c r="D36238" s="28"/>
      <c r="F36238" s="28"/>
      <c r="H36238" s="28"/>
    </row>
    <row r="36239" spans="4:8" x14ac:dyDescent="0.25">
      <c r="D36239" s="28"/>
      <c r="F36239" s="28"/>
      <c r="H36239" s="28"/>
    </row>
    <row r="36240" spans="4:8" x14ac:dyDescent="0.25">
      <c r="D36240" s="28"/>
      <c r="F36240" s="28"/>
      <c r="H36240" s="28"/>
    </row>
    <row r="36241" spans="4:8" x14ac:dyDescent="0.25">
      <c r="D36241" s="28"/>
      <c r="F36241" s="28"/>
      <c r="H36241" s="28"/>
    </row>
    <row r="36242" spans="4:8" x14ac:dyDescent="0.25">
      <c r="D36242" s="28"/>
      <c r="F36242" s="28"/>
      <c r="H36242" s="28"/>
    </row>
    <row r="36243" spans="4:8" x14ac:dyDescent="0.25">
      <c r="D36243" s="28"/>
      <c r="F36243" s="28"/>
      <c r="H36243" s="28"/>
    </row>
    <row r="36244" spans="4:8" x14ac:dyDescent="0.25">
      <c r="D36244" s="28"/>
      <c r="F36244" s="28"/>
      <c r="H36244" s="28"/>
    </row>
    <row r="36245" spans="4:8" x14ac:dyDescent="0.25">
      <c r="D36245" s="28"/>
      <c r="F36245" s="28"/>
      <c r="H36245" s="28"/>
    </row>
    <row r="36246" spans="4:8" x14ac:dyDescent="0.25">
      <c r="D36246" s="28"/>
      <c r="F36246" s="28"/>
      <c r="H36246" s="28"/>
    </row>
    <row r="36247" spans="4:8" x14ac:dyDescent="0.25">
      <c r="D36247" s="28"/>
      <c r="F36247" s="28"/>
      <c r="H36247" s="28"/>
    </row>
    <row r="36248" spans="4:8" x14ac:dyDescent="0.25">
      <c r="D36248" s="28"/>
      <c r="F36248" s="28"/>
      <c r="H36248" s="28"/>
    </row>
    <row r="36249" spans="4:8" x14ac:dyDescent="0.25">
      <c r="D36249" s="28"/>
      <c r="F36249" s="28"/>
      <c r="H36249" s="28"/>
    </row>
    <row r="36250" spans="4:8" x14ac:dyDescent="0.25">
      <c r="D36250" s="28"/>
      <c r="F36250" s="28"/>
      <c r="H36250" s="28"/>
    </row>
    <row r="36251" spans="4:8" x14ac:dyDescent="0.25">
      <c r="D36251" s="28"/>
      <c r="F36251" s="28"/>
      <c r="H36251" s="28"/>
    </row>
    <row r="36252" spans="4:8" x14ac:dyDescent="0.25">
      <c r="D36252" s="28"/>
      <c r="F36252" s="28"/>
      <c r="H36252" s="28"/>
    </row>
    <row r="36253" spans="4:8" x14ac:dyDescent="0.25">
      <c r="D36253" s="28"/>
      <c r="F36253" s="28"/>
      <c r="H36253" s="28"/>
    </row>
    <row r="36254" spans="4:8" x14ac:dyDescent="0.25">
      <c r="D36254" s="28"/>
      <c r="F36254" s="28"/>
      <c r="H36254" s="28"/>
    </row>
    <row r="36255" spans="4:8" x14ac:dyDescent="0.25">
      <c r="D36255" s="28"/>
      <c r="F36255" s="28"/>
      <c r="H36255" s="28"/>
    </row>
    <row r="36256" spans="4:8" x14ac:dyDescent="0.25">
      <c r="D36256" s="28"/>
      <c r="F36256" s="28"/>
      <c r="H36256" s="28"/>
    </row>
    <row r="36257" spans="4:8" x14ac:dyDescent="0.25">
      <c r="D36257" s="28"/>
      <c r="F36257" s="28"/>
      <c r="H36257" s="28"/>
    </row>
    <row r="36258" spans="4:8" x14ac:dyDescent="0.25">
      <c r="D36258" s="28"/>
      <c r="F36258" s="28"/>
      <c r="H36258" s="28"/>
    </row>
    <row r="36259" spans="4:8" x14ac:dyDescent="0.25">
      <c r="D36259" s="28"/>
      <c r="F36259" s="28"/>
      <c r="H36259" s="28"/>
    </row>
    <row r="36260" spans="4:8" x14ac:dyDescent="0.25">
      <c r="D36260" s="28"/>
      <c r="F36260" s="28"/>
      <c r="H36260" s="28"/>
    </row>
    <row r="36261" spans="4:8" x14ac:dyDescent="0.25">
      <c r="D36261" s="28"/>
      <c r="F36261" s="28"/>
      <c r="H36261" s="28"/>
    </row>
    <row r="36262" spans="4:8" x14ac:dyDescent="0.25">
      <c r="D36262" s="28"/>
      <c r="F36262" s="28"/>
      <c r="H36262" s="28"/>
    </row>
    <row r="36263" spans="4:8" x14ac:dyDescent="0.25">
      <c r="D36263" s="28"/>
      <c r="F36263" s="28"/>
      <c r="H36263" s="28"/>
    </row>
    <row r="36264" spans="4:8" x14ac:dyDescent="0.25">
      <c r="D36264" s="28"/>
      <c r="F36264" s="28"/>
      <c r="H36264" s="28"/>
    </row>
    <row r="36265" spans="4:8" x14ac:dyDescent="0.25">
      <c r="D36265" s="28"/>
      <c r="F36265" s="28"/>
      <c r="H36265" s="28"/>
    </row>
    <row r="36266" spans="4:8" x14ac:dyDescent="0.25">
      <c r="D36266" s="28"/>
      <c r="F36266" s="28"/>
      <c r="H36266" s="28"/>
    </row>
    <row r="36267" spans="4:8" x14ac:dyDescent="0.25">
      <c r="D36267" s="28"/>
      <c r="F36267" s="28"/>
      <c r="H36267" s="28"/>
    </row>
    <row r="36268" spans="4:8" x14ac:dyDescent="0.25">
      <c r="D36268" s="28"/>
      <c r="F36268" s="28"/>
      <c r="H36268" s="28"/>
    </row>
    <row r="36269" spans="4:8" x14ac:dyDescent="0.25">
      <c r="D36269" s="28"/>
      <c r="F36269" s="28"/>
      <c r="H36269" s="28"/>
    </row>
    <row r="36270" spans="4:8" x14ac:dyDescent="0.25">
      <c r="D36270" s="28"/>
      <c r="F36270" s="28"/>
      <c r="H36270" s="28"/>
    </row>
    <row r="36271" spans="4:8" x14ac:dyDescent="0.25">
      <c r="D36271" s="28"/>
      <c r="F36271" s="28"/>
      <c r="H36271" s="28"/>
    </row>
    <row r="36272" spans="4:8" x14ac:dyDescent="0.25">
      <c r="D36272" s="28"/>
      <c r="F36272" s="28"/>
      <c r="H36272" s="28"/>
    </row>
    <row r="36273" spans="4:8" x14ac:dyDescent="0.25">
      <c r="D36273" s="28"/>
      <c r="F36273" s="28"/>
      <c r="H36273" s="28"/>
    </row>
    <row r="36274" spans="4:8" x14ac:dyDescent="0.25">
      <c r="D36274" s="28"/>
      <c r="F36274" s="28"/>
      <c r="H36274" s="28"/>
    </row>
    <row r="36275" spans="4:8" x14ac:dyDescent="0.25">
      <c r="D36275" s="28"/>
      <c r="F36275" s="28"/>
      <c r="H36275" s="28"/>
    </row>
    <row r="36276" spans="4:8" x14ac:dyDescent="0.25">
      <c r="D36276" s="28"/>
      <c r="F36276" s="28"/>
      <c r="H36276" s="28"/>
    </row>
    <row r="36277" spans="4:8" x14ac:dyDescent="0.25">
      <c r="D36277" s="28"/>
      <c r="F36277" s="28"/>
      <c r="H36277" s="28"/>
    </row>
    <row r="36278" spans="4:8" x14ac:dyDescent="0.25">
      <c r="D36278" s="28"/>
      <c r="F36278" s="28"/>
      <c r="H36278" s="28"/>
    </row>
    <row r="36279" spans="4:8" x14ac:dyDescent="0.25">
      <c r="D36279" s="28"/>
      <c r="F36279" s="28"/>
      <c r="H36279" s="28"/>
    </row>
    <row r="36280" spans="4:8" x14ac:dyDescent="0.25">
      <c r="D36280" s="28"/>
      <c r="F36280" s="28"/>
      <c r="H36280" s="28"/>
    </row>
    <row r="36281" spans="4:8" x14ac:dyDescent="0.25">
      <c r="D36281" s="28"/>
      <c r="F36281" s="28"/>
      <c r="H36281" s="28"/>
    </row>
    <row r="36282" spans="4:8" x14ac:dyDescent="0.25">
      <c r="D36282" s="28"/>
      <c r="F36282" s="28"/>
      <c r="H36282" s="28"/>
    </row>
    <row r="36283" spans="4:8" x14ac:dyDescent="0.25">
      <c r="D36283" s="28"/>
      <c r="F36283" s="28"/>
      <c r="H36283" s="28"/>
    </row>
    <row r="36284" spans="4:8" x14ac:dyDescent="0.25">
      <c r="D36284" s="28"/>
      <c r="F36284" s="28"/>
      <c r="H36284" s="28"/>
    </row>
    <row r="36285" spans="4:8" x14ac:dyDescent="0.25">
      <c r="D36285" s="28"/>
      <c r="F36285" s="28"/>
      <c r="H36285" s="28"/>
    </row>
    <row r="36286" spans="4:8" x14ac:dyDescent="0.25">
      <c r="D36286" s="28"/>
      <c r="F36286" s="28"/>
      <c r="H36286" s="28"/>
    </row>
    <row r="36287" spans="4:8" x14ac:dyDescent="0.25">
      <c r="D36287" s="28"/>
      <c r="F36287" s="28"/>
      <c r="H36287" s="28"/>
    </row>
    <row r="36288" spans="4:8" x14ac:dyDescent="0.25">
      <c r="D36288" s="28"/>
      <c r="F36288" s="28"/>
      <c r="H36288" s="28"/>
    </row>
    <row r="36289" spans="4:8" x14ac:dyDescent="0.25">
      <c r="D36289" s="28"/>
      <c r="F36289" s="28"/>
      <c r="H36289" s="28"/>
    </row>
    <row r="36290" spans="4:8" x14ac:dyDescent="0.25">
      <c r="D36290" s="28"/>
      <c r="F36290" s="28"/>
      <c r="H36290" s="28"/>
    </row>
    <row r="36291" spans="4:8" x14ac:dyDescent="0.25">
      <c r="D36291" s="28"/>
      <c r="F36291" s="28"/>
      <c r="H36291" s="28"/>
    </row>
    <row r="36292" spans="4:8" x14ac:dyDescent="0.25">
      <c r="D36292" s="28"/>
      <c r="F36292" s="28"/>
      <c r="H36292" s="28"/>
    </row>
    <row r="36293" spans="4:8" x14ac:dyDescent="0.25">
      <c r="D36293" s="28"/>
      <c r="F36293" s="28"/>
      <c r="H36293" s="28"/>
    </row>
    <row r="36294" spans="4:8" x14ac:dyDescent="0.25">
      <c r="D36294" s="28"/>
      <c r="F36294" s="28"/>
      <c r="H36294" s="28"/>
    </row>
    <row r="36295" spans="4:8" x14ac:dyDescent="0.25">
      <c r="D36295" s="28"/>
      <c r="F36295" s="28"/>
      <c r="H36295" s="28"/>
    </row>
    <row r="36296" spans="4:8" x14ac:dyDescent="0.25">
      <c r="D36296" s="28"/>
      <c r="F36296" s="28"/>
      <c r="H36296" s="28"/>
    </row>
    <row r="36297" spans="4:8" x14ac:dyDescent="0.25">
      <c r="D36297" s="28"/>
      <c r="F36297" s="28"/>
      <c r="H36297" s="28"/>
    </row>
    <row r="36298" spans="4:8" x14ac:dyDescent="0.25">
      <c r="D36298" s="28"/>
      <c r="F36298" s="28"/>
      <c r="H36298" s="28"/>
    </row>
    <row r="36299" spans="4:8" x14ac:dyDescent="0.25">
      <c r="D36299" s="28"/>
      <c r="F36299" s="28"/>
      <c r="H36299" s="28"/>
    </row>
    <row r="36300" spans="4:8" x14ac:dyDescent="0.25">
      <c r="D36300" s="28"/>
      <c r="F36300" s="28"/>
      <c r="H36300" s="28"/>
    </row>
    <row r="36301" spans="4:8" x14ac:dyDescent="0.25">
      <c r="D36301" s="28"/>
      <c r="F36301" s="28"/>
      <c r="H36301" s="28"/>
    </row>
    <row r="36302" spans="4:8" x14ac:dyDescent="0.25">
      <c r="D36302" s="28"/>
      <c r="F36302" s="28"/>
      <c r="H36302" s="28"/>
    </row>
    <row r="36303" spans="4:8" x14ac:dyDescent="0.25">
      <c r="D36303" s="28"/>
      <c r="F36303" s="28"/>
      <c r="H36303" s="28"/>
    </row>
    <row r="36304" spans="4:8" x14ac:dyDescent="0.25">
      <c r="D36304" s="28"/>
      <c r="F36304" s="28"/>
      <c r="H36304" s="28"/>
    </row>
    <row r="36305" spans="4:8" x14ac:dyDescent="0.25">
      <c r="D36305" s="28"/>
      <c r="F36305" s="28"/>
      <c r="H36305" s="28"/>
    </row>
    <row r="36306" spans="4:8" x14ac:dyDescent="0.25">
      <c r="D36306" s="28"/>
      <c r="F36306" s="28"/>
      <c r="H36306" s="28"/>
    </row>
    <row r="36307" spans="4:8" x14ac:dyDescent="0.25">
      <c r="D36307" s="28"/>
      <c r="F36307" s="28"/>
      <c r="H36307" s="28"/>
    </row>
    <row r="36308" spans="4:8" x14ac:dyDescent="0.25">
      <c r="D36308" s="28"/>
      <c r="F36308" s="28"/>
      <c r="H36308" s="28"/>
    </row>
    <row r="36309" spans="4:8" x14ac:dyDescent="0.25">
      <c r="D36309" s="28"/>
      <c r="F36309" s="28"/>
      <c r="H36309" s="28"/>
    </row>
    <row r="36310" spans="4:8" x14ac:dyDescent="0.25">
      <c r="D36310" s="28"/>
      <c r="F36310" s="28"/>
      <c r="H36310" s="28"/>
    </row>
    <row r="36311" spans="4:8" x14ac:dyDescent="0.25">
      <c r="D36311" s="28"/>
      <c r="F36311" s="28"/>
      <c r="H36311" s="28"/>
    </row>
    <row r="36312" spans="4:8" x14ac:dyDescent="0.25">
      <c r="D36312" s="28"/>
      <c r="F36312" s="28"/>
      <c r="H36312" s="28"/>
    </row>
    <row r="36313" spans="4:8" x14ac:dyDescent="0.25">
      <c r="D36313" s="28"/>
      <c r="F36313" s="28"/>
      <c r="H36313" s="28"/>
    </row>
    <row r="36314" spans="4:8" x14ac:dyDescent="0.25">
      <c r="D36314" s="28"/>
      <c r="F36314" s="28"/>
      <c r="H36314" s="28"/>
    </row>
    <row r="36315" spans="4:8" x14ac:dyDescent="0.25">
      <c r="D36315" s="28"/>
      <c r="F36315" s="28"/>
      <c r="H36315" s="28"/>
    </row>
    <row r="36316" spans="4:8" x14ac:dyDescent="0.25">
      <c r="D36316" s="28"/>
      <c r="F36316" s="28"/>
      <c r="H36316" s="28"/>
    </row>
    <row r="36317" spans="4:8" x14ac:dyDescent="0.25">
      <c r="D36317" s="28"/>
      <c r="F36317" s="28"/>
      <c r="H36317" s="28"/>
    </row>
    <row r="36318" spans="4:8" x14ac:dyDescent="0.25">
      <c r="D36318" s="28"/>
      <c r="F36318" s="28"/>
      <c r="H36318" s="28"/>
    </row>
    <row r="36319" spans="4:8" x14ac:dyDescent="0.25">
      <c r="D36319" s="28"/>
      <c r="F36319" s="28"/>
      <c r="H36319" s="28"/>
    </row>
    <row r="36320" spans="4:8" x14ac:dyDescent="0.25">
      <c r="D36320" s="28"/>
      <c r="F36320" s="28"/>
      <c r="H36320" s="28"/>
    </row>
    <row r="36321" spans="4:8" x14ac:dyDescent="0.25">
      <c r="D36321" s="28"/>
      <c r="F36321" s="28"/>
      <c r="H36321" s="28"/>
    </row>
    <row r="36322" spans="4:8" x14ac:dyDescent="0.25">
      <c r="D36322" s="28"/>
      <c r="F36322" s="28"/>
      <c r="H36322" s="28"/>
    </row>
    <row r="36323" spans="4:8" x14ac:dyDescent="0.25">
      <c r="D36323" s="28"/>
      <c r="F36323" s="28"/>
      <c r="H36323" s="28"/>
    </row>
    <row r="36324" spans="4:8" x14ac:dyDescent="0.25">
      <c r="D36324" s="28"/>
      <c r="F36324" s="28"/>
      <c r="H36324" s="28"/>
    </row>
    <row r="36325" spans="4:8" x14ac:dyDescent="0.25">
      <c r="D36325" s="28"/>
      <c r="F36325" s="28"/>
      <c r="H36325" s="28"/>
    </row>
    <row r="36326" spans="4:8" x14ac:dyDescent="0.25">
      <c r="D36326" s="28"/>
      <c r="F36326" s="28"/>
      <c r="H36326" s="28"/>
    </row>
    <row r="36327" spans="4:8" x14ac:dyDescent="0.25">
      <c r="D36327" s="28"/>
      <c r="F36327" s="28"/>
      <c r="H36327" s="28"/>
    </row>
    <row r="36328" spans="4:8" x14ac:dyDescent="0.25">
      <c r="D36328" s="28"/>
      <c r="F36328" s="28"/>
      <c r="H36328" s="28"/>
    </row>
    <row r="36329" spans="4:8" x14ac:dyDescent="0.25">
      <c r="D36329" s="28"/>
      <c r="F36329" s="28"/>
      <c r="H36329" s="28"/>
    </row>
    <row r="36330" spans="4:8" x14ac:dyDescent="0.25">
      <c r="D36330" s="28"/>
      <c r="F36330" s="28"/>
      <c r="H36330" s="28"/>
    </row>
    <row r="36331" spans="4:8" x14ac:dyDescent="0.25">
      <c r="D36331" s="28"/>
      <c r="F36331" s="28"/>
      <c r="H36331" s="28"/>
    </row>
    <row r="36332" spans="4:8" x14ac:dyDescent="0.25">
      <c r="D36332" s="28"/>
      <c r="F36332" s="28"/>
      <c r="H36332" s="28"/>
    </row>
    <row r="36333" spans="4:8" x14ac:dyDescent="0.25">
      <c r="D36333" s="28"/>
      <c r="F36333" s="28"/>
      <c r="H36333" s="28"/>
    </row>
    <row r="36334" spans="4:8" x14ac:dyDescent="0.25">
      <c r="D36334" s="28"/>
      <c r="F36334" s="28"/>
      <c r="H36334" s="28"/>
    </row>
    <row r="36335" spans="4:8" x14ac:dyDescent="0.25">
      <c r="D36335" s="28"/>
      <c r="F36335" s="28"/>
      <c r="H36335" s="28"/>
    </row>
    <row r="36336" spans="4:8" x14ac:dyDescent="0.25">
      <c r="D36336" s="28"/>
      <c r="F36336" s="28"/>
      <c r="H36336" s="28"/>
    </row>
    <row r="36337" spans="4:8" x14ac:dyDescent="0.25">
      <c r="D36337" s="28"/>
      <c r="F36337" s="28"/>
      <c r="H36337" s="28"/>
    </row>
    <row r="36338" spans="4:8" x14ac:dyDescent="0.25">
      <c r="D36338" s="28"/>
      <c r="F36338" s="28"/>
      <c r="H36338" s="28"/>
    </row>
    <row r="36339" spans="4:8" x14ac:dyDescent="0.25">
      <c r="D36339" s="28"/>
      <c r="F36339" s="28"/>
      <c r="H36339" s="28"/>
    </row>
    <row r="36340" spans="4:8" x14ac:dyDescent="0.25">
      <c r="D36340" s="28"/>
      <c r="F36340" s="28"/>
      <c r="H36340" s="28"/>
    </row>
    <row r="36341" spans="4:8" x14ac:dyDescent="0.25">
      <c r="D36341" s="28"/>
      <c r="F36341" s="28"/>
      <c r="H36341" s="28"/>
    </row>
    <row r="36342" spans="4:8" x14ac:dyDescent="0.25">
      <c r="D36342" s="28"/>
      <c r="F36342" s="28"/>
      <c r="H36342" s="28"/>
    </row>
    <row r="36343" spans="4:8" x14ac:dyDescent="0.25">
      <c r="D36343" s="28"/>
      <c r="F36343" s="28"/>
      <c r="H36343" s="28"/>
    </row>
    <row r="36344" spans="4:8" x14ac:dyDescent="0.25">
      <c r="D36344" s="28"/>
      <c r="F36344" s="28"/>
      <c r="H36344" s="28"/>
    </row>
    <row r="36345" spans="4:8" x14ac:dyDescent="0.25">
      <c r="D36345" s="28"/>
      <c r="F36345" s="28"/>
      <c r="H36345" s="28"/>
    </row>
    <row r="36346" spans="4:8" x14ac:dyDescent="0.25">
      <c r="D36346" s="28"/>
      <c r="F36346" s="28"/>
      <c r="H36346" s="28"/>
    </row>
    <row r="36347" spans="4:8" x14ac:dyDescent="0.25">
      <c r="D36347" s="28"/>
      <c r="F36347" s="28"/>
      <c r="H36347" s="28"/>
    </row>
    <row r="36348" spans="4:8" x14ac:dyDescent="0.25">
      <c r="D36348" s="28"/>
      <c r="F36348" s="28"/>
      <c r="H36348" s="28"/>
    </row>
    <row r="36349" spans="4:8" x14ac:dyDescent="0.25">
      <c r="D36349" s="28"/>
      <c r="F36349" s="28"/>
      <c r="H36349" s="28"/>
    </row>
    <row r="36350" spans="4:8" x14ac:dyDescent="0.25">
      <c r="D36350" s="28"/>
      <c r="F36350" s="28"/>
      <c r="H36350" s="28"/>
    </row>
    <row r="36351" spans="4:8" x14ac:dyDescent="0.25">
      <c r="D36351" s="28"/>
      <c r="F36351" s="28"/>
      <c r="H36351" s="28"/>
    </row>
    <row r="36352" spans="4:8" x14ac:dyDescent="0.25">
      <c r="D36352" s="28"/>
      <c r="F36352" s="28"/>
      <c r="H36352" s="28"/>
    </row>
    <row r="36353" spans="4:8" x14ac:dyDescent="0.25">
      <c r="D36353" s="28"/>
      <c r="F36353" s="28"/>
      <c r="H36353" s="28"/>
    </row>
    <row r="36354" spans="4:8" x14ac:dyDescent="0.25">
      <c r="D36354" s="28"/>
      <c r="F36354" s="28"/>
      <c r="H36354" s="28"/>
    </row>
    <row r="36355" spans="4:8" x14ac:dyDescent="0.25">
      <c r="D36355" s="28"/>
      <c r="F36355" s="28"/>
      <c r="H36355" s="28"/>
    </row>
    <row r="36356" spans="4:8" x14ac:dyDescent="0.25">
      <c r="D36356" s="28"/>
      <c r="F36356" s="28"/>
      <c r="H36356" s="28"/>
    </row>
    <row r="36357" spans="4:8" x14ac:dyDescent="0.25">
      <c r="D36357" s="28"/>
      <c r="F36357" s="28"/>
      <c r="H36357" s="28"/>
    </row>
    <row r="36358" spans="4:8" x14ac:dyDescent="0.25">
      <c r="D36358" s="28"/>
      <c r="F36358" s="28"/>
      <c r="H36358" s="28"/>
    </row>
    <row r="36359" spans="4:8" x14ac:dyDescent="0.25">
      <c r="D36359" s="28"/>
      <c r="F36359" s="28"/>
      <c r="H36359" s="28"/>
    </row>
    <row r="36360" spans="4:8" x14ac:dyDescent="0.25">
      <c r="D36360" s="28"/>
      <c r="F36360" s="28"/>
      <c r="H36360" s="28"/>
    </row>
    <row r="36361" spans="4:8" x14ac:dyDescent="0.25">
      <c r="D36361" s="28"/>
      <c r="F36361" s="28"/>
      <c r="H36361" s="28"/>
    </row>
    <row r="36362" spans="4:8" x14ac:dyDescent="0.25">
      <c r="D36362" s="28"/>
      <c r="F36362" s="28"/>
      <c r="H36362" s="28"/>
    </row>
    <row r="36363" spans="4:8" x14ac:dyDescent="0.25">
      <c r="D36363" s="28"/>
      <c r="F36363" s="28"/>
      <c r="H36363" s="28"/>
    </row>
    <row r="36364" spans="4:8" x14ac:dyDescent="0.25">
      <c r="D36364" s="28"/>
      <c r="F36364" s="28"/>
      <c r="H36364" s="28"/>
    </row>
    <row r="36365" spans="4:8" x14ac:dyDescent="0.25">
      <c r="D36365" s="28"/>
      <c r="F36365" s="28"/>
      <c r="H36365" s="28"/>
    </row>
    <row r="36366" spans="4:8" x14ac:dyDescent="0.25">
      <c r="D36366" s="28"/>
      <c r="F36366" s="28"/>
      <c r="H36366" s="28"/>
    </row>
    <row r="36367" spans="4:8" x14ac:dyDescent="0.25">
      <c r="D36367" s="28"/>
      <c r="F36367" s="28"/>
      <c r="H36367" s="28"/>
    </row>
    <row r="36368" spans="4:8" x14ac:dyDescent="0.25">
      <c r="D36368" s="28"/>
      <c r="F36368" s="28"/>
      <c r="H36368" s="28"/>
    </row>
    <row r="36369" spans="4:8" x14ac:dyDescent="0.25">
      <c r="D36369" s="28"/>
      <c r="F36369" s="28"/>
      <c r="H36369" s="28"/>
    </row>
    <row r="36370" spans="4:8" x14ac:dyDescent="0.25">
      <c r="D36370" s="28"/>
      <c r="F36370" s="28"/>
      <c r="H36370" s="28"/>
    </row>
    <row r="36371" spans="4:8" x14ac:dyDescent="0.25">
      <c r="D36371" s="28"/>
      <c r="F36371" s="28"/>
      <c r="H36371" s="28"/>
    </row>
    <row r="36372" spans="4:8" x14ac:dyDescent="0.25">
      <c r="D36372" s="28"/>
      <c r="F36372" s="28"/>
      <c r="H36372" s="28"/>
    </row>
    <row r="36373" spans="4:8" x14ac:dyDescent="0.25">
      <c r="D36373" s="28"/>
      <c r="F36373" s="28"/>
      <c r="H36373" s="28"/>
    </row>
    <row r="36374" spans="4:8" x14ac:dyDescent="0.25">
      <c r="D36374" s="28"/>
      <c r="F36374" s="28"/>
      <c r="H36374" s="28"/>
    </row>
    <row r="36375" spans="4:8" x14ac:dyDescent="0.25">
      <c r="D36375" s="28"/>
      <c r="F36375" s="28"/>
      <c r="H36375" s="28"/>
    </row>
    <row r="36376" spans="4:8" x14ac:dyDescent="0.25">
      <c r="D36376" s="28"/>
      <c r="F36376" s="28"/>
      <c r="H36376" s="28"/>
    </row>
    <row r="36377" spans="4:8" x14ac:dyDescent="0.25">
      <c r="D36377" s="28"/>
      <c r="F36377" s="28"/>
      <c r="H36377" s="28"/>
    </row>
    <row r="36378" spans="4:8" x14ac:dyDescent="0.25">
      <c r="D36378" s="28"/>
      <c r="F36378" s="28"/>
      <c r="H36378" s="28"/>
    </row>
    <row r="36379" spans="4:8" x14ac:dyDescent="0.25">
      <c r="D36379" s="28"/>
      <c r="F36379" s="28"/>
      <c r="H36379" s="28"/>
    </row>
    <row r="36380" spans="4:8" x14ac:dyDescent="0.25">
      <c r="D36380" s="28"/>
      <c r="F36380" s="28"/>
      <c r="H36380" s="28"/>
    </row>
    <row r="36381" spans="4:8" x14ac:dyDescent="0.25">
      <c r="D36381" s="28"/>
      <c r="F36381" s="28"/>
      <c r="H36381" s="28"/>
    </row>
    <row r="36382" spans="4:8" x14ac:dyDescent="0.25">
      <c r="D36382" s="28"/>
      <c r="F36382" s="28"/>
      <c r="H36382" s="28"/>
    </row>
    <row r="36383" spans="4:8" x14ac:dyDescent="0.25">
      <c r="D36383" s="28"/>
      <c r="F36383" s="28"/>
      <c r="H36383" s="28"/>
    </row>
    <row r="36384" spans="4:8" x14ac:dyDescent="0.25">
      <c r="D36384" s="28"/>
      <c r="F36384" s="28"/>
      <c r="H36384" s="28"/>
    </row>
    <row r="36385" spans="4:8" x14ac:dyDescent="0.25">
      <c r="D36385" s="28"/>
      <c r="F36385" s="28"/>
      <c r="H36385" s="28"/>
    </row>
    <row r="36386" spans="4:8" x14ac:dyDescent="0.25">
      <c r="D36386" s="28"/>
      <c r="F36386" s="28"/>
      <c r="H36386" s="28"/>
    </row>
    <row r="36387" spans="4:8" x14ac:dyDescent="0.25">
      <c r="D36387" s="28"/>
      <c r="F36387" s="28"/>
      <c r="H36387" s="28"/>
    </row>
    <row r="36388" spans="4:8" x14ac:dyDescent="0.25">
      <c r="D36388" s="28"/>
      <c r="F36388" s="28"/>
      <c r="H36388" s="28"/>
    </row>
    <row r="36389" spans="4:8" x14ac:dyDescent="0.25">
      <c r="D36389" s="28"/>
      <c r="F36389" s="28"/>
      <c r="H36389" s="28"/>
    </row>
    <row r="36390" spans="4:8" x14ac:dyDescent="0.25">
      <c r="D36390" s="28"/>
      <c r="F36390" s="28"/>
      <c r="H36390" s="28"/>
    </row>
    <row r="36391" spans="4:8" x14ac:dyDescent="0.25">
      <c r="D36391" s="28"/>
      <c r="F36391" s="28"/>
      <c r="H36391" s="28"/>
    </row>
    <row r="36392" spans="4:8" x14ac:dyDescent="0.25">
      <c r="D36392" s="28"/>
      <c r="F36392" s="28"/>
      <c r="H36392" s="28"/>
    </row>
    <row r="36393" spans="4:8" x14ac:dyDescent="0.25">
      <c r="D36393" s="28"/>
      <c r="F36393" s="28"/>
      <c r="H36393" s="28"/>
    </row>
    <row r="36394" spans="4:8" x14ac:dyDescent="0.25">
      <c r="D36394" s="28"/>
      <c r="F36394" s="28"/>
      <c r="H36394" s="28"/>
    </row>
    <row r="36395" spans="4:8" x14ac:dyDescent="0.25">
      <c r="D36395" s="28"/>
      <c r="F36395" s="28"/>
      <c r="H36395" s="28"/>
    </row>
    <row r="36396" spans="4:8" x14ac:dyDescent="0.25">
      <c r="D36396" s="28"/>
      <c r="F36396" s="28"/>
      <c r="H36396" s="28"/>
    </row>
    <row r="36397" spans="4:8" x14ac:dyDescent="0.25">
      <c r="D36397" s="28"/>
      <c r="F36397" s="28"/>
      <c r="H36397" s="28"/>
    </row>
    <row r="36398" spans="4:8" x14ac:dyDescent="0.25">
      <c r="D36398" s="28"/>
      <c r="F36398" s="28"/>
      <c r="H36398" s="28"/>
    </row>
    <row r="36399" spans="4:8" x14ac:dyDescent="0.25">
      <c r="D36399" s="28"/>
      <c r="F36399" s="28"/>
      <c r="H36399" s="28"/>
    </row>
    <row r="36400" spans="4:8" x14ac:dyDescent="0.25">
      <c r="D36400" s="28"/>
      <c r="F36400" s="28"/>
      <c r="H36400" s="28"/>
    </row>
    <row r="36401" spans="4:8" x14ac:dyDescent="0.25">
      <c r="D36401" s="28"/>
      <c r="F36401" s="28"/>
      <c r="H36401" s="28"/>
    </row>
    <row r="36402" spans="4:8" x14ac:dyDescent="0.25">
      <c r="D36402" s="28"/>
      <c r="F36402" s="28"/>
      <c r="H36402" s="28"/>
    </row>
    <row r="36403" spans="4:8" x14ac:dyDescent="0.25">
      <c r="D36403" s="28"/>
      <c r="F36403" s="28"/>
      <c r="H36403" s="28"/>
    </row>
    <row r="36404" spans="4:8" x14ac:dyDescent="0.25">
      <c r="D36404" s="28"/>
      <c r="F36404" s="28"/>
      <c r="H36404" s="28"/>
    </row>
    <row r="36405" spans="4:8" x14ac:dyDescent="0.25">
      <c r="D36405" s="28"/>
      <c r="F36405" s="28"/>
      <c r="H36405" s="28"/>
    </row>
    <row r="36406" spans="4:8" x14ac:dyDescent="0.25">
      <c r="D36406" s="28"/>
      <c r="F36406" s="28"/>
      <c r="H36406" s="28"/>
    </row>
    <row r="36407" spans="4:8" x14ac:dyDescent="0.25">
      <c r="D36407" s="28"/>
      <c r="F36407" s="28"/>
      <c r="H36407" s="28"/>
    </row>
    <row r="36408" spans="4:8" x14ac:dyDescent="0.25">
      <c r="D36408" s="28"/>
      <c r="F36408" s="28"/>
      <c r="H36408" s="28"/>
    </row>
    <row r="36409" spans="4:8" x14ac:dyDescent="0.25">
      <c r="D36409" s="28"/>
      <c r="F36409" s="28"/>
      <c r="H36409" s="28"/>
    </row>
    <row r="36410" spans="4:8" x14ac:dyDescent="0.25">
      <c r="D36410" s="28"/>
      <c r="F36410" s="28"/>
      <c r="H36410" s="28"/>
    </row>
    <row r="36411" spans="4:8" x14ac:dyDescent="0.25">
      <c r="D36411" s="28"/>
      <c r="F36411" s="28"/>
      <c r="H36411" s="28"/>
    </row>
    <row r="36412" spans="4:8" x14ac:dyDescent="0.25">
      <c r="D36412" s="28"/>
      <c r="F36412" s="28"/>
      <c r="H36412" s="28"/>
    </row>
    <row r="36413" spans="4:8" x14ac:dyDescent="0.25">
      <c r="D36413" s="28"/>
      <c r="F36413" s="28"/>
      <c r="H36413" s="28"/>
    </row>
    <row r="36414" spans="4:8" x14ac:dyDescent="0.25">
      <c r="D36414" s="28"/>
      <c r="F36414" s="28"/>
      <c r="H36414" s="28"/>
    </row>
    <row r="36415" spans="4:8" x14ac:dyDescent="0.25">
      <c r="D36415" s="28"/>
      <c r="F36415" s="28"/>
      <c r="H36415" s="28"/>
    </row>
    <row r="36416" spans="4:8" x14ac:dyDescent="0.25">
      <c r="D36416" s="28"/>
      <c r="F36416" s="28"/>
      <c r="H36416" s="28"/>
    </row>
    <row r="36417" spans="4:8" x14ac:dyDescent="0.25">
      <c r="D36417" s="28"/>
      <c r="F36417" s="28"/>
      <c r="H36417" s="28"/>
    </row>
    <row r="36418" spans="4:8" x14ac:dyDescent="0.25">
      <c r="D36418" s="28"/>
      <c r="F36418" s="28"/>
      <c r="H36418" s="28"/>
    </row>
    <row r="36419" spans="4:8" x14ac:dyDescent="0.25">
      <c r="D36419" s="28"/>
      <c r="F36419" s="28"/>
      <c r="H36419" s="28"/>
    </row>
    <row r="36420" spans="4:8" x14ac:dyDescent="0.25">
      <c r="D36420" s="28"/>
      <c r="F36420" s="28"/>
      <c r="H36420" s="28"/>
    </row>
    <row r="36421" spans="4:8" x14ac:dyDescent="0.25">
      <c r="D36421" s="28"/>
      <c r="F36421" s="28"/>
      <c r="H36421" s="28"/>
    </row>
    <row r="36422" spans="4:8" x14ac:dyDescent="0.25">
      <c r="D36422" s="28"/>
      <c r="F36422" s="28"/>
      <c r="H36422" s="28"/>
    </row>
    <row r="36423" spans="4:8" x14ac:dyDescent="0.25">
      <c r="D36423" s="28"/>
      <c r="F36423" s="28"/>
      <c r="H36423" s="28"/>
    </row>
    <row r="36424" spans="4:8" x14ac:dyDescent="0.25">
      <c r="D36424" s="28"/>
      <c r="F36424" s="28"/>
      <c r="H36424" s="28"/>
    </row>
    <row r="36425" spans="4:8" x14ac:dyDescent="0.25">
      <c r="D36425" s="28"/>
      <c r="F36425" s="28"/>
      <c r="H36425" s="28"/>
    </row>
    <row r="36426" spans="4:8" x14ac:dyDescent="0.25">
      <c r="D36426" s="28"/>
      <c r="F36426" s="28"/>
      <c r="H36426" s="28"/>
    </row>
    <row r="36427" spans="4:8" x14ac:dyDescent="0.25">
      <c r="D36427" s="28"/>
      <c r="F36427" s="28"/>
      <c r="H36427" s="28"/>
    </row>
    <row r="36428" spans="4:8" x14ac:dyDescent="0.25">
      <c r="D36428" s="28"/>
      <c r="F36428" s="28"/>
      <c r="H36428" s="28"/>
    </row>
    <row r="36429" spans="4:8" x14ac:dyDescent="0.25">
      <c r="D36429" s="28"/>
      <c r="F36429" s="28"/>
      <c r="H36429" s="28"/>
    </row>
    <row r="36430" spans="4:8" x14ac:dyDescent="0.25">
      <c r="D36430" s="28"/>
      <c r="F36430" s="28"/>
      <c r="H36430" s="28"/>
    </row>
    <row r="36431" spans="4:8" x14ac:dyDescent="0.25">
      <c r="D36431" s="28"/>
      <c r="F36431" s="28"/>
      <c r="H36431" s="28"/>
    </row>
    <row r="36432" spans="4:8" x14ac:dyDescent="0.25">
      <c r="D36432" s="28"/>
      <c r="F36432" s="28"/>
      <c r="H36432" s="28"/>
    </row>
    <row r="36433" spans="4:8" x14ac:dyDescent="0.25">
      <c r="D36433" s="28"/>
      <c r="F36433" s="28"/>
      <c r="H36433" s="28"/>
    </row>
    <row r="36434" spans="4:8" x14ac:dyDescent="0.25">
      <c r="D36434" s="28"/>
      <c r="F36434" s="28"/>
      <c r="H36434" s="28"/>
    </row>
    <row r="36435" spans="4:8" x14ac:dyDescent="0.25">
      <c r="D36435" s="28"/>
      <c r="F36435" s="28"/>
      <c r="H36435" s="28"/>
    </row>
    <row r="36436" spans="4:8" x14ac:dyDescent="0.25">
      <c r="D36436" s="28"/>
      <c r="F36436" s="28"/>
      <c r="H36436" s="28"/>
    </row>
    <row r="36437" spans="4:8" x14ac:dyDescent="0.25">
      <c r="D36437" s="28"/>
      <c r="F36437" s="28"/>
      <c r="H36437" s="28"/>
    </row>
    <row r="36438" spans="4:8" x14ac:dyDescent="0.25">
      <c r="D36438" s="28"/>
      <c r="F36438" s="28"/>
      <c r="H36438" s="28"/>
    </row>
    <row r="36439" spans="4:8" x14ac:dyDescent="0.25">
      <c r="D36439" s="28"/>
      <c r="F36439" s="28"/>
      <c r="H36439" s="28"/>
    </row>
    <row r="36440" spans="4:8" x14ac:dyDescent="0.25">
      <c r="D36440" s="28"/>
      <c r="F36440" s="28"/>
      <c r="H36440" s="28"/>
    </row>
    <row r="36441" spans="4:8" x14ac:dyDescent="0.25">
      <c r="D36441" s="28"/>
      <c r="F36441" s="28"/>
      <c r="H36441" s="28"/>
    </row>
    <row r="36442" spans="4:8" x14ac:dyDescent="0.25">
      <c r="D36442" s="28"/>
      <c r="F36442" s="28"/>
      <c r="H36442" s="28"/>
    </row>
    <row r="36443" spans="4:8" x14ac:dyDescent="0.25">
      <c r="D36443" s="28"/>
      <c r="F36443" s="28"/>
      <c r="H36443" s="28"/>
    </row>
    <row r="36444" spans="4:8" x14ac:dyDescent="0.25">
      <c r="D36444" s="28"/>
      <c r="F36444" s="28"/>
      <c r="H36444" s="28"/>
    </row>
    <row r="36445" spans="4:8" x14ac:dyDescent="0.25">
      <c r="D36445" s="28"/>
      <c r="F36445" s="28"/>
      <c r="H36445" s="28"/>
    </row>
    <row r="36446" spans="4:8" x14ac:dyDescent="0.25">
      <c r="D36446" s="28"/>
      <c r="F36446" s="28"/>
      <c r="H36446" s="28"/>
    </row>
    <row r="36447" spans="4:8" x14ac:dyDescent="0.25">
      <c r="D36447" s="28"/>
      <c r="F36447" s="28"/>
      <c r="H36447" s="28"/>
    </row>
    <row r="36448" spans="4:8" x14ac:dyDescent="0.25">
      <c r="D36448" s="28"/>
      <c r="F36448" s="28"/>
      <c r="H36448" s="28"/>
    </row>
    <row r="36449" spans="4:8" x14ac:dyDescent="0.25">
      <c r="D36449" s="28"/>
      <c r="F36449" s="28"/>
      <c r="H36449" s="28"/>
    </row>
    <row r="36450" spans="4:8" x14ac:dyDescent="0.25">
      <c r="D36450" s="28"/>
      <c r="F36450" s="28"/>
      <c r="H36450" s="28"/>
    </row>
    <row r="36451" spans="4:8" x14ac:dyDescent="0.25">
      <c r="D36451" s="28"/>
      <c r="F36451" s="28"/>
      <c r="H36451" s="28"/>
    </row>
    <row r="36452" spans="4:8" x14ac:dyDescent="0.25">
      <c r="D36452" s="28"/>
      <c r="F36452" s="28"/>
      <c r="H36452" s="28"/>
    </row>
    <row r="36453" spans="4:8" x14ac:dyDescent="0.25">
      <c r="D36453" s="28"/>
      <c r="F36453" s="28"/>
      <c r="H36453" s="28"/>
    </row>
    <row r="36454" spans="4:8" x14ac:dyDescent="0.25">
      <c r="D36454" s="28"/>
      <c r="F36454" s="28"/>
      <c r="H36454" s="28"/>
    </row>
    <row r="36455" spans="4:8" x14ac:dyDescent="0.25">
      <c r="D36455" s="28"/>
      <c r="F36455" s="28"/>
      <c r="H36455" s="28"/>
    </row>
    <row r="36456" spans="4:8" x14ac:dyDescent="0.25">
      <c r="D36456" s="28"/>
      <c r="F36456" s="28"/>
      <c r="H36456" s="28"/>
    </row>
    <row r="36457" spans="4:8" x14ac:dyDescent="0.25">
      <c r="D36457" s="28"/>
      <c r="F36457" s="28"/>
      <c r="H36457" s="28"/>
    </row>
    <row r="36458" spans="4:8" x14ac:dyDescent="0.25">
      <c r="D36458" s="28"/>
      <c r="F36458" s="28"/>
      <c r="H36458" s="28"/>
    </row>
    <row r="36459" spans="4:8" x14ac:dyDescent="0.25">
      <c r="D36459" s="28"/>
      <c r="F36459" s="28"/>
      <c r="H36459" s="28"/>
    </row>
    <row r="36460" spans="4:8" x14ac:dyDescent="0.25">
      <c r="D36460" s="28"/>
      <c r="F36460" s="28"/>
      <c r="H36460" s="28"/>
    </row>
    <row r="36461" spans="4:8" x14ac:dyDescent="0.25">
      <c r="D36461" s="28"/>
      <c r="F36461" s="28"/>
      <c r="H36461" s="28"/>
    </row>
    <row r="36462" spans="4:8" x14ac:dyDescent="0.25">
      <c r="D36462" s="28"/>
      <c r="F36462" s="28"/>
      <c r="H36462" s="28"/>
    </row>
    <row r="36463" spans="4:8" x14ac:dyDescent="0.25">
      <c r="D36463" s="28"/>
      <c r="F36463" s="28"/>
      <c r="H36463" s="28"/>
    </row>
    <row r="36464" spans="4:8" x14ac:dyDescent="0.25">
      <c r="D36464" s="28"/>
      <c r="F36464" s="28"/>
      <c r="H36464" s="28"/>
    </row>
    <row r="36465" spans="4:8" x14ac:dyDescent="0.25">
      <c r="D36465" s="28"/>
      <c r="F36465" s="28"/>
      <c r="H36465" s="28"/>
    </row>
    <row r="36466" spans="4:8" x14ac:dyDescent="0.25">
      <c r="D36466" s="28"/>
      <c r="F36466" s="28"/>
      <c r="H36466" s="28"/>
    </row>
    <row r="36467" spans="4:8" x14ac:dyDescent="0.25">
      <c r="D36467" s="28"/>
      <c r="F36467" s="28"/>
      <c r="H36467" s="28"/>
    </row>
    <row r="36468" spans="4:8" x14ac:dyDescent="0.25">
      <c r="D36468" s="28"/>
      <c r="F36468" s="28"/>
      <c r="H36468" s="28"/>
    </row>
    <row r="36469" spans="4:8" x14ac:dyDescent="0.25">
      <c r="D36469" s="28"/>
      <c r="F36469" s="28"/>
      <c r="H36469" s="28"/>
    </row>
    <row r="36470" spans="4:8" x14ac:dyDescent="0.25">
      <c r="D36470" s="28"/>
      <c r="F36470" s="28"/>
      <c r="H36470" s="28"/>
    </row>
    <row r="36471" spans="4:8" x14ac:dyDescent="0.25">
      <c r="D36471" s="28"/>
      <c r="F36471" s="28"/>
      <c r="H36471" s="28"/>
    </row>
    <row r="36472" spans="4:8" x14ac:dyDescent="0.25">
      <c r="D36472" s="28"/>
      <c r="F36472" s="28"/>
      <c r="H36472" s="28"/>
    </row>
    <row r="36473" spans="4:8" x14ac:dyDescent="0.25">
      <c r="D36473" s="28"/>
      <c r="F36473" s="28"/>
      <c r="H36473" s="28"/>
    </row>
    <row r="36474" spans="4:8" x14ac:dyDescent="0.25">
      <c r="D36474" s="28"/>
      <c r="F36474" s="28"/>
      <c r="H36474" s="28"/>
    </row>
    <row r="36475" spans="4:8" x14ac:dyDescent="0.25">
      <c r="D36475" s="28"/>
      <c r="F36475" s="28"/>
      <c r="H36475" s="28"/>
    </row>
    <row r="36476" spans="4:8" x14ac:dyDescent="0.25">
      <c r="D36476" s="28"/>
      <c r="F36476" s="28"/>
      <c r="H36476" s="28"/>
    </row>
    <row r="36477" spans="4:8" x14ac:dyDescent="0.25">
      <c r="D36477" s="28"/>
      <c r="F36477" s="28"/>
      <c r="H36477" s="28"/>
    </row>
    <row r="36478" spans="4:8" x14ac:dyDescent="0.25">
      <c r="D36478" s="28"/>
      <c r="F36478" s="28"/>
      <c r="H36478" s="28"/>
    </row>
    <row r="36479" spans="4:8" x14ac:dyDescent="0.25">
      <c r="D36479" s="28"/>
      <c r="F36479" s="28"/>
      <c r="H36479" s="28"/>
    </row>
    <row r="36480" spans="4:8" x14ac:dyDescent="0.25">
      <c r="D36480" s="28"/>
      <c r="F36480" s="28"/>
      <c r="H36480" s="28"/>
    </row>
    <row r="36481" spans="4:8" x14ac:dyDescent="0.25">
      <c r="D36481" s="28"/>
      <c r="F36481" s="28"/>
      <c r="H36481" s="28"/>
    </row>
    <row r="36482" spans="4:8" x14ac:dyDescent="0.25">
      <c r="D36482" s="28"/>
      <c r="F36482" s="28"/>
      <c r="H36482" s="28"/>
    </row>
    <row r="36483" spans="4:8" x14ac:dyDescent="0.25">
      <c r="D36483" s="28"/>
      <c r="F36483" s="28"/>
      <c r="H36483" s="28"/>
    </row>
    <row r="36484" spans="4:8" x14ac:dyDescent="0.25">
      <c r="D36484" s="28"/>
      <c r="F36484" s="28"/>
      <c r="H36484" s="28"/>
    </row>
    <row r="36485" spans="4:8" x14ac:dyDescent="0.25">
      <c r="D36485" s="28"/>
      <c r="F36485" s="28"/>
      <c r="H36485" s="28"/>
    </row>
    <row r="36486" spans="4:8" x14ac:dyDescent="0.25">
      <c r="D36486" s="28"/>
      <c r="F36486" s="28"/>
      <c r="H36486" s="28"/>
    </row>
    <row r="36487" spans="4:8" x14ac:dyDescent="0.25">
      <c r="D36487" s="28"/>
      <c r="F36487" s="28"/>
      <c r="H36487" s="28"/>
    </row>
    <row r="36488" spans="4:8" x14ac:dyDescent="0.25">
      <c r="D36488" s="28"/>
      <c r="F36488" s="28"/>
      <c r="H36488" s="28"/>
    </row>
    <row r="36489" spans="4:8" x14ac:dyDescent="0.25">
      <c r="D36489" s="28"/>
      <c r="F36489" s="28"/>
      <c r="H36489" s="28"/>
    </row>
    <row r="36490" spans="4:8" x14ac:dyDescent="0.25">
      <c r="D36490" s="28"/>
      <c r="F36490" s="28"/>
      <c r="H36490" s="28"/>
    </row>
    <row r="36491" spans="4:8" x14ac:dyDescent="0.25">
      <c r="D36491" s="28"/>
      <c r="F36491" s="28"/>
      <c r="H36491" s="28"/>
    </row>
    <row r="36492" spans="4:8" x14ac:dyDescent="0.25">
      <c r="D36492" s="28"/>
      <c r="F36492" s="28"/>
      <c r="H36492" s="28"/>
    </row>
    <row r="36493" spans="4:8" x14ac:dyDescent="0.25">
      <c r="D36493" s="28"/>
      <c r="F36493" s="28"/>
      <c r="H36493" s="28"/>
    </row>
    <row r="36494" spans="4:8" x14ac:dyDescent="0.25">
      <c r="D36494" s="28"/>
      <c r="F36494" s="28"/>
      <c r="H36494" s="28"/>
    </row>
    <row r="36495" spans="4:8" x14ac:dyDescent="0.25">
      <c r="D36495" s="28"/>
      <c r="F36495" s="28"/>
      <c r="H36495" s="28"/>
    </row>
    <row r="36496" spans="4:8" x14ac:dyDescent="0.25">
      <c r="D36496" s="28"/>
      <c r="F36496" s="28"/>
      <c r="H36496" s="28"/>
    </row>
    <row r="36497" spans="4:8" x14ac:dyDescent="0.25">
      <c r="D36497" s="28"/>
      <c r="F36497" s="28"/>
      <c r="H36497" s="28"/>
    </row>
    <row r="36498" spans="4:8" x14ac:dyDescent="0.25">
      <c r="D36498" s="28"/>
      <c r="F36498" s="28"/>
      <c r="H36498" s="28"/>
    </row>
    <row r="36499" spans="4:8" x14ac:dyDescent="0.25">
      <c r="D36499" s="28"/>
      <c r="F36499" s="28"/>
      <c r="H36499" s="28"/>
    </row>
    <row r="36500" spans="4:8" x14ac:dyDescent="0.25">
      <c r="D36500" s="28"/>
      <c r="F36500" s="28"/>
      <c r="H36500" s="28"/>
    </row>
    <row r="36501" spans="4:8" x14ac:dyDescent="0.25">
      <c r="D36501" s="28"/>
      <c r="F36501" s="28"/>
      <c r="H36501" s="28"/>
    </row>
    <row r="36502" spans="4:8" x14ac:dyDescent="0.25">
      <c r="D36502" s="28"/>
      <c r="F36502" s="28"/>
      <c r="H36502" s="28"/>
    </row>
    <row r="36503" spans="4:8" x14ac:dyDescent="0.25">
      <c r="D36503" s="28"/>
      <c r="F36503" s="28"/>
      <c r="H36503" s="28"/>
    </row>
    <row r="36504" spans="4:8" x14ac:dyDescent="0.25">
      <c r="D36504" s="28"/>
      <c r="F36504" s="28"/>
      <c r="H36504" s="28"/>
    </row>
    <row r="36505" spans="4:8" x14ac:dyDescent="0.25">
      <c r="D36505" s="28"/>
      <c r="F36505" s="28"/>
      <c r="H36505" s="28"/>
    </row>
    <row r="36506" spans="4:8" x14ac:dyDescent="0.25">
      <c r="D36506" s="28"/>
      <c r="F36506" s="28"/>
      <c r="H36506" s="28"/>
    </row>
    <row r="36507" spans="4:8" x14ac:dyDescent="0.25">
      <c r="D36507" s="28"/>
      <c r="F36507" s="28"/>
      <c r="H36507" s="28"/>
    </row>
    <row r="36508" spans="4:8" x14ac:dyDescent="0.25">
      <c r="D36508" s="28"/>
      <c r="F36508" s="28"/>
      <c r="H36508" s="28"/>
    </row>
    <row r="36509" spans="4:8" x14ac:dyDescent="0.25">
      <c r="D36509" s="28"/>
      <c r="F36509" s="28"/>
      <c r="H36509" s="28"/>
    </row>
    <row r="36510" spans="4:8" x14ac:dyDescent="0.25">
      <c r="D36510" s="28"/>
      <c r="F36510" s="28"/>
      <c r="H36510" s="28"/>
    </row>
    <row r="36511" spans="4:8" x14ac:dyDescent="0.25">
      <c r="D36511" s="28"/>
      <c r="F36511" s="28"/>
      <c r="H36511" s="28"/>
    </row>
    <row r="36512" spans="4:8" x14ac:dyDescent="0.25">
      <c r="D36512" s="28"/>
      <c r="F36512" s="28"/>
      <c r="H36512" s="28"/>
    </row>
    <row r="36513" spans="4:8" x14ac:dyDescent="0.25">
      <c r="D36513" s="28"/>
      <c r="F36513" s="28"/>
      <c r="H36513" s="28"/>
    </row>
    <row r="36514" spans="4:8" x14ac:dyDescent="0.25">
      <c r="D36514" s="28"/>
      <c r="F36514" s="28"/>
      <c r="H36514" s="28"/>
    </row>
    <row r="36515" spans="4:8" x14ac:dyDescent="0.25">
      <c r="D36515" s="28"/>
      <c r="F36515" s="28"/>
      <c r="H36515" s="28"/>
    </row>
    <row r="36516" spans="4:8" x14ac:dyDescent="0.25">
      <c r="D36516" s="28"/>
      <c r="F36516" s="28"/>
      <c r="H36516" s="28"/>
    </row>
    <row r="36517" spans="4:8" x14ac:dyDescent="0.25">
      <c r="D36517" s="28"/>
      <c r="F36517" s="28"/>
      <c r="H36517" s="28"/>
    </row>
    <row r="36518" spans="4:8" x14ac:dyDescent="0.25">
      <c r="D36518" s="28"/>
      <c r="F36518" s="28"/>
      <c r="H36518" s="28"/>
    </row>
    <row r="36519" spans="4:8" x14ac:dyDescent="0.25">
      <c r="D36519" s="28"/>
      <c r="F36519" s="28"/>
      <c r="H36519" s="28"/>
    </row>
    <row r="36520" spans="4:8" x14ac:dyDescent="0.25">
      <c r="D36520" s="28"/>
      <c r="F36520" s="28"/>
      <c r="H36520" s="28"/>
    </row>
    <row r="36521" spans="4:8" x14ac:dyDescent="0.25">
      <c r="D36521" s="28"/>
      <c r="F36521" s="28"/>
      <c r="H36521" s="28"/>
    </row>
    <row r="36522" spans="4:8" x14ac:dyDescent="0.25">
      <c r="D36522" s="28"/>
      <c r="F36522" s="28"/>
      <c r="H36522" s="28"/>
    </row>
    <row r="36523" spans="4:8" x14ac:dyDescent="0.25">
      <c r="D36523" s="28"/>
      <c r="F36523" s="28"/>
      <c r="H36523" s="28"/>
    </row>
    <row r="36524" spans="4:8" x14ac:dyDescent="0.25">
      <c r="D36524" s="28"/>
      <c r="F36524" s="28"/>
      <c r="H36524" s="28"/>
    </row>
    <row r="36525" spans="4:8" x14ac:dyDescent="0.25">
      <c r="D36525" s="28"/>
      <c r="F36525" s="28"/>
      <c r="H36525" s="28"/>
    </row>
    <row r="36526" spans="4:8" x14ac:dyDescent="0.25">
      <c r="D36526" s="28"/>
      <c r="F36526" s="28"/>
      <c r="H36526" s="28"/>
    </row>
    <row r="36527" spans="4:8" x14ac:dyDescent="0.25">
      <c r="D36527" s="28"/>
      <c r="F36527" s="28"/>
      <c r="H36527" s="28"/>
    </row>
    <row r="36528" spans="4:8" x14ac:dyDescent="0.25">
      <c r="D36528" s="28"/>
      <c r="F36528" s="28"/>
      <c r="H36528" s="28"/>
    </row>
    <row r="36529" spans="4:8" x14ac:dyDescent="0.25">
      <c r="D36529" s="28"/>
      <c r="F36529" s="28"/>
      <c r="H36529" s="28"/>
    </row>
    <row r="36530" spans="4:8" x14ac:dyDescent="0.25">
      <c r="D36530" s="28"/>
      <c r="F36530" s="28"/>
      <c r="H36530" s="28"/>
    </row>
    <row r="36531" spans="4:8" x14ac:dyDescent="0.25">
      <c r="D36531" s="28"/>
      <c r="F36531" s="28"/>
      <c r="H36531" s="28"/>
    </row>
    <row r="36532" spans="4:8" x14ac:dyDescent="0.25">
      <c r="D36532" s="28"/>
      <c r="F36532" s="28"/>
      <c r="H36532" s="28"/>
    </row>
    <row r="36533" spans="4:8" x14ac:dyDescent="0.25">
      <c r="D36533" s="28"/>
      <c r="F36533" s="28"/>
      <c r="H36533" s="28"/>
    </row>
    <row r="36534" spans="4:8" x14ac:dyDescent="0.25">
      <c r="D36534" s="28"/>
      <c r="F36534" s="28"/>
      <c r="H36534" s="28"/>
    </row>
    <row r="36535" spans="4:8" x14ac:dyDescent="0.25">
      <c r="D36535" s="28"/>
      <c r="F36535" s="28"/>
      <c r="H36535" s="28"/>
    </row>
    <row r="36536" spans="4:8" x14ac:dyDescent="0.25">
      <c r="D36536" s="28"/>
      <c r="F36536" s="28"/>
      <c r="H36536" s="28"/>
    </row>
    <row r="36537" spans="4:8" x14ac:dyDescent="0.25">
      <c r="D36537" s="28"/>
      <c r="F36537" s="28"/>
      <c r="H36537" s="28"/>
    </row>
    <row r="36538" spans="4:8" x14ac:dyDescent="0.25">
      <c r="D36538" s="28"/>
      <c r="F36538" s="28"/>
      <c r="H36538" s="28"/>
    </row>
    <row r="36539" spans="4:8" x14ac:dyDescent="0.25">
      <c r="D36539" s="28"/>
      <c r="F36539" s="28"/>
      <c r="H36539" s="28"/>
    </row>
    <row r="36540" spans="4:8" x14ac:dyDescent="0.25">
      <c r="D36540" s="28"/>
      <c r="F36540" s="28"/>
      <c r="H36540" s="28"/>
    </row>
    <row r="36541" spans="4:8" x14ac:dyDescent="0.25">
      <c r="D36541" s="28"/>
      <c r="F36541" s="28"/>
      <c r="H36541" s="28"/>
    </row>
    <row r="36542" spans="4:8" x14ac:dyDescent="0.25">
      <c r="D36542" s="28"/>
      <c r="F36542" s="28"/>
      <c r="H36542" s="28"/>
    </row>
    <row r="36543" spans="4:8" x14ac:dyDescent="0.25">
      <c r="D36543" s="28"/>
      <c r="F36543" s="28"/>
      <c r="H36543" s="28"/>
    </row>
    <row r="36544" spans="4:8" x14ac:dyDescent="0.25">
      <c r="D36544" s="28"/>
      <c r="F36544" s="28"/>
      <c r="H36544" s="28"/>
    </row>
    <row r="36545" spans="4:8" x14ac:dyDescent="0.25">
      <c r="D36545" s="28"/>
      <c r="F36545" s="28"/>
      <c r="H36545" s="28"/>
    </row>
    <row r="36546" spans="4:8" x14ac:dyDescent="0.25">
      <c r="D36546" s="28"/>
      <c r="F36546" s="28"/>
      <c r="H36546" s="28"/>
    </row>
    <row r="36547" spans="4:8" x14ac:dyDescent="0.25">
      <c r="D36547" s="28"/>
      <c r="F36547" s="28"/>
      <c r="H36547" s="28"/>
    </row>
    <row r="36548" spans="4:8" x14ac:dyDescent="0.25">
      <c r="D36548" s="28"/>
      <c r="F36548" s="28"/>
      <c r="H36548" s="28"/>
    </row>
    <row r="36549" spans="4:8" x14ac:dyDescent="0.25">
      <c r="D36549" s="28"/>
      <c r="F36549" s="28"/>
      <c r="H36549" s="28"/>
    </row>
    <row r="36550" spans="4:8" x14ac:dyDescent="0.25">
      <c r="D36550" s="28"/>
      <c r="F36550" s="28"/>
      <c r="H36550" s="28"/>
    </row>
    <row r="36551" spans="4:8" x14ac:dyDescent="0.25">
      <c r="D36551" s="28"/>
      <c r="F36551" s="28"/>
      <c r="H36551" s="28"/>
    </row>
    <row r="36552" spans="4:8" x14ac:dyDescent="0.25">
      <c r="D36552" s="28"/>
      <c r="F36552" s="28"/>
      <c r="H36552" s="28"/>
    </row>
    <row r="36553" spans="4:8" x14ac:dyDescent="0.25">
      <c r="D36553" s="28"/>
      <c r="F36553" s="28"/>
      <c r="H36553" s="28"/>
    </row>
    <row r="36554" spans="4:8" x14ac:dyDescent="0.25">
      <c r="D36554" s="28"/>
      <c r="F36554" s="28"/>
      <c r="H36554" s="28"/>
    </row>
    <row r="36555" spans="4:8" x14ac:dyDescent="0.25">
      <c r="D36555" s="28"/>
      <c r="F36555" s="28"/>
      <c r="H36555" s="28"/>
    </row>
    <row r="36556" spans="4:8" x14ac:dyDescent="0.25">
      <c r="D36556" s="28"/>
      <c r="F36556" s="28"/>
      <c r="H36556" s="28"/>
    </row>
    <row r="36557" spans="4:8" x14ac:dyDescent="0.25">
      <c r="D36557" s="28"/>
      <c r="F36557" s="28"/>
      <c r="H36557" s="28"/>
    </row>
    <row r="36558" spans="4:8" x14ac:dyDescent="0.25">
      <c r="D36558" s="28"/>
      <c r="F36558" s="28"/>
      <c r="H36558" s="28"/>
    </row>
    <row r="36559" spans="4:8" x14ac:dyDescent="0.25">
      <c r="D36559" s="28"/>
      <c r="F36559" s="28"/>
      <c r="H36559" s="28"/>
    </row>
    <row r="36560" spans="4:8" x14ac:dyDescent="0.25">
      <c r="D36560" s="28"/>
      <c r="F36560" s="28"/>
      <c r="H36560" s="28"/>
    </row>
    <row r="36561" spans="4:8" x14ac:dyDescent="0.25">
      <c r="D36561" s="28"/>
      <c r="F36561" s="28"/>
      <c r="H36561" s="28"/>
    </row>
    <row r="36562" spans="4:8" x14ac:dyDescent="0.25">
      <c r="D36562" s="28"/>
      <c r="F36562" s="28"/>
      <c r="H36562" s="28"/>
    </row>
    <row r="36563" spans="4:8" x14ac:dyDescent="0.25">
      <c r="D36563" s="28"/>
      <c r="F36563" s="28"/>
      <c r="H36563" s="28"/>
    </row>
    <row r="36564" spans="4:8" x14ac:dyDescent="0.25">
      <c r="D36564" s="28"/>
      <c r="F36564" s="28"/>
      <c r="H36564" s="28"/>
    </row>
    <row r="36565" spans="4:8" x14ac:dyDescent="0.25">
      <c r="D36565" s="28"/>
      <c r="F36565" s="28"/>
      <c r="H36565" s="28"/>
    </row>
    <row r="36566" spans="4:8" x14ac:dyDescent="0.25">
      <c r="D36566" s="28"/>
      <c r="F36566" s="28"/>
      <c r="H36566" s="28"/>
    </row>
    <row r="36567" spans="4:8" x14ac:dyDescent="0.25">
      <c r="D36567" s="28"/>
      <c r="F36567" s="28"/>
      <c r="H36567" s="28"/>
    </row>
    <row r="36568" spans="4:8" x14ac:dyDescent="0.25">
      <c r="D36568" s="28"/>
      <c r="F36568" s="28"/>
      <c r="H36568" s="28"/>
    </row>
    <row r="36569" spans="4:8" x14ac:dyDescent="0.25">
      <c r="D36569" s="28"/>
      <c r="F36569" s="28"/>
      <c r="H36569" s="28"/>
    </row>
    <row r="36570" spans="4:8" x14ac:dyDescent="0.25">
      <c r="D36570" s="28"/>
      <c r="F36570" s="28"/>
      <c r="H36570" s="28"/>
    </row>
    <row r="36571" spans="4:8" x14ac:dyDescent="0.25">
      <c r="D36571" s="28"/>
      <c r="F36571" s="28"/>
      <c r="H36571" s="28"/>
    </row>
    <row r="36572" spans="4:8" x14ac:dyDescent="0.25">
      <c r="D36572" s="28"/>
      <c r="F36572" s="28"/>
      <c r="H36572" s="28"/>
    </row>
    <row r="36573" spans="4:8" x14ac:dyDescent="0.25">
      <c r="D36573" s="28"/>
      <c r="F36573" s="28"/>
      <c r="H36573" s="28"/>
    </row>
    <row r="36574" spans="4:8" x14ac:dyDescent="0.25">
      <c r="D36574" s="28"/>
      <c r="F36574" s="28"/>
      <c r="H36574" s="28"/>
    </row>
    <row r="36575" spans="4:8" x14ac:dyDescent="0.25">
      <c r="D36575" s="28"/>
      <c r="F36575" s="28"/>
      <c r="H36575" s="28"/>
    </row>
    <row r="36576" spans="4:8" x14ac:dyDescent="0.25">
      <c r="D36576" s="28"/>
      <c r="F36576" s="28"/>
      <c r="H36576" s="28"/>
    </row>
    <row r="36577" spans="4:8" x14ac:dyDescent="0.25">
      <c r="D36577" s="28"/>
      <c r="F36577" s="28"/>
      <c r="H36577" s="28"/>
    </row>
    <row r="36578" spans="4:8" x14ac:dyDescent="0.25">
      <c r="D36578" s="28"/>
      <c r="F36578" s="28"/>
      <c r="H36578" s="28"/>
    </row>
    <row r="36579" spans="4:8" x14ac:dyDescent="0.25">
      <c r="D36579" s="28"/>
      <c r="F36579" s="28"/>
      <c r="H36579" s="28"/>
    </row>
    <row r="36580" spans="4:8" x14ac:dyDescent="0.25">
      <c r="D36580" s="28"/>
      <c r="F36580" s="28"/>
      <c r="H36580" s="28"/>
    </row>
    <row r="36581" spans="4:8" x14ac:dyDescent="0.25">
      <c r="D36581" s="28"/>
      <c r="F36581" s="28"/>
      <c r="H36581" s="28"/>
    </row>
    <row r="36582" spans="4:8" x14ac:dyDescent="0.25">
      <c r="D36582" s="28"/>
      <c r="F36582" s="28"/>
      <c r="H36582" s="28"/>
    </row>
    <row r="36583" spans="4:8" x14ac:dyDescent="0.25">
      <c r="D36583" s="28"/>
      <c r="F36583" s="28"/>
      <c r="H36583" s="28"/>
    </row>
    <row r="36584" spans="4:8" x14ac:dyDescent="0.25">
      <c r="D36584" s="28"/>
      <c r="F36584" s="28"/>
      <c r="H36584" s="28"/>
    </row>
    <row r="36585" spans="4:8" x14ac:dyDescent="0.25">
      <c r="D36585" s="28"/>
      <c r="F36585" s="28"/>
      <c r="H36585" s="28"/>
    </row>
    <row r="36586" spans="4:8" x14ac:dyDescent="0.25">
      <c r="D36586" s="28"/>
      <c r="F36586" s="28"/>
      <c r="H36586" s="28"/>
    </row>
    <row r="36587" spans="4:8" x14ac:dyDescent="0.25">
      <c r="D36587" s="28"/>
      <c r="F36587" s="28"/>
      <c r="H36587" s="28"/>
    </row>
    <row r="36588" spans="4:8" x14ac:dyDescent="0.25">
      <c r="D36588" s="28"/>
      <c r="F36588" s="28"/>
      <c r="H36588" s="28"/>
    </row>
    <row r="36589" spans="4:8" x14ac:dyDescent="0.25">
      <c r="D36589" s="28"/>
      <c r="F36589" s="28"/>
      <c r="H36589" s="28"/>
    </row>
    <row r="36590" spans="4:8" x14ac:dyDescent="0.25">
      <c r="D36590" s="28"/>
      <c r="F36590" s="28"/>
      <c r="H36590" s="28"/>
    </row>
    <row r="36591" spans="4:8" x14ac:dyDescent="0.25">
      <c r="D36591" s="28"/>
      <c r="F36591" s="28"/>
      <c r="H36591" s="28"/>
    </row>
    <row r="36592" spans="4:8" x14ac:dyDescent="0.25">
      <c r="D36592" s="28"/>
      <c r="F36592" s="28"/>
      <c r="H36592" s="28"/>
    </row>
    <row r="36593" spans="4:8" x14ac:dyDescent="0.25">
      <c r="D36593" s="28"/>
      <c r="F36593" s="28"/>
      <c r="H36593" s="28"/>
    </row>
    <row r="36594" spans="4:8" x14ac:dyDescent="0.25">
      <c r="D36594" s="28"/>
      <c r="F36594" s="28"/>
      <c r="H36594" s="28"/>
    </row>
    <row r="36595" spans="4:8" x14ac:dyDescent="0.25">
      <c r="D36595" s="28"/>
      <c r="F36595" s="28"/>
      <c r="H36595" s="28"/>
    </row>
    <row r="36596" spans="4:8" x14ac:dyDescent="0.25">
      <c r="D36596" s="28"/>
      <c r="F36596" s="28"/>
      <c r="H36596" s="28"/>
    </row>
    <row r="36597" spans="4:8" x14ac:dyDescent="0.25">
      <c r="D36597" s="28"/>
      <c r="F36597" s="28"/>
      <c r="H36597" s="28"/>
    </row>
    <row r="36598" spans="4:8" x14ac:dyDescent="0.25">
      <c r="D36598" s="28"/>
      <c r="F36598" s="28"/>
      <c r="H36598" s="28"/>
    </row>
    <row r="36599" spans="4:8" x14ac:dyDescent="0.25">
      <c r="D36599" s="28"/>
      <c r="F36599" s="28"/>
      <c r="H36599" s="28"/>
    </row>
    <row r="36600" spans="4:8" x14ac:dyDescent="0.25">
      <c r="D36600" s="28"/>
      <c r="F36600" s="28"/>
      <c r="H36600" s="28"/>
    </row>
    <row r="36601" spans="4:8" x14ac:dyDescent="0.25">
      <c r="D36601" s="28"/>
      <c r="F36601" s="28"/>
      <c r="H36601" s="28"/>
    </row>
    <row r="36602" spans="4:8" x14ac:dyDescent="0.25">
      <c r="D36602" s="28"/>
      <c r="F36602" s="28"/>
      <c r="H36602" s="28"/>
    </row>
    <row r="36603" spans="4:8" x14ac:dyDescent="0.25">
      <c r="D36603" s="28"/>
      <c r="F36603" s="28"/>
      <c r="H36603" s="28"/>
    </row>
    <row r="36604" spans="4:8" x14ac:dyDescent="0.25">
      <c r="D36604" s="28"/>
      <c r="F36604" s="28"/>
      <c r="H36604" s="28"/>
    </row>
    <row r="36605" spans="4:8" x14ac:dyDescent="0.25">
      <c r="D36605" s="28"/>
      <c r="F36605" s="28"/>
      <c r="H36605" s="28"/>
    </row>
    <row r="36606" spans="4:8" x14ac:dyDescent="0.25">
      <c r="D36606" s="28"/>
      <c r="F36606" s="28"/>
      <c r="H36606" s="28"/>
    </row>
    <row r="36607" spans="4:8" x14ac:dyDescent="0.25">
      <c r="D36607" s="28"/>
      <c r="F36607" s="28"/>
      <c r="H36607" s="28"/>
    </row>
    <row r="36608" spans="4:8" x14ac:dyDescent="0.25">
      <c r="D36608" s="28"/>
      <c r="F36608" s="28"/>
      <c r="H36608" s="28"/>
    </row>
    <row r="36609" spans="4:8" x14ac:dyDescent="0.25">
      <c r="D36609" s="28"/>
      <c r="F36609" s="28"/>
      <c r="H36609" s="28"/>
    </row>
    <row r="36610" spans="4:8" x14ac:dyDescent="0.25">
      <c r="D36610" s="28"/>
      <c r="F36610" s="28"/>
      <c r="H36610" s="28"/>
    </row>
    <row r="36611" spans="4:8" x14ac:dyDescent="0.25">
      <c r="D36611" s="28"/>
      <c r="F36611" s="28"/>
      <c r="H36611" s="28"/>
    </row>
    <row r="36612" spans="4:8" x14ac:dyDescent="0.25">
      <c r="D36612" s="28"/>
      <c r="F36612" s="28"/>
      <c r="H36612" s="28"/>
    </row>
    <row r="36613" spans="4:8" x14ac:dyDescent="0.25">
      <c r="D36613" s="28"/>
      <c r="F36613" s="28"/>
      <c r="H36613" s="28"/>
    </row>
    <row r="36614" spans="4:8" x14ac:dyDescent="0.25">
      <c r="D36614" s="28"/>
      <c r="F36614" s="28"/>
      <c r="H36614" s="28"/>
    </row>
    <row r="36615" spans="4:8" x14ac:dyDescent="0.25">
      <c r="D36615" s="28"/>
      <c r="F36615" s="28"/>
      <c r="H36615" s="28"/>
    </row>
    <row r="36616" spans="4:8" x14ac:dyDescent="0.25">
      <c r="D36616" s="28"/>
      <c r="F36616" s="28"/>
      <c r="H36616" s="28"/>
    </row>
    <row r="36617" spans="4:8" x14ac:dyDescent="0.25">
      <c r="D36617" s="28"/>
      <c r="F36617" s="28"/>
      <c r="H36617" s="28"/>
    </row>
    <row r="36618" spans="4:8" x14ac:dyDescent="0.25">
      <c r="D36618" s="28"/>
      <c r="F36618" s="28"/>
      <c r="H36618" s="28"/>
    </row>
    <row r="36619" spans="4:8" x14ac:dyDescent="0.25">
      <c r="D36619" s="28"/>
      <c r="F36619" s="28"/>
      <c r="H36619" s="28"/>
    </row>
    <row r="36620" spans="4:8" x14ac:dyDescent="0.25">
      <c r="D36620" s="28"/>
      <c r="F36620" s="28"/>
      <c r="H36620" s="28"/>
    </row>
    <row r="36621" spans="4:8" x14ac:dyDescent="0.25">
      <c r="D36621" s="28"/>
      <c r="F36621" s="28"/>
      <c r="H36621" s="28"/>
    </row>
    <row r="36622" spans="4:8" x14ac:dyDescent="0.25">
      <c r="D36622" s="28"/>
      <c r="F36622" s="28"/>
      <c r="H36622" s="28"/>
    </row>
    <row r="36623" spans="4:8" x14ac:dyDescent="0.25">
      <c r="D36623" s="28"/>
      <c r="F36623" s="28"/>
      <c r="H36623" s="28"/>
    </row>
    <row r="36624" spans="4:8" x14ac:dyDescent="0.25">
      <c r="D36624" s="28"/>
      <c r="F36624" s="28"/>
      <c r="H36624" s="28"/>
    </row>
    <row r="36625" spans="4:8" x14ac:dyDescent="0.25">
      <c r="D36625" s="28"/>
      <c r="F36625" s="28"/>
      <c r="H36625" s="28"/>
    </row>
    <row r="36626" spans="4:8" x14ac:dyDescent="0.25">
      <c r="D36626" s="28"/>
      <c r="F36626" s="28"/>
      <c r="H36626" s="28"/>
    </row>
    <row r="36627" spans="4:8" x14ac:dyDescent="0.25">
      <c r="D36627" s="28"/>
      <c r="F36627" s="28"/>
      <c r="H36627" s="28"/>
    </row>
    <row r="36628" spans="4:8" x14ac:dyDescent="0.25">
      <c r="D36628" s="28"/>
      <c r="F36628" s="28"/>
      <c r="H36628" s="28"/>
    </row>
    <row r="36629" spans="4:8" x14ac:dyDescent="0.25">
      <c r="D36629" s="28"/>
      <c r="F36629" s="28"/>
      <c r="H36629" s="28"/>
    </row>
    <row r="36630" spans="4:8" x14ac:dyDescent="0.25">
      <c r="D36630" s="28"/>
      <c r="F36630" s="28"/>
      <c r="H36630" s="28"/>
    </row>
    <row r="36631" spans="4:8" x14ac:dyDescent="0.25">
      <c r="D36631" s="28"/>
      <c r="F36631" s="28"/>
      <c r="H36631" s="28"/>
    </row>
    <row r="36632" spans="4:8" x14ac:dyDescent="0.25">
      <c r="D36632" s="28"/>
      <c r="F36632" s="28"/>
      <c r="H36632" s="28"/>
    </row>
    <row r="36633" spans="4:8" x14ac:dyDescent="0.25">
      <c r="D36633" s="28"/>
      <c r="F36633" s="28"/>
      <c r="H36633" s="28"/>
    </row>
    <row r="36634" spans="4:8" x14ac:dyDescent="0.25">
      <c r="D36634" s="28"/>
      <c r="F36634" s="28"/>
      <c r="H36634" s="28"/>
    </row>
    <row r="36635" spans="4:8" x14ac:dyDescent="0.25">
      <c r="D36635" s="28"/>
      <c r="F36635" s="28"/>
      <c r="H36635" s="28"/>
    </row>
    <row r="36636" spans="4:8" x14ac:dyDescent="0.25">
      <c r="D36636" s="28"/>
      <c r="F36636" s="28"/>
      <c r="H36636" s="28"/>
    </row>
    <row r="36637" spans="4:8" x14ac:dyDescent="0.25">
      <c r="D36637" s="28"/>
      <c r="F36637" s="28"/>
      <c r="H36637" s="28"/>
    </row>
    <row r="36638" spans="4:8" x14ac:dyDescent="0.25">
      <c r="D36638" s="28"/>
      <c r="F36638" s="28"/>
      <c r="H36638" s="28"/>
    </row>
    <row r="36639" spans="4:8" x14ac:dyDescent="0.25">
      <c r="D36639" s="28"/>
      <c r="F36639" s="28"/>
      <c r="H36639" s="28"/>
    </row>
    <row r="36640" spans="4:8" x14ac:dyDescent="0.25">
      <c r="D36640" s="28"/>
      <c r="F36640" s="28"/>
      <c r="H36640" s="28"/>
    </row>
    <row r="36641" spans="4:8" x14ac:dyDescent="0.25">
      <c r="D36641" s="28"/>
      <c r="F36641" s="28"/>
      <c r="H36641" s="28"/>
    </row>
    <row r="36642" spans="4:8" x14ac:dyDescent="0.25">
      <c r="D36642" s="28"/>
      <c r="F36642" s="28"/>
      <c r="H36642" s="28"/>
    </row>
    <row r="36643" spans="4:8" x14ac:dyDescent="0.25">
      <c r="D36643" s="28"/>
      <c r="F36643" s="28"/>
      <c r="H36643" s="28"/>
    </row>
    <row r="36644" spans="4:8" x14ac:dyDescent="0.25">
      <c r="D36644" s="28"/>
      <c r="F36644" s="28"/>
      <c r="H36644" s="28"/>
    </row>
    <row r="36645" spans="4:8" x14ac:dyDescent="0.25">
      <c r="D36645" s="28"/>
      <c r="F36645" s="28"/>
      <c r="H36645" s="28"/>
    </row>
    <row r="36646" spans="4:8" x14ac:dyDescent="0.25">
      <c r="D36646" s="28"/>
      <c r="F36646" s="28"/>
      <c r="H36646" s="28"/>
    </row>
    <row r="36647" spans="4:8" x14ac:dyDescent="0.25">
      <c r="D36647" s="28"/>
      <c r="F36647" s="28"/>
      <c r="H36647" s="28"/>
    </row>
    <row r="36648" spans="4:8" x14ac:dyDescent="0.25">
      <c r="D36648" s="28"/>
      <c r="F36648" s="28"/>
      <c r="H36648" s="28"/>
    </row>
    <row r="36649" spans="4:8" x14ac:dyDescent="0.25">
      <c r="D36649" s="28"/>
      <c r="F36649" s="28"/>
      <c r="H36649" s="28"/>
    </row>
    <row r="36650" spans="4:8" x14ac:dyDescent="0.25">
      <c r="D36650" s="28"/>
      <c r="F36650" s="28"/>
      <c r="H36650" s="28"/>
    </row>
    <row r="36651" spans="4:8" x14ac:dyDescent="0.25">
      <c r="D36651" s="28"/>
      <c r="F36651" s="28"/>
      <c r="H36651" s="28"/>
    </row>
    <row r="36652" spans="4:8" x14ac:dyDescent="0.25">
      <c r="D36652" s="28"/>
      <c r="F36652" s="28"/>
      <c r="H36652" s="28"/>
    </row>
    <row r="36653" spans="4:8" x14ac:dyDescent="0.25">
      <c r="D36653" s="28"/>
      <c r="F36653" s="28"/>
      <c r="H36653" s="28"/>
    </row>
    <row r="36654" spans="4:8" x14ac:dyDescent="0.25">
      <c r="D36654" s="28"/>
      <c r="F36654" s="28"/>
      <c r="H36654" s="28"/>
    </row>
    <row r="36655" spans="4:8" x14ac:dyDescent="0.25">
      <c r="D36655" s="28"/>
      <c r="F36655" s="28"/>
      <c r="H36655" s="28"/>
    </row>
    <row r="36656" spans="4:8" x14ac:dyDescent="0.25">
      <c r="D36656" s="28"/>
      <c r="F36656" s="28"/>
      <c r="H36656" s="28"/>
    </row>
    <row r="36657" spans="4:8" x14ac:dyDescent="0.25">
      <c r="D36657" s="28"/>
      <c r="F36657" s="28"/>
      <c r="H36657" s="28"/>
    </row>
    <row r="36658" spans="4:8" x14ac:dyDescent="0.25">
      <c r="D36658" s="28"/>
      <c r="F36658" s="28"/>
      <c r="H36658" s="28"/>
    </row>
    <row r="36659" spans="4:8" x14ac:dyDescent="0.25">
      <c r="D36659" s="28"/>
      <c r="F36659" s="28"/>
      <c r="H36659" s="28"/>
    </row>
    <row r="36660" spans="4:8" x14ac:dyDescent="0.25">
      <c r="D36660" s="28"/>
      <c r="F36660" s="28"/>
      <c r="H36660" s="28"/>
    </row>
    <row r="36661" spans="4:8" x14ac:dyDescent="0.25">
      <c r="D36661" s="28"/>
      <c r="F36661" s="28"/>
      <c r="H36661" s="28"/>
    </row>
    <row r="36662" spans="4:8" x14ac:dyDescent="0.25">
      <c r="D36662" s="28"/>
      <c r="F36662" s="28"/>
      <c r="H36662" s="28"/>
    </row>
    <row r="36663" spans="4:8" x14ac:dyDescent="0.25">
      <c r="D36663" s="28"/>
      <c r="F36663" s="28"/>
      <c r="H36663" s="28"/>
    </row>
    <row r="36664" spans="4:8" x14ac:dyDescent="0.25">
      <c r="D36664" s="28"/>
      <c r="F36664" s="28"/>
      <c r="H36664" s="28"/>
    </row>
    <row r="36665" spans="4:8" x14ac:dyDescent="0.25">
      <c r="D36665" s="28"/>
      <c r="F36665" s="28"/>
      <c r="H36665" s="28"/>
    </row>
    <row r="36666" spans="4:8" x14ac:dyDescent="0.25">
      <c r="D36666" s="28"/>
      <c r="F36666" s="28"/>
      <c r="H36666" s="28"/>
    </row>
    <row r="36667" spans="4:8" x14ac:dyDescent="0.25">
      <c r="D36667" s="28"/>
      <c r="F36667" s="28"/>
      <c r="H36667" s="28"/>
    </row>
    <row r="36668" spans="4:8" x14ac:dyDescent="0.25">
      <c r="D36668" s="28"/>
      <c r="F36668" s="28"/>
      <c r="H36668" s="28"/>
    </row>
    <row r="36669" spans="4:8" x14ac:dyDescent="0.25">
      <c r="D36669" s="28"/>
      <c r="F36669" s="28"/>
      <c r="H36669" s="28"/>
    </row>
    <row r="36670" spans="4:8" x14ac:dyDescent="0.25">
      <c r="D36670" s="28"/>
      <c r="F36670" s="28"/>
      <c r="H36670" s="28"/>
    </row>
    <row r="36671" spans="4:8" x14ac:dyDescent="0.25">
      <c r="D36671" s="28"/>
      <c r="F36671" s="28"/>
      <c r="H36671" s="28"/>
    </row>
    <row r="36672" spans="4:8" x14ac:dyDescent="0.25">
      <c r="D36672" s="28"/>
      <c r="F36672" s="28"/>
      <c r="H36672" s="28"/>
    </row>
    <row r="36673" spans="4:8" x14ac:dyDescent="0.25">
      <c r="D36673" s="28"/>
      <c r="F36673" s="28"/>
      <c r="H36673" s="28"/>
    </row>
    <row r="36674" spans="4:8" x14ac:dyDescent="0.25">
      <c r="D36674" s="28"/>
      <c r="F36674" s="28"/>
      <c r="H36674" s="28"/>
    </row>
    <row r="36675" spans="4:8" x14ac:dyDescent="0.25">
      <c r="D36675" s="28"/>
      <c r="F36675" s="28"/>
      <c r="H36675" s="28"/>
    </row>
    <row r="36676" spans="4:8" x14ac:dyDescent="0.25">
      <c r="D36676" s="28"/>
      <c r="F36676" s="28"/>
      <c r="H36676" s="28"/>
    </row>
    <row r="36677" spans="4:8" x14ac:dyDescent="0.25">
      <c r="D36677" s="28"/>
      <c r="F36677" s="28"/>
      <c r="H36677" s="28"/>
    </row>
    <row r="36678" spans="4:8" x14ac:dyDescent="0.25">
      <c r="D36678" s="28"/>
      <c r="F36678" s="28"/>
      <c r="H36678" s="28"/>
    </row>
    <row r="36679" spans="4:8" x14ac:dyDescent="0.25">
      <c r="D36679" s="28"/>
      <c r="F36679" s="28"/>
      <c r="H36679" s="28"/>
    </row>
    <row r="36680" spans="4:8" x14ac:dyDescent="0.25">
      <c r="D36680" s="28"/>
      <c r="F36680" s="28"/>
      <c r="H36680" s="28"/>
    </row>
    <row r="36681" spans="4:8" x14ac:dyDescent="0.25">
      <c r="D36681" s="28"/>
      <c r="F36681" s="28"/>
      <c r="H36681" s="28"/>
    </row>
    <row r="36682" spans="4:8" x14ac:dyDescent="0.25">
      <c r="D36682" s="28"/>
      <c r="F36682" s="28"/>
      <c r="H36682" s="28"/>
    </row>
    <row r="36683" spans="4:8" x14ac:dyDescent="0.25">
      <c r="D36683" s="28"/>
      <c r="F36683" s="28"/>
      <c r="H36683" s="28"/>
    </row>
    <row r="36684" spans="4:8" x14ac:dyDescent="0.25">
      <c r="D36684" s="28"/>
      <c r="F36684" s="28"/>
      <c r="H36684" s="28"/>
    </row>
    <row r="36685" spans="4:8" x14ac:dyDescent="0.25">
      <c r="D36685" s="28"/>
      <c r="F36685" s="28"/>
      <c r="H36685" s="28"/>
    </row>
    <row r="36686" spans="4:8" x14ac:dyDescent="0.25">
      <c r="D36686" s="28"/>
      <c r="F36686" s="28"/>
      <c r="H36686" s="28"/>
    </row>
    <row r="36687" spans="4:8" x14ac:dyDescent="0.25">
      <c r="D36687" s="28"/>
      <c r="F36687" s="28"/>
      <c r="H36687" s="28"/>
    </row>
    <row r="36688" spans="4:8" x14ac:dyDescent="0.25">
      <c r="D36688" s="28"/>
      <c r="F36688" s="28"/>
      <c r="H36688" s="28"/>
    </row>
    <row r="36689" spans="4:8" x14ac:dyDescent="0.25">
      <c r="D36689" s="28"/>
      <c r="F36689" s="28"/>
      <c r="H36689" s="28"/>
    </row>
    <row r="36690" spans="4:8" x14ac:dyDescent="0.25">
      <c r="D36690" s="28"/>
      <c r="F36690" s="28"/>
      <c r="H36690" s="28"/>
    </row>
    <row r="36691" spans="4:8" x14ac:dyDescent="0.25">
      <c r="D36691" s="28"/>
      <c r="F36691" s="28"/>
      <c r="H36691" s="28"/>
    </row>
    <row r="36692" spans="4:8" x14ac:dyDescent="0.25">
      <c r="D36692" s="28"/>
      <c r="F36692" s="28"/>
      <c r="H36692" s="28"/>
    </row>
    <row r="36693" spans="4:8" x14ac:dyDescent="0.25">
      <c r="D36693" s="28"/>
      <c r="F36693" s="28"/>
      <c r="H36693" s="28"/>
    </row>
    <row r="36694" spans="4:8" x14ac:dyDescent="0.25">
      <c r="D36694" s="28"/>
      <c r="F36694" s="28"/>
      <c r="H36694" s="28"/>
    </row>
    <row r="36695" spans="4:8" x14ac:dyDescent="0.25">
      <c r="D36695" s="28"/>
      <c r="F36695" s="28"/>
      <c r="H36695" s="28"/>
    </row>
    <row r="36696" spans="4:8" x14ac:dyDescent="0.25">
      <c r="D36696" s="28"/>
      <c r="F36696" s="28"/>
      <c r="H36696" s="28"/>
    </row>
    <row r="36697" spans="4:8" x14ac:dyDescent="0.25">
      <c r="D36697" s="28"/>
      <c r="F36697" s="28"/>
      <c r="H36697" s="28"/>
    </row>
    <row r="36698" spans="4:8" x14ac:dyDescent="0.25">
      <c r="D36698" s="28"/>
      <c r="F36698" s="28"/>
      <c r="H36698" s="28"/>
    </row>
    <row r="36699" spans="4:8" x14ac:dyDescent="0.25">
      <c r="D36699" s="28"/>
      <c r="F36699" s="28"/>
      <c r="H36699" s="28"/>
    </row>
    <row r="36700" spans="4:8" x14ac:dyDescent="0.25">
      <c r="D36700" s="28"/>
      <c r="F36700" s="28"/>
      <c r="H36700" s="28"/>
    </row>
    <row r="36701" spans="4:8" x14ac:dyDescent="0.25">
      <c r="D36701" s="28"/>
      <c r="F36701" s="28"/>
      <c r="H36701" s="28"/>
    </row>
    <row r="36702" spans="4:8" x14ac:dyDescent="0.25">
      <c r="D36702" s="28"/>
      <c r="F36702" s="28"/>
      <c r="H36702" s="28"/>
    </row>
    <row r="36703" spans="4:8" x14ac:dyDescent="0.25">
      <c r="D36703" s="28"/>
      <c r="F36703" s="28"/>
      <c r="H36703" s="28"/>
    </row>
    <row r="36704" spans="4:8" x14ac:dyDescent="0.25">
      <c r="D36704" s="28"/>
      <c r="F36704" s="28"/>
      <c r="H36704" s="28"/>
    </row>
    <row r="36705" spans="4:8" x14ac:dyDescent="0.25">
      <c r="D36705" s="28"/>
      <c r="F36705" s="28"/>
      <c r="H36705" s="28"/>
    </row>
    <row r="36706" spans="4:8" x14ac:dyDescent="0.25">
      <c r="D36706" s="28"/>
      <c r="F36706" s="28"/>
      <c r="H36706" s="28"/>
    </row>
    <row r="36707" spans="4:8" x14ac:dyDescent="0.25">
      <c r="D36707" s="28"/>
      <c r="F36707" s="28"/>
      <c r="H36707" s="28"/>
    </row>
    <row r="36708" spans="4:8" x14ac:dyDescent="0.25">
      <c r="D36708" s="28"/>
      <c r="F36708" s="28"/>
      <c r="H36708" s="28"/>
    </row>
    <row r="36709" spans="4:8" x14ac:dyDescent="0.25">
      <c r="D36709" s="28"/>
      <c r="F36709" s="28"/>
      <c r="H36709" s="28"/>
    </row>
    <row r="36710" spans="4:8" x14ac:dyDescent="0.25">
      <c r="D36710" s="28"/>
      <c r="F36710" s="28"/>
      <c r="H36710" s="28"/>
    </row>
    <row r="36711" spans="4:8" x14ac:dyDescent="0.25">
      <c r="D36711" s="28"/>
      <c r="F36711" s="28"/>
      <c r="H36711" s="28"/>
    </row>
    <row r="36712" spans="4:8" x14ac:dyDescent="0.25">
      <c r="D36712" s="28"/>
      <c r="F36712" s="28"/>
      <c r="H36712" s="28"/>
    </row>
    <row r="36713" spans="4:8" x14ac:dyDescent="0.25">
      <c r="D36713" s="28"/>
      <c r="F36713" s="28"/>
      <c r="H36713" s="28"/>
    </row>
    <row r="36714" spans="4:8" x14ac:dyDescent="0.25">
      <c r="D36714" s="28"/>
      <c r="F36714" s="28"/>
      <c r="H36714" s="28"/>
    </row>
    <row r="36715" spans="4:8" x14ac:dyDescent="0.25">
      <c r="D36715" s="28"/>
      <c r="F36715" s="28"/>
      <c r="H36715" s="28"/>
    </row>
    <row r="36716" spans="4:8" x14ac:dyDescent="0.25">
      <c r="D36716" s="28"/>
      <c r="F36716" s="28"/>
      <c r="H36716" s="28"/>
    </row>
    <row r="36717" spans="4:8" x14ac:dyDescent="0.25">
      <c r="D36717" s="28"/>
      <c r="F36717" s="28"/>
      <c r="H36717" s="28"/>
    </row>
    <row r="36718" spans="4:8" x14ac:dyDescent="0.25">
      <c r="D36718" s="28"/>
      <c r="F36718" s="28"/>
      <c r="H36718" s="28"/>
    </row>
    <row r="36719" spans="4:8" x14ac:dyDescent="0.25">
      <c r="D36719" s="28"/>
      <c r="F36719" s="28"/>
      <c r="H36719" s="28"/>
    </row>
    <row r="36720" spans="4:8" x14ac:dyDescent="0.25">
      <c r="D36720" s="28"/>
      <c r="F36720" s="28"/>
      <c r="H36720" s="28"/>
    </row>
    <row r="36721" spans="4:8" x14ac:dyDescent="0.25">
      <c r="D36721" s="28"/>
      <c r="F36721" s="28"/>
      <c r="H36721" s="28"/>
    </row>
    <row r="36722" spans="4:8" x14ac:dyDescent="0.25">
      <c r="D36722" s="28"/>
      <c r="F36722" s="28"/>
      <c r="H36722" s="28"/>
    </row>
    <row r="36723" spans="4:8" x14ac:dyDescent="0.25">
      <c r="D36723" s="28"/>
      <c r="F36723" s="28"/>
      <c r="H36723" s="28"/>
    </row>
    <row r="36724" spans="4:8" x14ac:dyDescent="0.25">
      <c r="D36724" s="28"/>
      <c r="F36724" s="28"/>
      <c r="H36724" s="28"/>
    </row>
    <row r="36725" spans="4:8" x14ac:dyDescent="0.25">
      <c r="D36725" s="28"/>
      <c r="F36725" s="28"/>
      <c r="H36725" s="28"/>
    </row>
    <row r="36726" spans="4:8" x14ac:dyDescent="0.25">
      <c r="D36726" s="28"/>
      <c r="F36726" s="28"/>
      <c r="H36726" s="28"/>
    </row>
    <row r="36727" spans="4:8" x14ac:dyDescent="0.25">
      <c r="D36727" s="28"/>
      <c r="F36727" s="28"/>
      <c r="H36727" s="28"/>
    </row>
    <row r="36728" spans="4:8" x14ac:dyDescent="0.25">
      <c r="D36728" s="28"/>
      <c r="F36728" s="28"/>
      <c r="H36728" s="28"/>
    </row>
    <row r="36729" spans="4:8" x14ac:dyDescent="0.25">
      <c r="D36729" s="28"/>
      <c r="F36729" s="28"/>
      <c r="H36729" s="28"/>
    </row>
    <row r="36730" spans="4:8" x14ac:dyDescent="0.25">
      <c r="D36730" s="28"/>
      <c r="F36730" s="28"/>
      <c r="H36730" s="28"/>
    </row>
    <row r="36731" spans="4:8" x14ac:dyDescent="0.25">
      <c r="D36731" s="28"/>
      <c r="F36731" s="28"/>
      <c r="H36731" s="28"/>
    </row>
    <row r="36732" spans="4:8" x14ac:dyDescent="0.25">
      <c r="D36732" s="28"/>
      <c r="F36732" s="28"/>
      <c r="H36732" s="28"/>
    </row>
    <row r="36733" spans="4:8" x14ac:dyDescent="0.25">
      <c r="D36733" s="28"/>
      <c r="F36733" s="28"/>
      <c r="H36733" s="28"/>
    </row>
    <row r="36734" spans="4:8" x14ac:dyDescent="0.25">
      <c r="D36734" s="28"/>
      <c r="F36734" s="28"/>
      <c r="H36734" s="28"/>
    </row>
    <row r="36735" spans="4:8" x14ac:dyDescent="0.25">
      <c r="D36735" s="28"/>
      <c r="F36735" s="28"/>
      <c r="H36735" s="28"/>
    </row>
    <row r="36736" spans="4:8" x14ac:dyDescent="0.25">
      <c r="D36736" s="28"/>
      <c r="F36736" s="28"/>
      <c r="H36736" s="28"/>
    </row>
    <row r="36737" spans="4:8" x14ac:dyDescent="0.25">
      <c r="D36737" s="28"/>
      <c r="F36737" s="28"/>
      <c r="H36737" s="28"/>
    </row>
    <row r="36738" spans="4:8" x14ac:dyDescent="0.25">
      <c r="D36738" s="28"/>
      <c r="F36738" s="28"/>
      <c r="H36738" s="28"/>
    </row>
    <row r="36739" spans="4:8" x14ac:dyDescent="0.25">
      <c r="D36739" s="28"/>
      <c r="F36739" s="28"/>
      <c r="H36739" s="28"/>
    </row>
    <row r="36740" spans="4:8" x14ac:dyDescent="0.25">
      <c r="D36740" s="28"/>
      <c r="F36740" s="28"/>
      <c r="H36740" s="28"/>
    </row>
    <row r="36741" spans="4:8" x14ac:dyDescent="0.25">
      <c r="D36741" s="28"/>
      <c r="F36741" s="28"/>
      <c r="H36741" s="28"/>
    </row>
    <row r="36742" spans="4:8" x14ac:dyDescent="0.25">
      <c r="D36742" s="28"/>
      <c r="F36742" s="28"/>
      <c r="H36742" s="28"/>
    </row>
    <row r="36743" spans="4:8" x14ac:dyDescent="0.25">
      <c r="D36743" s="28"/>
      <c r="F36743" s="28"/>
      <c r="H36743" s="28"/>
    </row>
    <row r="36744" spans="4:8" x14ac:dyDescent="0.25">
      <c r="D36744" s="28"/>
      <c r="F36744" s="28"/>
      <c r="H36744" s="28"/>
    </row>
    <row r="36745" spans="4:8" x14ac:dyDescent="0.25">
      <c r="D36745" s="28"/>
      <c r="F36745" s="28"/>
      <c r="H36745" s="28"/>
    </row>
    <row r="36746" spans="4:8" x14ac:dyDescent="0.25">
      <c r="D36746" s="28"/>
      <c r="F36746" s="28"/>
      <c r="H36746" s="28"/>
    </row>
    <row r="36747" spans="4:8" x14ac:dyDescent="0.25">
      <c r="D36747" s="28"/>
      <c r="F36747" s="28"/>
      <c r="H36747" s="28"/>
    </row>
    <row r="36748" spans="4:8" x14ac:dyDescent="0.25">
      <c r="D36748" s="28"/>
      <c r="F36748" s="28"/>
      <c r="H36748" s="28"/>
    </row>
    <row r="36749" spans="4:8" x14ac:dyDescent="0.25">
      <c r="D36749" s="28"/>
      <c r="F36749" s="28"/>
      <c r="H36749" s="28"/>
    </row>
    <row r="36750" spans="4:8" x14ac:dyDescent="0.25">
      <c r="D36750" s="28"/>
      <c r="F36750" s="28"/>
      <c r="H36750" s="28"/>
    </row>
    <row r="36751" spans="4:8" x14ac:dyDescent="0.25">
      <c r="D36751" s="28"/>
      <c r="F36751" s="28"/>
      <c r="H36751" s="28"/>
    </row>
    <row r="36752" spans="4:8" x14ac:dyDescent="0.25">
      <c r="D36752" s="28"/>
      <c r="F36752" s="28"/>
      <c r="H36752" s="28"/>
    </row>
    <row r="36753" spans="4:8" x14ac:dyDescent="0.25">
      <c r="D36753" s="28"/>
      <c r="F36753" s="28"/>
      <c r="H36753" s="28"/>
    </row>
    <row r="36754" spans="4:8" x14ac:dyDescent="0.25">
      <c r="D36754" s="28"/>
      <c r="F36754" s="28"/>
      <c r="H36754" s="28"/>
    </row>
    <row r="36755" spans="4:8" x14ac:dyDescent="0.25">
      <c r="D36755" s="28"/>
      <c r="F36755" s="28"/>
      <c r="H36755" s="28"/>
    </row>
    <row r="36756" spans="4:8" x14ac:dyDescent="0.25">
      <c r="D36756" s="28"/>
      <c r="F36756" s="28"/>
      <c r="H36756" s="28"/>
    </row>
    <row r="36757" spans="4:8" x14ac:dyDescent="0.25">
      <c r="D36757" s="28"/>
      <c r="F36757" s="28"/>
      <c r="H36757" s="28"/>
    </row>
    <row r="36758" spans="4:8" x14ac:dyDescent="0.25">
      <c r="D36758" s="28"/>
      <c r="F36758" s="28"/>
      <c r="H36758" s="28"/>
    </row>
    <row r="36759" spans="4:8" x14ac:dyDescent="0.25">
      <c r="D36759" s="28"/>
      <c r="F36759" s="28"/>
      <c r="H36759" s="28"/>
    </row>
    <row r="36760" spans="4:8" x14ac:dyDescent="0.25">
      <c r="D36760" s="28"/>
      <c r="F36760" s="28"/>
      <c r="H36760" s="28"/>
    </row>
    <row r="36761" spans="4:8" x14ac:dyDescent="0.25">
      <c r="D36761" s="28"/>
      <c r="F36761" s="28"/>
      <c r="H36761" s="28"/>
    </row>
    <row r="36762" spans="4:8" x14ac:dyDescent="0.25">
      <c r="D36762" s="28"/>
      <c r="F36762" s="28"/>
      <c r="H36762" s="28"/>
    </row>
    <row r="36763" spans="4:8" x14ac:dyDescent="0.25">
      <c r="D36763" s="28"/>
      <c r="F36763" s="28"/>
      <c r="H36763" s="28"/>
    </row>
    <row r="36764" spans="4:8" x14ac:dyDescent="0.25">
      <c r="D36764" s="28"/>
      <c r="F36764" s="28"/>
      <c r="H36764" s="28"/>
    </row>
    <row r="36765" spans="4:8" x14ac:dyDescent="0.25">
      <c r="D36765" s="28"/>
      <c r="F36765" s="28"/>
      <c r="H36765" s="28"/>
    </row>
    <row r="36766" spans="4:8" x14ac:dyDescent="0.25">
      <c r="D36766" s="28"/>
      <c r="F36766" s="28"/>
      <c r="H36766" s="28"/>
    </row>
    <row r="36767" spans="4:8" x14ac:dyDescent="0.25">
      <c r="D36767" s="28"/>
      <c r="F36767" s="28"/>
      <c r="H36767" s="28"/>
    </row>
    <row r="36768" spans="4:8" x14ac:dyDescent="0.25">
      <c r="D36768" s="28"/>
      <c r="F36768" s="28"/>
      <c r="H36768" s="28"/>
    </row>
    <row r="36769" spans="4:8" x14ac:dyDescent="0.25">
      <c r="D36769" s="28"/>
      <c r="F36769" s="28"/>
      <c r="H36769" s="28"/>
    </row>
    <row r="36770" spans="4:8" x14ac:dyDescent="0.25">
      <c r="D36770" s="28"/>
      <c r="F36770" s="28"/>
      <c r="H36770" s="28"/>
    </row>
    <row r="36771" spans="4:8" x14ac:dyDescent="0.25">
      <c r="D36771" s="28"/>
      <c r="F36771" s="28"/>
      <c r="H36771" s="28"/>
    </row>
    <row r="36772" spans="4:8" x14ac:dyDescent="0.25">
      <c r="D36772" s="28"/>
      <c r="F36772" s="28"/>
      <c r="H36772" s="28"/>
    </row>
    <row r="36773" spans="4:8" x14ac:dyDescent="0.25">
      <c r="D36773" s="28"/>
      <c r="F36773" s="28"/>
      <c r="H36773" s="28"/>
    </row>
    <row r="36774" spans="4:8" x14ac:dyDescent="0.25">
      <c r="D36774" s="28"/>
      <c r="F36774" s="28"/>
      <c r="H36774" s="28"/>
    </row>
    <row r="36775" spans="4:8" x14ac:dyDescent="0.25">
      <c r="D36775" s="28"/>
      <c r="F36775" s="28"/>
      <c r="H36775" s="28"/>
    </row>
    <row r="36776" spans="4:8" x14ac:dyDescent="0.25">
      <c r="D36776" s="28"/>
      <c r="F36776" s="28"/>
      <c r="H36776" s="28"/>
    </row>
    <row r="36777" spans="4:8" x14ac:dyDescent="0.25">
      <c r="D36777" s="28"/>
      <c r="F36777" s="28"/>
      <c r="H36777" s="28"/>
    </row>
    <row r="36778" spans="4:8" x14ac:dyDescent="0.25">
      <c r="D36778" s="28"/>
      <c r="F36778" s="28"/>
      <c r="H36778" s="28"/>
    </row>
    <row r="36779" spans="4:8" x14ac:dyDescent="0.25">
      <c r="D36779" s="28"/>
      <c r="F36779" s="28"/>
      <c r="H36779" s="28"/>
    </row>
    <row r="36780" spans="4:8" x14ac:dyDescent="0.25">
      <c r="D36780" s="28"/>
      <c r="F36780" s="28"/>
      <c r="H36780" s="28"/>
    </row>
    <row r="36781" spans="4:8" x14ac:dyDescent="0.25">
      <c r="D36781" s="28"/>
      <c r="F36781" s="28"/>
      <c r="H36781" s="28"/>
    </row>
    <row r="36782" spans="4:8" x14ac:dyDescent="0.25">
      <c r="D36782" s="28"/>
      <c r="F36782" s="28"/>
      <c r="H36782" s="28"/>
    </row>
    <row r="36783" spans="4:8" x14ac:dyDescent="0.25">
      <c r="D36783" s="28"/>
      <c r="F36783" s="28"/>
      <c r="H36783" s="28"/>
    </row>
    <row r="36784" spans="4:8" x14ac:dyDescent="0.25">
      <c r="D36784" s="28"/>
      <c r="F36784" s="28"/>
      <c r="H36784" s="28"/>
    </row>
    <row r="36785" spans="4:8" x14ac:dyDescent="0.25">
      <c r="D36785" s="28"/>
      <c r="F36785" s="28"/>
      <c r="H36785" s="28"/>
    </row>
    <row r="36786" spans="4:8" x14ac:dyDescent="0.25">
      <c r="D36786" s="28"/>
      <c r="F36786" s="28"/>
      <c r="H36786" s="28"/>
    </row>
    <row r="36787" spans="4:8" x14ac:dyDescent="0.25">
      <c r="D36787" s="28"/>
      <c r="F36787" s="28"/>
      <c r="H36787" s="28"/>
    </row>
    <row r="36788" spans="4:8" x14ac:dyDescent="0.25">
      <c r="D36788" s="28"/>
      <c r="F36788" s="28"/>
      <c r="H36788" s="28"/>
    </row>
    <row r="36789" spans="4:8" x14ac:dyDescent="0.25">
      <c r="D36789" s="28"/>
      <c r="F36789" s="28"/>
      <c r="H36789" s="28"/>
    </row>
    <row r="36790" spans="4:8" x14ac:dyDescent="0.25">
      <c r="D36790" s="28"/>
      <c r="F36790" s="28"/>
      <c r="H36790" s="28"/>
    </row>
    <row r="36791" spans="4:8" x14ac:dyDescent="0.25">
      <c r="D36791" s="28"/>
      <c r="F36791" s="28"/>
      <c r="H36791" s="28"/>
    </row>
    <row r="36792" spans="4:8" x14ac:dyDescent="0.25">
      <c r="D36792" s="28"/>
      <c r="F36792" s="28"/>
      <c r="H36792" s="28"/>
    </row>
    <row r="36793" spans="4:8" x14ac:dyDescent="0.25">
      <c r="D36793" s="28"/>
      <c r="F36793" s="28"/>
      <c r="H36793" s="28"/>
    </row>
    <row r="36794" spans="4:8" x14ac:dyDescent="0.25">
      <c r="D36794" s="28"/>
      <c r="F36794" s="28"/>
      <c r="H36794" s="28"/>
    </row>
    <row r="36795" spans="4:8" x14ac:dyDescent="0.25">
      <c r="D36795" s="28"/>
      <c r="F36795" s="28"/>
      <c r="H36795" s="28"/>
    </row>
    <row r="36796" spans="4:8" x14ac:dyDescent="0.25">
      <c r="D36796" s="28"/>
      <c r="F36796" s="28"/>
      <c r="H36796" s="28"/>
    </row>
    <row r="36797" spans="4:8" x14ac:dyDescent="0.25">
      <c r="D36797" s="28"/>
      <c r="F36797" s="28"/>
      <c r="H36797" s="28"/>
    </row>
    <row r="36798" spans="4:8" x14ac:dyDescent="0.25">
      <c r="D36798" s="28"/>
      <c r="F36798" s="28"/>
      <c r="H36798" s="28"/>
    </row>
    <row r="36799" spans="4:8" x14ac:dyDescent="0.25">
      <c r="D36799" s="28"/>
      <c r="F36799" s="28"/>
      <c r="H36799" s="28"/>
    </row>
    <row r="36800" spans="4:8" x14ac:dyDescent="0.25">
      <c r="D36800" s="28"/>
      <c r="F36800" s="28"/>
      <c r="H36800" s="28"/>
    </row>
    <row r="36801" spans="4:8" x14ac:dyDescent="0.25">
      <c r="D36801" s="28"/>
      <c r="F36801" s="28"/>
      <c r="H36801" s="28"/>
    </row>
    <row r="36802" spans="4:8" x14ac:dyDescent="0.25">
      <c r="D36802" s="28"/>
      <c r="F36802" s="28"/>
      <c r="H36802" s="28"/>
    </row>
    <row r="36803" spans="4:8" x14ac:dyDescent="0.25">
      <c r="D36803" s="28"/>
      <c r="F36803" s="28"/>
      <c r="H36803" s="28"/>
    </row>
    <row r="36804" spans="4:8" x14ac:dyDescent="0.25">
      <c r="D36804" s="28"/>
      <c r="F36804" s="28"/>
      <c r="H36804" s="28"/>
    </row>
    <row r="36805" spans="4:8" x14ac:dyDescent="0.25">
      <c r="D36805" s="28"/>
      <c r="F36805" s="28"/>
      <c r="H36805" s="28"/>
    </row>
    <row r="36806" spans="4:8" x14ac:dyDescent="0.25">
      <c r="D36806" s="28"/>
      <c r="F36806" s="28"/>
      <c r="H36806" s="28"/>
    </row>
    <row r="36807" spans="4:8" x14ac:dyDescent="0.25">
      <c r="D36807" s="28"/>
      <c r="F36807" s="28"/>
      <c r="H36807" s="28"/>
    </row>
    <row r="36808" spans="4:8" x14ac:dyDescent="0.25">
      <c r="D36808" s="28"/>
      <c r="F36808" s="28"/>
      <c r="H36808" s="28"/>
    </row>
    <row r="36809" spans="4:8" x14ac:dyDescent="0.25">
      <c r="D36809" s="28"/>
      <c r="F36809" s="28"/>
      <c r="H36809" s="28"/>
    </row>
    <row r="36810" spans="4:8" x14ac:dyDescent="0.25">
      <c r="D36810" s="28"/>
      <c r="F36810" s="28"/>
      <c r="H36810" s="28"/>
    </row>
    <row r="36811" spans="4:8" x14ac:dyDescent="0.25">
      <c r="D36811" s="28"/>
      <c r="F36811" s="28"/>
      <c r="H36811" s="28"/>
    </row>
    <row r="36812" spans="4:8" x14ac:dyDescent="0.25">
      <c r="D36812" s="28"/>
      <c r="F36812" s="28"/>
      <c r="H36812" s="28"/>
    </row>
    <row r="36813" spans="4:8" x14ac:dyDescent="0.25">
      <c r="D36813" s="28"/>
      <c r="F36813" s="28"/>
      <c r="H36813" s="28"/>
    </row>
    <row r="36814" spans="4:8" x14ac:dyDescent="0.25">
      <c r="D36814" s="28"/>
      <c r="F36814" s="28"/>
      <c r="H36814" s="28"/>
    </row>
    <row r="36815" spans="4:8" x14ac:dyDescent="0.25">
      <c r="D36815" s="28"/>
      <c r="F36815" s="28"/>
      <c r="H36815" s="28"/>
    </row>
    <row r="36816" spans="4:8" x14ac:dyDescent="0.25">
      <c r="D36816" s="28"/>
      <c r="F36816" s="28"/>
      <c r="H36816" s="28"/>
    </row>
    <row r="36817" spans="4:8" x14ac:dyDescent="0.25">
      <c r="D36817" s="28"/>
      <c r="F36817" s="28"/>
      <c r="H36817" s="28"/>
    </row>
    <row r="36818" spans="4:8" x14ac:dyDescent="0.25">
      <c r="D36818" s="28"/>
      <c r="F36818" s="28"/>
      <c r="H36818" s="28"/>
    </row>
    <row r="36819" spans="4:8" x14ac:dyDescent="0.25">
      <c r="D36819" s="28"/>
      <c r="F36819" s="28"/>
      <c r="H36819" s="28"/>
    </row>
    <row r="36820" spans="4:8" x14ac:dyDescent="0.25">
      <c r="D36820" s="28"/>
      <c r="F36820" s="28"/>
      <c r="H36820" s="28"/>
    </row>
    <row r="36821" spans="4:8" x14ac:dyDescent="0.25">
      <c r="D36821" s="28"/>
      <c r="F36821" s="28"/>
      <c r="H36821" s="28"/>
    </row>
    <row r="36822" spans="4:8" x14ac:dyDescent="0.25">
      <c r="D36822" s="28"/>
      <c r="F36822" s="28"/>
      <c r="H36822" s="28"/>
    </row>
    <row r="36823" spans="4:8" x14ac:dyDescent="0.25">
      <c r="D36823" s="28"/>
      <c r="F36823" s="28"/>
      <c r="H36823" s="28"/>
    </row>
    <row r="36824" spans="4:8" x14ac:dyDescent="0.25">
      <c r="D36824" s="28"/>
      <c r="F36824" s="28"/>
      <c r="H36824" s="28"/>
    </row>
    <row r="36825" spans="4:8" x14ac:dyDescent="0.25">
      <c r="D36825" s="28"/>
      <c r="F36825" s="28"/>
      <c r="H36825" s="28"/>
    </row>
    <row r="36826" spans="4:8" x14ac:dyDescent="0.25">
      <c r="D36826" s="28"/>
      <c r="F36826" s="28"/>
      <c r="H36826" s="28"/>
    </row>
    <row r="36827" spans="4:8" x14ac:dyDescent="0.25">
      <c r="D36827" s="28"/>
      <c r="F36827" s="28"/>
      <c r="H36827" s="28"/>
    </row>
    <row r="36828" spans="4:8" x14ac:dyDescent="0.25">
      <c r="D36828" s="28"/>
      <c r="F36828" s="28"/>
      <c r="H36828" s="28"/>
    </row>
    <row r="36829" spans="4:8" x14ac:dyDescent="0.25">
      <c r="D36829" s="28"/>
      <c r="F36829" s="28"/>
      <c r="H36829" s="28"/>
    </row>
    <row r="36830" spans="4:8" x14ac:dyDescent="0.25">
      <c r="D36830" s="28"/>
      <c r="F36830" s="28"/>
      <c r="H36830" s="28"/>
    </row>
    <row r="36831" spans="4:8" x14ac:dyDescent="0.25">
      <c r="D36831" s="28"/>
      <c r="F36831" s="28"/>
      <c r="H36831" s="28"/>
    </row>
    <row r="36832" spans="4:8" x14ac:dyDescent="0.25">
      <c r="D36832" s="28"/>
      <c r="F36832" s="28"/>
      <c r="H36832" s="28"/>
    </row>
    <row r="36833" spans="4:8" x14ac:dyDescent="0.25">
      <c r="D36833" s="28"/>
      <c r="F36833" s="28"/>
      <c r="H36833" s="28"/>
    </row>
    <row r="36834" spans="4:8" x14ac:dyDescent="0.25">
      <c r="D36834" s="28"/>
      <c r="F36834" s="28"/>
      <c r="H36834" s="28"/>
    </row>
    <row r="36835" spans="4:8" x14ac:dyDescent="0.25">
      <c r="D36835" s="28"/>
      <c r="F36835" s="28"/>
      <c r="H36835" s="28"/>
    </row>
    <row r="36836" spans="4:8" x14ac:dyDescent="0.25">
      <c r="D36836" s="28"/>
      <c r="F36836" s="28"/>
      <c r="H36836" s="28"/>
    </row>
    <row r="36837" spans="4:8" x14ac:dyDescent="0.25">
      <c r="D36837" s="28"/>
      <c r="F36837" s="28"/>
      <c r="H36837" s="28"/>
    </row>
    <row r="36838" spans="4:8" x14ac:dyDescent="0.25">
      <c r="D36838" s="28"/>
      <c r="F36838" s="28"/>
      <c r="H36838" s="28"/>
    </row>
    <row r="36839" spans="4:8" x14ac:dyDescent="0.25">
      <c r="D36839" s="28"/>
      <c r="F36839" s="28"/>
      <c r="H36839" s="28"/>
    </row>
    <row r="36840" spans="4:8" x14ac:dyDescent="0.25">
      <c r="D36840" s="28"/>
      <c r="F36840" s="28"/>
      <c r="H36840" s="28"/>
    </row>
    <row r="36841" spans="4:8" x14ac:dyDescent="0.25">
      <c r="D36841" s="28"/>
      <c r="F36841" s="28"/>
      <c r="H36841" s="28"/>
    </row>
    <row r="36842" spans="4:8" x14ac:dyDescent="0.25">
      <c r="D36842" s="28"/>
      <c r="F36842" s="28"/>
      <c r="H36842" s="28"/>
    </row>
    <row r="36843" spans="4:8" x14ac:dyDescent="0.25">
      <c r="D36843" s="28"/>
      <c r="F36843" s="28"/>
      <c r="H36843" s="28"/>
    </row>
    <row r="36844" spans="4:8" x14ac:dyDescent="0.25">
      <c r="D36844" s="28"/>
      <c r="F36844" s="28"/>
      <c r="H36844" s="28"/>
    </row>
    <row r="36845" spans="4:8" x14ac:dyDescent="0.25">
      <c r="D36845" s="28"/>
      <c r="F36845" s="28"/>
      <c r="H36845" s="28"/>
    </row>
    <row r="36846" spans="4:8" x14ac:dyDescent="0.25">
      <c r="D36846" s="28"/>
      <c r="F36846" s="28"/>
      <c r="H36846" s="28"/>
    </row>
    <row r="36847" spans="4:8" x14ac:dyDescent="0.25">
      <c r="D36847" s="28"/>
      <c r="F36847" s="28"/>
      <c r="H36847" s="28"/>
    </row>
    <row r="36848" spans="4:8" x14ac:dyDescent="0.25">
      <c r="D36848" s="28"/>
      <c r="F36848" s="28"/>
      <c r="H36848" s="28"/>
    </row>
    <row r="36849" spans="4:8" x14ac:dyDescent="0.25">
      <c r="D36849" s="28"/>
      <c r="F36849" s="28"/>
      <c r="H36849" s="28"/>
    </row>
    <row r="36850" spans="4:8" x14ac:dyDescent="0.25">
      <c r="D36850" s="28"/>
      <c r="F36850" s="28"/>
      <c r="H36850" s="28"/>
    </row>
    <row r="36851" spans="4:8" x14ac:dyDescent="0.25">
      <c r="D36851" s="28"/>
      <c r="F36851" s="28"/>
      <c r="H36851" s="28"/>
    </row>
    <row r="36852" spans="4:8" x14ac:dyDescent="0.25">
      <c r="D36852" s="28"/>
      <c r="F36852" s="28"/>
      <c r="H36852" s="28"/>
    </row>
    <row r="36853" spans="4:8" x14ac:dyDescent="0.25">
      <c r="D36853" s="28"/>
      <c r="F36853" s="28"/>
      <c r="H36853" s="28"/>
    </row>
    <row r="36854" spans="4:8" x14ac:dyDescent="0.25">
      <c r="D36854" s="28"/>
      <c r="F36854" s="28"/>
      <c r="H36854" s="28"/>
    </row>
    <row r="36855" spans="4:8" x14ac:dyDescent="0.25">
      <c r="D36855" s="28"/>
      <c r="F36855" s="28"/>
      <c r="H36855" s="28"/>
    </row>
    <row r="36856" spans="4:8" x14ac:dyDescent="0.25">
      <c r="D36856" s="28"/>
      <c r="F36856" s="28"/>
      <c r="H36856" s="28"/>
    </row>
    <row r="36857" spans="4:8" x14ac:dyDescent="0.25">
      <c r="D36857" s="28"/>
      <c r="F36857" s="28"/>
      <c r="H36857" s="28"/>
    </row>
    <row r="36858" spans="4:8" x14ac:dyDescent="0.25">
      <c r="D36858" s="28"/>
      <c r="F36858" s="28"/>
      <c r="H36858" s="28"/>
    </row>
    <row r="36859" spans="4:8" x14ac:dyDescent="0.25">
      <c r="D36859" s="28"/>
      <c r="F36859" s="28"/>
      <c r="H36859" s="28"/>
    </row>
    <row r="36860" spans="4:8" x14ac:dyDescent="0.25">
      <c r="D36860" s="28"/>
      <c r="F36860" s="28"/>
      <c r="H36860" s="28"/>
    </row>
    <row r="36861" spans="4:8" x14ac:dyDescent="0.25">
      <c r="D36861" s="28"/>
      <c r="F36861" s="28"/>
      <c r="H36861" s="28"/>
    </row>
    <row r="36862" spans="4:8" x14ac:dyDescent="0.25">
      <c r="D36862" s="28"/>
      <c r="F36862" s="28"/>
      <c r="H36862" s="28"/>
    </row>
    <row r="36863" spans="4:8" x14ac:dyDescent="0.25">
      <c r="D36863" s="28"/>
      <c r="F36863" s="28"/>
      <c r="H36863" s="28"/>
    </row>
    <row r="36864" spans="4:8" x14ac:dyDescent="0.25">
      <c r="D36864" s="28"/>
      <c r="F36864" s="28"/>
      <c r="H36864" s="28"/>
    </row>
    <row r="36865" spans="4:8" x14ac:dyDescent="0.25">
      <c r="D36865" s="28"/>
      <c r="F36865" s="28"/>
      <c r="H36865" s="28"/>
    </row>
    <row r="36866" spans="4:8" x14ac:dyDescent="0.25">
      <c r="D36866" s="28"/>
      <c r="F36866" s="28"/>
      <c r="H36866" s="28"/>
    </row>
    <row r="36867" spans="4:8" x14ac:dyDescent="0.25">
      <c r="D36867" s="28"/>
      <c r="F36867" s="28"/>
      <c r="H36867" s="28"/>
    </row>
    <row r="36868" spans="4:8" x14ac:dyDescent="0.25">
      <c r="D36868" s="28"/>
      <c r="F36868" s="28"/>
      <c r="H36868" s="28"/>
    </row>
    <row r="36869" spans="4:8" x14ac:dyDescent="0.25">
      <c r="D36869" s="28"/>
      <c r="F36869" s="28"/>
      <c r="H36869" s="28"/>
    </row>
    <row r="36870" spans="4:8" x14ac:dyDescent="0.25">
      <c r="D36870" s="28"/>
      <c r="F36870" s="28"/>
      <c r="H36870" s="28"/>
    </row>
    <row r="36871" spans="4:8" x14ac:dyDescent="0.25">
      <c r="D36871" s="28"/>
      <c r="F36871" s="28"/>
      <c r="H36871" s="28"/>
    </row>
    <row r="36872" spans="4:8" x14ac:dyDescent="0.25">
      <c r="D36872" s="28"/>
      <c r="F36872" s="28"/>
      <c r="H36872" s="28"/>
    </row>
    <row r="36873" spans="4:8" x14ac:dyDescent="0.25">
      <c r="D36873" s="28"/>
      <c r="F36873" s="28"/>
      <c r="H36873" s="28"/>
    </row>
    <row r="36874" spans="4:8" x14ac:dyDescent="0.25">
      <c r="D36874" s="28"/>
      <c r="F36874" s="28"/>
      <c r="H36874" s="28"/>
    </row>
    <row r="36875" spans="4:8" x14ac:dyDescent="0.25">
      <c r="D36875" s="28"/>
      <c r="F36875" s="28"/>
      <c r="H36875" s="28"/>
    </row>
    <row r="36876" spans="4:8" x14ac:dyDescent="0.25">
      <c r="D36876" s="28"/>
      <c r="F36876" s="28"/>
      <c r="H36876" s="28"/>
    </row>
    <row r="36877" spans="4:8" x14ac:dyDescent="0.25">
      <c r="D36877" s="28"/>
      <c r="F36877" s="28"/>
      <c r="H36877" s="28"/>
    </row>
    <row r="36878" spans="4:8" x14ac:dyDescent="0.25">
      <c r="D36878" s="28"/>
      <c r="F36878" s="28"/>
      <c r="H36878" s="28"/>
    </row>
    <row r="36879" spans="4:8" x14ac:dyDescent="0.25">
      <c r="D36879" s="28"/>
      <c r="F36879" s="28"/>
      <c r="H36879" s="28"/>
    </row>
    <row r="36880" spans="4:8" x14ac:dyDescent="0.25">
      <c r="D36880" s="28"/>
      <c r="F36880" s="28"/>
      <c r="H36880" s="28"/>
    </row>
    <row r="36881" spans="4:8" x14ac:dyDescent="0.25">
      <c r="D36881" s="28"/>
      <c r="F36881" s="28"/>
      <c r="H36881" s="28"/>
    </row>
    <row r="36882" spans="4:8" x14ac:dyDescent="0.25">
      <c r="D36882" s="28"/>
      <c r="F36882" s="28"/>
      <c r="H36882" s="28"/>
    </row>
    <row r="36883" spans="4:8" x14ac:dyDescent="0.25">
      <c r="D36883" s="28"/>
      <c r="F36883" s="28"/>
      <c r="H36883" s="28"/>
    </row>
    <row r="36884" spans="4:8" x14ac:dyDescent="0.25">
      <c r="D36884" s="28"/>
      <c r="F36884" s="28"/>
      <c r="H36884" s="28"/>
    </row>
    <row r="36885" spans="4:8" x14ac:dyDescent="0.25">
      <c r="D36885" s="28"/>
      <c r="F36885" s="28"/>
      <c r="H36885" s="28"/>
    </row>
    <row r="36886" spans="4:8" x14ac:dyDescent="0.25">
      <c r="D36886" s="28"/>
      <c r="F36886" s="28"/>
      <c r="H36886" s="28"/>
    </row>
    <row r="36887" spans="4:8" x14ac:dyDescent="0.25">
      <c r="D36887" s="28"/>
      <c r="F36887" s="28"/>
      <c r="H36887" s="28"/>
    </row>
    <row r="36888" spans="4:8" x14ac:dyDescent="0.25">
      <c r="D36888" s="28"/>
      <c r="F36888" s="28"/>
      <c r="H36888" s="28"/>
    </row>
    <row r="36889" spans="4:8" x14ac:dyDescent="0.25">
      <c r="D36889" s="28"/>
      <c r="F36889" s="28"/>
      <c r="H36889" s="28"/>
    </row>
    <row r="36890" spans="4:8" x14ac:dyDescent="0.25">
      <c r="D36890" s="28"/>
      <c r="F36890" s="28"/>
      <c r="H36890" s="28"/>
    </row>
    <row r="36891" spans="4:8" x14ac:dyDescent="0.25">
      <c r="D36891" s="28"/>
      <c r="F36891" s="28"/>
      <c r="H36891" s="28"/>
    </row>
    <row r="36892" spans="4:8" x14ac:dyDescent="0.25">
      <c r="D36892" s="28"/>
      <c r="F36892" s="28"/>
      <c r="H36892" s="28"/>
    </row>
    <row r="36893" spans="4:8" x14ac:dyDescent="0.25">
      <c r="D36893" s="28"/>
      <c r="F36893" s="28"/>
      <c r="H36893" s="28"/>
    </row>
    <row r="36894" spans="4:8" x14ac:dyDescent="0.25">
      <c r="D36894" s="28"/>
      <c r="F36894" s="28"/>
      <c r="H36894" s="28"/>
    </row>
    <row r="36895" spans="4:8" x14ac:dyDescent="0.25">
      <c r="D36895" s="28"/>
      <c r="F36895" s="28"/>
      <c r="H36895" s="28"/>
    </row>
    <row r="36896" spans="4:8" x14ac:dyDescent="0.25">
      <c r="D36896" s="28"/>
      <c r="F36896" s="28"/>
      <c r="H36896" s="28"/>
    </row>
    <row r="36897" spans="4:8" x14ac:dyDescent="0.25">
      <c r="D36897" s="28"/>
      <c r="F36897" s="28"/>
      <c r="H36897" s="28"/>
    </row>
    <row r="36898" spans="4:8" x14ac:dyDescent="0.25">
      <c r="D36898" s="28"/>
      <c r="F36898" s="28"/>
      <c r="H36898" s="28"/>
    </row>
    <row r="36899" spans="4:8" x14ac:dyDescent="0.25">
      <c r="D36899" s="28"/>
      <c r="F36899" s="28"/>
      <c r="H36899" s="28"/>
    </row>
    <row r="36900" spans="4:8" x14ac:dyDescent="0.25">
      <c r="D36900" s="28"/>
      <c r="F36900" s="28"/>
      <c r="H36900" s="28"/>
    </row>
    <row r="36901" spans="4:8" x14ac:dyDescent="0.25">
      <c r="D36901" s="28"/>
      <c r="F36901" s="28"/>
      <c r="H36901" s="28"/>
    </row>
    <row r="36902" spans="4:8" x14ac:dyDescent="0.25">
      <c r="D36902" s="28"/>
      <c r="F36902" s="28"/>
      <c r="H36902" s="28"/>
    </row>
    <row r="36903" spans="4:8" x14ac:dyDescent="0.25">
      <c r="D36903" s="28"/>
      <c r="F36903" s="28"/>
      <c r="H36903" s="28"/>
    </row>
    <row r="36904" spans="4:8" x14ac:dyDescent="0.25">
      <c r="D36904" s="28"/>
      <c r="F36904" s="28"/>
      <c r="H36904" s="28"/>
    </row>
    <row r="36905" spans="4:8" x14ac:dyDescent="0.25">
      <c r="D36905" s="28"/>
      <c r="F36905" s="28"/>
      <c r="H36905" s="28"/>
    </row>
    <row r="36906" spans="4:8" x14ac:dyDescent="0.25">
      <c r="D36906" s="28"/>
      <c r="F36906" s="28"/>
      <c r="H36906" s="28"/>
    </row>
    <row r="36907" spans="4:8" x14ac:dyDescent="0.25">
      <c r="D36907" s="28"/>
      <c r="F36907" s="28"/>
      <c r="H36907" s="28"/>
    </row>
    <row r="36908" spans="4:8" x14ac:dyDescent="0.25">
      <c r="D36908" s="28"/>
      <c r="F36908" s="28"/>
      <c r="H36908" s="28"/>
    </row>
    <row r="36909" spans="4:8" x14ac:dyDescent="0.25">
      <c r="D36909" s="28"/>
      <c r="F36909" s="28"/>
      <c r="H36909" s="28"/>
    </row>
    <row r="36910" spans="4:8" x14ac:dyDescent="0.25">
      <c r="D36910" s="28"/>
      <c r="F36910" s="28"/>
      <c r="H36910" s="28"/>
    </row>
    <row r="36911" spans="4:8" x14ac:dyDescent="0.25">
      <c r="D36911" s="28"/>
      <c r="F36911" s="28"/>
      <c r="H36911" s="28"/>
    </row>
    <row r="36912" spans="4:8" x14ac:dyDescent="0.25">
      <c r="D36912" s="28"/>
      <c r="F36912" s="28"/>
      <c r="H36912" s="28"/>
    </row>
    <row r="36913" spans="4:8" x14ac:dyDescent="0.25">
      <c r="D36913" s="28"/>
      <c r="F36913" s="28"/>
      <c r="H36913" s="28"/>
    </row>
    <row r="36914" spans="4:8" x14ac:dyDescent="0.25">
      <c r="D36914" s="28"/>
      <c r="F36914" s="28"/>
      <c r="H36914" s="28"/>
    </row>
    <row r="36915" spans="4:8" x14ac:dyDescent="0.25">
      <c r="D36915" s="28"/>
      <c r="F36915" s="28"/>
      <c r="H36915" s="28"/>
    </row>
    <row r="36916" spans="4:8" x14ac:dyDescent="0.25">
      <c r="D36916" s="28"/>
      <c r="F36916" s="28"/>
      <c r="H36916" s="28"/>
    </row>
    <row r="36917" spans="4:8" x14ac:dyDescent="0.25">
      <c r="D36917" s="28"/>
      <c r="F36917" s="28"/>
      <c r="H36917" s="28"/>
    </row>
    <row r="36918" spans="4:8" x14ac:dyDescent="0.25">
      <c r="D36918" s="28"/>
      <c r="F36918" s="28"/>
      <c r="H36918" s="28"/>
    </row>
    <row r="36919" spans="4:8" x14ac:dyDescent="0.25">
      <c r="D36919" s="28"/>
      <c r="F36919" s="28"/>
      <c r="H36919" s="28"/>
    </row>
    <row r="36920" spans="4:8" x14ac:dyDescent="0.25">
      <c r="D36920" s="28"/>
      <c r="F36920" s="28"/>
      <c r="H36920" s="28"/>
    </row>
    <row r="36921" spans="4:8" x14ac:dyDescent="0.25">
      <c r="D36921" s="28"/>
      <c r="F36921" s="28"/>
      <c r="H36921" s="28"/>
    </row>
    <row r="36922" spans="4:8" x14ac:dyDescent="0.25">
      <c r="D36922" s="28"/>
      <c r="F36922" s="28"/>
      <c r="H36922" s="28"/>
    </row>
    <row r="36923" spans="4:8" x14ac:dyDescent="0.25">
      <c r="D36923" s="28"/>
      <c r="F36923" s="28"/>
      <c r="H36923" s="28"/>
    </row>
    <row r="36924" spans="4:8" x14ac:dyDescent="0.25">
      <c r="D36924" s="28"/>
      <c r="F36924" s="28"/>
      <c r="H36924" s="28"/>
    </row>
    <row r="36925" spans="4:8" x14ac:dyDescent="0.25">
      <c r="D36925" s="28"/>
      <c r="F36925" s="28"/>
      <c r="H36925" s="28"/>
    </row>
    <row r="36926" spans="4:8" x14ac:dyDescent="0.25">
      <c r="D36926" s="28"/>
      <c r="F36926" s="28"/>
      <c r="H36926" s="28"/>
    </row>
    <row r="36927" spans="4:8" x14ac:dyDescent="0.25">
      <c r="D36927" s="28"/>
      <c r="F36927" s="28"/>
      <c r="H36927" s="28"/>
    </row>
    <row r="36928" spans="4:8" x14ac:dyDescent="0.25">
      <c r="D36928" s="28"/>
      <c r="F36928" s="28"/>
      <c r="H36928" s="28"/>
    </row>
    <row r="36929" spans="4:8" x14ac:dyDescent="0.25">
      <c r="D36929" s="28"/>
      <c r="F36929" s="28"/>
      <c r="H36929" s="28"/>
    </row>
    <row r="36930" spans="4:8" x14ac:dyDescent="0.25">
      <c r="D36930" s="28"/>
      <c r="F36930" s="28"/>
      <c r="H36930" s="28"/>
    </row>
    <row r="36931" spans="4:8" x14ac:dyDescent="0.25">
      <c r="D36931" s="28"/>
      <c r="F36931" s="28"/>
      <c r="H36931" s="28"/>
    </row>
    <row r="36932" spans="4:8" x14ac:dyDescent="0.25">
      <c r="D36932" s="28"/>
      <c r="F36932" s="28"/>
      <c r="H36932" s="28"/>
    </row>
    <row r="36933" spans="4:8" x14ac:dyDescent="0.25">
      <c r="D36933" s="28"/>
      <c r="F36933" s="28"/>
      <c r="H36933" s="28"/>
    </row>
    <row r="36934" spans="4:8" x14ac:dyDescent="0.25">
      <c r="D36934" s="28"/>
      <c r="F36934" s="28"/>
      <c r="H36934" s="28"/>
    </row>
    <row r="36935" spans="4:8" x14ac:dyDescent="0.25">
      <c r="D36935" s="28"/>
      <c r="F36935" s="28"/>
      <c r="H36935" s="28"/>
    </row>
    <row r="36936" spans="4:8" x14ac:dyDescent="0.25">
      <c r="D36936" s="28"/>
      <c r="F36936" s="28"/>
      <c r="H36936" s="28"/>
    </row>
    <row r="36937" spans="4:8" x14ac:dyDescent="0.25">
      <c r="D36937" s="28"/>
      <c r="F36937" s="28"/>
      <c r="H36937" s="28"/>
    </row>
    <row r="36938" spans="4:8" x14ac:dyDescent="0.25">
      <c r="D36938" s="28"/>
      <c r="F36938" s="28"/>
      <c r="H36938" s="28"/>
    </row>
    <row r="36939" spans="4:8" x14ac:dyDescent="0.25">
      <c r="D36939" s="28"/>
      <c r="F36939" s="28"/>
      <c r="H36939" s="28"/>
    </row>
    <row r="36940" spans="4:8" x14ac:dyDescent="0.25">
      <c r="D36940" s="28"/>
      <c r="F36940" s="28"/>
      <c r="H36940" s="28"/>
    </row>
    <row r="36941" spans="4:8" x14ac:dyDescent="0.25">
      <c r="D36941" s="28"/>
      <c r="F36941" s="28"/>
      <c r="H36941" s="28"/>
    </row>
    <row r="36942" spans="4:8" x14ac:dyDescent="0.25">
      <c r="D36942" s="28"/>
      <c r="F36942" s="28"/>
      <c r="H36942" s="28"/>
    </row>
    <row r="36943" spans="4:8" x14ac:dyDescent="0.25">
      <c r="D36943" s="28"/>
      <c r="F36943" s="28"/>
      <c r="H36943" s="28"/>
    </row>
    <row r="36944" spans="4:8" x14ac:dyDescent="0.25">
      <c r="D36944" s="28"/>
      <c r="F36944" s="28"/>
      <c r="H36944" s="28"/>
    </row>
    <row r="36945" spans="4:8" x14ac:dyDescent="0.25">
      <c r="D36945" s="28"/>
      <c r="F36945" s="28"/>
      <c r="H36945" s="28"/>
    </row>
    <row r="36946" spans="4:8" x14ac:dyDescent="0.25">
      <c r="D36946" s="28"/>
      <c r="F36946" s="28"/>
      <c r="H36946" s="28"/>
    </row>
    <row r="36947" spans="4:8" x14ac:dyDescent="0.25">
      <c r="D36947" s="28"/>
      <c r="F36947" s="28"/>
      <c r="H36947" s="28"/>
    </row>
    <row r="36948" spans="4:8" x14ac:dyDescent="0.25">
      <c r="D36948" s="28"/>
      <c r="F36948" s="28"/>
      <c r="H36948" s="28"/>
    </row>
    <row r="36949" spans="4:8" x14ac:dyDescent="0.25">
      <c r="D36949" s="28"/>
      <c r="F36949" s="28"/>
      <c r="H36949" s="28"/>
    </row>
    <row r="36950" spans="4:8" x14ac:dyDescent="0.25">
      <c r="D36950" s="28"/>
      <c r="F36950" s="28"/>
      <c r="H36950" s="28"/>
    </row>
    <row r="36951" spans="4:8" x14ac:dyDescent="0.25">
      <c r="D36951" s="28"/>
      <c r="F36951" s="28"/>
      <c r="H36951" s="28"/>
    </row>
    <row r="36952" spans="4:8" x14ac:dyDescent="0.25">
      <c r="D36952" s="28"/>
      <c r="F36952" s="28"/>
      <c r="H36952" s="28"/>
    </row>
    <row r="36953" spans="4:8" x14ac:dyDescent="0.25">
      <c r="D36953" s="28"/>
      <c r="F36953" s="28"/>
      <c r="H36953" s="28"/>
    </row>
    <row r="36954" spans="4:8" x14ac:dyDescent="0.25">
      <c r="D36954" s="28"/>
      <c r="F36954" s="28"/>
      <c r="H36954" s="28"/>
    </row>
    <row r="36955" spans="4:8" x14ac:dyDescent="0.25">
      <c r="D36955" s="28"/>
      <c r="F36955" s="28"/>
      <c r="H36955" s="28"/>
    </row>
    <row r="36956" spans="4:8" x14ac:dyDescent="0.25">
      <c r="D36956" s="28"/>
      <c r="F36956" s="28"/>
      <c r="H36956" s="28"/>
    </row>
    <row r="36957" spans="4:8" x14ac:dyDescent="0.25">
      <c r="D36957" s="28"/>
      <c r="F36957" s="28"/>
      <c r="H36957" s="28"/>
    </row>
    <row r="36958" spans="4:8" x14ac:dyDescent="0.25">
      <c r="D36958" s="28"/>
      <c r="F36958" s="28"/>
      <c r="H36958" s="28"/>
    </row>
    <row r="36959" spans="4:8" x14ac:dyDescent="0.25">
      <c r="D36959" s="28"/>
      <c r="F36959" s="28"/>
      <c r="H36959" s="28"/>
    </row>
    <row r="36960" spans="4:8" x14ac:dyDescent="0.25">
      <c r="D36960" s="28"/>
      <c r="F36960" s="28"/>
      <c r="H36960" s="28"/>
    </row>
    <row r="36961" spans="4:8" x14ac:dyDescent="0.25">
      <c r="D36961" s="28"/>
      <c r="F36961" s="28"/>
      <c r="H36961" s="28"/>
    </row>
    <row r="36962" spans="4:8" x14ac:dyDescent="0.25">
      <c r="D36962" s="28"/>
      <c r="F36962" s="28"/>
      <c r="H36962" s="28"/>
    </row>
    <row r="36963" spans="4:8" x14ac:dyDescent="0.25">
      <c r="D36963" s="28"/>
      <c r="F36963" s="28"/>
      <c r="H36963" s="28"/>
    </row>
    <row r="36964" spans="4:8" x14ac:dyDescent="0.25">
      <c r="D36964" s="28"/>
      <c r="F36964" s="28"/>
      <c r="H36964" s="28"/>
    </row>
    <row r="36965" spans="4:8" x14ac:dyDescent="0.25">
      <c r="D36965" s="28"/>
      <c r="F36965" s="28"/>
      <c r="H36965" s="28"/>
    </row>
    <row r="36966" spans="4:8" x14ac:dyDescent="0.25">
      <c r="D36966" s="28"/>
      <c r="F36966" s="28"/>
      <c r="H36966" s="28"/>
    </row>
    <row r="36967" spans="4:8" x14ac:dyDescent="0.25">
      <c r="D36967" s="28"/>
      <c r="F36967" s="28"/>
      <c r="H36967" s="28"/>
    </row>
    <row r="36968" spans="4:8" x14ac:dyDescent="0.25">
      <c r="D36968" s="28"/>
      <c r="F36968" s="28"/>
      <c r="H36968" s="28"/>
    </row>
    <row r="36969" spans="4:8" x14ac:dyDescent="0.25">
      <c r="D36969" s="28"/>
      <c r="F36969" s="28"/>
      <c r="H36969" s="28"/>
    </row>
    <row r="36970" spans="4:8" x14ac:dyDescent="0.25">
      <c r="D36970" s="28"/>
      <c r="F36970" s="28"/>
      <c r="H36970" s="28"/>
    </row>
    <row r="36971" spans="4:8" x14ac:dyDescent="0.25">
      <c r="D36971" s="28"/>
      <c r="F36971" s="28"/>
      <c r="H36971" s="28"/>
    </row>
    <row r="36972" spans="4:8" x14ac:dyDescent="0.25">
      <c r="D36972" s="28"/>
      <c r="F36972" s="28"/>
      <c r="H36972" s="28"/>
    </row>
    <row r="36973" spans="4:8" x14ac:dyDescent="0.25">
      <c r="D36973" s="28"/>
      <c r="F36973" s="28"/>
      <c r="H36973" s="28"/>
    </row>
    <row r="36974" spans="4:8" x14ac:dyDescent="0.25">
      <c r="D36974" s="28"/>
      <c r="F36974" s="28"/>
      <c r="H36974" s="28"/>
    </row>
    <row r="36975" spans="4:8" x14ac:dyDescent="0.25">
      <c r="D36975" s="28"/>
      <c r="F36975" s="28"/>
      <c r="H36975" s="28"/>
    </row>
    <row r="36976" spans="4:8" x14ac:dyDescent="0.25">
      <c r="D36976" s="28"/>
      <c r="F36976" s="28"/>
      <c r="H36976" s="28"/>
    </row>
    <row r="36977" spans="4:8" x14ac:dyDescent="0.25">
      <c r="D36977" s="28"/>
      <c r="F36977" s="28"/>
      <c r="H36977" s="28"/>
    </row>
    <row r="36978" spans="4:8" x14ac:dyDescent="0.25">
      <c r="D36978" s="28"/>
      <c r="F36978" s="28"/>
      <c r="H36978" s="28"/>
    </row>
    <row r="36979" spans="4:8" x14ac:dyDescent="0.25">
      <c r="D36979" s="28"/>
      <c r="F36979" s="28"/>
      <c r="H36979" s="28"/>
    </row>
    <row r="36980" spans="4:8" x14ac:dyDescent="0.25">
      <c r="D36980" s="28"/>
      <c r="F36980" s="28"/>
      <c r="H36980" s="28"/>
    </row>
    <row r="36981" spans="4:8" x14ac:dyDescent="0.25">
      <c r="D36981" s="28"/>
      <c r="F36981" s="28"/>
      <c r="H36981" s="28"/>
    </row>
    <row r="36982" spans="4:8" x14ac:dyDescent="0.25">
      <c r="D36982" s="28"/>
      <c r="F36982" s="28"/>
      <c r="H36982" s="28"/>
    </row>
    <row r="36983" spans="4:8" x14ac:dyDescent="0.25">
      <c r="D36983" s="28"/>
      <c r="F36983" s="28"/>
      <c r="H36983" s="28"/>
    </row>
    <row r="36984" spans="4:8" x14ac:dyDescent="0.25">
      <c r="D36984" s="28"/>
      <c r="F36984" s="28"/>
      <c r="H36984" s="28"/>
    </row>
    <row r="36985" spans="4:8" x14ac:dyDescent="0.25">
      <c r="D36985" s="28"/>
      <c r="F36985" s="28"/>
      <c r="H36985" s="28"/>
    </row>
    <row r="36986" spans="4:8" x14ac:dyDescent="0.25">
      <c r="D36986" s="28"/>
      <c r="F36986" s="28"/>
      <c r="H36986" s="28"/>
    </row>
    <row r="36987" spans="4:8" x14ac:dyDescent="0.25">
      <c r="D36987" s="28"/>
      <c r="F36987" s="28"/>
      <c r="H36987" s="28"/>
    </row>
    <row r="36988" spans="4:8" x14ac:dyDescent="0.25">
      <c r="D36988" s="28"/>
      <c r="F36988" s="28"/>
      <c r="H36988" s="28"/>
    </row>
    <row r="36989" spans="4:8" x14ac:dyDescent="0.25">
      <c r="D36989" s="28"/>
      <c r="F36989" s="28"/>
      <c r="H36989" s="28"/>
    </row>
    <row r="36990" spans="4:8" x14ac:dyDescent="0.25">
      <c r="D36990" s="28"/>
      <c r="F36990" s="28"/>
      <c r="H36990" s="28"/>
    </row>
    <row r="36991" spans="4:8" x14ac:dyDescent="0.25">
      <c r="D36991" s="28"/>
      <c r="F36991" s="28"/>
      <c r="H36991" s="28"/>
    </row>
    <row r="36992" spans="4:8" x14ac:dyDescent="0.25">
      <c r="D36992" s="28"/>
      <c r="F36992" s="28"/>
      <c r="H36992" s="28"/>
    </row>
    <row r="36993" spans="4:8" x14ac:dyDescent="0.25">
      <c r="D36993" s="28"/>
      <c r="F36993" s="28"/>
      <c r="H36993" s="28"/>
    </row>
    <row r="36994" spans="4:8" x14ac:dyDescent="0.25">
      <c r="D36994" s="28"/>
      <c r="F36994" s="28"/>
      <c r="H36994" s="28"/>
    </row>
    <row r="36995" spans="4:8" x14ac:dyDescent="0.25">
      <c r="D36995" s="28"/>
      <c r="F36995" s="28"/>
      <c r="H36995" s="28"/>
    </row>
    <row r="36996" spans="4:8" x14ac:dyDescent="0.25">
      <c r="D36996" s="28"/>
      <c r="F36996" s="28"/>
      <c r="H36996" s="28"/>
    </row>
    <row r="36997" spans="4:8" x14ac:dyDescent="0.25">
      <c r="D36997" s="28"/>
      <c r="F36997" s="28"/>
      <c r="H36997" s="28"/>
    </row>
    <row r="36998" spans="4:8" x14ac:dyDescent="0.25">
      <c r="D36998" s="28"/>
      <c r="F36998" s="28"/>
      <c r="H36998" s="28"/>
    </row>
    <row r="36999" spans="4:8" x14ac:dyDescent="0.25">
      <c r="D36999" s="28"/>
      <c r="F36999" s="28"/>
      <c r="H36999" s="28"/>
    </row>
    <row r="37000" spans="4:8" x14ac:dyDescent="0.25">
      <c r="D37000" s="28"/>
      <c r="F37000" s="28"/>
      <c r="H37000" s="28"/>
    </row>
    <row r="37001" spans="4:8" x14ac:dyDescent="0.25">
      <c r="D37001" s="28"/>
      <c r="F37001" s="28"/>
      <c r="H37001" s="28"/>
    </row>
    <row r="37002" spans="4:8" x14ac:dyDescent="0.25">
      <c r="D37002" s="28"/>
      <c r="F37002" s="28"/>
      <c r="H37002" s="28"/>
    </row>
    <row r="37003" spans="4:8" x14ac:dyDescent="0.25">
      <c r="D37003" s="28"/>
      <c r="F37003" s="28"/>
      <c r="H37003" s="28"/>
    </row>
    <row r="37004" spans="4:8" x14ac:dyDescent="0.25">
      <c r="D37004" s="28"/>
      <c r="F37004" s="28"/>
      <c r="H37004" s="28"/>
    </row>
    <row r="37005" spans="4:8" x14ac:dyDescent="0.25">
      <c r="D37005" s="28"/>
      <c r="F37005" s="28"/>
      <c r="H37005" s="28"/>
    </row>
    <row r="37006" spans="4:8" x14ac:dyDescent="0.25">
      <c r="D37006" s="28"/>
      <c r="F37006" s="28"/>
      <c r="H37006" s="28"/>
    </row>
    <row r="37007" spans="4:8" x14ac:dyDescent="0.25">
      <c r="D37007" s="28"/>
      <c r="F37007" s="28"/>
      <c r="H37007" s="28"/>
    </row>
    <row r="37008" spans="4:8" x14ac:dyDescent="0.25">
      <c r="D37008" s="28"/>
      <c r="F37008" s="28"/>
      <c r="H37008" s="28"/>
    </row>
    <row r="37009" spans="4:8" x14ac:dyDescent="0.25">
      <c r="D37009" s="28"/>
      <c r="F37009" s="28"/>
      <c r="H37009" s="28"/>
    </row>
    <row r="37010" spans="4:8" x14ac:dyDescent="0.25">
      <c r="D37010" s="28"/>
      <c r="F37010" s="28"/>
      <c r="H37010" s="28"/>
    </row>
    <row r="37011" spans="4:8" x14ac:dyDescent="0.25">
      <c r="D37011" s="28"/>
      <c r="F37011" s="28"/>
      <c r="H37011" s="28"/>
    </row>
    <row r="37012" spans="4:8" x14ac:dyDescent="0.25">
      <c r="D37012" s="28"/>
      <c r="F37012" s="28"/>
      <c r="H37012" s="28"/>
    </row>
    <row r="37013" spans="4:8" x14ac:dyDescent="0.25">
      <c r="D37013" s="28"/>
      <c r="F37013" s="28"/>
      <c r="H37013" s="28"/>
    </row>
    <row r="37014" spans="4:8" x14ac:dyDescent="0.25">
      <c r="D37014" s="28"/>
      <c r="F37014" s="28"/>
      <c r="H37014" s="28"/>
    </row>
    <row r="37015" spans="4:8" x14ac:dyDescent="0.25">
      <c r="D37015" s="28"/>
      <c r="F37015" s="28"/>
      <c r="H37015" s="28"/>
    </row>
    <row r="37016" spans="4:8" x14ac:dyDescent="0.25">
      <c r="D37016" s="28"/>
      <c r="F37016" s="28"/>
      <c r="H37016" s="28"/>
    </row>
    <row r="37017" spans="4:8" x14ac:dyDescent="0.25">
      <c r="D37017" s="28"/>
      <c r="F37017" s="28"/>
      <c r="H37017" s="28"/>
    </row>
    <row r="37018" spans="4:8" x14ac:dyDescent="0.25">
      <c r="D37018" s="28"/>
      <c r="F37018" s="28"/>
      <c r="H37018" s="28"/>
    </row>
    <row r="37019" spans="4:8" x14ac:dyDescent="0.25">
      <c r="D37019" s="28"/>
      <c r="F37019" s="28"/>
      <c r="H37019" s="28"/>
    </row>
    <row r="37020" spans="4:8" x14ac:dyDescent="0.25">
      <c r="D37020" s="28"/>
      <c r="F37020" s="28"/>
      <c r="H37020" s="28"/>
    </row>
    <row r="37021" spans="4:8" x14ac:dyDescent="0.25">
      <c r="D37021" s="28"/>
      <c r="F37021" s="28"/>
      <c r="H37021" s="28"/>
    </row>
    <row r="37022" spans="4:8" x14ac:dyDescent="0.25">
      <c r="D37022" s="28"/>
      <c r="F37022" s="28"/>
      <c r="H37022" s="28"/>
    </row>
    <row r="37023" spans="4:8" x14ac:dyDescent="0.25">
      <c r="D37023" s="28"/>
      <c r="F37023" s="28"/>
      <c r="H37023" s="28"/>
    </row>
    <row r="37024" spans="4:8" x14ac:dyDescent="0.25">
      <c r="D37024" s="28"/>
      <c r="F37024" s="28"/>
      <c r="H37024" s="28"/>
    </row>
    <row r="37025" spans="4:8" x14ac:dyDescent="0.25">
      <c r="D37025" s="28"/>
      <c r="F37025" s="28"/>
      <c r="H37025" s="28"/>
    </row>
    <row r="37026" spans="4:8" x14ac:dyDescent="0.25">
      <c r="D37026" s="28"/>
      <c r="F37026" s="28"/>
      <c r="H37026" s="28"/>
    </row>
    <row r="37027" spans="4:8" x14ac:dyDescent="0.25">
      <c r="D37027" s="28"/>
      <c r="F37027" s="28"/>
      <c r="H37027" s="28"/>
    </row>
    <row r="37028" spans="4:8" x14ac:dyDescent="0.25">
      <c r="D37028" s="28"/>
      <c r="F37028" s="28"/>
      <c r="H37028" s="28"/>
    </row>
    <row r="37029" spans="4:8" x14ac:dyDescent="0.25">
      <c r="D37029" s="28"/>
      <c r="F37029" s="28"/>
      <c r="H37029" s="28"/>
    </row>
    <row r="37030" spans="4:8" x14ac:dyDescent="0.25">
      <c r="D37030" s="28"/>
      <c r="F37030" s="28"/>
      <c r="H37030" s="28"/>
    </row>
    <row r="37031" spans="4:8" x14ac:dyDescent="0.25">
      <c r="D37031" s="28"/>
      <c r="F37031" s="28"/>
      <c r="H37031" s="28"/>
    </row>
    <row r="37032" spans="4:8" x14ac:dyDescent="0.25">
      <c r="D37032" s="28"/>
      <c r="F37032" s="28"/>
      <c r="H37032" s="28"/>
    </row>
    <row r="37033" spans="4:8" x14ac:dyDescent="0.25">
      <c r="D37033" s="28"/>
      <c r="F37033" s="28"/>
      <c r="H37033" s="28"/>
    </row>
    <row r="37034" spans="4:8" x14ac:dyDescent="0.25">
      <c r="D37034" s="28"/>
      <c r="F37034" s="28"/>
      <c r="H37034" s="28"/>
    </row>
    <row r="37035" spans="4:8" x14ac:dyDescent="0.25">
      <c r="D37035" s="28"/>
      <c r="F37035" s="28"/>
      <c r="H37035" s="28"/>
    </row>
    <row r="37036" spans="4:8" x14ac:dyDescent="0.25">
      <c r="D37036" s="28"/>
      <c r="F37036" s="28"/>
      <c r="H37036" s="28"/>
    </row>
    <row r="37037" spans="4:8" x14ac:dyDescent="0.25">
      <c r="D37037" s="28"/>
      <c r="F37037" s="28"/>
      <c r="H37037" s="28"/>
    </row>
    <row r="37038" spans="4:8" x14ac:dyDescent="0.25">
      <c r="D37038" s="28"/>
      <c r="F37038" s="28"/>
      <c r="H37038" s="28"/>
    </row>
    <row r="37039" spans="4:8" x14ac:dyDescent="0.25">
      <c r="D37039" s="28"/>
      <c r="F37039" s="28"/>
      <c r="H37039" s="28"/>
    </row>
    <row r="37040" spans="4:8" x14ac:dyDescent="0.25">
      <c r="D37040" s="28"/>
      <c r="F37040" s="28"/>
      <c r="H37040" s="28"/>
    </row>
    <row r="37041" spans="4:8" x14ac:dyDescent="0.25">
      <c r="D37041" s="28"/>
      <c r="F37041" s="28"/>
      <c r="H37041" s="28"/>
    </row>
    <row r="37042" spans="4:8" x14ac:dyDescent="0.25">
      <c r="D37042" s="28"/>
      <c r="F37042" s="28"/>
      <c r="H37042" s="28"/>
    </row>
    <row r="37043" spans="4:8" x14ac:dyDescent="0.25">
      <c r="D37043" s="28"/>
      <c r="F37043" s="28"/>
      <c r="H37043" s="28"/>
    </row>
    <row r="37044" spans="4:8" x14ac:dyDescent="0.25">
      <c r="D37044" s="28"/>
      <c r="F37044" s="28"/>
      <c r="H37044" s="28"/>
    </row>
    <row r="37045" spans="4:8" x14ac:dyDescent="0.25">
      <c r="D37045" s="28"/>
      <c r="F37045" s="28"/>
      <c r="H37045" s="28"/>
    </row>
    <row r="37046" spans="4:8" x14ac:dyDescent="0.25">
      <c r="D37046" s="28"/>
      <c r="F37046" s="28"/>
      <c r="H37046" s="28"/>
    </row>
    <row r="37047" spans="4:8" x14ac:dyDescent="0.25">
      <c r="D37047" s="28"/>
      <c r="F37047" s="28"/>
      <c r="H37047" s="28"/>
    </row>
    <row r="37048" spans="4:8" x14ac:dyDescent="0.25">
      <c r="D37048" s="28"/>
      <c r="F37048" s="28"/>
      <c r="H37048" s="28"/>
    </row>
    <row r="37049" spans="4:8" x14ac:dyDescent="0.25">
      <c r="D37049" s="28"/>
      <c r="F37049" s="28"/>
      <c r="H37049" s="28"/>
    </row>
    <row r="37050" spans="4:8" x14ac:dyDescent="0.25">
      <c r="D37050" s="28"/>
      <c r="F37050" s="28"/>
      <c r="H37050" s="28"/>
    </row>
    <row r="37051" spans="4:8" x14ac:dyDescent="0.25">
      <c r="D37051" s="28"/>
      <c r="F37051" s="28"/>
      <c r="H37051" s="28"/>
    </row>
    <row r="37052" spans="4:8" x14ac:dyDescent="0.25">
      <c r="D37052" s="28"/>
      <c r="F37052" s="28"/>
      <c r="H37052" s="28"/>
    </row>
    <row r="37053" spans="4:8" x14ac:dyDescent="0.25">
      <c r="D37053" s="28"/>
      <c r="F37053" s="28"/>
      <c r="H37053" s="28"/>
    </row>
    <row r="37054" spans="4:8" x14ac:dyDescent="0.25">
      <c r="D37054" s="28"/>
      <c r="F37054" s="28"/>
      <c r="H37054" s="28"/>
    </row>
    <row r="37055" spans="4:8" x14ac:dyDescent="0.25">
      <c r="D37055" s="28"/>
      <c r="F37055" s="28"/>
      <c r="H37055" s="28"/>
    </row>
    <row r="37056" spans="4:8" x14ac:dyDescent="0.25">
      <c r="D37056" s="28"/>
      <c r="F37056" s="28"/>
      <c r="H37056" s="28"/>
    </row>
    <row r="37057" spans="4:8" x14ac:dyDescent="0.25">
      <c r="D37057" s="28"/>
      <c r="F37057" s="28"/>
      <c r="H37057" s="28"/>
    </row>
    <row r="37058" spans="4:8" x14ac:dyDescent="0.25">
      <c r="D37058" s="28"/>
      <c r="F37058" s="28"/>
      <c r="H37058" s="28"/>
    </row>
    <row r="37059" spans="4:8" x14ac:dyDescent="0.25">
      <c r="D37059" s="28"/>
      <c r="F37059" s="28"/>
      <c r="H37059" s="28"/>
    </row>
    <row r="37060" spans="4:8" x14ac:dyDescent="0.25">
      <c r="D37060" s="28"/>
      <c r="F37060" s="28"/>
      <c r="H37060" s="28"/>
    </row>
    <row r="37061" spans="4:8" x14ac:dyDescent="0.25">
      <c r="D37061" s="28"/>
      <c r="F37061" s="28"/>
      <c r="H37061" s="28"/>
    </row>
    <row r="37062" spans="4:8" x14ac:dyDescent="0.25">
      <c r="D37062" s="28"/>
      <c r="F37062" s="28"/>
      <c r="H37062" s="28"/>
    </row>
    <row r="37063" spans="4:8" x14ac:dyDescent="0.25">
      <c r="D37063" s="28"/>
      <c r="F37063" s="28"/>
      <c r="H37063" s="28"/>
    </row>
    <row r="37064" spans="4:8" x14ac:dyDescent="0.25">
      <c r="D37064" s="28"/>
      <c r="F37064" s="28"/>
      <c r="H37064" s="28"/>
    </row>
    <row r="37065" spans="4:8" x14ac:dyDescent="0.25">
      <c r="D37065" s="28"/>
      <c r="F37065" s="28"/>
      <c r="H37065" s="28"/>
    </row>
    <row r="37066" spans="4:8" x14ac:dyDescent="0.25">
      <c r="D37066" s="28"/>
      <c r="F37066" s="28"/>
      <c r="H37066" s="28"/>
    </row>
    <row r="37067" spans="4:8" x14ac:dyDescent="0.25">
      <c r="D37067" s="28"/>
      <c r="F37067" s="28"/>
      <c r="H37067" s="28"/>
    </row>
    <row r="37068" spans="4:8" x14ac:dyDescent="0.25">
      <c r="D37068" s="28"/>
      <c r="F37068" s="28"/>
      <c r="H37068" s="28"/>
    </row>
    <row r="37069" spans="4:8" x14ac:dyDescent="0.25">
      <c r="D37069" s="28"/>
      <c r="F37069" s="28"/>
      <c r="H37069" s="28"/>
    </row>
    <row r="37070" spans="4:8" x14ac:dyDescent="0.25">
      <c r="D37070" s="28"/>
      <c r="F37070" s="28"/>
      <c r="H37070" s="28"/>
    </row>
    <row r="37071" spans="4:8" x14ac:dyDescent="0.25">
      <c r="D37071" s="28"/>
      <c r="F37071" s="28"/>
      <c r="H37071" s="28"/>
    </row>
    <row r="37072" spans="4:8" x14ac:dyDescent="0.25">
      <c r="D37072" s="28"/>
      <c r="F37072" s="28"/>
      <c r="H37072" s="28"/>
    </row>
    <row r="37073" spans="4:8" x14ac:dyDescent="0.25">
      <c r="D37073" s="28"/>
      <c r="F37073" s="28"/>
      <c r="H37073" s="28"/>
    </row>
    <row r="37074" spans="4:8" x14ac:dyDescent="0.25">
      <c r="D37074" s="28"/>
      <c r="F37074" s="28"/>
      <c r="H37074" s="28"/>
    </row>
    <row r="37075" spans="4:8" x14ac:dyDescent="0.25">
      <c r="D37075" s="28"/>
      <c r="F37075" s="28"/>
      <c r="H37075" s="28"/>
    </row>
    <row r="37076" spans="4:8" x14ac:dyDescent="0.25">
      <c r="D37076" s="28"/>
      <c r="F37076" s="28"/>
      <c r="H37076" s="28"/>
    </row>
    <row r="37077" spans="4:8" x14ac:dyDescent="0.25">
      <c r="D37077" s="28"/>
      <c r="F37077" s="28"/>
      <c r="H37077" s="28"/>
    </row>
    <row r="37078" spans="4:8" x14ac:dyDescent="0.25">
      <c r="D37078" s="28"/>
      <c r="F37078" s="28"/>
      <c r="H37078" s="28"/>
    </row>
    <row r="37079" spans="4:8" x14ac:dyDescent="0.25">
      <c r="D37079" s="28"/>
      <c r="F37079" s="28"/>
      <c r="H37079" s="28"/>
    </row>
    <row r="37080" spans="4:8" x14ac:dyDescent="0.25">
      <c r="D37080" s="28"/>
      <c r="F37080" s="28"/>
      <c r="H37080" s="28"/>
    </row>
    <row r="37081" spans="4:8" x14ac:dyDescent="0.25">
      <c r="D37081" s="28"/>
      <c r="F37081" s="28"/>
      <c r="H37081" s="28"/>
    </row>
    <row r="37082" spans="4:8" x14ac:dyDescent="0.25">
      <c r="D37082" s="28"/>
      <c r="F37082" s="28"/>
      <c r="H37082" s="28"/>
    </row>
    <row r="37083" spans="4:8" x14ac:dyDescent="0.25">
      <c r="D37083" s="28"/>
      <c r="F37083" s="28"/>
      <c r="H37083" s="28"/>
    </row>
    <row r="37084" spans="4:8" x14ac:dyDescent="0.25">
      <c r="D37084" s="28"/>
      <c r="F37084" s="28"/>
      <c r="H37084" s="28"/>
    </row>
    <row r="37085" spans="4:8" x14ac:dyDescent="0.25">
      <c r="D37085" s="28"/>
      <c r="F37085" s="28"/>
      <c r="H37085" s="28"/>
    </row>
    <row r="37086" spans="4:8" x14ac:dyDescent="0.25">
      <c r="D37086" s="28"/>
      <c r="F37086" s="28"/>
      <c r="H37086" s="28"/>
    </row>
    <row r="37087" spans="4:8" x14ac:dyDescent="0.25">
      <c r="D37087" s="28"/>
      <c r="F37087" s="28"/>
      <c r="H37087" s="28"/>
    </row>
    <row r="37088" spans="4:8" x14ac:dyDescent="0.25">
      <c r="D37088" s="28"/>
      <c r="F37088" s="28"/>
      <c r="H37088" s="28"/>
    </row>
    <row r="37089" spans="4:8" x14ac:dyDescent="0.25">
      <c r="D37089" s="28"/>
      <c r="F37089" s="28"/>
      <c r="H37089" s="28"/>
    </row>
    <row r="37090" spans="4:8" x14ac:dyDescent="0.25">
      <c r="D37090" s="28"/>
      <c r="F37090" s="28"/>
      <c r="H37090" s="28"/>
    </row>
    <row r="37091" spans="4:8" x14ac:dyDescent="0.25">
      <c r="D37091" s="28"/>
      <c r="F37091" s="28"/>
      <c r="H37091" s="28"/>
    </row>
    <row r="37092" spans="4:8" x14ac:dyDescent="0.25">
      <c r="D37092" s="28"/>
      <c r="F37092" s="28"/>
      <c r="H37092" s="28"/>
    </row>
    <row r="37093" spans="4:8" x14ac:dyDescent="0.25">
      <c r="D37093" s="28"/>
      <c r="F37093" s="28"/>
      <c r="H37093" s="28"/>
    </row>
    <row r="37094" spans="4:8" x14ac:dyDescent="0.25">
      <c r="D37094" s="28"/>
      <c r="F37094" s="28"/>
      <c r="H37094" s="28"/>
    </row>
    <row r="37095" spans="4:8" x14ac:dyDescent="0.25">
      <c r="D37095" s="28"/>
      <c r="F37095" s="28"/>
      <c r="H37095" s="28"/>
    </row>
    <row r="37096" spans="4:8" x14ac:dyDescent="0.25">
      <c r="D37096" s="28"/>
      <c r="F37096" s="28"/>
      <c r="H37096" s="28"/>
    </row>
    <row r="37097" spans="4:8" x14ac:dyDescent="0.25">
      <c r="D37097" s="28"/>
      <c r="F37097" s="28"/>
      <c r="H37097" s="28"/>
    </row>
    <row r="37098" spans="4:8" x14ac:dyDescent="0.25">
      <c r="D37098" s="28"/>
      <c r="F37098" s="28"/>
      <c r="H37098" s="28"/>
    </row>
    <row r="37099" spans="4:8" x14ac:dyDescent="0.25">
      <c r="D37099" s="28"/>
      <c r="F37099" s="28"/>
      <c r="H37099" s="28"/>
    </row>
    <row r="37100" spans="4:8" x14ac:dyDescent="0.25">
      <c r="D37100" s="28"/>
      <c r="F37100" s="28"/>
      <c r="H37100" s="28"/>
    </row>
    <row r="37101" spans="4:8" x14ac:dyDescent="0.25">
      <c r="D37101" s="28"/>
      <c r="F37101" s="28"/>
      <c r="H37101" s="28"/>
    </row>
    <row r="37102" spans="4:8" x14ac:dyDescent="0.25">
      <c r="D37102" s="28"/>
      <c r="F37102" s="28"/>
      <c r="H37102" s="28"/>
    </row>
    <row r="37103" spans="4:8" x14ac:dyDescent="0.25">
      <c r="D37103" s="28"/>
      <c r="F37103" s="28"/>
      <c r="H37103" s="28"/>
    </row>
    <row r="37104" spans="4:8" x14ac:dyDescent="0.25">
      <c r="D37104" s="28"/>
      <c r="F37104" s="28"/>
      <c r="H37104" s="28"/>
    </row>
    <row r="37105" spans="4:8" x14ac:dyDescent="0.25">
      <c r="D37105" s="28"/>
      <c r="F37105" s="28"/>
      <c r="H37105" s="28"/>
    </row>
    <row r="37106" spans="4:8" x14ac:dyDescent="0.25">
      <c r="D37106" s="28"/>
      <c r="F37106" s="28"/>
      <c r="H37106" s="28"/>
    </row>
    <row r="37107" spans="4:8" x14ac:dyDescent="0.25">
      <c r="D37107" s="28"/>
      <c r="F37107" s="28"/>
      <c r="H37107" s="28"/>
    </row>
    <row r="37108" spans="4:8" x14ac:dyDescent="0.25">
      <c r="D37108" s="28"/>
      <c r="F37108" s="28"/>
      <c r="H37108" s="28"/>
    </row>
    <row r="37109" spans="4:8" x14ac:dyDescent="0.25">
      <c r="D37109" s="28"/>
      <c r="F37109" s="28"/>
      <c r="H37109" s="28"/>
    </row>
    <row r="37110" spans="4:8" x14ac:dyDescent="0.25">
      <c r="D37110" s="28"/>
      <c r="F37110" s="28"/>
      <c r="H37110" s="28"/>
    </row>
    <row r="37111" spans="4:8" x14ac:dyDescent="0.25">
      <c r="D37111" s="28"/>
      <c r="F37111" s="28"/>
      <c r="H37111" s="28"/>
    </row>
    <row r="37112" spans="4:8" x14ac:dyDescent="0.25">
      <c r="D37112" s="28"/>
      <c r="F37112" s="28"/>
      <c r="H37112" s="28"/>
    </row>
    <row r="37113" spans="4:8" x14ac:dyDescent="0.25">
      <c r="D37113" s="28"/>
      <c r="F37113" s="28"/>
      <c r="H37113" s="28"/>
    </row>
    <row r="37114" spans="4:8" x14ac:dyDescent="0.25">
      <c r="D37114" s="28"/>
      <c r="F37114" s="28"/>
      <c r="H37114" s="28"/>
    </row>
    <row r="37115" spans="4:8" x14ac:dyDescent="0.25">
      <c r="D37115" s="28"/>
      <c r="F37115" s="28"/>
      <c r="H37115" s="28"/>
    </row>
    <row r="37116" spans="4:8" x14ac:dyDescent="0.25">
      <c r="D37116" s="28"/>
      <c r="F37116" s="28"/>
      <c r="H37116" s="28"/>
    </row>
    <row r="37117" spans="4:8" x14ac:dyDescent="0.25">
      <c r="D37117" s="28"/>
      <c r="F37117" s="28"/>
      <c r="H37117" s="28"/>
    </row>
    <row r="37118" spans="4:8" x14ac:dyDescent="0.25">
      <c r="D37118" s="28"/>
      <c r="F37118" s="28"/>
      <c r="H37118" s="28"/>
    </row>
    <row r="37119" spans="4:8" x14ac:dyDescent="0.25">
      <c r="D37119" s="28"/>
      <c r="F37119" s="28"/>
      <c r="H37119" s="28"/>
    </row>
    <row r="37120" spans="4:8" x14ac:dyDescent="0.25">
      <c r="D37120" s="28"/>
      <c r="F37120" s="28"/>
      <c r="H37120" s="28"/>
    </row>
    <row r="37121" spans="4:8" x14ac:dyDescent="0.25">
      <c r="D37121" s="28"/>
      <c r="F37121" s="28"/>
      <c r="H37121" s="28"/>
    </row>
    <row r="37122" spans="4:8" x14ac:dyDescent="0.25">
      <c r="D37122" s="28"/>
      <c r="F37122" s="28"/>
      <c r="H37122" s="28"/>
    </row>
    <row r="37123" spans="4:8" x14ac:dyDescent="0.25">
      <c r="D37123" s="28"/>
      <c r="F37123" s="28"/>
      <c r="H37123" s="28"/>
    </row>
    <row r="37124" spans="4:8" x14ac:dyDescent="0.25">
      <c r="D37124" s="28"/>
      <c r="F37124" s="28"/>
      <c r="H37124" s="28"/>
    </row>
    <row r="37125" spans="4:8" x14ac:dyDescent="0.25">
      <c r="D37125" s="28"/>
      <c r="F37125" s="28"/>
      <c r="H37125" s="28"/>
    </row>
    <row r="37126" spans="4:8" x14ac:dyDescent="0.25">
      <c r="D37126" s="28"/>
      <c r="F37126" s="28"/>
      <c r="H37126" s="28"/>
    </row>
    <row r="37127" spans="4:8" x14ac:dyDescent="0.25">
      <c r="D37127" s="28"/>
      <c r="F37127" s="28"/>
      <c r="H37127" s="28"/>
    </row>
    <row r="37128" spans="4:8" x14ac:dyDescent="0.25">
      <c r="D37128" s="28"/>
      <c r="F37128" s="28"/>
      <c r="H37128" s="28"/>
    </row>
    <row r="37129" spans="4:8" x14ac:dyDescent="0.25">
      <c r="D37129" s="28"/>
      <c r="F37129" s="28"/>
      <c r="H37129" s="28"/>
    </row>
    <row r="37130" spans="4:8" x14ac:dyDescent="0.25">
      <c r="D37130" s="28"/>
      <c r="F37130" s="28"/>
      <c r="H37130" s="28"/>
    </row>
    <row r="37131" spans="4:8" x14ac:dyDescent="0.25">
      <c r="D37131" s="28"/>
      <c r="F37131" s="28"/>
      <c r="H37131" s="28"/>
    </row>
    <row r="37132" spans="4:8" x14ac:dyDescent="0.25">
      <c r="D37132" s="28"/>
      <c r="F37132" s="28"/>
      <c r="H37132" s="28"/>
    </row>
    <row r="37133" spans="4:8" x14ac:dyDescent="0.25">
      <c r="D37133" s="28"/>
      <c r="F37133" s="28"/>
      <c r="H37133" s="28"/>
    </row>
    <row r="37134" spans="4:8" x14ac:dyDescent="0.25">
      <c r="D37134" s="28"/>
      <c r="F37134" s="28"/>
      <c r="H37134" s="28"/>
    </row>
    <row r="37135" spans="4:8" x14ac:dyDescent="0.25">
      <c r="D37135" s="28"/>
      <c r="F37135" s="28"/>
      <c r="H37135" s="28"/>
    </row>
    <row r="37136" spans="4:8" x14ac:dyDescent="0.25">
      <c r="D37136" s="28"/>
      <c r="F37136" s="28"/>
      <c r="H37136" s="28"/>
    </row>
    <row r="37137" spans="4:8" x14ac:dyDescent="0.25">
      <c r="D37137" s="28"/>
      <c r="F37137" s="28"/>
      <c r="H37137" s="28"/>
    </row>
    <row r="37138" spans="4:8" x14ac:dyDescent="0.25">
      <c r="D37138" s="28"/>
      <c r="F37138" s="28"/>
      <c r="H37138" s="28"/>
    </row>
    <row r="37139" spans="4:8" x14ac:dyDescent="0.25">
      <c r="D37139" s="28"/>
      <c r="F37139" s="28"/>
      <c r="H37139" s="28"/>
    </row>
    <row r="37140" spans="4:8" x14ac:dyDescent="0.25">
      <c r="D37140" s="28"/>
      <c r="F37140" s="28"/>
      <c r="H37140" s="28"/>
    </row>
    <row r="37141" spans="4:8" x14ac:dyDescent="0.25">
      <c r="D37141" s="28"/>
      <c r="F37141" s="28"/>
      <c r="H37141" s="28"/>
    </row>
    <row r="37142" spans="4:8" x14ac:dyDescent="0.25">
      <c r="D37142" s="28"/>
      <c r="F37142" s="28"/>
      <c r="H37142" s="28"/>
    </row>
    <row r="37143" spans="4:8" x14ac:dyDescent="0.25">
      <c r="D37143" s="28"/>
      <c r="F37143" s="28"/>
      <c r="H37143" s="28"/>
    </row>
    <row r="37144" spans="4:8" x14ac:dyDescent="0.25">
      <c r="D37144" s="28"/>
      <c r="F37144" s="28"/>
      <c r="H37144" s="28"/>
    </row>
    <row r="37145" spans="4:8" x14ac:dyDescent="0.25">
      <c r="D37145" s="28"/>
      <c r="F37145" s="28"/>
      <c r="H37145" s="28"/>
    </row>
    <row r="37146" spans="4:8" x14ac:dyDescent="0.25">
      <c r="D37146" s="28"/>
      <c r="F37146" s="28"/>
      <c r="H37146" s="28"/>
    </row>
    <row r="37147" spans="4:8" x14ac:dyDescent="0.25">
      <c r="D37147" s="28"/>
      <c r="F37147" s="28"/>
      <c r="H37147" s="28"/>
    </row>
    <row r="37148" spans="4:8" x14ac:dyDescent="0.25">
      <c r="D37148" s="28"/>
      <c r="F37148" s="28"/>
      <c r="H37148" s="28"/>
    </row>
    <row r="37149" spans="4:8" x14ac:dyDescent="0.25">
      <c r="D37149" s="28"/>
      <c r="F37149" s="28"/>
      <c r="H37149" s="28"/>
    </row>
    <row r="37150" spans="4:8" x14ac:dyDescent="0.25">
      <c r="D37150" s="28"/>
      <c r="F37150" s="28"/>
      <c r="H37150" s="28"/>
    </row>
    <row r="37151" spans="4:8" x14ac:dyDescent="0.25">
      <c r="D37151" s="28"/>
      <c r="F37151" s="28"/>
      <c r="H37151" s="28"/>
    </row>
    <row r="37152" spans="4:8" x14ac:dyDescent="0.25">
      <c r="D37152" s="28"/>
      <c r="F37152" s="28"/>
      <c r="H37152" s="28"/>
    </row>
    <row r="37153" spans="4:8" x14ac:dyDescent="0.25">
      <c r="D37153" s="28"/>
      <c r="F37153" s="28"/>
      <c r="H37153" s="28"/>
    </row>
    <row r="37154" spans="4:8" x14ac:dyDescent="0.25">
      <c r="D37154" s="28"/>
      <c r="F37154" s="28"/>
      <c r="H37154" s="28"/>
    </row>
    <row r="37155" spans="4:8" x14ac:dyDescent="0.25">
      <c r="D37155" s="28"/>
      <c r="F37155" s="28"/>
      <c r="H37155" s="28"/>
    </row>
    <row r="37156" spans="4:8" x14ac:dyDescent="0.25">
      <c r="D37156" s="28"/>
      <c r="F37156" s="28"/>
      <c r="H37156" s="28"/>
    </row>
    <row r="37157" spans="4:8" x14ac:dyDescent="0.25">
      <c r="D37157" s="28"/>
      <c r="F37157" s="28"/>
      <c r="H37157" s="28"/>
    </row>
    <row r="37158" spans="4:8" x14ac:dyDescent="0.25">
      <c r="D37158" s="28"/>
      <c r="F37158" s="28"/>
      <c r="H37158" s="28"/>
    </row>
    <row r="37159" spans="4:8" x14ac:dyDescent="0.25">
      <c r="D37159" s="28"/>
      <c r="F37159" s="28"/>
      <c r="H37159" s="28"/>
    </row>
    <row r="37160" spans="4:8" x14ac:dyDescent="0.25">
      <c r="D37160" s="28"/>
      <c r="F37160" s="28"/>
      <c r="H37160" s="28"/>
    </row>
    <row r="37161" spans="4:8" x14ac:dyDescent="0.25">
      <c r="D37161" s="28"/>
      <c r="F37161" s="28"/>
      <c r="H37161" s="28"/>
    </row>
    <row r="37162" spans="4:8" x14ac:dyDescent="0.25">
      <c r="D37162" s="28"/>
      <c r="F37162" s="28"/>
      <c r="H37162" s="28"/>
    </row>
    <row r="37163" spans="4:8" x14ac:dyDescent="0.25">
      <c r="D37163" s="28"/>
      <c r="F37163" s="28"/>
      <c r="H37163" s="28"/>
    </row>
    <row r="37164" spans="4:8" x14ac:dyDescent="0.25">
      <c r="D37164" s="28"/>
      <c r="F37164" s="28"/>
      <c r="H37164" s="28"/>
    </row>
    <row r="37165" spans="4:8" x14ac:dyDescent="0.25">
      <c r="D37165" s="28"/>
      <c r="F37165" s="28"/>
      <c r="H37165" s="28"/>
    </row>
    <row r="37166" spans="4:8" x14ac:dyDescent="0.25">
      <c r="D37166" s="28"/>
      <c r="F37166" s="28"/>
      <c r="H37166" s="28"/>
    </row>
    <row r="37167" spans="4:8" x14ac:dyDescent="0.25">
      <c r="D37167" s="28"/>
      <c r="F37167" s="28"/>
      <c r="H37167" s="28"/>
    </row>
    <row r="37168" spans="4:8" x14ac:dyDescent="0.25">
      <c r="D37168" s="28"/>
      <c r="F37168" s="28"/>
      <c r="H37168" s="28"/>
    </row>
    <row r="37169" spans="4:8" x14ac:dyDescent="0.25">
      <c r="D37169" s="28"/>
      <c r="F37169" s="28"/>
      <c r="H37169" s="28"/>
    </row>
    <row r="37170" spans="4:8" x14ac:dyDescent="0.25">
      <c r="D37170" s="28"/>
      <c r="F37170" s="28"/>
      <c r="H37170" s="28"/>
    </row>
    <row r="37171" spans="4:8" x14ac:dyDescent="0.25">
      <c r="D37171" s="28"/>
      <c r="F37171" s="28"/>
      <c r="H37171" s="28"/>
    </row>
    <row r="37172" spans="4:8" x14ac:dyDescent="0.25">
      <c r="D37172" s="28"/>
      <c r="F37172" s="28"/>
      <c r="H37172" s="28"/>
    </row>
    <row r="37173" spans="4:8" x14ac:dyDescent="0.25">
      <c r="D37173" s="28"/>
      <c r="F37173" s="28"/>
      <c r="H37173" s="28"/>
    </row>
    <row r="37174" spans="4:8" x14ac:dyDescent="0.25">
      <c r="D37174" s="28"/>
      <c r="F37174" s="28"/>
      <c r="H37174" s="28"/>
    </row>
    <row r="37175" spans="4:8" x14ac:dyDescent="0.25">
      <c r="D37175" s="28"/>
      <c r="F37175" s="28"/>
      <c r="H37175" s="28"/>
    </row>
    <row r="37176" spans="4:8" x14ac:dyDescent="0.25">
      <c r="D37176" s="28"/>
      <c r="F37176" s="28"/>
      <c r="H37176" s="28"/>
    </row>
    <row r="37177" spans="4:8" x14ac:dyDescent="0.25">
      <c r="D37177" s="28"/>
      <c r="F37177" s="28"/>
      <c r="H37177" s="28"/>
    </row>
    <row r="37178" spans="4:8" x14ac:dyDescent="0.25">
      <c r="D37178" s="28"/>
      <c r="F37178" s="28"/>
      <c r="H37178" s="28"/>
    </row>
    <row r="37179" spans="4:8" x14ac:dyDescent="0.25">
      <c r="D37179" s="28"/>
      <c r="F37179" s="28"/>
      <c r="H37179" s="28"/>
    </row>
    <row r="37180" spans="4:8" x14ac:dyDescent="0.25">
      <c r="D37180" s="28"/>
      <c r="F37180" s="28"/>
      <c r="H37180" s="28"/>
    </row>
    <row r="37181" spans="4:8" x14ac:dyDescent="0.25">
      <c r="D37181" s="28"/>
      <c r="F37181" s="28"/>
      <c r="H37181" s="28"/>
    </row>
    <row r="37182" spans="4:8" x14ac:dyDescent="0.25">
      <c r="D37182" s="28"/>
      <c r="F37182" s="28"/>
      <c r="H37182" s="28"/>
    </row>
    <row r="37183" spans="4:8" x14ac:dyDescent="0.25">
      <c r="D37183" s="28"/>
      <c r="F37183" s="28"/>
      <c r="H37183" s="28"/>
    </row>
    <row r="37184" spans="4:8" x14ac:dyDescent="0.25">
      <c r="D37184" s="28"/>
      <c r="F37184" s="28"/>
      <c r="H37184" s="28"/>
    </row>
    <row r="37185" spans="4:8" x14ac:dyDescent="0.25">
      <c r="D37185" s="28"/>
      <c r="F37185" s="28"/>
      <c r="H37185" s="28"/>
    </row>
    <row r="37186" spans="4:8" x14ac:dyDescent="0.25">
      <c r="D37186" s="28"/>
      <c r="F37186" s="28"/>
      <c r="H37186" s="28"/>
    </row>
    <row r="37187" spans="4:8" x14ac:dyDescent="0.25">
      <c r="D37187" s="28"/>
      <c r="F37187" s="28"/>
      <c r="H37187" s="28"/>
    </row>
    <row r="37188" spans="4:8" x14ac:dyDescent="0.25">
      <c r="D37188" s="28"/>
      <c r="F37188" s="28"/>
      <c r="H37188" s="28"/>
    </row>
    <row r="37189" spans="4:8" x14ac:dyDescent="0.25">
      <c r="D37189" s="28"/>
      <c r="F37189" s="28"/>
      <c r="H37189" s="28"/>
    </row>
    <row r="37190" spans="4:8" x14ac:dyDescent="0.25">
      <c r="D37190" s="28"/>
      <c r="F37190" s="28"/>
      <c r="H37190" s="28"/>
    </row>
    <row r="37191" spans="4:8" x14ac:dyDescent="0.25">
      <c r="D37191" s="28"/>
      <c r="F37191" s="28"/>
      <c r="H37191" s="28"/>
    </row>
    <row r="37192" spans="4:8" x14ac:dyDescent="0.25">
      <c r="D37192" s="28"/>
      <c r="F37192" s="28"/>
      <c r="H37192" s="28"/>
    </row>
    <row r="37193" spans="4:8" x14ac:dyDescent="0.25">
      <c r="D37193" s="28"/>
      <c r="F37193" s="28"/>
      <c r="H37193" s="28"/>
    </row>
    <row r="37194" spans="4:8" x14ac:dyDescent="0.25">
      <c r="D37194" s="28"/>
      <c r="F37194" s="28"/>
      <c r="H37194" s="28"/>
    </row>
    <row r="37195" spans="4:8" x14ac:dyDescent="0.25">
      <c r="D37195" s="28"/>
      <c r="F37195" s="28"/>
      <c r="H37195" s="28"/>
    </row>
    <row r="37196" spans="4:8" x14ac:dyDescent="0.25">
      <c r="D37196" s="28"/>
      <c r="F37196" s="28"/>
      <c r="H37196" s="28"/>
    </row>
    <row r="37197" spans="4:8" x14ac:dyDescent="0.25">
      <c r="D37197" s="28"/>
      <c r="F37197" s="28"/>
      <c r="H37197" s="28"/>
    </row>
    <row r="37198" spans="4:8" x14ac:dyDescent="0.25">
      <c r="D37198" s="28"/>
      <c r="F37198" s="28"/>
      <c r="H37198" s="28"/>
    </row>
    <row r="37199" spans="4:8" x14ac:dyDescent="0.25">
      <c r="D37199" s="28"/>
      <c r="F37199" s="28"/>
      <c r="H37199" s="28"/>
    </row>
    <row r="37200" spans="4:8" x14ac:dyDescent="0.25">
      <c r="D37200" s="28"/>
      <c r="F37200" s="28"/>
      <c r="H37200" s="28"/>
    </row>
    <row r="37201" spans="4:8" x14ac:dyDescent="0.25">
      <c r="D37201" s="28"/>
      <c r="F37201" s="28"/>
      <c r="H37201" s="28"/>
    </row>
    <row r="37202" spans="4:8" x14ac:dyDescent="0.25">
      <c r="D37202" s="28"/>
      <c r="F37202" s="28"/>
      <c r="H37202" s="28"/>
    </row>
    <row r="37203" spans="4:8" x14ac:dyDescent="0.25">
      <c r="D37203" s="28"/>
      <c r="F37203" s="28"/>
      <c r="H37203" s="28"/>
    </row>
    <row r="37204" spans="4:8" x14ac:dyDescent="0.25">
      <c r="D37204" s="28"/>
      <c r="F37204" s="28"/>
      <c r="H37204" s="28"/>
    </row>
    <row r="37205" spans="4:8" x14ac:dyDescent="0.25">
      <c r="D37205" s="28"/>
      <c r="F37205" s="28"/>
      <c r="H37205" s="28"/>
    </row>
    <row r="37206" spans="4:8" x14ac:dyDescent="0.25">
      <c r="D37206" s="28"/>
      <c r="F37206" s="28"/>
      <c r="H37206" s="28"/>
    </row>
    <row r="37207" spans="4:8" x14ac:dyDescent="0.25">
      <c r="D37207" s="28"/>
      <c r="F37207" s="28"/>
      <c r="H37207" s="28"/>
    </row>
    <row r="37208" spans="4:8" x14ac:dyDescent="0.25">
      <c r="D37208" s="28"/>
      <c r="F37208" s="28"/>
      <c r="H37208" s="28"/>
    </row>
    <row r="37209" spans="4:8" x14ac:dyDescent="0.25">
      <c r="D37209" s="28"/>
      <c r="F37209" s="28"/>
      <c r="H37209" s="28"/>
    </row>
    <row r="37210" spans="4:8" x14ac:dyDescent="0.25">
      <c r="D37210" s="28"/>
      <c r="F37210" s="28"/>
      <c r="H37210" s="28"/>
    </row>
    <row r="37211" spans="4:8" x14ac:dyDescent="0.25">
      <c r="D37211" s="28"/>
      <c r="F37211" s="28"/>
      <c r="H37211" s="28"/>
    </row>
    <row r="37212" spans="4:8" x14ac:dyDescent="0.25">
      <c r="D37212" s="28"/>
      <c r="F37212" s="28"/>
      <c r="H37212" s="28"/>
    </row>
    <row r="37213" spans="4:8" x14ac:dyDescent="0.25">
      <c r="D37213" s="28"/>
      <c r="F37213" s="28"/>
      <c r="H37213" s="28"/>
    </row>
    <row r="37214" spans="4:8" x14ac:dyDescent="0.25">
      <c r="D37214" s="28"/>
      <c r="F37214" s="28"/>
      <c r="H37214" s="28"/>
    </row>
    <row r="37215" spans="4:8" x14ac:dyDescent="0.25">
      <c r="D37215" s="28"/>
      <c r="F37215" s="28"/>
      <c r="H37215" s="28"/>
    </row>
    <row r="37216" spans="4:8" x14ac:dyDescent="0.25">
      <c r="D37216" s="28"/>
      <c r="F37216" s="28"/>
      <c r="H37216" s="28"/>
    </row>
    <row r="37217" spans="4:8" x14ac:dyDescent="0.25">
      <c r="D37217" s="28"/>
      <c r="F37217" s="28"/>
      <c r="H37217" s="28"/>
    </row>
    <row r="37218" spans="4:8" x14ac:dyDescent="0.25">
      <c r="D37218" s="28"/>
      <c r="F37218" s="28"/>
      <c r="H37218" s="28"/>
    </row>
    <row r="37219" spans="4:8" x14ac:dyDescent="0.25">
      <c r="D37219" s="28"/>
      <c r="F37219" s="28"/>
      <c r="H37219" s="28"/>
    </row>
    <row r="37220" spans="4:8" x14ac:dyDescent="0.25">
      <c r="D37220" s="28"/>
      <c r="F37220" s="28"/>
      <c r="H37220" s="28"/>
    </row>
    <row r="37221" spans="4:8" x14ac:dyDescent="0.25">
      <c r="D37221" s="28"/>
      <c r="F37221" s="28"/>
      <c r="H37221" s="28"/>
    </row>
    <row r="37222" spans="4:8" x14ac:dyDescent="0.25">
      <c r="D37222" s="28"/>
      <c r="F37222" s="28"/>
      <c r="H37222" s="28"/>
    </row>
    <row r="37223" spans="4:8" x14ac:dyDescent="0.25">
      <c r="D37223" s="28"/>
      <c r="F37223" s="28"/>
      <c r="H37223" s="28"/>
    </row>
    <row r="37224" spans="4:8" x14ac:dyDescent="0.25">
      <c r="D37224" s="28"/>
      <c r="F37224" s="28"/>
      <c r="H37224" s="28"/>
    </row>
    <row r="37225" spans="4:8" x14ac:dyDescent="0.25">
      <c r="D37225" s="28"/>
      <c r="F37225" s="28"/>
      <c r="H37225" s="28"/>
    </row>
    <row r="37226" spans="4:8" x14ac:dyDescent="0.25">
      <c r="D37226" s="28"/>
      <c r="F37226" s="28"/>
      <c r="H37226" s="28"/>
    </row>
    <row r="37227" spans="4:8" x14ac:dyDescent="0.25">
      <c r="D37227" s="28"/>
      <c r="F37227" s="28"/>
      <c r="H37227" s="28"/>
    </row>
    <row r="37228" spans="4:8" x14ac:dyDescent="0.25">
      <c r="D37228" s="28"/>
      <c r="F37228" s="28"/>
      <c r="H37228" s="28"/>
    </row>
    <row r="37229" spans="4:8" x14ac:dyDescent="0.25">
      <c r="D37229" s="28"/>
      <c r="F37229" s="28"/>
      <c r="H37229" s="28"/>
    </row>
    <row r="37230" spans="4:8" x14ac:dyDescent="0.25">
      <c r="D37230" s="28"/>
      <c r="F37230" s="28"/>
      <c r="H37230" s="28"/>
    </row>
    <row r="37231" spans="4:8" x14ac:dyDescent="0.25">
      <c r="D37231" s="28"/>
      <c r="F37231" s="28"/>
      <c r="H37231" s="28"/>
    </row>
    <row r="37232" spans="4:8" x14ac:dyDescent="0.25">
      <c r="D37232" s="28"/>
      <c r="F37232" s="28"/>
      <c r="H37232" s="28"/>
    </row>
    <row r="37233" spans="4:8" x14ac:dyDescent="0.25">
      <c r="D37233" s="28"/>
      <c r="F37233" s="28"/>
      <c r="H37233" s="28"/>
    </row>
    <row r="37234" spans="4:8" x14ac:dyDescent="0.25">
      <c r="D37234" s="28"/>
      <c r="F37234" s="28"/>
      <c r="H37234" s="28"/>
    </row>
    <row r="37235" spans="4:8" x14ac:dyDescent="0.25">
      <c r="D37235" s="28"/>
      <c r="F37235" s="28"/>
      <c r="H37235" s="28"/>
    </row>
    <row r="37236" spans="4:8" x14ac:dyDescent="0.25">
      <c r="D37236" s="28"/>
      <c r="F37236" s="28"/>
      <c r="H37236" s="28"/>
    </row>
    <row r="37237" spans="4:8" x14ac:dyDescent="0.25">
      <c r="D37237" s="28"/>
      <c r="F37237" s="28"/>
      <c r="H37237" s="28"/>
    </row>
    <row r="37238" spans="4:8" x14ac:dyDescent="0.25">
      <c r="D37238" s="28"/>
      <c r="F37238" s="28"/>
      <c r="H37238" s="28"/>
    </row>
    <row r="37239" spans="4:8" x14ac:dyDescent="0.25">
      <c r="D37239" s="28"/>
      <c r="F37239" s="28"/>
      <c r="H37239" s="28"/>
    </row>
    <row r="37240" spans="4:8" x14ac:dyDescent="0.25">
      <c r="D37240" s="28"/>
      <c r="F37240" s="28"/>
      <c r="H37240" s="28"/>
    </row>
    <row r="37241" spans="4:8" x14ac:dyDescent="0.25">
      <c r="D37241" s="28"/>
      <c r="F37241" s="28"/>
      <c r="H37241" s="28"/>
    </row>
    <row r="37242" spans="4:8" x14ac:dyDescent="0.25">
      <c r="D37242" s="28"/>
      <c r="F37242" s="28"/>
      <c r="H37242" s="28"/>
    </row>
    <row r="37243" spans="4:8" x14ac:dyDescent="0.25">
      <c r="D37243" s="28"/>
      <c r="F37243" s="28"/>
      <c r="H37243" s="28"/>
    </row>
    <row r="37244" spans="4:8" x14ac:dyDescent="0.25">
      <c r="D37244" s="28"/>
      <c r="F37244" s="28"/>
      <c r="H37244" s="28"/>
    </row>
    <row r="37245" spans="4:8" x14ac:dyDescent="0.25">
      <c r="D37245" s="28"/>
      <c r="F37245" s="28"/>
      <c r="H37245" s="28"/>
    </row>
    <row r="37246" spans="4:8" x14ac:dyDescent="0.25">
      <c r="D37246" s="28"/>
      <c r="F37246" s="28"/>
      <c r="H37246" s="28"/>
    </row>
    <row r="37247" spans="4:8" x14ac:dyDescent="0.25">
      <c r="D37247" s="28"/>
      <c r="F37247" s="28"/>
      <c r="H37247" s="28"/>
    </row>
    <row r="37248" spans="4:8" x14ac:dyDescent="0.25">
      <c r="D37248" s="28"/>
      <c r="F37248" s="28"/>
      <c r="H37248" s="28"/>
    </row>
    <row r="37249" spans="4:8" x14ac:dyDescent="0.25">
      <c r="D37249" s="28"/>
      <c r="F37249" s="28"/>
      <c r="H37249" s="28"/>
    </row>
    <row r="37250" spans="4:8" x14ac:dyDescent="0.25">
      <c r="D37250" s="28"/>
      <c r="F37250" s="28"/>
      <c r="H37250" s="28"/>
    </row>
    <row r="37251" spans="4:8" x14ac:dyDescent="0.25">
      <c r="D37251" s="28"/>
      <c r="F37251" s="28"/>
      <c r="H37251" s="28"/>
    </row>
    <row r="37252" spans="4:8" x14ac:dyDescent="0.25">
      <c r="D37252" s="28"/>
      <c r="F37252" s="28"/>
      <c r="H37252" s="28"/>
    </row>
    <row r="37253" spans="4:8" x14ac:dyDescent="0.25">
      <c r="D37253" s="28"/>
      <c r="F37253" s="28"/>
      <c r="H37253" s="28"/>
    </row>
    <row r="37254" spans="4:8" x14ac:dyDescent="0.25">
      <c r="D37254" s="28"/>
      <c r="F37254" s="28"/>
      <c r="H37254" s="28"/>
    </row>
    <row r="37255" spans="4:8" x14ac:dyDescent="0.25">
      <c r="D37255" s="28"/>
      <c r="F37255" s="28"/>
      <c r="H37255" s="28"/>
    </row>
    <row r="37256" spans="4:8" x14ac:dyDescent="0.25">
      <c r="D37256" s="28"/>
      <c r="F37256" s="28"/>
      <c r="H37256" s="28"/>
    </row>
    <row r="37257" spans="4:8" x14ac:dyDescent="0.25">
      <c r="D37257" s="28"/>
      <c r="F37257" s="28"/>
      <c r="H37257" s="28"/>
    </row>
    <row r="37258" spans="4:8" x14ac:dyDescent="0.25">
      <c r="D37258" s="28"/>
      <c r="F37258" s="28"/>
      <c r="H37258" s="28"/>
    </row>
    <row r="37259" spans="4:8" x14ac:dyDescent="0.25">
      <c r="D37259" s="28"/>
      <c r="F37259" s="28"/>
      <c r="H37259" s="28"/>
    </row>
    <row r="37260" spans="4:8" x14ac:dyDescent="0.25">
      <c r="D37260" s="28"/>
      <c r="F37260" s="28"/>
      <c r="H37260" s="28"/>
    </row>
    <row r="37261" spans="4:8" x14ac:dyDescent="0.25">
      <c r="D37261" s="28"/>
      <c r="F37261" s="28"/>
      <c r="H37261" s="28"/>
    </row>
    <row r="37262" spans="4:8" x14ac:dyDescent="0.25">
      <c r="D37262" s="28"/>
      <c r="F37262" s="28"/>
      <c r="H37262" s="28"/>
    </row>
    <row r="37263" spans="4:8" x14ac:dyDescent="0.25">
      <c r="D37263" s="28"/>
      <c r="F37263" s="28"/>
      <c r="H37263" s="28"/>
    </row>
    <row r="37264" spans="4:8" x14ac:dyDescent="0.25">
      <c r="D37264" s="28"/>
      <c r="F37264" s="28"/>
      <c r="H37264" s="28"/>
    </row>
    <row r="37265" spans="4:8" x14ac:dyDescent="0.25">
      <c r="D37265" s="28"/>
      <c r="F37265" s="28"/>
      <c r="H37265" s="28"/>
    </row>
    <row r="37266" spans="4:8" x14ac:dyDescent="0.25">
      <c r="D37266" s="28"/>
      <c r="F37266" s="28"/>
      <c r="H37266" s="28"/>
    </row>
    <row r="37267" spans="4:8" x14ac:dyDescent="0.25">
      <c r="D37267" s="28"/>
      <c r="F37267" s="28"/>
      <c r="H37267" s="28"/>
    </row>
    <row r="37268" spans="4:8" x14ac:dyDescent="0.25">
      <c r="D37268" s="28"/>
      <c r="F37268" s="28"/>
      <c r="H37268" s="28"/>
    </row>
    <row r="37269" spans="4:8" x14ac:dyDescent="0.25">
      <c r="D37269" s="28"/>
      <c r="F37269" s="28"/>
      <c r="H37269" s="28"/>
    </row>
    <row r="37270" spans="4:8" x14ac:dyDescent="0.25">
      <c r="D37270" s="28"/>
      <c r="F37270" s="28"/>
      <c r="H37270" s="28"/>
    </row>
    <row r="37271" spans="4:8" x14ac:dyDescent="0.25">
      <c r="D37271" s="28"/>
      <c r="F37271" s="28"/>
      <c r="H37271" s="28"/>
    </row>
    <row r="37272" spans="4:8" x14ac:dyDescent="0.25">
      <c r="D37272" s="28"/>
      <c r="F37272" s="28"/>
      <c r="H37272" s="28"/>
    </row>
    <row r="37273" spans="4:8" x14ac:dyDescent="0.25">
      <c r="D37273" s="28"/>
      <c r="F37273" s="28"/>
      <c r="H37273" s="28"/>
    </row>
    <row r="37274" spans="4:8" x14ac:dyDescent="0.25">
      <c r="D37274" s="28"/>
      <c r="F37274" s="28"/>
      <c r="H37274" s="28"/>
    </row>
    <row r="37275" spans="4:8" x14ac:dyDescent="0.25">
      <c r="D37275" s="28"/>
      <c r="F37275" s="28"/>
      <c r="H37275" s="28"/>
    </row>
    <row r="37276" spans="4:8" x14ac:dyDescent="0.25">
      <c r="D37276" s="28"/>
      <c r="F37276" s="28"/>
      <c r="H37276" s="28"/>
    </row>
    <row r="37277" spans="4:8" x14ac:dyDescent="0.25">
      <c r="D37277" s="28"/>
      <c r="F37277" s="28"/>
      <c r="H37277" s="28"/>
    </row>
    <row r="37278" spans="4:8" x14ac:dyDescent="0.25">
      <c r="D37278" s="28"/>
      <c r="F37278" s="28"/>
      <c r="H37278" s="28"/>
    </row>
    <row r="37279" spans="4:8" x14ac:dyDescent="0.25">
      <c r="D37279" s="28"/>
      <c r="F37279" s="28"/>
      <c r="H37279" s="28"/>
    </row>
    <row r="37280" spans="4:8" x14ac:dyDescent="0.25">
      <c r="D37280" s="28"/>
      <c r="F37280" s="28"/>
      <c r="H37280" s="28"/>
    </row>
    <row r="37281" spans="4:8" x14ac:dyDescent="0.25">
      <c r="D37281" s="28"/>
      <c r="F37281" s="28"/>
      <c r="H37281" s="28"/>
    </row>
    <row r="37282" spans="4:8" x14ac:dyDescent="0.25">
      <c r="D37282" s="28"/>
      <c r="F37282" s="28"/>
      <c r="H37282" s="28"/>
    </row>
    <row r="37283" spans="4:8" x14ac:dyDescent="0.25">
      <c r="D37283" s="28"/>
      <c r="F37283" s="28"/>
      <c r="H37283" s="28"/>
    </row>
    <row r="37284" spans="4:8" x14ac:dyDescent="0.25">
      <c r="D37284" s="28"/>
      <c r="F37284" s="28"/>
      <c r="H37284" s="28"/>
    </row>
    <row r="37285" spans="4:8" x14ac:dyDescent="0.25">
      <c r="D37285" s="28"/>
      <c r="F37285" s="28"/>
      <c r="H37285" s="28"/>
    </row>
    <row r="37286" spans="4:8" x14ac:dyDescent="0.25">
      <c r="D37286" s="28"/>
      <c r="F37286" s="28"/>
      <c r="H37286" s="28"/>
    </row>
    <row r="37287" spans="4:8" x14ac:dyDescent="0.25">
      <c r="D37287" s="28"/>
      <c r="F37287" s="28"/>
      <c r="H37287" s="28"/>
    </row>
    <row r="37288" spans="4:8" x14ac:dyDescent="0.25">
      <c r="D37288" s="28"/>
      <c r="F37288" s="28"/>
      <c r="H37288" s="28"/>
    </row>
    <row r="37289" spans="4:8" x14ac:dyDescent="0.25">
      <c r="D37289" s="28"/>
      <c r="F37289" s="28"/>
      <c r="H37289" s="28"/>
    </row>
    <row r="37290" spans="4:8" x14ac:dyDescent="0.25">
      <c r="D37290" s="28"/>
      <c r="F37290" s="28"/>
      <c r="H37290" s="28"/>
    </row>
    <row r="37291" spans="4:8" x14ac:dyDescent="0.25">
      <c r="D37291" s="28"/>
      <c r="F37291" s="28"/>
      <c r="H37291" s="28"/>
    </row>
    <row r="37292" spans="4:8" x14ac:dyDescent="0.25">
      <c r="D37292" s="28"/>
      <c r="F37292" s="28"/>
      <c r="H37292" s="28"/>
    </row>
    <row r="37293" spans="4:8" x14ac:dyDescent="0.25">
      <c r="D37293" s="28"/>
      <c r="F37293" s="28"/>
      <c r="H37293" s="28"/>
    </row>
    <row r="37294" spans="4:8" x14ac:dyDescent="0.25">
      <c r="D37294" s="28"/>
      <c r="F37294" s="28"/>
      <c r="H37294" s="28"/>
    </row>
    <row r="37295" spans="4:8" x14ac:dyDescent="0.25">
      <c r="D37295" s="28"/>
      <c r="F37295" s="28"/>
      <c r="H37295" s="28"/>
    </row>
    <row r="37296" spans="4:8" x14ac:dyDescent="0.25">
      <c r="D37296" s="28"/>
      <c r="F37296" s="28"/>
      <c r="H37296" s="28"/>
    </row>
    <row r="37297" spans="4:8" x14ac:dyDescent="0.25">
      <c r="D37297" s="28"/>
      <c r="F37297" s="28"/>
      <c r="H37297" s="28"/>
    </row>
    <row r="37298" spans="4:8" x14ac:dyDescent="0.25">
      <c r="D37298" s="28"/>
      <c r="F37298" s="28"/>
      <c r="H37298" s="28"/>
    </row>
    <row r="37299" spans="4:8" x14ac:dyDescent="0.25">
      <c r="D37299" s="28"/>
      <c r="F37299" s="28"/>
      <c r="H37299" s="28"/>
    </row>
    <row r="37300" spans="4:8" x14ac:dyDescent="0.25">
      <c r="D37300" s="28"/>
      <c r="F37300" s="28"/>
      <c r="H37300" s="28"/>
    </row>
    <row r="37301" spans="4:8" x14ac:dyDescent="0.25">
      <c r="D37301" s="28"/>
      <c r="F37301" s="28"/>
      <c r="H37301" s="28"/>
    </row>
    <row r="37302" spans="4:8" x14ac:dyDescent="0.25">
      <c r="D37302" s="28"/>
      <c r="F37302" s="28"/>
      <c r="H37302" s="28"/>
    </row>
    <row r="37303" spans="4:8" x14ac:dyDescent="0.25">
      <c r="D37303" s="28"/>
      <c r="F37303" s="28"/>
      <c r="H37303" s="28"/>
    </row>
    <row r="37304" spans="4:8" x14ac:dyDescent="0.25">
      <c r="D37304" s="28"/>
      <c r="F37304" s="28"/>
      <c r="H37304" s="28"/>
    </row>
    <row r="37305" spans="4:8" x14ac:dyDescent="0.25">
      <c r="D37305" s="28"/>
      <c r="F37305" s="28"/>
      <c r="H37305" s="28"/>
    </row>
    <row r="37306" spans="4:8" x14ac:dyDescent="0.25">
      <c r="D37306" s="28"/>
      <c r="F37306" s="28"/>
      <c r="H37306" s="28"/>
    </row>
    <row r="37307" spans="4:8" x14ac:dyDescent="0.25">
      <c r="D37307" s="28"/>
      <c r="F37307" s="28"/>
      <c r="H37307" s="28"/>
    </row>
    <row r="37308" spans="4:8" x14ac:dyDescent="0.25">
      <c r="D37308" s="28"/>
      <c r="F37308" s="28"/>
      <c r="H37308" s="28"/>
    </row>
    <row r="37309" spans="4:8" x14ac:dyDescent="0.25">
      <c r="D37309" s="28"/>
      <c r="F37309" s="28"/>
      <c r="H37309" s="28"/>
    </row>
    <row r="37310" spans="4:8" x14ac:dyDescent="0.25">
      <c r="D37310" s="28"/>
      <c r="F37310" s="28"/>
      <c r="H37310" s="28"/>
    </row>
    <row r="37311" spans="4:8" x14ac:dyDescent="0.25">
      <c r="D37311" s="28"/>
      <c r="F37311" s="28"/>
      <c r="H37311" s="28"/>
    </row>
    <row r="37312" spans="4:8" x14ac:dyDescent="0.25">
      <c r="D37312" s="28"/>
      <c r="F37312" s="28"/>
      <c r="H37312" s="28"/>
    </row>
    <row r="37313" spans="4:8" x14ac:dyDescent="0.25">
      <c r="D37313" s="28"/>
      <c r="F37313" s="28"/>
      <c r="H37313" s="28"/>
    </row>
    <row r="37314" spans="4:8" x14ac:dyDescent="0.25">
      <c r="D37314" s="28"/>
      <c r="F37314" s="28"/>
      <c r="H37314" s="28"/>
    </row>
    <row r="37315" spans="4:8" x14ac:dyDescent="0.25">
      <c r="D37315" s="28"/>
      <c r="F37315" s="28"/>
      <c r="H37315" s="28"/>
    </row>
    <row r="37316" spans="4:8" x14ac:dyDescent="0.25">
      <c r="D37316" s="28"/>
      <c r="F37316" s="28"/>
      <c r="H37316" s="28"/>
    </row>
    <row r="37317" spans="4:8" x14ac:dyDescent="0.25">
      <c r="D37317" s="28"/>
      <c r="F37317" s="28"/>
      <c r="H37317" s="28"/>
    </row>
    <row r="37318" spans="4:8" x14ac:dyDescent="0.25">
      <c r="D37318" s="28"/>
      <c r="F37318" s="28"/>
      <c r="H37318" s="28"/>
    </row>
    <row r="37319" spans="4:8" x14ac:dyDescent="0.25">
      <c r="D37319" s="28"/>
      <c r="F37319" s="28"/>
      <c r="H37319" s="28"/>
    </row>
    <row r="37320" spans="4:8" x14ac:dyDescent="0.25">
      <c r="D37320" s="28"/>
      <c r="F37320" s="28"/>
      <c r="H37320" s="28"/>
    </row>
    <row r="37321" spans="4:8" x14ac:dyDescent="0.25">
      <c r="D37321" s="28"/>
      <c r="F37321" s="28"/>
      <c r="H37321" s="28"/>
    </row>
    <row r="37322" spans="4:8" x14ac:dyDescent="0.25">
      <c r="D37322" s="28"/>
      <c r="F37322" s="28"/>
      <c r="H37322" s="28"/>
    </row>
    <row r="37323" spans="4:8" x14ac:dyDescent="0.25">
      <c r="D37323" s="28"/>
      <c r="F37323" s="28"/>
      <c r="H37323" s="28"/>
    </row>
    <row r="37324" spans="4:8" x14ac:dyDescent="0.25">
      <c r="D37324" s="28"/>
      <c r="F37324" s="28"/>
      <c r="H37324" s="28"/>
    </row>
    <row r="37325" spans="4:8" x14ac:dyDescent="0.25">
      <c r="D37325" s="28"/>
      <c r="F37325" s="28"/>
      <c r="H37325" s="28"/>
    </row>
    <row r="37326" spans="4:8" x14ac:dyDescent="0.25">
      <c r="D37326" s="28"/>
      <c r="F37326" s="28"/>
      <c r="H37326" s="28"/>
    </row>
    <row r="37327" spans="4:8" x14ac:dyDescent="0.25">
      <c r="D37327" s="28"/>
      <c r="F37327" s="28"/>
      <c r="H37327" s="28"/>
    </row>
    <row r="37328" spans="4:8" x14ac:dyDescent="0.25">
      <c r="D37328" s="28"/>
      <c r="F37328" s="28"/>
      <c r="H37328" s="28"/>
    </row>
    <row r="37329" spans="4:8" x14ac:dyDescent="0.25">
      <c r="D37329" s="28"/>
      <c r="F37329" s="28"/>
      <c r="H37329" s="28"/>
    </row>
    <row r="37330" spans="4:8" x14ac:dyDescent="0.25">
      <c r="D37330" s="28"/>
      <c r="F37330" s="28"/>
      <c r="H37330" s="28"/>
    </row>
    <row r="37331" spans="4:8" x14ac:dyDescent="0.25">
      <c r="D37331" s="28"/>
      <c r="F37331" s="28"/>
      <c r="H37331" s="28"/>
    </row>
    <row r="37332" spans="4:8" x14ac:dyDescent="0.25">
      <c r="D37332" s="28"/>
      <c r="F37332" s="28"/>
      <c r="H37332" s="28"/>
    </row>
    <row r="37333" spans="4:8" x14ac:dyDescent="0.25">
      <c r="D37333" s="28"/>
      <c r="F37333" s="28"/>
      <c r="H37333" s="28"/>
    </row>
    <row r="37334" spans="4:8" x14ac:dyDescent="0.25">
      <c r="D37334" s="28"/>
      <c r="F37334" s="28"/>
      <c r="H37334" s="28"/>
    </row>
    <row r="37335" spans="4:8" x14ac:dyDescent="0.25">
      <c r="D37335" s="28"/>
      <c r="F37335" s="28"/>
      <c r="H37335" s="28"/>
    </row>
    <row r="37336" spans="4:8" x14ac:dyDescent="0.25">
      <c r="D37336" s="28"/>
      <c r="F37336" s="28"/>
      <c r="H37336" s="28"/>
    </row>
    <row r="37337" spans="4:8" x14ac:dyDescent="0.25">
      <c r="D37337" s="28"/>
      <c r="F37337" s="28"/>
      <c r="H37337" s="28"/>
    </row>
    <row r="37338" spans="4:8" x14ac:dyDescent="0.25">
      <c r="D37338" s="28"/>
      <c r="F37338" s="28"/>
      <c r="H37338" s="28"/>
    </row>
    <row r="37339" spans="4:8" x14ac:dyDescent="0.25">
      <c r="D37339" s="28"/>
      <c r="F37339" s="28"/>
      <c r="H37339" s="28"/>
    </row>
    <row r="37340" spans="4:8" x14ac:dyDescent="0.25">
      <c r="D37340" s="28"/>
      <c r="F37340" s="28"/>
      <c r="H37340" s="28"/>
    </row>
    <row r="37341" spans="4:8" x14ac:dyDescent="0.25">
      <c r="D37341" s="28"/>
      <c r="F37341" s="28"/>
      <c r="H37341" s="28"/>
    </row>
    <row r="37342" spans="4:8" x14ac:dyDescent="0.25">
      <c r="D37342" s="28"/>
      <c r="F37342" s="28"/>
      <c r="H37342" s="28"/>
    </row>
    <row r="37343" spans="4:8" x14ac:dyDescent="0.25">
      <c r="D37343" s="28"/>
      <c r="F37343" s="28"/>
      <c r="H37343" s="28"/>
    </row>
    <row r="37344" spans="4:8" x14ac:dyDescent="0.25">
      <c r="D37344" s="28"/>
      <c r="F37344" s="28"/>
      <c r="H37344" s="28"/>
    </row>
    <row r="37345" spans="4:8" x14ac:dyDescent="0.25">
      <c r="D37345" s="28"/>
      <c r="F37345" s="28"/>
      <c r="H37345" s="28"/>
    </row>
    <row r="37346" spans="4:8" x14ac:dyDescent="0.25">
      <c r="D37346" s="28"/>
      <c r="F37346" s="28"/>
      <c r="H37346" s="28"/>
    </row>
    <row r="37347" spans="4:8" x14ac:dyDescent="0.25">
      <c r="D37347" s="28"/>
      <c r="F37347" s="28"/>
      <c r="H37347" s="28"/>
    </row>
    <row r="37348" spans="4:8" x14ac:dyDescent="0.25">
      <c r="D37348" s="28"/>
      <c r="F37348" s="28"/>
      <c r="H37348" s="28"/>
    </row>
    <row r="37349" spans="4:8" x14ac:dyDescent="0.25">
      <c r="D37349" s="28"/>
      <c r="F37349" s="28"/>
      <c r="H37349" s="28"/>
    </row>
    <row r="37350" spans="4:8" x14ac:dyDescent="0.25">
      <c r="D37350" s="28"/>
      <c r="F37350" s="28"/>
      <c r="H37350" s="28"/>
    </row>
    <row r="37351" spans="4:8" x14ac:dyDescent="0.25">
      <c r="D37351" s="28"/>
      <c r="F37351" s="28"/>
      <c r="H37351" s="28"/>
    </row>
    <row r="37352" spans="4:8" x14ac:dyDescent="0.25">
      <c r="D37352" s="28"/>
      <c r="F37352" s="28"/>
      <c r="H37352" s="28"/>
    </row>
    <row r="37353" spans="4:8" x14ac:dyDescent="0.25">
      <c r="D37353" s="28"/>
      <c r="F37353" s="28"/>
      <c r="H37353" s="28"/>
    </row>
    <row r="37354" spans="4:8" x14ac:dyDescent="0.25">
      <c r="D37354" s="28"/>
      <c r="F37354" s="28"/>
      <c r="H37354" s="28"/>
    </row>
    <row r="37355" spans="4:8" x14ac:dyDescent="0.25">
      <c r="D37355" s="28"/>
      <c r="F37355" s="28"/>
      <c r="H37355" s="28"/>
    </row>
    <row r="37356" spans="4:8" x14ac:dyDescent="0.25">
      <c r="D37356" s="28"/>
      <c r="F37356" s="28"/>
      <c r="H37356" s="28"/>
    </row>
    <row r="37357" spans="4:8" x14ac:dyDescent="0.25">
      <c r="D37357" s="28"/>
      <c r="F37357" s="28"/>
      <c r="H37357" s="28"/>
    </row>
    <row r="37358" spans="4:8" x14ac:dyDescent="0.25">
      <c r="D37358" s="28"/>
      <c r="F37358" s="28"/>
      <c r="H37358" s="28"/>
    </row>
    <row r="37359" spans="4:8" x14ac:dyDescent="0.25">
      <c r="D37359" s="28"/>
      <c r="F37359" s="28"/>
      <c r="H37359" s="28"/>
    </row>
    <row r="37360" spans="4:8" x14ac:dyDescent="0.25">
      <c r="D37360" s="28"/>
      <c r="F37360" s="28"/>
      <c r="H37360" s="28"/>
    </row>
    <row r="37361" spans="4:8" x14ac:dyDescent="0.25">
      <c r="D37361" s="28"/>
      <c r="F37361" s="28"/>
      <c r="H37361" s="28"/>
    </row>
    <row r="37362" spans="4:8" x14ac:dyDescent="0.25">
      <c r="D37362" s="28"/>
      <c r="F37362" s="28"/>
      <c r="H37362" s="28"/>
    </row>
    <row r="37363" spans="4:8" x14ac:dyDescent="0.25">
      <c r="D37363" s="28"/>
      <c r="F37363" s="28"/>
      <c r="H37363" s="28"/>
    </row>
    <row r="37364" spans="4:8" x14ac:dyDescent="0.25">
      <c r="D37364" s="28"/>
      <c r="F37364" s="28"/>
      <c r="H37364" s="28"/>
    </row>
    <row r="37365" spans="4:8" x14ac:dyDescent="0.25">
      <c r="D37365" s="28"/>
      <c r="F37365" s="28"/>
      <c r="H37365" s="28"/>
    </row>
    <row r="37366" spans="4:8" x14ac:dyDescent="0.25">
      <c r="D37366" s="28"/>
      <c r="F37366" s="28"/>
      <c r="H37366" s="28"/>
    </row>
    <row r="37367" spans="4:8" x14ac:dyDescent="0.25">
      <c r="D37367" s="28"/>
      <c r="F37367" s="28"/>
      <c r="H37367" s="28"/>
    </row>
    <row r="37368" spans="4:8" x14ac:dyDescent="0.25">
      <c r="D37368" s="28"/>
      <c r="F37368" s="28"/>
      <c r="H37368" s="28"/>
    </row>
    <row r="37369" spans="4:8" x14ac:dyDescent="0.25">
      <c r="D37369" s="28"/>
      <c r="F37369" s="28"/>
      <c r="H37369" s="28"/>
    </row>
    <row r="37370" spans="4:8" x14ac:dyDescent="0.25">
      <c r="D37370" s="28"/>
      <c r="F37370" s="28"/>
      <c r="H37370" s="28"/>
    </row>
    <row r="37371" spans="4:8" x14ac:dyDescent="0.25">
      <c r="D37371" s="28"/>
      <c r="F37371" s="28"/>
      <c r="H37371" s="28"/>
    </row>
    <row r="37372" spans="4:8" x14ac:dyDescent="0.25">
      <c r="D37372" s="28"/>
      <c r="F37372" s="28"/>
      <c r="H37372" s="28"/>
    </row>
    <row r="37373" spans="4:8" x14ac:dyDescent="0.25">
      <c r="D37373" s="28"/>
      <c r="F37373" s="28"/>
      <c r="H37373" s="28"/>
    </row>
    <row r="37374" spans="4:8" x14ac:dyDescent="0.25">
      <c r="D37374" s="28"/>
      <c r="F37374" s="28"/>
      <c r="H37374" s="28"/>
    </row>
    <row r="37375" spans="4:8" x14ac:dyDescent="0.25">
      <c r="D37375" s="28"/>
      <c r="F37375" s="28"/>
      <c r="H37375" s="28"/>
    </row>
    <row r="37376" spans="4:8" x14ac:dyDescent="0.25">
      <c r="D37376" s="28"/>
      <c r="F37376" s="28"/>
      <c r="H37376" s="28"/>
    </row>
    <row r="37377" spans="4:8" x14ac:dyDescent="0.25">
      <c r="D37377" s="28"/>
      <c r="F37377" s="28"/>
      <c r="H37377" s="28"/>
    </row>
    <row r="37378" spans="4:8" x14ac:dyDescent="0.25">
      <c r="D37378" s="28"/>
      <c r="F37378" s="28"/>
      <c r="H37378" s="28"/>
    </row>
    <row r="37379" spans="4:8" x14ac:dyDescent="0.25">
      <c r="D37379" s="28"/>
      <c r="F37379" s="28"/>
      <c r="H37379" s="28"/>
    </row>
    <row r="37380" spans="4:8" x14ac:dyDescent="0.25">
      <c r="D37380" s="28"/>
      <c r="F37380" s="28"/>
      <c r="H37380" s="28"/>
    </row>
    <row r="37381" spans="4:8" x14ac:dyDescent="0.25">
      <c r="D37381" s="28"/>
      <c r="F37381" s="28"/>
      <c r="H37381" s="28"/>
    </row>
    <row r="37382" spans="4:8" x14ac:dyDescent="0.25">
      <c r="D37382" s="28"/>
      <c r="F37382" s="28"/>
      <c r="H37382" s="28"/>
    </row>
    <row r="37383" spans="4:8" x14ac:dyDescent="0.25">
      <c r="D37383" s="28"/>
      <c r="F37383" s="28"/>
      <c r="H37383" s="28"/>
    </row>
    <row r="37384" spans="4:8" x14ac:dyDescent="0.25">
      <c r="D37384" s="28"/>
      <c r="F37384" s="28"/>
      <c r="H37384" s="28"/>
    </row>
    <row r="37385" spans="4:8" x14ac:dyDescent="0.25">
      <c r="D37385" s="28"/>
      <c r="F37385" s="28"/>
      <c r="H37385" s="28"/>
    </row>
    <row r="37386" spans="4:8" x14ac:dyDescent="0.25">
      <c r="D37386" s="28"/>
      <c r="F37386" s="28"/>
      <c r="H37386" s="28"/>
    </row>
    <row r="37387" spans="4:8" x14ac:dyDescent="0.25">
      <c r="D37387" s="28"/>
      <c r="F37387" s="28"/>
      <c r="H37387" s="28"/>
    </row>
    <row r="37388" spans="4:8" x14ac:dyDescent="0.25">
      <c r="D37388" s="28"/>
      <c r="F37388" s="28"/>
      <c r="H37388" s="28"/>
    </row>
    <row r="37389" spans="4:8" x14ac:dyDescent="0.25">
      <c r="D37389" s="28"/>
      <c r="F37389" s="28"/>
      <c r="H37389" s="28"/>
    </row>
    <row r="37390" spans="4:8" x14ac:dyDescent="0.25">
      <c r="D37390" s="28"/>
      <c r="F37390" s="28"/>
      <c r="H37390" s="28"/>
    </row>
    <row r="37391" spans="4:8" x14ac:dyDescent="0.25">
      <c r="D37391" s="28"/>
      <c r="F37391" s="28"/>
      <c r="H37391" s="28"/>
    </row>
    <row r="37392" spans="4:8" x14ac:dyDescent="0.25">
      <c r="D37392" s="28"/>
      <c r="F37392" s="28"/>
      <c r="H37392" s="28"/>
    </row>
    <row r="37393" spans="4:8" x14ac:dyDescent="0.25">
      <c r="D37393" s="28"/>
      <c r="F37393" s="28"/>
      <c r="H37393" s="28"/>
    </row>
    <row r="37394" spans="4:8" x14ac:dyDescent="0.25">
      <c r="D37394" s="28"/>
      <c r="F37394" s="28"/>
      <c r="H37394" s="28"/>
    </row>
    <row r="37395" spans="4:8" x14ac:dyDescent="0.25">
      <c r="D37395" s="28"/>
      <c r="F37395" s="28"/>
      <c r="H37395" s="28"/>
    </row>
    <row r="37396" spans="4:8" x14ac:dyDescent="0.25">
      <c r="D37396" s="28"/>
      <c r="F37396" s="28"/>
      <c r="H37396" s="28"/>
    </row>
    <row r="37397" spans="4:8" x14ac:dyDescent="0.25">
      <c r="D37397" s="28"/>
      <c r="F37397" s="28"/>
      <c r="H37397" s="28"/>
    </row>
    <row r="37398" spans="4:8" x14ac:dyDescent="0.25">
      <c r="D37398" s="28"/>
      <c r="F37398" s="28"/>
      <c r="H37398" s="28"/>
    </row>
    <row r="37399" spans="4:8" x14ac:dyDescent="0.25">
      <c r="D37399" s="28"/>
      <c r="F37399" s="28"/>
      <c r="H37399" s="28"/>
    </row>
    <row r="37400" spans="4:8" x14ac:dyDescent="0.25">
      <c r="D37400" s="28"/>
      <c r="F37400" s="28"/>
      <c r="H37400" s="28"/>
    </row>
    <row r="37401" spans="4:8" x14ac:dyDescent="0.25">
      <c r="D37401" s="28"/>
      <c r="F37401" s="28"/>
      <c r="H37401" s="28"/>
    </row>
    <row r="37402" spans="4:8" x14ac:dyDescent="0.25">
      <c r="D37402" s="28"/>
      <c r="F37402" s="28"/>
      <c r="H37402" s="28"/>
    </row>
    <row r="37403" spans="4:8" x14ac:dyDescent="0.25">
      <c r="D37403" s="28"/>
      <c r="F37403" s="28"/>
      <c r="H37403" s="28"/>
    </row>
    <row r="37404" spans="4:8" x14ac:dyDescent="0.25">
      <c r="D37404" s="28"/>
      <c r="F37404" s="28"/>
      <c r="H37404" s="28"/>
    </row>
    <row r="37405" spans="4:8" x14ac:dyDescent="0.25">
      <c r="D37405" s="28"/>
      <c r="F37405" s="28"/>
      <c r="H37405" s="28"/>
    </row>
    <row r="37406" spans="4:8" x14ac:dyDescent="0.25">
      <c r="D37406" s="28"/>
      <c r="F37406" s="28"/>
      <c r="H37406" s="28"/>
    </row>
    <row r="37407" spans="4:8" x14ac:dyDescent="0.25">
      <c r="D37407" s="28"/>
      <c r="F37407" s="28"/>
      <c r="H37407" s="28"/>
    </row>
    <row r="37408" spans="4:8" x14ac:dyDescent="0.25">
      <c r="D37408" s="28"/>
      <c r="F37408" s="28"/>
      <c r="H37408" s="28"/>
    </row>
    <row r="37409" spans="4:8" x14ac:dyDescent="0.25">
      <c r="D37409" s="28"/>
      <c r="F37409" s="28"/>
      <c r="H37409" s="28"/>
    </row>
    <row r="37410" spans="4:8" x14ac:dyDescent="0.25">
      <c r="D37410" s="28"/>
      <c r="F37410" s="28"/>
      <c r="H37410" s="28"/>
    </row>
    <row r="37411" spans="4:8" x14ac:dyDescent="0.25">
      <c r="D37411" s="28"/>
      <c r="F37411" s="28"/>
      <c r="H37411" s="28"/>
    </row>
    <row r="37412" spans="4:8" x14ac:dyDescent="0.25">
      <c r="D37412" s="28"/>
      <c r="F37412" s="28"/>
      <c r="H37412" s="28"/>
    </row>
    <row r="37413" spans="4:8" x14ac:dyDescent="0.25">
      <c r="D37413" s="28"/>
      <c r="F37413" s="28"/>
      <c r="H37413" s="28"/>
    </row>
    <row r="37414" spans="4:8" x14ac:dyDescent="0.25">
      <c r="D37414" s="28"/>
      <c r="F37414" s="28"/>
      <c r="H37414" s="28"/>
    </row>
    <row r="37415" spans="4:8" x14ac:dyDescent="0.25">
      <c r="D37415" s="28"/>
      <c r="F37415" s="28"/>
      <c r="H37415" s="28"/>
    </row>
    <row r="37416" spans="4:8" x14ac:dyDescent="0.25">
      <c r="D37416" s="28"/>
      <c r="F37416" s="28"/>
      <c r="H37416" s="28"/>
    </row>
    <row r="37417" spans="4:8" x14ac:dyDescent="0.25">
      <c r="D37417" s="28"/>
      <c r="F37417" s="28"/>
      <c r="H37417" s="28"/>
    </row>
    <row r="37418" spans="4:8" x14ac:dyDescent="0.25">
      <c r="D37418" s="28"/>
      <c r="F37418" s="28"/>
      <c r="H37418" s="28"/>
    </row>
    <row r="37419" spans="4:8" x14ac:dyDescent="0.25">
      <c r="D37419" s="28"/>
      <c r="F37419" s="28"/>
      <c r="H37419" s="28"/>
    </row>
    <row r="37420" spans="4:8" x14ac:dyDescent="0.25">
      <c r="D37420" s="28"/>
      <c r="F37420" s="28"/>
      <c r="H37420" s="28"/>
    </row>
    <row r="37421" spans="4:8" x14ac:dyDescent="0.25">
      <c r="D37421" s="28"/>
      <c r="F37421" s="28"/>
      <c r="H37421" s="28"/>
    </row>
    <row r="37422" spans="4:8" x14ac:dyDescent="0.25">
      <c r="D37422" s="28"/>
      <c r="F37422" s="28"/>
      <c r="H37422" s="28"/>
    </row>
    <row r="37423" spans="4:8" x14ac:dyDescent="0.25">
      <c r="D37423" s="28"/>
      <c r="F37423" s="28"/>
      <c r="H37423" s="28"/>
    </row>
    <row r="37424" spans="4:8" x14ac:dyDescent="0.25">
      <c r="D37424" s="28"/>
      <c r="F37424" s="28"/>
      <c r="H37424" s="28"/>
    </row>
    <row r="37425" spans="4:8" x14ac:dyDescent="0.25">
      <c r="D37425" s="28"/>
      <c r="F37425" s="28"/>
      <c r="H37425" s="28"/>
    </row>
    <row r="37426" spans="4:8" x14ac:dyDescent="0.25">
      <c r="D37426" s="28"/>
      <c r="F37426" s="28"/>
      <c r="H37426" s="28"/>
    </row>
    <row r="37427" spans="4:8" x14ac:dyDescent="0.25">
      <c r="D37427" s="28"/>
      <c r="F37427" s="28"/>
      <c r="H37427" s="28"/>
    </row>
    <row r="37428" spans="4:8" x14ac:dyDescent="0.25">
      <c r="D37428" s="28"/>
      <c r="F37428" s="28"/>
      <c r="H37428" s="28"/>
    </row>
    <row r="37429" spans="4:8" x14ac:dyDescent="0.25">
      <c r="D37429" s="28"/>
      <c r="F37429" s="28"/>
      <c r="H37429" s="28"/>
    </row>
    <row r="37430" spans="4:8" x14ac:dyDescent="0.25">
      <c r="D37430" s="28"/>
      <c r="F37430" s="28"/>
      <c r="H37430" s="28"/>
    </row>
    <row r="37431" spans="4:8" x14ac:dyDescent="0.25">
      <c r="D37431" s="28"/>
      <c r="F37431" s="28"/>
      <c r="H37431" s="28"/>
    </row>
    <row r="37432" spans="4:8" x14ac:dyDescent="0.25">
      <c r="D37432" s="28"/>
      <c r="F37432" s="28"/>
      <c r="H37432" s="28"/>
    </row>
    <row r="37433" spans="4:8" x14ac:dyDescent="0.25">
      <c r="D37433" s="28"/>
      <c r="F37433" s="28"/>
      <c r="H37433" s="28"/>
    </row>
    <row r="37434" spans="4:8" x14ac:dyDescent="0.25">
      <c r="D37434" s="28"/>
      <c r="F37434" s="28"/>
      <c r="H37434" s="28"/>
    </row>
    <row r="37435" spans="4:8" x14ac:dyDescent="0.25">
      <c r="D37435" s="28"/>
      <c r="F37435" s="28"/>
      <c r="H37435" s="28"/>
    </row>
    <row r="37436" spans="4:8" x14ac:dyDescent="0.25">
      <c r="D37436" s="28"/>
      <c r="F37436" s="28"/>
      <c r="H37436" s="28"/>
    </row>
    <row r="37437" spans="4:8" x14ac:dyDescent="0.25">
      <c r="D37437" s="28"/>
      <c r="F37437" s="28"/>
      <c r="H37437" s="28"/>
    </row>
    <row r="37438" spans="4:8" x14ac:dyDescent="0.25">
      <c r="D37438" s="28"/>
      <c r="F37438" s="28"/>
      <c r="H37438" s="28"/>
    </row>
    <row r="37439" spans="4:8" x14ac:dyDescent="0.25">
      <c r="D37439" s="28"/>
      <c r="F37439" s="28"/>
      <c r="H37439" s="28"/>
    </row>
    <row r="37440" spans="4:8" x14ac:dyDescent="0.25">
      <c r="D37440" s="28"/>
      <c r="F37440" s="28"/>
      <c r="H37440" s="28"/>
    </row>
    <row r="37441" spans="4:8" x14ac:dyDescent="0.25">
      <c r="D37441" s="28"/>
      <c r="F37441" s="28"/>
      <c r="H37441" s="28"/>
    </row>
    <row r="37442" spans="4:8" x14ac:dyDescent="0.25">
      <c r="D37442" s="28"/>
      <c r="F37442" s="28"/>
      <c r="H37442" s="28"/>
    </row>
    <row r="37443" spans="4:8" x14ac:dyDescent="0.25">
      <c r="D37443" s="28"/>
      <c r="F37443" s="28"/>
      <c r="H37443" s="28"/>
    </row>
    <row r="37444" spans="4:8" x14ac:dyDescent="0.25">
      <c r="D37444" s="28"/>
      <c r="F37444" s="28"/>
      <c r="H37444" s="28"/>
    </row>
    <row r="37445" spans="4:8" x14ac:dyDescent="0.25">
      <c r="D37445" s="28"/>
      <c r="F37445" s="28"/>
      <c r="H37445" s="28"/>
    </row>
    <row r="37446" spans="4:8" x14ac:dyDescent="0.25">
      <c r="D37446" s="28"/>
      <c r="F37446" s="28"/>
      <c r="H37446" s="28"/>
    </row>
    <row r="37447" spans="4:8" x14ac:dyDescent="0.25">
      <c r="D37447" s="28"/>
      <c r="F37447" s="28"/>
      <c r="H37447" s="28"/>
    </row>
    <row r="37448" spans="4:8" x14ac:dyDescent="0.25">
      <c r="D37448" s="28"/>
      <c r="F37448" s="28"/>
      <c r="H37448" s="28"/>
    </row>
    <row r="37449" spans="4:8" x14ac:dyDescent="0.25">
      <c r="D37449" s="28"/>
      <c r="F37449" s="28"/>
      <c r="H37449" s="28"/>
    </row>
    <row r="37450" spans="4:8" x14ac:dyDescent="0.25">
      <c r="D37450" s="28"/>
      <c r="F37450" s="28"/>
      <c r="H37450" s="28"/>
    </row>
    <row r="37451" spans="4:8" x14ac:dyDescent="0.25">
      <c r="D37451" s="28"/>
      <c r="F37451" s="28"/>
      <c r="H37451" s="28"/>
    </row>
    <row r="37452" spans="4:8" x14ac:dyDescent="0.25">
      <c r="D37452" s="28"/>
      <c r="F37452" s="28"/>
      <c r="H37452" s="28"/>
    </row>
    <row r="37453" spans="4:8" x14ac:dyDescent="0.25">
      <c r="D37453" s="28"/>
      <c r="F37453" s="28"/>
      <c r="H37453" s="28"/>
    </row>
    <row r="37454" spans="4:8" x14ac:dyDescent="0.25">
      <c r="D37454" s="28"/>
      <c r="F37454" s="28"/>
      <c r="H37454" s="28"/>
    </row>
    <row r="37455" spans="4:8" x14ac:dyDescent="0.25">
      <c r="D37455" s="28"/>
      <c r="F37455" s="28"/>
      <c r="H37455" s="28"/>
    </row>
    <row r="37456" spans="4:8" x14ac:dyDescent="0.25">
      <c r="D37456" s="28"/>
      <c r="F37456" s="28"/>
      <c r="H37456" s="28"/>
    </row>
    <row r="37457" spans="4:8" x14ac:dyDescent="0.25">
      <c r="D37457" s="28"/>
      <c r="F37457" s="28"/>
      <c r="H37457" s="28"/>
    </row>
    <row r="37458" spans="4:8" x14ac:dyDescent="0.25">
      <c r="D37458" s="28"/>
      <c r="F37458" s="28"/>
      <c r="H37458" s="28"/>
    </row>
    <row r="37459" spans="4:8" x14ac:dyDescent="0.25">
      <c r="D37459" s="28"/>
      <c r="F37459" s="28"/>
      <c r="H37459" s="28"/>
    </row>
    <row r="37460" spans="4:8" x14ac:dyDescent="0.25">
      <c r="D37460" s="28"/>
      <c r="F37460" s="28"/>
      <c r="H37460" s="28"/>
    </row>
    <row r="37461" spans="4:8" x14ac:dyDescent="0.25">
      <c r="D37461" s="28"/>
      <c r="F37461" s="28"/>
      <c r="H37461" s="28"/>
    </row>
    <row r="37462" spans="4:8" x14ac:dyDescent="0.25">
      <c r="D37462" s="28"/>
      <c r="F37462" s="28"/>
      <c r="H37462" s="28"/>
    </row>
    <row r="37463" spans="4:8" x14ac:dyDescent="0.25">
      <c r="D37463" s="28"/>
      <c r="F37463" s="28"/>
      <c r="H37463" s="28"/>
    </row>
    <row r="37464" spans="4:8" x14ac:dyDescent="0.25">
      <c r="D37464" s="28"/>
      <c r="F37464" s="28"/>
      <c r="H37464" s="28"/>
    </row>
    <row r="37465" spans="4:8" x14ac:dyDescent="0.25">
      <c r="D37465" s="28"/>
      <c r="F37465" s="28"/>
      <c r="H37465" s="28"/>
    </row>
    <row r="37466" spans="4:8" x14ac:dyDescent="0.25">
      <c r="D37466" s="28"/>
      <c r="F37466" s="28"/>
      <c r="H37466" s="28"/>
    </row>
    <row r="37467" spans="4:8" x14ac:dyDescent="0.25">
      <c r="D37467" s="28"/>
      <c r="F37467" s="28"/>
      <c r="H37467" s="28"/>
    </row>
    <row r="37468" spans="4:8" x14ac:dyDescent="0.25">
      <c r="D37468" s="28"/>
      <c r="F37468" s="28"/>
      <c r="H37468" s="28"/>
    </row>
    <row r="37469" spans="4:8" x14ac:dyDescent="0.25">
      <c r="D37469" s="28"/>
      <c r="F37469" s="28"/>
      <c r="H37469" s="28"/>
    </row>
    <row r="37470" spans="4:8" x14ac:dyDescent="0.25">
      <c r="D37470" s="28"/>
      <c r="F37470" s="28"/>
      <c r="H37470" s="28"/>
    </row>
    <row r="37471" spans="4:8" x14ac:dyDescent="0.25">
      <c r="D37471" s="28"/>
      <c r="F37471" s="28"/>
      <c r="H37471" s="28"/>
    </row>
    <row r="37472" spans="4:8" x14ac:dyDescent="0.25">
      <c r="D37472" s="28"/>
      <c r="F37472" s="28"/>
      <c r="H37472" s="28"/>
    </row>
    <row r="37473" spans="4:8" x14ac:dyDescent="0.25">
      <c r="D37473" s="28"/>
      <c r="F37473" s="28"/>
      <c r="H37473" s="28"/>
    </row>
    <row r="37474" spans="4:8" x14ac:dyDescent="0.25">
      <c r="D37474" s="28"/>
      <c r="F37474" s="28"/>
      <c r="H37474" s="28"/>
    </row>
    <row r="37475" spans="4:8" x14ac:dyDescent="0.25">
      <c r="D37475" s="28"/>
      <c r="F37475" s="28"/>
      <c r="H37475" s="28"/>
    </row>
    <row r="37476" spans="4:8" x14ac:dyDescent="0.25">
      <c r="D37476" s="28"/>
      <c r="F37476" s="28"/>
      <c r="H37476" s="28"/>
    </row>
    <row r="37477" spans="4:8" x14ac:dyDescent="0.25">
      <c r="D37477" s="28"/>
      <c r="F37477" s="28"/>
      <c r="H37477" s="28"/>
    </row>
    <row r="37478" spans="4:8" x14ac:dyDescent="0.25">
      <c r="D37478" s="28"/>
      <c r="F37478" s="28"/>
      <c r="H37478" s="28"/>
    </row>
    <row r="37479" spans="4:8" x14ac:dyDescent="0.25">
      <c r="D37479" s="28"/>
      <c r="F37479" s="28"/>
      <c r="H37479" s="28"/>
    </row>
    <row r="37480" spans="4:8" x14ac:dyDescent="0.25">
      <c r="D37480" s="28"/>
      <c r="F37480" s="28"/>
      <c r="H37480" s="28"/>
    </row>
    <row r="37481" spans="4:8" x14ac:dyDescent="0.25">
      <c r="D37481" s="28"/>
      <c r="F37481" s="28"/>
      <c r="H37481" s="28"/>
    </row>
    <row r="37482" spans="4:8" x14ac:dyDescent="0.25">
      <c r="D37482" s="28"/>
      <c r="F37482" s="28"/>
      <c r="H37482" s="28"/>
    </row>
    <row r="37483" spans="4:8" x14ac:dyDescent="0.25">
      <c r="D37483" s="28"/>
      <c r="F37483" s="28"/>
      <c r="H37483" s="28"/>
    </row>
    <row r="37484" spans="4:8" x14ac:dyDescent="0.25">
      <c r="D37484" s="28"/>
      <c r="F37484" s="28"/>
      <c r="H37484" s="28"/>
    </row>
    <row r="37485" spans="4:8" x14ac:dyDescent="0.25">
      <c r="D37485" s="28"/>
      <c r="F37485" s="28"/>
      <c r="H37485" s="28"/>
    </row>
    <row r="37486" spans="4:8" x14ac:dyDescent="0.25">
      <c r="D37486" s="28"/>
      <c r="F37486" s="28"/>
      <c r="H37486" s="28"/>
    </row>
    <row r="37487" spans="4:8" x14ac:dyDescent="0.25">
      <c r="D37487" s="28"/>
      <c r="F37487" s="28"/>
      <c r="H37487" s="28"/>
    </row>
    <row r="37488" spans="4:8" x14ac:dyDescent="0.25">
      <c r="D37488" s="28"/>
      <c r="F37488" s="28"/>
      <c r="H37488" s="28"/>
    </row>
    <row r="37489" spans="4:8" x14ac:dyDescent="0.25">
      <c r="D37489" s="28"/>
      <c r="F37489" s="28"/>
      <c r="H37489" s="28"/>
    </row>
    <row r="37490" spans="4:8" x14ac:dyDescent="0.25">
      <c r="D37490" s="28"/>
      <c r="F37490" s="28"/>
      <c r="H37490" s="28"/>
    </row>
    <row r="37491" spans="4:8" x14ac:dyDescent="0.25">
      <c r="D37491" s="28"/>
      <c r="F37491" s="28"/>
      <c r="H37491" s="28"/>
    </row>
    <row r="37492" spans="4:8" x14ac:dyDescent="0.25">
      <c r="D37492" s="28"/>
      <c r="F37492" s="28"/>
      <c r="H37492" s="28"/>
    </row>
    <row r="37493" spans="4:8" x14ac:dyDescent="0.25">
      <c r="D37493" s="28"/>
      <c r="F37493" s="28"/>
      <c r="H37493" s="28"/>
    </row>
    <row r="37494" spans="4:8" x14ac:dyDescent="0.25">
      <c r="D37494" s="28"/>
      <c r="F37494" s="28"/>
      <c r="H37494" s="28"/>
    </row>
    <row r="37495" spans="4:8" x14ac:dyDescent="0.25">
      <c r="D37495" s="28"/>
      <c r="F37495" s="28"/>
      <c r="H37495" s="28"/>
    </row>
    <row r="37496" spans="4:8" x14ac:dyDescent="0.25">
      <c r="D37496" s="28"/>
      <c r="F37496" s="28"/>
      <c r="H37496" s="28"/>
    </row>
    <row r="37497" spans="4:8" x14ac:dyDescent="0.25">
      <c r="D37497" s="28"/>
      <c r="F37497" s="28"/>
      <c r="H37497" s="28"/>
    </row>
    <row r="37498" spans="4:8" x14ac:dyDescent="0.25">
      <c r="D37498" s="28"/>
      <c r="F37498" s="28"/>
      <c r="H37498" s="28"/>
    </row>
    <row r="37499" spans="4:8" x14ac:dyDescent="0.25">
      <c r="D37499" s="28"/>
      <c r="F37499" s="28"/>
      <c r="H37499" s="28"/>
    </row>
    <row r="37500" spans="4:8" x14ac:dyDescent="0.25">
      <c r="D37500" s="28"/>
      <c r="F37500" s="28"/>
      <c r="H37500" s="28"/>
    </row>
    <row r="37501" spans="4:8" x14ac:dyDescent="0.25">
      <c r="D37501" s="28"/>
      <c r="F37501" s="28"/>
      <c r="H37501" s="28"/>
    </row>
    <row r="37502" spans="4:8" x14ac:dyDescent="0.25">
      <c r="D37502" s="28"/>
      <c r="F37502" s="28"/>
      <c r="H37502" s="28"/>
    </row>
    <row r="37503" spans="4:8" x14ac:dyDescent="0.25">
      <c r="D37503" s="28"/>
      <c r="F37503" s="28"/>
      <c r="H37503" s="28"/>
    </row>
    <row r="37504" spans="4:8" x14ac:dyDescent="0.25">
      <c r="D37504" s="28"/>
      <c r="F37504" s="28"/>
      <c r="H37504" s="28"/>
    </row>
    <row r="37505" spans="4:8" x14ac:dyDescent="0.25">
      <c r="D37505" s="28"/>
      <c r="F37505" s="28"/>
      <c r="H37505" s="28"/>
    </row>
    <row r="37506" spans="4:8" x14ac:dyDescent="0.25">
      <c r="D37506" s="28"/>
      <c r="F37506" s="28"/>
      <c r="H37506" s="28"/>
    </row>
    <row r="37507" spans="4:8" x14ac:dyDescent="0.25">
      <c r="D37507" s="28"/>
      <c r="F37507" s="28"/>
      <c r="H37507" s="28"/>
    </row>
    <row r="37508" spans="4:8" x14ac:dyDescent="0.25">
      <c r="D37508" s="28"/>
      <c r="F37508" s="28"/>
      <c r="H37508" s="28"/>
    </row>
    <row r="37509" spans="4:8" x14ac:dyDescent="0.25">
      <c r="D37509" s="28"/>
      <c r="F37509" s="28"/>
      <c r="H37509" s="28"/>
    </row>
    <row r="37510" spans="4:8" x14ac:dyDescent="0.25">
      <c r="D37510" s="28"/>
      <c r="F37510" s="28"/>
      <c r="H37510" s="28"/>
    </row>
    <row r="37511" spans="4:8" x14ac:dyDescent="0.25">
      <c r="D37511" s="28"/>
      <c r="F37511" s="28"/>
      <c r="H37511" s="28"/>
    </row>
    <row r="37512" spans="4:8" x14ac:dyDescent="0.25">
      <c r="D37512" s="28"/>
      <c r="F37512" s="28"/>
      <c r="H37512" s="28"/>
    </row>
    <row r="37513" spans="4:8" x14ac:dyDescent="0.25">
      <c r="D37513" s="28"/>
      <c r="F37513" s="28"/>
      <c r="H37513" s="28"/>
    </row>
    <row r="37514" spans="4:8" x14ac:dyDescent="0.25">
      <c r="D37514" s="28"/>
      <c r="F37514" s="28"/>
      <c r="H37514" s="28"/>
    </row>
    <row r="37515" spans="4:8" x14ac:dyDescent="0.25">
      <c r="D37515" s="28"/>
      <c r="F37515" s="28"/>
      <c r="H37515" s="28"/>
    </row>
    <row r="37516" spans="4:8" x14ac:dyDescent="0.25">
      <c r="D37516" s="28"/>
      <c r="F37516" s="28"/>
      <c r="H37516" s="28"/>
    </row>
    <row r="37517" spans="4:8" x14ac:dyDescent="0.25">
      <c r="D37517" s="28"/>
      <c r="F37517" s="28"/>
      <c r="H37517" s="28"/>
    </row>
    <row r="37518" spans="4:8" x14ac:dyDescent="0.25">
      <c r="D37518" s="28"/>
      <c r="F37518" s="28"/>
      <c r="H37518" s="28"/>
    </row>
    <row r="37519" spans="4:8" x14ac:dyDescent="0.25">
      <c r="D37519" s="28"/>
      <c r="F37519" s="28"/>
      <c r="H37519" s="28"/>
    </row>
    <row r="37520" spans="4:8" x14ac:dyDescent="0.25">
      <c r="D37520" s="28"/>
      <c r="F37520" s="28"/>
      <c r="H37520" s="28"/>
    </row>
    <row r="37521" spans="4:8" x14ac:dyDescent="0.25">
      <c r="D37521" s="28"/>
      <c r="F37521" s="28"/>
      <c r="H37521" s="28"/>
    </row>
    <row r="37522" spans="4:8" x14ac:dyDescent="0.25">
      <c r="D37522" s="28"/>
      <c r="F37522" s="28"/>
      <c r="H37522" s="28"/>
    </row>
    <row r="37523" spans="4:8" x14ac:dyDescent="0.25">
      <c r="D37523" s="28"/>
      <c r="F37523" s="28"/>
      <c r="H37523" s="28"/>
    </row>
    <row r="37524" spans="4:8" x14ac:dyDescent="0.25">
      <c r="D37524" s="28"/>
      <c r="F37524" s="28"/>
      <c r="H37524" s="28"/>
    </row>
    <row r="37525" spans="4:8" x14ac:dyDescent="0.25">
      <c r="D37525" s="28"/>
      <c r="F37525" s="28"/>
      <c r="H37525" s="28"/>
    </row>
    <row r="37526" spans="4:8" x14ac:dyDescent="0.25">
      <c r="D37526" s="28"/>
      <c r="F37526" s="28"/>
      <c r="H37526" s="28"/>
    </row>
    <row r="37527" spans="4:8" x14ac:dyDescent="0.25">
      <c r="D37527" s="28"/>
      <c r="F37527" s="28"/>
      <c r="H37527" s="28"/>
    </row>
    <row r="37528" spans="4:8" x14ac:dyDescent="0.25">
      <c r="D37528" s="28"/>
      <c r="F37528" s="28"/>
      <c r="H37528" s="28"/>
    </row>
    <row r="37529" spans="4:8" x14ac:dyDescent="0.25">
      <c r="D37529" s="28"/>
      <c r="F37529" s="28"/>
      <c r="H37529" s="28"/>
    </row>
    <row r="37530" spans="4:8" x14ac:dyDescent="0.25">
      <c r="D37530" s="28"/>
      <c r="F37530" s="28"/>
      <c r="H37530" s="28"/>
    </row>
    <row r="37531" spans="4:8" x14ac:dyDescent="0.25">
      <c r="D37531" s="28"/>
      <c r="F37531" s="28"/>
      <c r="H37531" s="28"/>
    </row>
    <row r="37532" spans="4:8" x14ac:dyDescent="0.25">
      <c r="D37532" s="28"/>
      <c r="F37532" s="28"/>
      <c r="H37532" s="28"/>
    </row>
    <row r="37533" spans="4:8" x14ac:dyDescent="0.25">
      <c r="D37533" s="28"/>
      <c r="F37533" s="28"/>
      <c r="H37533" s="28"/>
    </row>
    <row r="37534" spans="4:8" x14ac:dyDescent="0.25">
      <c r="D37534" s="28"/>
      <c r="F37534" s="28"/>
      <c r="H37534" s="28"/>
    </row>
    <row r="37535" spans="4:8" x14ac:dyDescent="0.25">
      <c r="D37535" s="28"/>
      <c r="F37535" s="28"/>
      <c r="H37535" s="28"/>
    </row>
    <row r="37536" spans="4:8" x14ac:dyDescent="0.25">
      <c r="D37536" s="28"/>
      <c r="F37536" s="28"/>
      <c r="H37536" s="28"/>
    </row>
    <row r="37537" spans="4:8" x14ac:dyDescent="0.25">
      <c r="D37537" s="28"/>
      <c r="F37537" s="28"/>
      <c r="H37537" s="28"/>
    </row>
    <row r="37538" spans="4:8" x14ac:dyDescent="0.25">
      <c r="D37538" s="28"/>
      <c r="F37538" s="28"/>
      <c r="H37538" s="28"/>
    </row>
    <row r="37539" spans="4:8" x14ac:dyDescent="0.25">
      <c r="D37539" s="28"/>
      <c r="F37539" s="28"/>
      <c r="H37539" s="28"/>
    </row>
    <row r="37540" spans="4:8" x14ac:dyDescent="0.25">
      <c r="D37540" s="28"/>
      <c r="F37540" s="28"/>
      <c r="H37540" s="28"/>
    </row>
    <row r="37541" spans="4:8" x14ac:dyDescent="0.25">
      <c r="D37541" s="28"/>
      <c r="F37541" s="28"/>
      <c r="H37541" s="28"/>
    </row>
    <row r="37542" spans="4:8" x14ac:dyDescent="0.25">
      <c r="D37542" s="28"/>
      <c r="F37542" s="28"/>
      <c r="H37542" s="28"/>
    </row>
    <row r="37543" spans="4:8" x14ac:dyDescent="0.25">
      <c r="D37543" s="28"/>
      <c r="F37543" s="28"/>
      <c r="H37543" s="28"/>
    </row>
    <row r="37544" spans="4:8" x14ac:dyDescent="0.25">
      <c r="D37544" s="28"/>
      <c r="F37544" s="28"/>
      <c r="H37544" s="28"/>
    </row>
    <row r="37545" spans="4:8" x14ac:dyDescent="0.25">
      <c r="D37545" s="28"/>
      <c r="F37545" s="28"/>
      <c r="H37545" s="28"/>
    </row>
    <row r="37546" spans="4:8" x14ac:dyDescent="0.25">
      <c r="D37546" s="28"/>
      <c r="F37546" s="28"/>
      <c r="H37546" s="28"/>
    </row>
    <row r="37547" spans="4:8" x14ac:dyDescent="0.25">
      <c r="D37547" s="28"/>
      <c r="F37547" s="28"/>
      <c r="H37547" s="28"/>
    </row>
    <row r="37548" spans="4:8" x14ac:dyDescent="0.25">
      <c r="D37548" s="28"/>
      <c r="F37548" s="28"/>
      <c r="H37548" s="28"/>
    </row>
    <row r="37549" spans="4:8" x14ac:dyDescent="0.25">
      <c r="D37549" s="28"/>
      <c r="F37549" s="28"/>
      <c r="H37549" s="28"/>
    </row>
    <row r="37550" spans="4:8" x14ac:dyDescent="0.25">
      <c r="D37550" s="28"/>
      <c r="F37550" s="28"/>
      <c r="H37550" s="28"/>
    </row>
    <row r="37551" spans="4:8" x14ac:dyDescent="0.25">
      <c r="D37551" s="28"/>
      <c r="F37551" s="28"/>
      <c r="H37551" s="28"/>
    </row>
    <row r="37552" spans="4:8" x14ac:dyDescent="0.25">
      <c r="D37552" s="28"/>
      <c r="F37552" s="28"/>
      <c r="H37552" s="28"/>
    </row>
    <row r="37553" spans="4:8" x14ac:dyDescent="0.25">
      <c r="D37553" s="28"/>
      <c r="F37553" s="28"/>
      <c r="H37553" s="28"/>
    </row>
    <row r="37554" spans="4:8" x14ac:dyDescent="0.25">
      <c r="D37554" s="28"/>
      <c r="F37554" s="28"/>
      <c r="H37554" s="28"/>
    </row>
    <row r="37555" spans="4:8" x14ac:dyDescent="0.25">
      <c r="D37555" s="28"/>
      <c r="F37555" s="28"/>
      <c r="H37555" s="28"/>
    </row>
    <row r="37556" spans="4:8" x14ac:dyDescent="0.25">
      <c r="D37556" s="28"/>
      <c r="F37556" s="28"/>
      <c r="H37556" s="28"/>
    </row>
    <row r="37557" spans="4:8" x14ac:dyDescent="0.25">
      <c r="D37557" s="28"/>
      <c r="F37557" s="28"/>
      <c r="H37557" s="28"/>
    </row>
    <row r="37558" spans="4:8" x14ac:dyDescent="0.25">
      <c r="D37558" s="28"/>
      <c r="F37558" s="28"/>
      <c r="H37558" s="28"/>
    </row>
    <row r="37559" spans="4:8" x14ac:dyDescent="0.25">
      <c r="D37559" s="28"/>
      <c r="F37559" s="28"/>
      <c r="H37559" s="28"/>
    </row>
    <row r="37560" spans="4:8" x14ac:dyDescent="0.25">
      <c r="D37560" s="28"/>
      <c r="F37560" s="28"/>
      <c r="H37560" s="28"/>
    </row>
    <row r="37561" spans="4:8" x14ac:dyDescent="0.25">
      <c r="D37561" s="28"/>
      <c r="F37561" s="28"/>
      <c r="H37561" s="28"/>
    </row>
    <row r="37562" spans="4:8" x14ac:dyDescent="0.25">
      <c r="D37562" s="28"/>
      <c r="F37562" s="28"/>
      <c r="H37562" s="28"/>
    </row>
    <row r="37563" spans="4:8" x14ac:dyDescent="0.25">
      <c r="D37563" s="28"/>
      <c r="F37563" s="28"/>
      <c r="H37563" s="28"/>
    </row>
    <row r="37564" spans="4:8" x14ac:dyDescent="0.25">
      <c r="D37564" s="28"/>
      <c r="F37564" s="28"/>
      <c r="H37564" s="28"/>
    </row>
    <row r="37565" spans="4:8" x14ac:dyDescent="0.25">
      <c r="D37565" s="28"/>
      <c r="F37565" s="28"/>
      <c r="H37565" s="28"/>
    </row>
    <row r="37566" spans="4:8" x14ac:dyDescent="0.25">
      <c r="D37566" s="28"/>
      <c r="F37566" s="28"/>
      <c r="H37566" s="28"/>
    </row>
    <row r="37567" spans="4:8" x14ac:dyDescent="0.25">
      <c r="D37567" s="28"/>
      <c r="F37567" s="28"/>
      <c r="H37567" s="28"/>
    </row>
    <row r="37568" spans="4:8" x14ac:dyDescent="0.25">
      <c r="D37568" s="28"/>
      <c r="F37568" s="28"/>
      <c r="H37568" s="28"/>
    </row>
    <row r="37569" spans="4:8" x14ac:dyDescent="0.25">
      <c r="D37569" s="28"/>
      <c r="F37569" s="28"/>
      <c r="H37569" s="28"/>
    </row>
    <row r="37570" spans="4:8" x14ac:dyDescent="0.25">
      <c r="D37570" s="28"/>
      <c r="F37570" s="28"/>
      <c r="H37570" s="28"/>
    </row>
    <row r="37571" spans="4:8" x14ac:dyDescent="0.25">
      <c r="D37571" s="28"/>
      <c r="F37571" s="28"/>
      <c r="H37571" s="28"/>
    </row>
    <row r="37572" spans="4:8" x14ac:dyDescent="0.25">
      <c r="D37572" s="28"/>
      <c r="F37572" s="28"/>
      <c r="H37572" s="28"/>
    </row>
    <row r="37573" spans="4:8" x14ac:dyDescent="0.25">
      <c r="D37573" s="28"/>
      <c r="F37573" s="28"/>
      <c r="H37573" s="28"/>
    </row>
    <row r="37574" spans="4:8" x14ac:dyDescent="0.25">
      <c r="D37574" s="28"/>
      <c r="F37574" s="28"/>
      <c r="H37574" s="28"/>
    </row>
    <row r="37575" spans="4:8" x14ac:dyDescent="0.25">
      <c r="D37575" s="28"/>
      <c r="F37575" s="28"/>
      <c r="H37575" s="28"/>
    </row>
    <row r="37576" spans="4:8" x14ac:dyDescent="0.25">
      <c r="D37576" s="28"/>
      <c r="F37576" s="28"/>
      <c r="H37576" s="28"/>
    </row>
    <row r="37577" spans="4:8" x14ac:dyDescent="0.25">
      <c r="D37577" s="28"/>
      <c r="F37577" s="28"/>
      <c r="H37577" s="28"/>
    </row>
    <row r="37578" spans="4:8" x14ac:dyDescent="0.25">
      <c r="D37578" s="28"/>
      <c r="F37578" s="28"/>
      <c r="H37578" s="28"/>
    </row>
    <row r="37579" spans="4:8" x14ac:dyDescent="0.25">
      <c r="D37579" s="28"/>
      <c r="F37579" s="28"/>
      <c r="H37579" s="28"/>
    </row>
    <row r="37580" spans="4:8" x14ac:dyDescent="0.25">
      <c r="D37580" s="28"/>
      <c r="F37580" s="28"/>
      <c r="H37580" s="28"/>
    </row>
    <row r="37581" spans="4:8" x14ac:dyDescent="0.25">
      <c r="D37581" s="28"/>
      <c r="F37581" s="28"/>
      <c r="H37581" s="28"/>
    </row>
    <row r="37582" spans="4:8" x14ac:dyDescent="0.25">
      <c r="D37582" s="28"/>
      <c r="F37582" s="28"/>
      <c r="H37582" s="28"/>
    </row>
    <row r="37583" spans="4:8" x14ac:dyDescent="0.25">
      <c r="D37583" s="28"/>
      <c r="F37583" s="28"/>
      <c r="H37583" s="28"/>
    </row>
    <row r="37584" spans="4:8" x14ac:dyDescent="0.25">
      <c r="D37584" s="28"/>
      <c r="F37584" s="28"/>
      <c r="H37584" s="28"/>
    </row>
    <row r="37585" spans="4:8" x14ac:dyDescent="0.25">
      <c r="D37585" s="28"/>
      <c r="F37585" s="28"/>
      <c r="H37585" s="28"/>
    </row>
    <row r="37586" spans="4:8" x14ac:dyDescent="0.25">
      <c r="D37586" s="28"/>
      <c r="F37586" s="28"/>
      <c r="H37586" s="28"/>
    </row>
    <row r="37587" spans="4:8" x14ac:dyDescent="0.25">
      <c r="D37587" s="28"/>
      <c r="F37587" s="28"/>
      <c r="H37587" s="28"/>
    </row>
    <row r="37588" spans="4:8" x14ac:dyDescent="0.25">
      <c r="D37588" s="28"/>
      <c r="F37588" s="28"/>
      <c r="H37588" s="28"/>
    </row>
    <row r="37589" spans="4:8" x14ac:dyDescent="0.25">
      <c r="D37589" s="28"/>
      <c r="F37589" s="28"/>
      <c r="H37589" s="28"/>
    </row>
    <row r="37590" spans="4:8" x14ac:dyDescent="0.25">
      <c r="D37590" s="28"/>
      <c r="F37590" s="28"/>
      <c r="H37590" s="28"/>
    </row>
    <row r="37591" spans="4:8" x14ac:dyDescent="0.25">
      <c r="D37591" s="28"/>
      <c r="F37591" s="28"/>
      <c r="H37591" s="28"/>
    </row>
    <row r="37592" spans="4:8" x14ac:dyDescent="0.25">
      <c r="D37592" s="28"/>
      <c r="F37592" s="28"/>
      <c r="H37592" s="28"/>
    </row>
    <row r="37593" spans="4:8" x14ac:dyDescent="0.25">
      <c r="D37593" s="28"/>
      <c r="F37593" s="28"/>
      <c r="H37593" s="28"/>
    </row>
    <row r="37594" spans="4:8" x14ac:dyDescent="0.25">
      <c r="D37594" s="28"/>
      <c r="F37594" s="28"/>
      <c r="H37594" s="28"/>
    </row>
    <row r="37595" spans="4:8" x14ac:dyDescent="0.25">
      <c r="D37595" s="28"/>
      <c r="F37595" s="28"/>
      <c r="H37595" s="28"/>
    </row>
    <row r="37596" spans="4:8" x14ac:dyDescent="0.25">
      <c r="D37596" s="28"/>
      <c r="F37596" s="28"/>
      <c r="H37596" s="28"/>
    </row>
    <row r="37597" spans="4:8" x14ac:dyDescent="0.25">
      <c r="D37597" s="28"/>
      <c r="F37597" s="28"/>
      <c r="H37597" s="28"/>
    </row>
    <row r="37598" spans="4:8" x14ac:dyDescent="0.25">
      <c r="D37598" s="28"/>
      <c r="F37598" s="28"/>
      <c r="H37598" s="28"/>
    </row>
    <row r="37599" spans="4:8" x14ac:dyDescent="0.25">
      <c r="D37599" s="28"/>
      <c r="F37599" s="28"/>
      <c r="H37599" s="28"/>
    </row>
    <row r="37600" spans="4:8" x14ac:dyDescent="0.25">
      <c r="D37600" s="28"/>
      <c r="F37600" s="28"/>
      <c r="H37600" s="28"/>
    </row>
    <row r="37601" spans="4:8" x14ac:dyDescent="0.25">
      <c r="D37601" s="28"/>
      <c r="F37601" s="28"/>
      <c r="H37601" s="28"/>
    </row>
    <row r="37602" spans="4:8" x14ac:dyDescent="0.25">
      <c r="D37602" s="28"/>
      <c r="F37602" s="28"/>
      <c r="H37602" s="28"/>
    </row>
    <row r="37603" spans="4:8" x14ac:dyDescent="0.25">
      <c r="D37603" s="28"/>
      <c r="F37603" s="28"/>
      <c r="H37603" s="28"/>
    </row>
    <row r="37604" spans="4:8" x14ac:dyDescent="0.25">
      <c r="D37604" s="28"/>
      <c r="F37604" s="28"/>
      <c r="H37604" s="28"/>
    </row>
    <row r="37605" spans="4:8" x14ac:dyDescent="0.25">
      <c r="D37605" s="28"/>
      <c r="F37605" s="28"/>
      <c r="H37605" s="28"/>
    </row>
    <row r="37606" spans="4:8" x14ac:dyDescent="0.25">
      <c r="D37606" s="28"/>
      <c r="F37606" s="28"/>
      <c r="H37606" s="28"/>
    </row>
    <row r="37607" spans="4:8" x14ac:dyDescent="0.25">
      <c r="D37607" s="28"/>
      <c r="F37607" s="28"/>
      <c r="H37607" s="28"/>
    </row>
    <row r="37608" spans="4:8" x14ac:dyDescent="0.25">
      <c r="D37608" s="28"/>
      <c r="F37608" s="28"/>
      <c r="H37608" s="28"/>
    </row>
    <row r="37609" spans="4:8" x14ac:dyDescent="0.25">
      <c r="D37609" s="28"/>
      <c r="F37609" s="28"/>
      <c r="H37609" s="28"/>
    </row>
    <row r="37610" spans="4:8" x14ac:dyDescent="0.25">
      <c r="D37610" s="28"/>
      <c r="F37610" s="28"/>
      <c r="H37610" s="28"/>
    </row>
    <row r="37611" spans="4:8" x14ac:dyDescent="0.25">
      <c r="D37611" s="28"/>
      <c r="F37611" s="28"/>
      <c r="H37611" s="28"/>
    </row>
    <row r="37612" spans="4:8" x14ac:dyDescent="0.25">
      <c r="D37612" s="28"/>
      <c r="F37612" s="28"/>
      <c r="H37612" s="28"/>
    </row>
    <row r="37613" spans="4:8" x14ac:dyDescent="0.25">
      <c r="D37613" s="28"/>
      <c r="F37613" s="28"/>
      <c r="H37613" s="28"/>
    </row>
    <row r="37614" spans="4:8" x14ac:dyDescent="0.25">
      <c r="D37614" s="28"/>
      <c r="F37614" s="28"/>
      <c r="H37614" s="28"/>
    </row>
    <row r="37615" spans="4:8" x14ac:dyDescent="0.25">
      <c r="D37615" s="28"/>
      <c r="F37615" s="28"/>
      <c r="H37615" s="28"/>
    </row>
    <row r="37616" spans="4:8" x14ac:dyDescent="0.25">
      <c r="D37616" s="28"/>
      <c r="F37616" s="28"/>
      <c r="H37616" s="28"/>
    </row>
    <row r="37617" spans="4:8" x14ac:dyDescent="0.25">
      <c r="D37617" s="28"/>
      <c r="F37617" s="28"/>
      <c r="H37617" s="28"/>
    </row>
    <row r="37618" spans="4:8" x14ac:dyDescent="0.25">
      <c r="D37618" s="28"/>
      <c r="F37618" s="28"/>
      <c r="H37618" s="28"/>
    </row>
    <row r="37619" spans="4:8" x14ac:dyDescent="0.25">
      <c r="D37619" s="28"/>
      <c r="F37619" s="28"/>
      <c r="H37619" s="28"/>
    </row>
    <row r="37620" spans="4:8" x14ac:dyDescent="0.25">
      <c r="D37620" s="28"/>
      <c r="F37620" s="28"/>
      <c r="H37620" s="28"/>
    </row>
    <row r="37621" spans="4:8" x14ac:dyDescent="0.25">
      <c r="D37621" s="28"/>
      <c r="F37621" s="28"/>
      <c r="H37621" s="28"/>
    </row>
    <row r="37622" spans="4:8" x14ac:dyDescent="0.25">
      <c r="D37622" s="28"/>
      <c r="F37622" s="28"/>
      <c r="H37622" s="28"/>
    </row>
    <row r="37623" spans="4:8" x14ac:dyDescent="0.25">
      <c r="D37623" s="28"/>
      <c r="F37623" s="28"/>
      <c r="H37623" s="28"/>
    </row>
    <row r="37624" spans="4:8" x14ac:dyDescent="0.25">
      <c r="D37624" s="28"/>
      <c r="F37624" s="28"/>
      <c r="H37624" s="28"/>
    </row>
    <row r="37625" spans="4:8" x14ac:dyDescent="0.25">
      <c r="D37625" s="28"/>
      <c r="F37625" s="28"/>
      <c r="H37625" s="28"/>
    </row>
    <row r="37626" spans="4:8" x14ac:dyDescent="0.25">
      <c r="D37626" s="28"/>
      <c r="F37626" s="28"/>
      <c r="H37626" s="28"/>
    </row>
    <row r="37627" spans="4:8" x14ac:dyDescent="0.25">
      <c r="D37627" s="28"/>
      <c r="F37627" s="28"/>
      <c r="H37627" s="28"/>
    </row>
    <row r="37628" spans="4:8" x14ac:dyDescent="0.25">
      <c r="D37628" s="28"/>
      <c r="F37628" s="28"/>
      <c r="H37628" s="28"/>
    </row>
    <row r="37629" spans="4:8" x14ac:dyDescent="0.25">
      <c r="D37629" s="28"/>
      <c r="F37629" s="28"/>
      <c r="H37629" s="28"/>
    </row>
    <row r="37630" spans="4:8" x14ac:dyDescent="0.25">
      <c r="D37630" s="28"/>
      <c r="F37630" s="28"/>
      <c r="H37630" s="28"/>
    </row>
    <row r="37631" spans="4:8" x14ac:dyDescent="0.25">
      <c r="D37631" s="28"/>
      <c r="F37631" s="28"/>
      <c r="H37631" s="28"/>
    </row>
    <row r="37632" spans="4:8" x14ac:dyDescent="0.25">
      <c r="D37632" s="28"/>
      <c r="F37632" s="28"/>
      <c r="H37632" s="28"/>
    </row>
    <row r="37633" spans="4:8" x14ac:dyDescent="0.25">
      <c r="D37633" s="28"/>
      <c r="F37633" s="28"/>
      <c r="H37633" s="28"/>
    </row>
    <row r="37634" spans="4:8" x14ac:dyDescent="0.25">
      <c r="D37634" s="28"/>
      <c r="F37634" s="28"/>
      <c r="H37634" s="28"/>
    </row>
    <row r="37635" spans="4:8" x14ac:dyDescent="0.25">
      <c r="D37635" s="28"/>
      <c r="F37635" s="28"/>
      <c r="H37635" s="28"/>
    </row>
    <row r="37636" spans="4:8" x14ac:dyDescent="0.25">
      <c r="D37636" s="28"/>
      <c r="F37636" s="28"/>
      <c r="H37636" s="28"/>
    </row>
    <row r="37637" spans="4:8" x14ac:dyDescent="0.25">
      <c r="D37637" s="28"/>
      <c r="F37637" s="28"/>
      <c r="H37637" s="28"/>
    </row>
    <row r="37638" spans="4:8" x14ac:dyDescent="0.25">
      <c r="D37638" s="28"/>
      <c r="F37638" s="28"/>
      <c r="H37638" s="28"/>
    </row>
    <row r="37639" spans="4:8" x14ac:dyDescent="0.25">
      <c r="D37639" s="28"/>
      <c r="F37639" s="28"/>
      <c r="H37639" s="28"/>
    </row>
    <row r="37640" spans="4:8" x14ac:dyDescent="0.25">
      <c r="D37640" s="28"/>
      <c r="F37640" s="28"/>
      <c r="H37640" s="28"/>
    </row>
    <row r="37641" spans="4:8" x14ac:dyDescent="0.25">
      <c r="D37641" s="28"/>
      <c r="F37641" s="28"/>
      <c r="H37641" s="28"/>
    </row>
    <row r="37642" spans="4:8" x14ac:dyDescent="0.25">
      <c r="D37642" s="28"/>
      <c r="F37642" s="28"/>
      <c r="H37642" s="28"/>
    </row>
    <row r="37643" spans="4:8" x14ac:dyDescent="0.25">
      <c r="D37643" s="28"/>
      <c r="F37643" s="28"/>
      <c r="H37643" s="28"/>
    </row>
    <row r="37644" spans="4:8" x14ac:dyDescent="0.25">
      <c r="D37644" s="28"/>
      <c r="F37644" s="28"/>
      <c r="H37644" s="28"/>
    </row>
    <row r="37645" spans="4:8" x14ac:dyDescent="0.25">
      <c r="D37645" s="28"/>
      <c r="F37645" s="28"/>
      <c r="H37645" s="28"/>
    </row>
    <row r="37646" spans="4:8" x14ac:dyDescent="0.25">
      <c r="D37646" s="28"/>
      <c r="F37646" s="28"/>
      <c r="H37646" s="28"/>
    </row>
    <row r="37647" spans="4:8" x14ac:dyDescent="0.25">
      <c r="D37647" s="28"/>
      <c r="F37647" s="28"/>
      <c r="H37647" s="28"/>
    </row>
    <row r="37648" spans="4:8" x14ac:dyDescent="0.25">
      <c r="D37648" s="28"/>
      <c r="F37648" s="28"/>
      <c r="H37648" s="28"/>
    </row>
    <row r="37649" spans="4:8" x14ac:dyDescent="0.25">
      <c r="D37649" s="28"/>
      <c r="F37649" s="28"/>
      <c r="H37649" s="28"/>
    </row>
    <row r="37650" spans="4:8" x14ac:dyDescent="0.25">
      <c r="D37650" s="28"/>
      <c r="F37650" s="28"/>
      <c r="H37650" s="28"/>
    </row>
    <row r="37651" spans="4:8" x14ac:dyDescent="0.25">
      <c r="D37651" s="28"/>
      <c r="F37651" s="28"/>
      <c r="H37651" s="28"/>
    </row>
    <row r="37652" spans="4:8" x14ac:dyDescent="0.25">
      <c r="D37652" s="28"/>
      <c r="F37652" s="28"/>
      <c r="H37652" s="28"/>
    </row>
    <row r="37653" spans="4:8" x14ac:dyDescent="0.25">
      <c r="D37653" s="28"/>
      <c r="F37653" s="28"/>
      <c r="H37653" s="28"/>
    </row>
    <row r="37654" spans="4:8" x14ac:dyDescent="0.25">
      <c r="D37654" s="28"/>
      <c r="F37654" s="28"/>
      <c r="H37654" s="28"/>
    </row>
    <row r="37655" spans="4:8" x14ac:dyDescent="0.25">
      <c r="D37655" s="28"/>
      <c r="F37655" s="28"/>
      <c r="H37655" s="28"/>
    </row>
    <row r="37656" spans="4:8" x14ac:dyDescent="0.25">
      <c r="D37656" s="28"/>
      <c r="F37656" s="28"/>
      <c r="H37656" s="28"/>
    </row>
    <row r="37657" spans="4:8" x14ac:dyDescent="0.25">
      <c r="D37657" s="28"/>
      <c r="F37657" s="28"/>
      <c r="H37657" s="28"/>
    </row>
    <row r="37658" spans="4:8" x14ac:dyDescent="0.25">
      <c r="D37658" s="28"/>
      <c r="F37658" s="28"/>
      <c r="H37658" s="28"/>
    </row>
    <row r="37659" spans="4:8" x14ac:dyDescent="0.25">
      <c r="D37659" s="28"/>
      <c r="F37659" s="28"/>
      <c r="H37659" s="28"/>
    </row>
    <row r="37660" spans="4:8" x14ac:dyDescent="0.25">
      <c r="D37660" s="28"/>
      <c r="F37660" s="28"/>
      <c r="H37660" s="28"/>
    </row>
    <row r="37661" spans="4:8" x14ac:dyDescent="0.25">
      <c r="D37661" s="28"/>
      <c r="F37661" s="28"/>
      <c r="H37661" s="28"/>
    </row>
    <row r="37662" spans="4:8" x14ac:dyDescent="0.25">
      <c r="D37662" s="28"/>
      <c r="F37662" s="28"/>
      <c r="H37662" s="28"/>
    </row>
    <row r="37663" spans="4:8" x14ac:dyDescent="0.25">
      <c r="D37663" s="28"/>
      <c r="F37663" s="28"/>
      <c r="H37663" s="28"/>
    </row>
    <row r="37664" spans="4:8" x14ac:dyDescent="0.25">
      <c r="D37664" s="28"/>
      <c r="F37664" s="28"/>
      <c r="H37664" s="28"/>
    </row>
    <row r="37665" spans="4:8" x14ac:dyDescent="0.25">
      <c r="D37665" s="28"/>
      <c r="F37665" s="28"/>
      <c r="H37665" s="28"/>
    </row>
    <row r="37666" spans="4:8" x14ac:dyDescent="0.25">
      <c r="D37666" s="28"/>
      <c r="F37666" s="28"/>
      <c r="H37666" s="28"/>
    </row>
    <row r="37667" spans="4:8" x14ac:dyDescent="0.25">
      <c r="D37667" s="28"/>
      <c r="F37667" s="28"/>
      <c r="H37667" s="28"/>
    </row>
    <row r="37668" spans="4:8" x14ac:dyDescent="0.25">
      <c r="D37668" s="28"/>
      <c r="F37668" s="28"/>
      <c r="H37668" s="28"/>
    </row>
    <row r="37669" spans="4:8" x14ac:dyDescent="0.25">
      <c r="D37669" s="28"/>
      <c r="F37669" s="28"/>
      <c r="H37669" s="28"/>
    </row>
    <row r="37670" spans="4:8" x14ac:dyDescent="0.25">
      <c r="D37670" s="28"/>
      <c r="F37670" s="28"/>
      <c r="H37670" s="28"/>
    </row>
    <row r="37671" spans="4:8" x14ac:dyDescent="0.25">
      <c r="D37671" s="28"/>
      <c r="F37671" s="28"/>
      <c r="H37671" s="28"/>
    </row>
    <row r="37672" spans="4:8" x14ac:dyDescent="0.25">
      <c r="D37672" s="28"/>
      <c r="F37672" s="28"/>
      <c r="H37672" s="28"/>
    </row>
    <row r="37673" spans="4:8" x14ac:dyDescent="0.25">
      <c r="D37673" s="28"/>
      <c r="F37673" s="28"/>
      <c r="H37673" s="28"/>
    </row>
    <row r="37674" spans="4:8" x14ac:dyDescent="0.25">
      <c r="D37674" s="28"/>
      <c r="F37674" s="28"/>
      <c r="H37674" s="28"/>
    </row>
    <row r="37675" spans="4:8" x14ac:dyDescent="0.25">
      <c r="D37675" s="28"/>
      <c r="F37675" s="28"/>
      <c r="H37675" s="28"/>
    </row>
    <row r="37676" spans="4:8" x14ac:dyDescent="0.25">
      <c r="D37676" s="28"/>
      <c r="F37676" s="28"/>
      <c r="H37676" s="28"/>
    </row>
    <row r="37677" spans="4:8" x14ac:dyDescent="0.25">
      <c r="D37677" s="28"/>
      <c r="F37677" s="28"/>
      <c r="H37677" s="28"/>
    </row>
    <row r="37678" spans="4:8" x14ac:dyDescent="0.25">
      <c r="D37678" s="28"/>
      <c r="F37678" s="28"/>
      <c r="H37678" s="28"/>
    </row>
    <row r="37679" spans="4:8" x14ac:dyDescent="0.25">
      <c r="D37679" s="28"/>
      <c r="F37679" s="28"/>
      <c r="H37679" s="28"/>
    </row>
    <row r="37680" spans="4:8" x14ac:dyDescent="0.25">
      <c r="D37680" s="28"/>
      <c r="F37680" s="28"/>
      <c r="H37680" s="28"/>
    </row>
    <row r="37681" spans="4:8" x14ac:dyDescent="0.25">
      <c r="D37681" s="28"/>
      <c r="F37681" s="28"/>
      <c r="H37681" s="28"/>
    </row>
    <row r="37682" spans="4:8" x14ac:dyDescent="0.25">
      <c r="D37682" s="28"/>
      <c r="F37682" s="28"/>
      <c r="H37682" s="28"/>
    </row>
    <row r="37683" spans="4:8" x14ac:dyDescent="0.25">
      <c r="D37683" s="28"/>
      <c r="F37683" s="28"/>
      <c r="H37683" s="28"/>
    </row>
    <row r="37684" spans="4:8" x14ac:dyDescent="0.25">
      <c r="D37684" s="28"/>
      <c r="F37684" s="28"/>
      <c r="H37684" s="28"/>
    </row>
    <row r="37685" spans="4:8" x14ac:dyDescent="0.25">
      <c r="D37685" s="28"/>
      <c r="F37685" s="28"/>
      <c r="H37685" s="28"/>
    </row>
    <row r="37686" spans="4:8" x14ac:dyDescent="0.25">
      <c r="D37686" s="28"/>
      <c r="F37686" s="28"/>
      <c r="H37686" s="28"/>
    </row>
    <row r="37687" spans="4:8" x14ac:dyDescent="0.25">
      <c r="D37687" s="28"/>
      <c r="F37687" s="28"/>
      <c r="H37687" s="28"/>
    </row>
    <row r="37688" spans="4:8" x14ac:dyDescent="0.25">
      <c r="D37688" s="28"/>
      <c r="F37688" s="28"/>
      <c r="H37688" s="28"/>
    </row>
    <row r="37689" spans="4:8" x14ac:dyDescent="0.25">
      <c r="D37689" s="28"/>
      <c r="F37689" s="28"/>
      <c r="H37689" s="28"/>
    </row>
    <row r="37690" spans="4:8" x14ac:dyDescent="0.25">
      <c r="D37690" s="28"/>
      <c r="F37690" s="28"/>
      <c r="H37690" s="28"/>
    </row>
    <row r="37691" spans="4:8" x14ac:dyDescent="0.25">
      <c r="D37691" s="28"/>
      <c r="F37691" s="28"/>
      <c r="H37691" s="28"/>
    </row>
    <row r="37692" spans="4:8" x14ac:dyDescent="0.25">
      <c r="D37692" s="28"/>
      <c r="F37692" s="28"/>
      <c r="H37692" s="28"/>
    </row>
    <row r="37693" spans="4:8" x14ac:dyDescent="0.25">
      <c r="D37693" s="28"/>
      <c r="F37693" s="28"/>
      <c r="H37693" s="28"/>
    </row>
    <row r="37694" spans="4:8" x14ac:dyDescent="0.25">
      <c r="D37694" s="28"/>
      <c r="F37694" s="28"/>
      <c r="H37694" s="28"/>
    </row>
    <row r="37695" spans="4:8" x14ac:dyDescent="0.25">
      <c r="D37695" s="28"/>
      <c r="F37695" s="28"/>
      <c r="H37695" s="28"/>
    </row>
    <row r="37696" spans="4:8" x14ac:dyDescent="0.25">
      <c r="D37696" s="28"/>
      <c r="F37696" s="28"/>
      <c r="H37696" s="28"/>
    </row>
    <row r="37697" spans="4:8" x14ac:dyDescent="0.25">
      <c r="D37697" s="28"/>
      <c r="F37697" s="28"/>
      <c r="H37697" s="28"/>
    </row>
    <row r="37698" spans="4:8" x14ac:dyDescent="0.25">
      <c r="D37698" s="28"/>
      <c r="F37698" s="28"/>
      <c r="H37698" s="28"/>
    </row>
    <row r="37699" spans="4:8" x14ac:dyDescent="0.25">
      <c r="D37699" s="28"/>
      <c r="F37699" s="28"/>
      <c r="H37699" s="28"/>
    </row>
    <row r="37700" spans="4:8" x14ac:dyDescent="0.25">
      <c r="D37700" s="28"/>
      <c r="F37700" s="28"/>
      <c r="H37700" s="28"/>
    </row>
    <row r="37701" spans="4:8" x14ac:dyDescent="0.25">
      <c r="D37701" s="28"/>
      <c r="F37701" s="28"/>
      <c r="H37701" s="28"/>
    </row>
    <row r="37702" spans="4:8" x14ac:dyDescent="0.25">
      <c r="D37702" s="28"/>
      <c r="F37702" s="28"/>
      <c r="H37702" s="28"/>
    </row>
    <row r="37703" spans="4:8" x14ac:dyDescent="0.25">
      <c r="D37703" s="28"/>
      <c r="F37703" s="28"/>
      <c r="H37703" s="28"/>
    </row>
    <row r="37704" spans="4:8" x14ac:dyDescent="0.25">
      <c r="D37704" s="28"/>
      <c r="F37704" s="28"/>
      <c r="H37704" s="28"/>
    </row>
    <row r="37705" spans="4:8" x14ac:dyDescent="0.25">
      <c r="D37705" s="28"/>
      <c r="F37705" s="28"/>
      <c r="H37705" s="28"/>
    </row>
    <row r="37706" spans="4:8" x14ac:dyDescent="0.25">
      <c r="D37706" s="28"/>
      <c r="F37706" s="28"/>
      <c r="H37706" s="28"/>
    </row>
    <row r="37707" spans="4:8" x14ac:dyDescent="0.25">
      <c r="D37707" s="28"/>
      <c r="F37707" s="28"/>
      <c r="H37707" s="28"/>
    </row>
    <row r="37708" spans="4:8" x14ac:dyDescent="0.25">
      <c r="D37708" s="28"/>
      <c r="F37708" s="28"/>
      <c r="H37708" s="28"/>
    </row>
    <row r="37709" spans="4:8" x14ac:dyDescent="0.25">
      <c r="D37709" s="28"/>
      <c r="F37709" s="28"/>
      <c r="H37709" s="28"/>
    </row>
    <row r="37710" spans="4:8" x14ac:dyDescent="0.25">
      <c r="D37710" s="28"/>
      <c r="F37710" s="28"/>
      <c r="H37710" s="28"/>
    </row>
    <row r="37711" spans="4:8" x14ac:dyDescent="0.25">
      <c r="D37711" s="28"/>
      <c r="F37711" s="28"/>
      <c r="H37711" s="28"/>
    </row>
    <row r="37712" spans="4:8" x14ac:dyDescent="0.25">
      <c r="D37712" s="28"/>
      <c r="F37712" s="28"/>
      <c r="H37712" s="28"/>
    </row>
    <row r="37713" spans="4:8" x14ac:dyDescent="0.25">
      <c r="D37713" s="28"/>
      <c r="F37713" s="28"/>
      <c r="H37713" s="28"/>
    </row>
    <row r="37714" spans="4:8" x14ac:dyDescent="0.25">
      <c r="D37714" s="28"/>
      <c r="F37714" s="28"/>
      <c r="H37714" s="28"/>
    </row>
    <row r="37715" spans="4:8" x14ac:dyDescent="0.25">
      <c r="D37715" s="28"/>
      <c r="F37715" s="28"/>
      <c r="H37715" s="28"/>
    </row>
    <row r="37716" spans="4:8" x14ac:dyDescent="0.25">
      <c r="D37716" s="28"/>
      <c r="F37716" s="28"/>
      <c r="H37716" s="28"/>
    </row>
    <row r="37717" spans="4:8" x14ac:dyDescent="0.25">
      <c r="D37717" s="28"/>
      <c r="F37717" s="28"/>
      <c r="H37717" s="28"/>
    </row>
    <row r="37718" spans="4:8" x14ac:dyDescent="0.25">
      <c r="D37718" s="28"/>
      <c r="F37718" s="28"/>
      <c r="H37718" s="28"/>
    </row>
    <row r="37719" spans="4:8" x14ac:dyDescent="0.25">
      <c r="D37719" s="28"/>
      <c r="F37719" s="28"/>
      <c r="H37719" s="28"/>
    </row>
    <row r="37720" spans="4:8" x14ac:dyDescent="0.25">
      <c r="D37720" s="28"/>
      <c r="F37720" s="28"/>
      <c r="H37720" s="28"/>
    </row>
    <row r="37721" spans="4:8" x14ac:dyDescent="0.25">
      <c r="D37721" s="28"/>
      <c r="F37721" s="28"/>
      <c r="H37721" s="28"/>
    </row>
    <row r="37722" spans="4:8" x14ac:dyDescent="0.25">
      <c r="D37722" s="28"/>
      <c r="F37722" s="28"/>
      <c r="H37722" s="28"/>
    </row>
    <row r="37723" spans="4:8" x14ac:dyDescent="0.25">
      <c r="D37723" s="28"/>
      <c r="F37723" s="28"/>
      <c r="H37723" s="28"/>
    </row>
    <row r="37724" spans="4:8" x14ac:dyDescent="0.25">
      <c r="D37724" s="28"/>
      <c r="F37724" s="28"/>
      <c r="H37724" s="28"/>
    </row>
    <row r="37725" spans="4:8" x14ac:dyDescent="0.25">
      <c r="D37725" s="28"/>
      <c r="F37725" s="28"/>
      <c r="H37725" s="28"/>
    </row>
    <row r="37726" spans="4:8" x14ac:dyDescent="0.25">
      <c r="D37726" s="28"/>
      <c r="F37726" s="28"/>
      <c r="H37726" s="28"/>
    </row>
    <row r="37727" spans="4:8" x14ac:dyDescent="0.25">
      <c r="D37727" s="28"/>
      <c r="F37727" s="28"/>
      <c r="H37727" s="28"/>
    </row>
    <row r="37728" spans="4:8" x14ac:dyDescent="0.25">
      <c r="D37728" s="28"/>
      <c r="F37728" s="28"/>
      <c r="H37728" s="28"/>
    </row>
    <row r="37729" spans="4:8" x14ac:dyDescent="0.25">
      <c r="D37729" s="28"/>
      <c r="F37729" s="28"/>
      <c r="H37729" s="28"/>
    </row>
    <row r="37730" spans="4:8" x14ac:dyDescent="0.25">
      <c r="D37730" s="28"/>
      <c r="F37730" s="28"/>
      <c r="H37730" s="28"/>
    </row>
    <row r="37731" spans="4:8" x14ac:dyDescent="0.25">
      <c r="D37731" s="28"/>
      <c r="F37731" s="28"/>
      <c r="H37731" s="28"/>
    </row>
    <row r="37732" spans="4:8" x14ac:dyDescent="0.25">
      <c r="D37732" s="28"/>
      <c r="F37732" s="28"/>
      <c r="H37732" s="28"/>
    </row>
    <row r="37733" spans="4:8" x14ac:dyDescent="0.25">
      <c r="D37733" s="28"/>
      <c r="F37733" s="28"/>
      <c r="H37733" s="28"/>
    </row>
    <row r="37734" spans="4:8" x14ac:dyDescent="0.25">
      <c r="D37734" s="28"/>
      <c r="F37734" s="28"/>
      <c r="H37734" s="28"/>
    </row>
    <row r="37735" spans="4:8" x14ac:dyDescent="0.25">
      <c r="D37735" s="28"/>
      <c r="F37735" s="28"/>
      <c r="H37735" s="28"/>
    </row>
    <row r="37736" spans="4:8" x14ac:dyDescent="0.25">
      <c r="D37736" s="28"/>
      <c r="F37736" s="28"/>
      <c r="H37736" s="28"/>
    </row>
    <row r="37737" spans="4:8" x14ac:dyDescent="0.25">
      <c r="D37737" s="28"/>
      <c r="F37737" s="28"/>
      <c r="H37737" s="28"/>
    </row>
    <row r="37738" spans="4:8" x14ac:dyDescent="0.25">
      <c r="D37738" s="28"/>
      <c r="F37738" s="28"/>
      <c r="H37738" s="28"/>
    </row>
    <row r="37739" spans="4:8" x14ac:dyDescent="0.25">
      <c r="D37739" s="28"/>
      <c r="F37739" s="28"/>
      <c r="H37739" s="28"/>
    </row>
    <row r="37740" spans="4:8" x14ac:dyDescent="0.25">
      <c r="D37740" s="28"/>
      <c r="F37740" s="28"/>
      <c r="H37740" s="28"/>
    </row>
    <row r="37741" spans="4:8" x14ac:dyDescent="0.25">
      <c r="D37741" s="28"/>
      <c r="F37741" s="28"/>
      <c r="H37741" s="28"/>
    </row>
    <row r="37742" spans="4:8" x14ac:dyDescent="0.25">
      <c r="D37742" s="28"/>
      <c r="F37742" s="28"/>
      <c r="H37742" s="28"/>
    </row>
    <row r="37743" spans="4:8" x14ac:dyDescent="0.25">
      <c r="D37743" s="28"/>
      <c r="F37743" s="28"/>
      <c r="H37743" s="28"/>
    </row>
    <row r="37744" spans="4:8" x14ac:dyDescent="0.25">
      <c r="D37744" s="28"/>
      <c r="F37744" s="28"/>
      <c r="H37744" s="28"/>
    </row>
    <row r="37745" spans="4:8" x14ac:dyDescent="0.25">
      <c r="D37745" s="28"/>
      <c r="F37745" s="28"/>
      <c r="H37745" s="28"/>
    </row>
    <row r="37746" spans="4:8" x14ac:dyDescent="0.25">
      <c r="D37746" s="28"/>
      <c r="F37746" s="28"/>
      <c r="H37746" s="28"/>
    </row>
    <row r="37747" spans="4:8" x14ac:dyDescent="0.25">
      <c r="D37747" s="28"/>
      <c r="F37747" s="28"/>
      <c r="H37747" s="28"/>
    </row>
    <row r="37748" spans="4:8" x14ac:dyDescent="0.25">
      <c r="D37748" s="28"/>
      <c r="F37748" s="28"/>
      <c r="H37748" s="28"/>
    </row>
    <row r="37749" spans="4:8" x14ac:dyDescent="0.25">
      <c r="D37749" s="28"/>
      <c r="F37749" s="28"/>
      <c r="H37749" s="28"/>
    </row>
    <row r="37750" spans="4:8" x14ac:dyDescent="0.25">
      <c r="D37750" s="28"/>
      <c r="F37750" s="28"/>
      <c r="H37750" s="28"/>
    </row>
    <row r="37751" spans="4:8" x14ac:dyDescent="0.25">
      <c r="D37751" s="28"/>
      <c r="F37751" s="28"/>
      <c r="H37751" s="28"/>
    </row>
    <row r="37752" spans="4:8" x14ac:dyDescent="0.25">
      <c r="D37752" s="28"/>
      <c r="F37752" s="28"/>
      <c r="H37752" s="28"/>
    </row>
    <row r="37753" spans="4:8" x14ac:dyDescent="0.25">
      <c r="D37753" s="28"/>
      <c r="F37753" s="28"/>
      <c r="H37753" s="28"/>
    </row>
    <row r="37754" spans="4:8" x14ac:dyDescent="0.25">
      <c r="D37754" s="28"/>
      <c r="F37754" s="28"/>
      <c r="H37754" s="28"/>
    </row>
    <row r="37755" spans="4:8" x14ac:dyDescent="0.25">
      <c r="D37755" s="28"/>
      <c r="F37755" s="28"/>
      <c r="H37755" s="28"/>
    </row>
    <row r="37756" spans="4:8" x14ac:dyDescent="0.25">
      <c r="D37756" s="28"/>
      <c r="F37756" s="28"/>
      <c r="H37756" s="28"/>
    </row>
    <row r="37757" spans="4:8" x14ac:dyDescent="0.25">
      <c r="D37757" s="28"/>
      <c r="F37757" s="28"/>
      <c r="H37757" s="28"/>
    </row>
    <row r="37758" spans="4:8" x14ac:dyDescent="0.25">
      <c r="D37758" s="28"/>
      <c r="F37758" s="28"/>
      <c r="H37758" s="28"/>
    </row>
    <row r="37759" spans="4:8" x14ac:dyDescent="0.25">
      <c r="D37759" s="28"/>
      <c r="F37759" s="28"/>
      <c r="H37759" s="28"/>
    </row>
    <row r="37760" spans="4:8" x14ac:dyDescent="0.25">
      <c r="D37760" s="28"/>
      <c r="F37760" s="28"/>
      <c r="H37760" s="28"/>
    </row>
    <row r="37761" spans="4:8" x14ac:dyDescent="0.25">
      <c r="D37761" s="28"/>
      <c r="F37761" s="28"/>
      <c r="H37761" s="28"/>
    </row>
    <row r="37762" spans="4:8" x14ac:dyDescent="0.25">
      <c r="D37762" s="28"/>
      <c r="F37762" s="28"/>
      <c r="H37762" s="28"/>
    </row>
    <row r="37763" spans="4:8" x14ac:dyDescent="0.25">
      <c r="D37763" s="28"/>
      <c r="F37763" s="28"/>
      <c r="H37763" s="28"/>
    </row>
    <row r="37764" spans="4:8" x14ac:dyDescent="0.25">
      <c r="D37764" s="28"/>
      <c r="F37764" s="28"/>
      <c r="H37764" s="28"/>
    </row>
    <row r="37765" spans="4:8" x14ac:dyDescent="0.25">
      <c r="D37765" s="28"/>
      <c r="F37765" s="28"/>
      <c r="H37765" s="28"/>
    </row>
    <row r="37766" spans="4:8" x14ac:dyDescent="0.25">
      <c r="D37766" s="28"/>
      <c r="F37766" s="28"/>
      <c r="H37766" s="28"/>
    </row>
    <row r="37767" spans="4:8" x14ac:dyDescent="0.25">
      <c r="D37767" s="28"/>
      <c r="F37767" s="28"/>
      <c r="H37767" s="28"/>
    </row>
    <row r="37768" spans="4:8" x14ac:dyDescent="0.25">
      <c r="D37768" s="28"/>
      <c r="F37768" s="28"/>
      <c r="H37768" s="28"/>
    </row>
    <row r="37769" spans="4:8" x14ac:dyDescent="0.25">
      <c r="D37769" s="28"/>
      <c r="F37769" s="28"/>
      <c r="H37769" s="28"/>
    </row>
    <row r="37770" spans="4:8" x14ac:dyDescent="0.25">
      <c r="D37770" s="28"/>
      <c r="F37770" s="28"/>
      <c r="H37770" s="28"/>
    </row>
    <row r="37771" spans="4:8" x14ac:dyDescent="0.25">
      <c r="D37771" s="28"/>
      <c r="F37771" s="28"/>
      <c r="H37771" s="28"/>
    </row>
    <row r="37772" spans="4:8" x14ac:dyDescent="0.25">
      <c r="D37772" s="28"/>
      <c r="F37772" s="28"/>
      <c r="H37772" s="28"/>
    </row>
    <row r="37773" spans="4:8" x14ac:dyDescent="0.25">
      <c r="D37773" s="28"/>
      <c r="F37773" s="28"/>
      <c r="H37773" s="28"/>
    </row>
    <row r="37774" spans="4:8" x14ac:dyDescent="0.25">
      <c r="D37774" s="28"/>
      <c r="F37774" s="28"/>
      <c r="H37774" s="28"/>
    </row>
    <row r="37775" spans="4:8" x14ac:dyDescent="0.25">
      <c r="D37775" s="28"/>
      <c r="F37775" s="28"/>
      <c r="H37775" s="28"/>
    </row>
    <row r="37776" spans="4:8" x14ac:dyDescent="0.25">
      <c r="D37776" s="28"/>
      <c r="F37776" s="28"/>
      <c r="H37776" s="28"/>
    </row>
    <row r="37777" spans="4:8" x14ac:dyDescent="0.25">
      <c r="D37777" s="28"/>
      <c r="F37777" s="28"/>
      <c r="H37777" s="28"/>
    </row>
    <row r="37778" spans="4:8" x14ac:dyDescent="0.25">
      <c r="D37778" s="28"/>
      <c r="F37778" s="28"/>
      <c r="H37778" s="28"/>
    </row>
    <row r="37779" spans="4:8" x14ac:dyDescent="0.25">
      <c r="D37779" s="28"/>
      <c r="F37779" s="28"/>
      <c r="H37779" s="28"/>
    </row>
    <row r="37780" spans="4:8" x14ac:dyDescent="0.25">
      <c r="D37780" s="28"/>
      <c r="F37780" s="28"/>
      <c r="H37780" s="28"/>
    </row>
    <row r="37781" spans="4:8" x14ac:dyDescent="0.25">
      <c r="D37781" s="28"/>
      <c r="F37781" s="28"/>
      <c r="H37781" s="28"/>
    </row>
    <row r="37782" spans="4:8" x14ac:dyDescent="0.25">
      <c r="D37782" s="28"/>
      <c r="F37782" s="28"/>
      <c r="H37782" s="28"/>
    </row>
    <row r="37783" spans="4:8" x14ac:dyDescent="0.25">
      <c r="D37783" s="28"/>
      <c r="F37783" s="28"/>
      <c r="H37783" s="28"/>
    </row>
    <row r="37784" spans="4:8" x14ac:dyDescent="0.25">
      <c r="D37784" s="28"/>
      <c r="F37784" s="28"/>
      <c r="H37784" s="28"/>
    </row>
    <row r="37785" spans="4:8" x14ac:dyDescent="0.25">
      <c r="D37785" s="28"/>
      <c r="F37785" s="28"/>
      <c r="H37785" s="28"/>
    </row>
    <row r="37786" spans="4:8" x14ac:dyDescent="0.25">
      <c r="D37786" s="28"/>
      <c r="F37786" s="28"/>
      <c r="H37786" s="28"/>
    </row>
    <row r="37787" spans="4:8" x14ac:dyDescent="0.25">
      <c r="D37787" s="28"/>
      <c r="F37787" s="28"/>
      <c r="H37787" s="28"/>
    </row>
    <row r="37788" spans="4:8" x14ac:dyDescent="0.25">
      <c r="D37788" s="28"/>
      <c r="F37788" s="28"/>
      <c r="H37788" s="28"/>
    </row>
    <row r="37789" spans="4:8" x14ac:dyDescent="0.25">
      <c r="D37789" s="28"/>
      <c r="F37789" s="28"/>
      <c r="H37789" s="28"/>
    </row>
    <row r="37790" spans="4:8" x14ac:dyDescent="0.25">
      <c r="D37790" s="28"/>
      <c r="F37790" s="28"/>
      <c r="H37790" s="28"/>
    </row>
    <row r="37791" spans="4:8" x14ac:dyDescent="0.25">
      <c r="D37791" s="28"/>
      <c r="F37791" s="28"/>
      <c r="H37791" s="28"/>
    </row>
    <row r="37792" spans="4:8" x14ac:dyDescent="0.25">
      <c r="D37792" s="28"/>
      <c r="F37792" s="28"/>
      <c r="H37792" s="28"/>
    </row>
    <row r="37793" spans="4:8" x14ac:dyDescent="0.25">
      <c r="D37793" s="28"/>
      <c r="F37793" s="28"/>
      <c r="H37793" s="28"/>
    </row>
    <row r="37794" spans="4:8" x14ac:dyDescent="0.25">
      <c r="D37794" s="28"/>
      <c r="F37794" s="28"/>
      <c r="H37794" s="28"/>
    </row>
    <row r="37795" spans="4:8" x14ac:dyDescent="0.25">
      <c r="D37795" s="28"/>
      <c r="F37795" s="28"/>
      <c r="H37795" s="28"/>
    </row>
    <row r="37796" spans="4:8" x14ac:dyDescent="0.25">
      <c r="D37796" s="28"/>
      <c r="F37796" s="28"/>
      <c r="H37796" s="28"/>
    </row>
    <row r="37797" spans="4:8" x14ac:dyDescent="0.25">
      <c r="D37797" s="28"/>
      <c r="F37797" s="28"/>
      <c r="H37797" s="28"/>
    </row>
    <row r="37798" spans="4:8" x14ac:dyDescent="0.25">
      <c r="D37798" s="28"/>
      <c r="F37798" s="28"/>
      <c r="H37798" s="28"/>
    </row>
    <row r="37799" spans="4:8" x14ac:dyDescent="0.25">
      <c r="D37799" s="28"/>
      <c r="F37799" s="28"/>
      <c r="H37799" s="28"/>
    </row>
    <row r="37800" spans="4:8" x14ac:dyDescent="0.25">
      <c r="D37800" s="28"/>
      <c r="F37800" s="28"/>
      <c r="H37800" s="28"/>
    </row>
    <row r="37801" spans="4:8" x14ac:dyDescent="0.25">
      <c r="D37801" s="28"/>
      <c r="F37801" s="28"/>
      <c r="H37801" s="28"/>
    </row>
    <row r="37802" spans="4:8" x14ac:dyDescent="0.25">
      <c r="D37802" s="28"/>
      <c r="F37802" s="28"/>
      <c r="H37802" s="28"/>
    </row>
    <row r="37803" spans="4:8" x14ac:dyDescent="0.25">
      <c r="D37803" s="28"/>
      <c r="F37803" s="28"/>
      <c r="H37803" s="28"/>
    </row>
    <row r="37804" spans="4:8" x14ac:dyDescent="0.25">
      <c r="D37804" s="28"/>
      <c r="F37804" s="28"/>
      <c r="H37804" s="28"/>
    </row>
    <row r="37805" spans="4:8" x14ac:dyDescent="0.25">
      <c r="D37805" s="28"/>
      <c r="F37805" s="28"/>
      <c r="H37805" s="28"/>
    </row>
    <row r="37806" spans="4:8" x14ac:dyDescent="0.25">
      <c r="D37806" s="28"/>
      <c r="F37806" s="28"/>
      <c r="H37806" s="28"/>
    </row>
    <row r="37807" spans="4:8" x14ac:dyDescent="0.25">
      <c r="D37807" s="28"/>
      <c r="F37807" s="28"/>
      <c r="H37807" s="28"/>
    </row>
    <row r="37808" spans="4:8" x14ac:dyDescent="0.25">
      <c r="D37808" s="28"/>
      <c r="F37808" s="28"/>
      <c r="H37808" s="28"/>
    </row>
    <row r="37809" spans="4:8" x14ac:dyDescent="0.25">
      <c r="D37809" s="28"/>
      <c r="F37809" s="28"/>
      <c r="H37809" s="28"/>
    </row>
    <row r="37810" spans="4:8" x14ac:dyDescent="0.25">
      <c r="D37810" s="28"/>
      <c r="F37810" s="28"/>
      <c r="H37810" s="28"/>
    </row>
    <row r="37811" spans="4:8" x14ac:dyDescent="0.25">
      <c r="D37811" s="28"/>
      <c r="F37811" s="28"/>
      <c r="H37811" s="28"/>
    </row>
    <row r="37812" spans="4:8" x14ac:dyDescent="0.25">
      <c r="D37812" s="28"/>
      <c r="F37812" s="28"/>
      <c r="H37812" s="28"/>
    </row>
    <row r="37813" spans="4:8" x14ac:dyDescent="0.25">
      <c r="D37813" s="28"/>
      <c r="F37813" s="28"/>
      <c r="H37813" s="28"/>
    </row>
    <row r="37814" spans="4:8" x14ac:dyDescent="0.25">
      <c r="D37814" s="28"/>
      <c r="F37814" s="28"/>
      <c r="H37814" s="28"/>
    </row>
    <row r="37815" spans="4:8" x14ac:dyDescent="0.25">
      <c r="D37815" s="28"/>
      <c r="F37815" s="28"/>
      <c r="H37815" s="28"/>
    </row>
    <row r="37816" spans="4:8" x14ac:dyDescent="0.25">
      <c r="D37816" s="28"/>
      <c r="F37816" s="28"/>
      <c r="H37816" s="28"/>
    </row>
    <row r="37817" spans="4:8" x14ac:dyDescent="0.25">
      <c r="D37817" s="28"/>
      <c r="F37817" s="28"/>
      <c r="H37817" s="28"/>
    </row>
    <row r="37818" spans="4:8" x14ac:dyDescent="0.25">
      <c r="D37818" s="28"/>
      <c r="F37818" s="28"/>
      <c r="H37818" s="28"/>
    </row>
    <row r="37819" spans="4:8" x14ac:dyDescent="0.25">
      <c r="D37819" s="28"/>
      <c r="F37819" s="28"/>
      <c r="H37819" s="28"/>
    </row>
    <row r="37820" spans="4:8" x14ac:dyDescent="0.25">
      <c r="D37820" s="28"/>
      <c r="F37820" s="28"/>
      <c r="H37820" s="28"/>
    </row>
    <row r="37821" spans="4:8" x14ac:dyDescent="0.25">
      <c r="D37821" s="28"/>
      <c r="F37821" s="28"/>
      <c r="H37821" s="28"/>
    </row>
    <row r="37822" spans="4:8" x14ac:dyDescent="0.25">
      <c r="D37822" s="28"/>
      <c r="F37822" s="28"/>
      <c r="H37822" s="28"/>
    </row>
    <row r="37823" spans="4:8" x14ac:dyDescent="0.25">
      <c r="D37823" s="28"/>
      <c r="F37823" s="28"/>
      <c r="H37823" s="28"/>
    </row>
    <row r="37824" spans="4:8" x14ac:dyDescent="0.25">
      <c r="D37824" s="28"/>
      <c r="F37824" s="28"/>
      <c r="H37824" s="28"/>
    </row>
    <row r="37825" spans="4:8" x14ac:dyDescent="0.25">
      <c r="D37825" s="28"/>
      <c r="F37825" s="28"/>
      <c r="H37825" s="28"/>
    </row>
    <row r="37826" spans="4:8" x14ac:dyDescent="0.25">
      <c r="D37826" s="28"/>
      <c r="F37826" s="28"/>
      <c r="H37826" s="28"/>
    </row>
    <row r="37827" spans="4:8" x14ac:dyDescent="0.25">
      <c r="D37827" s="28"/>
      <c r="F37827" s="28"/>
      <c r="H37827" s="28"/>
    </row>
    <row r="37828" spans="4:8" x14ac:dyDescent="0.25">
      <c r="D37828" s="28"/>
      <c r="F37828" s="28"/>
      <c r="H37828" s="28"/>
    </row>
    <row r="37829" spans="4:8" x14ac:dyDescent="0.25">
      <c r="D37829" s="28"/>
      <c r="F37829" s="28"/>
      <c r="H37829" s="28"/>
    </row>
    <row r="37830" spans="4:8" x14ac:dyDescent="0.25">
      <c r="D37830" s="28"/>
      <c r="F37830" s="28"/>
      <c r="H37830" s="28"/>
    </row>
    <row r="37831" spans="4:8" x14ac:dyDescent="0.25">
      <c r="D37831" s="28"/>
      <c r="F37831" s="28"/>
      <c r="H37831" s="28"/>
    </row>
    <row r="37832" spans="4:8" x14ac:dyDescent="0.25">
      <c r="D37832" s="28"/>
      <c r="F37832" s="28"/>
      <c r="H37832" s="28"/>
    </row>
    <row r="37833" spans="4:8" x14ac:dyDescent="0.25">
      <c r="D37833" s="28"/>
      <c r="F37833" s="28"/>
      <c r="H37833" s="28"/>
    </row>
    <row r="37834" spans="4:8" x14ac:dyDescent="0.25">
      <c r="D37834" s="28"/>
      <c r="F37834" s="28"/>
      <c r="H37834" s="28"/>
    </row>
    <row r="37835" spans="4:8" x14ac:dyDescent="0.25">
      <c r="D37835" s="28"/>
      <c r="F37835" s="28"/>
      <c r="H37835" s="28"/>
    </row>
    <row r="37836" spans="4:8" x14ac:dyDescent="0.25">
      <c r="D37836" s="28"/>
      <c r="F37836" s="28"/>
      <c r="H37836" s="28"/>
    </row>
    <row r="37837" spans="4:8" x14ac:dyDescent="0.25">
      <c r="D37837" s="28"/>
      <c r="F37837" s="28"/>
      <c r="H37837" s="28"/>
    </row>
    <row r="37838" spans="4:8" x14ac:dyDescent="0.25">
      <c r="D37838" s="28"/>
      <c r="F37838" s="28"/>
      <c r="H37838" s="28"/>
    </row>
    <row r="37839" spans="4:8" x14ac:dyDescent="0.25">
      <c r="D37839" s="28"/>
      <c r="F37839" s="28"/>
      <c r="H37839" s="28"/>
    </row>
    <row r="37840" spans="4:8" x14ac:dyDescent="0.25">
      <c r="D37840" s="28"/>
      <c r="F37840" s="28"/>
      <c r="H37840" s="28"/>
    </row>
    <row r="37841" spans="4:8" x14ac:dyDescent="0.25">
      <c r="D37841" s="28"/>
      <c r="F37841" s="28"/>
      <c r="H37841" s="28"/>
    </row>
    <row r="37842" spans="4:8" x14ac:dyDescent="0.25">
      <c r="D37842" s="28"/>
      <c r="F37842" s="28"/>
      <c r="H37842" s="28"/>
    </row>
    <row r="37843" spans="4:8" x14ac:dyDescent="0.25">
      <c r="D37843" s="28"/>
      <c r="F37843" s="28"/>
      <c r="H37843" s="28"/>
    </row>
    <row r="37844" spans="4:8" x14ac:dyDescent="0.25">
      <c r="D37844" s="28"/>
      <c r="F37844" s="28"/>
      <c r="H37844" s="28"/>
    </row>
    <row r="37845" spans="4:8" x14ac:dyDescent="0.25">
      <c r="D37845" s="28"/>
      <c r="F37845" s="28"/>
      <c r="H37845" s="28"/>
    </row>
    <row r="37846" spans="4:8" x14ac:dyDescent="0.25">
      <c r="D37846" s="28"/>
      <c r="F37846" s="28"/>
      <c r="H37846" s="28"/>
    </row>
    <row r="37847" spans="4:8" x14ac:dyDescent="0.25">
      <c r="D37847" s="28"/>
      <c r="F37847" s="28"/>
      <c r="H37847" s="28"/>
    </row>
    <row r="37848" spans="4:8" x14ac:dyDescent="0.25">
      <c r="D37848" s="28"/>
      <c r="F37848" s="28"/>
      <c r="H37848" s="28"/>
    </row>
    <row r="37849" spans="4:8" x14ac:dyDescent="0.25">
      <c r="D37849" s="28"/>
      <c r="F37849" s="28"/>
      <c r="H37849" s="28"/>
    </row>
    <row r="37850" spans="4:8" x14ac:dyDescent="0.25">
      <c r="D37850" s="28"/>
      <c r="F37850" s="28"/>
      <c r="H37850" s="28"/>
    </row>
    <row r="37851" spans="4:8" x14ac:dyDescent="0.25">
      <c r="D37851" s="28"/>
      <c r="F37851" s="28"/>
      <c r="H37851" s="28"/>
    </row>
    <row r="37852" spans="4:8" x14ac:dyDescent="0.25">
      <c r="D37852" s="28"/>
      <c r="F37852" s="28"/>
      <c r="H37852" s="28"/>
    </row>
    <row r="37853" spans="4:8" x14ac:dyDescent="0.25">
      <c r="D37853" s="28"/>
      <c r="F37853" s="28"/>
      <c r="H37853" s="28"/>
    </row>
    <row r="37854" spans="4:8" x14ac:dyDescent="0.25">
      <c r="D37854" s="28"/>
      <c r="F37854" s="28"/>
      <c r="H37854" s="28"/>
    </row>
    <row r="37855" spans="4:8" x14ac:dyDescent="0.25">
      <c r="D37855" s="28"/>
      <c r="F37855" s="28"/>
      <c r="H37855" s="28"/>
    </row>
    <row r="37856" spans="4:8" x14ac:dyDescent="0.25">
      <c r="D37856" s="28"/>
      <c r="F37856" s="28"/>
      <c r="H37856" s="28"/>
    </row>
    <row r="37857" spans="4:8" x14ac:dyDescent="0.25">
      <c r="D37857" s="28"/>
      <c r="F37857" s="28"/>
      <c r="H37857" s="28"/>
    </row>
    <row r="37858" spans="4:8" x14ac:dyDescent="0.25">
      <c r="D37858" s="28"/>
      <c r="F37858" s="28"/>
      <c r="H37858" s="28"/>
    </row>
    <row r="37859" spans="4:8" x14ac:dyDescent="0.25">
      <c r="D37859" s="28"/>
      <c r="F37859" s="28"/>
      <c r="H37859" s="28"/>
    </row>
    <row r="37860" spans="4:8" x14ac:dyDescent="0.25">
      <c r="D37860" s="28"/>
      <c r="F37860" s="28"/>
      <c r="H37860" s="28"/>
    </row>
    <row r="37861" spans="4:8" x14ac:dyDescent="0.25">
      <c r="D37861" s="28"/>
      <c r="F37861" s="28"/>
      <c r="H37861" s="28"/>
    </row>
    <row r="37862" spans="4:8" x14ac:dyDescent="0.25">
      <c r="D37862" s="28"/>
      <c r="F37862" s="28"/>
      <c r="H37862" s="28"/>
    </row>
    <row r="37863" spans="4:8" x14ac:dyDescent="0.25">
      <c r="D37863" s="28"/>
      <c r="F37863" s="28"/>
      <c r="H37863" s="28"/>
    </row>
    <row r="37864" spans="4:8" x14ac:dyDescent="0.25">
      <c r="D37864" s="28"/>
      <c r="F37864" s="28"/>
      <c r="H37864" s="28"/>
    </row>
    <row r="37865" spans="4:8" x14ac:dyDescent="0.25">
      <c r="D37865" s="28"/>
      <c r="F37865" s="28"/>
      <c r="H37865" s="28"/>
    </row>
    <row r="37866" spans="4:8" x14ac:dyDescent="0.25">
      <c r="D37866" s="28"/>
      <c r="F37866" s="28"/>
      <c r="H37866" s="28"/>
    </row>
    <row r="37867" spans="4:8" x14ac:dyDescent="0.25">
      <c r="D37867" s="28"/>
      <c r="F37867" s="28"/>
      <c r="H37867" s="28"/>
    </row>
    <row r="37868" spans="4:8" x14ac:dyDescent="0.25">
      <c r="D37868" s="28"/>
      <c r="F37868" s="28"/>
      <c r="H37868" s="28"/>
    </row>
    <row r="37869" spans="4:8" x14ac:dyDescent="0.25">
      <c r="D37869" s="28"/>
      <c r="F37869" s="28"/>
      <c r="H37869" s="28"/>
    </row>
    <row r="37870" spans="4:8" x14ac:dyDescent="0.25">
      <c r="D37870" s="28"/>
      <c r="F37870" s="28"/>
      <c r="H37870" s="28"/>
    </row>
    <row r="37871" spans="4:8" x14ac:dyDescent="0.25">
      <c r="D37871" s="28"/>
      <c r="F37871" s="28"/>
      <c r="H37871" s="28"/>
    </row>
    <row r="37872" spans="4:8" x14ac:dyDescent="0.25">
      <c r="D37872" s="28"/>
      <c r="F37872" s="28"/>
      <c r="H37872" s="28"/>
    </row>
    <row r="37873" spans="4:8" x14ac:dyDescent="0.25">
      <c r="D37873" s="28"/>
      <c r="F37873" s="28"/>
      <c r="H37873" s="28"/>
    </row>
    <row r="37874" spans="4:8" x14ac:dyDescent="0.25">
      <c r="D37874" s="28"/>
      <c r="F37874" s="28"/>
      <c r="H37874" s="28"/>
    </row>
    <row r="37875" spans="4:8" x14ac:dyDescent="0.25">
      <c r="D37875" s="28"/>
      <c r="F37875" s="28"/>
      <c r="H37875" s="28"/>
    </row>
    <row r="37876" spans="4:8" x14ac:dyDescent="0.25">
      <c r="D37876" s="28"/>
      <c r="F37876" s="28"/>
      <c r="H37876" s="28"/>
    </row>
    <row r="37877" spans="4:8" x14ac:dyDescent="0.25">
      <c r="D37877" s="28"/>
      <c r="F37877" s="28"/>
      <c r="H37877" s="28"/>
    </row>
    <row r="37878" spans="4:8" x14ac:dyDescent="0.25">
      <c r="D37878" s="28"/>
      <c r="F37878" s="28"/>
      <c r="H37878" s="28"/>
    </row>
    <row r="37879" spans="4:8" x14ac:dyDescent="0.25">
      <c r="D37879" s="28"/>
      <c r="F37879" s="28"/>
      <c r="H37879" s="28"/>
    </row>
    <row r="37880" spans="4:8" x14ac:dyDescent="0.25">
      <c r="D37880" s="28"/>
      <c r="F37880" s="28"/>
      <c r="H37880" s="28"/>
    </row>
    <row r="37881" spans="4:8" x14ac:dyDescent="0.25">
      <c r="D37881" s="28"/>
      <c r="F37881" s="28"/>
      <c r="H37881" s="28"/>
    </row>
    <row r="37882" spans="4:8" x14ac:dyDescent="0.25">
      <c r="D37882" s="28"/>
      <c r="F37882" s="28"/>
      <c r="H37882" s="28"/>
    </row>
    <row r="37883" spans="4:8" x14ac:dyDescent="0.25">
      <c r="D37883" s="28"/>
      <c r="F37883" s="28"/>
      <c r="H37883" s="28"/>
    </row>
    <row r="37884" spans="4:8" x14ac:dyDescent="0.25">
      <c r="D37884" s="28"/>
      <c r="F37884" s="28"/>
      <c r="H37884" s="28"/>
    </row>
    <row r="37885" spans="4:8" x14ac:dyDescent="0.25">
      <c r="D37885" s="28"/>
      <c r="F37885" s="28"/>
      <c r="H37885" s="28"/>
    </row>
    <row r="37886" spans="4:8" x14ac:dyDescent="0.25">
      <c r="D37886" s="28"/>
      <c r="F37886" s="28"/>
      <c r="H37886" s="28"/>
    </row>
    <row r="37887" spans="4:8" x14ac:dyDescent="0.25">
      <c r="D37887" s="28"/>
      <c r="F37887" s="28"/>
      <c r="H37887" s="28"/>
    </row>
    <row r="37888" spans="4:8" x14ac:dyDescent="0.25">
      <c r="D37888" s="28"/>
      <c r="F37888" s="28"/>
      <c r="H37888" s="28"/>
    </row>
    <row r="37889" spans="4:8" x14ac:dyDescent="0.25">
      <c r="D37889" s="28"/>
      <c r="F37889" s="28"/>
      <c r="H37889" s="28"/>
    </row>
    <row r="37890" spans="4:8" x14ac:dyDescent="0.25">
      <c r="D37890" s="28"/>
      <c r="F37890" s="28"/>
      <c r="H37890" s="28"/>
    </row>
    <row r="37891" spans="4:8" x14ac:dyDescent="0.25">
      <c r="D37891" s="28"/>
      <c r="F37891" s="28"/>
      <c r="H37891" s="28"/>
    </row>
    <row r="37892" spans="4:8" x14ac:dyDescent="0.25">
      <c r="D37892" s="28"/>
      <c r="F37892" s="28"/>
      <c r="H37892" s="28"/>
    </row>
    <row r="37893" spans="4:8" x14ac:dyDescent="0.25">
      <c r="D37893" s="28"/>
      <c r="F37893" s="28"/>
      <c r="H37893" s="28"/>
    </row>
    <row r="37894" spans="4:8" x14ac:dyDescent="0.25">
      <c r="D37894" s="28"/>
      <c r="F37894" s="28"/>
      <c r="H37894" s="28"/>
    </row>
    <row r="37895" spans="4:8" x14ac:dyDescent="0.25">
      <c r="D37895" s="28"/>
      <c r="F37895" s="28"/>
      <c r="H37895" s="28"/>
    </row>
    <row r="37896" spans="4:8" x14ac:dyDescent="0.25">
      <c r="D37896" s="28"/>
      <c r="F37896" s="28"/>
      <c r="H37896" s="28"/>
    </row>
    <row r="37897" spans="4:8" x14ac:dyDescent="0.25">
      <c r="D37897" s="28"/>
      <c r="F37897" s="28"/>
      <c r="H37897" s="28"/>
    </row>
    <row r="37898" spans="4:8" x14ac:dyDescent="0.25">
      <c r="D37898" s="28"/>
      <c r="F37898" s="28"/>
      <c r="H37898" s="28"/>
    </row>
    <row r="37899" spans="4:8" x14ac:dyDescent="0.25">
      <c r="D37899" s="28"/>
      <c r="F37899" s="28"/>
      <c r="H37899" s="28"/>
    </row>
    <row r="37900" spans="4:8" x14ac:dyDescent="0.25">
      <c r="D37900" s="28"/>
      <c r="F37900" s="28"/>
      <c r="H37900" s="28"/>
    </row>
    <row r="37901" spans="4:8" x14ac:dyDescent="0.25">
      <c r="D37901" s="28"/>
      <c r="F37901" s="28"/>
      <c r="H37901" s="28"/>
    </row>
    <row r="37902" spans="4:8" x14ac:dyDescent="0.25">
      <c r="D37902" s="28"/>
      <c r="F37902" s="28"/>
      <c r="H37902" s="28"/>
    </row>
    <row r="37903" spans="4:8" x14ac:dyDescent="0.25">
      <c r="D37903" s="28"/>
      <c r="F37903" s="28"/>
      <c r="H37903" s="28"/>
    </row>
    <row r="37904" spans="4:8" x14ac:dyDescent="0.25">
      <c r="D37904" s="28"/>
      <c r="F37904" s="28"/>
      <c r="H37904" s="28"/>
    </row>
    <row r="37905" spans="4:8" x14ac:dyDescent="0.25">
      <c r="D37905" s="28"/>
      <c r="F37905" s="28"/>
      <c r="H37905" s="28"/>
    </row>
    <row r="37906" spans="4:8" x14ac:dyDescent="0.25">
      <c r="D37906" s="28"/>
      <c r="F37906" s="28"/>
      <c r="H37906" s="28"/>
    </row>
    <row r="37907" spans="4:8" x14ac:dyDescent="0.25">
      <c r="D37907" s="28"/>
      <c r="F37907" s="28"/>
      <c r="H37907" s="28"/>
    </row>
    <row r="37908" spans="4:8" x14ac:dyDescent="0.25">
      <c r="D37908" s="28"/>
      <c r="F37908" s="28"/>
      <c r="H37908" s="28"/>
    </row>
    <row r="37909" spans="4:8" x14ac:dyDescent="0.25">
      <c r="D37909" s="28"/>
      <c r="F37909" s="28"/>
      <c r="H37909" s="28"/>
    </row>
    <row r="37910" spans="4:8" x14ac:dyDescent="0.25">
      <c r="D37910" s="28"/>
      <c r="F37910" s="28"/>
      <c r="H37910" s="28"/>
    </row>
    <row r="37911" spans="4:8" x14ac:dyDescent="0.25">
      <c r="D37911" s="28"/>
      <c r="F37911" s="28"/>
      <c r="H37911" s="28"/>
    </row>
    <row r="37912" spans="4:8" x14ac:dyDescent="0.25">
      <c r="D37912" s="28"/>
      <c r="F37912" s="28"/>
      <c r="H37912" s="28"/>
    </row>
    <row r="37913" spans="4:8" x14ac:dyDescent="0.25">
      <c r="D37913" s="28"/>
      <c r="F37913" s="28"/>
      <c r="H37913" s="28"/>
    </row>
    <row r="37914" spans="4:8" x14ac:dyDescent="0.25">
      <c r="D37914" s="28"/>
      <c r="F37914" s="28"/>
      <c r="H37914" s="28"/>
    </row>
    <row r="37915" spans="4:8" x14ac:dyDescent="0.25">
      <c r="D37915" s="28"/>
      <c r="F37915" s="28"/>
      <c r="H37915" s="28"/>
    </row>
    <row r="37916" spans="4:8" x14ac:dyDescent="0.25">
      <c r="D37916" s="28"/>
      <c r="F37916" s="28"/>
      <c r="H37916" s="28"/>
    </row>
    <row r="37917" spans="4:8" x14ac:dyDescent="0.25">
      <c r="D37917" s="28"/>
      <c r="F37917" s="28"/>
      <c r="H37917" s="28"/>
    </row>
    <row r="37918" spans="4:8" x14ac:dyDescent="0.25">
      <c r="D37918" s="28"/>
      <c r="F37918" s="28"/>
      <c r="H37918" s="28"/>
    </row>
    <row r="37919" spans="4:8" x14ac:dyDescent="0.25">
      <c r="D37919" s="28"/>
      <c r="F37919" s="28"/>
      <c r="H37919" s="28"/>
    </row>
    <row r="37920" spans="4:8" x14ac:dyDescent="0.25">
      <c r="D37920" s="28"/>
      <c r="F37920" s="28"/>
      <c r="H37920" s="28"/>
    </row>
    <row r="37921" spans="4:8" x14ac:dyDescent="0.25">
      <c r="D37921" s="28"/>
      <c r="F37921" s="28"/>
      <c r="H37921" s="28"/>
    </row>
    <row r="37922" spans="4:8" x14ac:dyDescent="0.25">
      <c r="D37922" s="28"/>
      <c r="F37922" s="28"/>
      <c r="H37922" s="28"/>
    </row>
    <row r="37923" spans="4:8" x14ac:dyDescent="0.25">
      <c r="D37923" s="28"/>
      <c r="F37923" s="28"/>
      <c r="H37923" s="28"/>
    </row>
    <row r="37924" spans="4:8" x14ac:dyDescent="0.25">
      <c r="D37924" s="28"/>
      <c r="F37924" s="28"/>
      <c r="H37924" s="28"/>
    </row>
    <row r="37925" spans="4:8" x14ac:dyDescent="0.25">
      <c r="D37925" s="28"/>
      <c r="F37925" s="28"/>
      <c r="H37925" s="28"/>
    </row>
    <row r="37926" spans="4:8" x14ac:dyDescent="0.25">
      <c r="D37926" s="28"/>
      <c r="F37926" s="28"/>
      <c r="H37926" s="28"/>
    </row>
    <row r="37927" spans="4:8" x14ac:dyDescent="0.25">
      <c r="D37927" s="28"/>
      <c r="F37927" s="28"/>
      <c r="H37927" s="28"/>
    </row>
    <row r="37928" spans="4:8" x14ac:dyDescent="0.25">
      <c r="D37928" s="28"/>
      <c r="F37928" s="28"/>
      <c r="H37928" s="28"/>
    </row>
    <row r="37929" spans="4:8" x14ac:dyDescent="0.25">
      <c r="D37929" s="28"/>
      <c r="F37929" s="28"/>
      <c r="H37929" s="28"/>
    </row>
    <row r="37930" spans="4:8" x14ac:dyDescent="0.25">
      <c r="D37930" s="28"/>
      <c r="F37930" s="28"/>
      <c r="H37930" s="28"/>
    </row>
    <row r="37931" spans="4:8" x14ac:dyDescent="0.25">
      <c r="D37931" s="28"/>
      <c r="F37931" s="28"/>
      <c r="H37931" s="28"/>
    </row>
    <row r="37932" spans="4:8" x14ac:dyDescent="0.25">
      <c r="D37932" s="28"/>
      <c r="F37932" s="28"/>
      <c r="H37932" s="28"/>
    </row>
    <row r="37933" spans="4:8" x14ac:dyDescent="0.25">
      <c r="D37933" s="28"/>
      <c r="F37933" s="28"/>
      <c r="H37933" s="28"/>
    </row>
    <row r="37934" spans="4:8" x14ac:dyDescent="0.25">
      <c r="D37934" s="28"/>
      <c r="F37934" s="28"/>
      <c r="H37934" s="28"/>
    </row>
    <row r="37935" spans="4:8" x14ac:dyDescent="0.25">
      <c r="D37935" s="28"/>
      <c r="F37935" s="28"/>
      <c r="H37935" s="28"/>
    </row>
    <row r="37936" spans="4:8" x14ac:dyDescent="0.25">
      <c r="D37936" s="28"/>
      <c r="F37936" s="28"/>
      <c r="H37936" s="28"/>
    </row>
    <row r="37937" spans="4:8" x14ac:dyDescent="0.25">
      <c r="D37937" s="28"/>
      <c r="F37937" s="28"/>
      <c r="H37937" s="28"/>
    </row>
    <row r="37938" spans="4:8" x14ac:dyDescent="0.25">
      <c r="D37938" s="28"/>
      <c r="F37938" s="28"/>
      <c r="H37938" s="28"/>
    </row>
    <row r="37939" spans="4:8" x14ac:dyDescent="0.25">
      <c r="D37939" s="28"/>
      <c r="F37939" s="28"/>
      <c r="H37939" s="28"/>
    </row>
    <row r="37940" spans="4:8" x14ac:dyDescent="0.25">
      <c r="D37940" s="28"/>
      <c r="F37940" s="28"/>
      <c r="H37940" s="28"/>
    </row>
    <row r="37941" spans="4:8" x14ac:dyDescent="0.25">
      <c r="D37941" s="28"/>
      <c r="F37941" s="28"/>
      <c r="H37941" s="28"/>
    </row>
    <row r="37942" spans="4:8" x14ac:dyDescent="0.25">
      <c r="D37942" s="28"/>
      <c r="F37942" s="28"/>
      <c r="H37942" s="28"/>
    </row>
    <row r="37943" spans="4:8" x14ac:dyDescent="0.25">
      <c r="D37943" s="28"/>
      <c r="F37943" s="28"/>
      <c r="H37943" s="28"/>
    </row>
    <row r="37944" spans="4:8" x14ac:dyDescent="0.25">
      <c r="D37944" s="28"/>
      <c r="F37944" s="28"/>
      <c r="H37944" s="28"/>
    </row>
    <row r="37945" spans="4:8" x14ac:dyDescent="0.25">
      <c r="D37945" s="28"/>
      <c r="F37945" s="28"/>
      <c r="H37945" s="28"/>
    </row>
    <row r="37946" spans="4:8" x14ac:dyDescent="0.25">
      <c r="D37946" s="28"/>
      <c r="F37946" s="28"/>
      <c r="H37946" s="28"/>
    </row>
    <row r="37947" spans="4:8" x14ac:dyDescent="0.25">
      <c r="D37947" s="28"/>
      <c r="F37947" s="28"/>
      <c r="H37947" s="28"/>
    </row>
    <row r="37948" spans="4:8" x14ac:dyDescent="0.25">
      <c r="D37948" s="28"/>
      <c r="F37948" s="28"/>
      <c r="H37948" s="28"/>
    </row>
    <row r="37949" spans="4:8" x14ac:dyDescent="0.25">
      <c r="D37949" s="28"/>
      <c r="F37949" s="28"/>
      <c r="H37949" s="28"/>
    </row>
    <row r="37950" spans="4:8" x14ac:dyDescent="0.25">
      <c r="D37950" s="28"/>
      <c r="F37950" s="28"/>
      <c r="H37950" s="28"/>
    </row>
    <row r="37951" spans="4:8" x14ac:dyDescent="0.25">
      <c r="D37951" s="28"/>
      <c r="F37951" s="28"/>
      <c r="H37951" s="28"/>
    </row>
    <row r="37952" spans="4:8" x14ac:dyDescent="0.25">
      <c r="D37952" s="28"/>
      <c r="F37952" s="28"/>
      <c r="H37952" s="28"/>
    </row>
    <row r="37953" spans="4:8" x14ac:dyDescent="0.25">
      <c r="D37953" s="28"/>
      <c r="F37953" s="28"/>
      <c r="H37953" s="28"/>
    </row>
    <row r="37954" spans="4:8" x14ac:dyDescent="0.25">
      <c r="D37954" s="28"/>
      <c r="F37954" s="28"/>
      <c r="H37954" s="28"/>
    </row>
    <row r="37955" spans="4:8" x14ac:dyDescent="0.25">
      <c r="D37955" s="28"/>
      <c r="F37955" s="28"/>
      <c r="H37955" s="28"/>
    </row>
    <row r="37956" spans="4:8" x14ac:dyDescent="0.25">
      <c r="D37956" s="28"/>
      <c r="F37956" s="28"/>
      <c r="H37956" s="28"/>
    </row>
    <row r="37957" spans="4:8" x14ac:dyDescent="0.25">
      <c r="D37957" s="28"/>
      <c r="F37957" s="28"/>
      <c r="H37957" s="28"/>
    </row>
    <row r="37958" spans="4:8" x14ac:dyDescent="0.25">
      <c r="D37958" s="28"/>
      <c r="F37958" s="28"/>
      <c r="H37958" s="28"/>
    </row>
    <row r="37959" spans="4:8" x14ac:dyDescent="0.25">
      <c r="D37959" s="28"/>
      <c r="F37959" s="28"/>
      <c r="H37959" s="28"/>
    </row>
    <row r="37960" spans="4:8" x14ac:dyDescent="0.25">
      <c r="D37960" s="28"/>
      <c r="F37960" s="28"/>
      <c r="H37960" s="28"/>
    </row>
    <row r="37961" spans="4:8" x14ac:dyDescent="0.25">
      <c r="D37961" s="28"/>
      <c r="F37961" s="28"/>
      <c r="H37961" s="28"/>
    </row>
    <row r="37962" spans="4:8" x14ac:dyDescent="0.25">
      <c r="D37962" s="28"/>
      <c r="F37962" s="28"/>
      <c r="H37962" s="28"/>
    </row>
    <row r="37963" spans="4:8" x14ac:dyDescent="0.25">
      <c r="D37963" s="28"/>
      <c r="F37963" s="28"/>
      <c r="H37963" s="28"/>
    </row>
    <row r="37964" spans="4:8" x14ac:dyDescent="0.25">
      <c r="D37964" s="28"/>
      <c r="F37964" s="28"/>
      <c r="H37964" s="28"/>
    </row>
    <row r="37965" spans="4:8" x14ac:dyDescent="0.25">
      <c r="D37965" s="28"/>
      <c r="F37965" s="28"/>
      <c r="H37965" s="28"/>
    </row>
    <row r="37966" spans="4:8" x14ac:dyDescent="0.25">
      <c r="D37966" s="28"/>
      <c r="F37966" s="28"/>
      <c r="H37966" s="28"/>
    </row>
    <row r="37967" spans="4:8" x14ac:dyDescent="0.25">
      <c r="D37967" s="28"/>
      <c r="F37967" s="28"/>
      <c r="H37967" s="28"/>
    </row>
    <row r="37968" spans="4:8" x14ac:dyDescent="0.25">
      <c r="D37968" s="28"/>
      <c r="F37968" s="28"/>
      <c r="H37968" s="28"/>
    </row>
    <row r="37969" spans="4:8" x14ac:dyDescent="0.25">
      <c r="D37969" s="28"/>
      <c r="F37969" s="28"/>
      <c r="H37969" s="28"/>
    </row>
    <row r="37970" spans="4:8" x14ac:dyDescent="0.25">
      <c r="D37970" s="28"/>
      <c r="F37970" s="28"/>
      <c r="H37970" s="28"/>
    </row>
    <row r="37971" spans="4:8" x14ac:dyDescent="0.25">
      <c r="D37971" s="28"/>
      <c r="F37971" s="28"/>
      <c r="H37971" s="28"/>
    </row>
    <row r="37972" spans="4:8" x14ac:dyDescent="0.25">
      <c r="D37972" s="28"/>
      <c r="F37972" s="28"/>
      <c r="H37972" s="28"/>
    </row>
    <row r="37973" spans="4:8" x14ac:dyDescent="0.25">
      <c r="D37973" s="28"/>
      <c r="F37973" s="28"/>
      <c r="H37973" s="28"/>
    </row>
    <row r="37974" spans="4:8" x14ac:dyDescent="0.25">
      <c r="D37974" s="28"/>
      <c r="F37974" s="28"/>
      <c r="H37974" s="28"/>
    </row>
    <row r="37975" spans="4:8" x14ac:dyDescent="0.25">
      <c r="D37975" s="28"/>
      <c r="F37975" s="28"/>
      <c r="H37975" s="28"/>
    </row>
    <row r="37976" spans="4:8" x14ac:dyDescent="0.25">
      <c r="D37976" s="28"/>
      <c r="F37976" s="28"/>
      <c r="H37976" s="28"/>
    </row>
    <row r="37977" spans="4:8" x14ac:dyDescent="0.25">
      <c r="D37977" s="28"/>
      <c r="F37977" s="28"/>
      <c r="H37977" s="28"/>
    </row>
    <row r="37978" spans="4:8" x14ac:dyDescent="0.25">
      <c r="D37978" s="28"/>
      <c r="F37978" s="28"/>
      <c r="H37978" s="28"/>
    </row>
    <row r="37979" spans="4:8" x14ac:dyDescent="0.25">
      <c r="D37979" s="28"/>
      <c r="F37979" s="28"/>
      <c r="H37979" s="28"/>
    </row>
    <row r="37980" spans="4:8" x14ac:dyDescent="0.25">
      <c r="D37980" s="28"/>
      <c r="F37980" s="28"/>
      <c r="H37980" s="28"/>
    </row>
    <row r="37981" spans="4:8" x14ac:dyDescent="0.25">
      <c r="D37981" s="28"/>
      <c r="F37981" s="28"/>
      <c r="H37981" s="28"/>
    </row>
    <row r="37982" spans="4:8" x14ac:dyDescent="0.25">
      <c r="D37982" s="28"/>
      <c r="F37982" s="28"/>
      <c r="H37982" s="28"/>
    </row>
    <row r="37983" spans="4:8" x14ac:dyDescent="0.25">
      <c r="D37983" s="28"/>
      <c r="F37983" s="28"/>
      <c r="H37983" s="28"/>
    </row>
    <row r="37984" spans="4:8" x14ac:dyDescent="0.25">
      <c r="D37984" s="28"/>
      <c r="F37984" s="28"/>
      <c r="H37984" s="28"/>
    </row>
    <row r="37985" spans="4:8" x14ac:dyDescent="0.25">
      <c r="D37985" s="28"/>
      <c r="F37985" s="28"/>
      <c r="H37985" s="28"/>
    </row>
    <row r="37986" spans="4:8" x14ac:dyDescent="0.25">
      <c r="D37986" s="28"/>
      <c r="F37986" s="28"/>
      <c r="H37986" s="28"/>
    </row>
    <row r="37987" spans="4:8" x14ac:dyDescent="0.25">
      <c r="D37987" s="28"/>
      <c r="F37987" s="28"/>
      <c r="H37987" s="28"/>
    </row>
    <row r="37988" spans="4:8" x14ac:dyDescent="0.25">
      <c r="D37988" s="28"/>
      <c r="F37988" s="28"/>
      <c r="H37988" s="28"/>
    </row>
    <row r="37989" spans="4:8" x14ac:dyDescent="0.25">
      <c r="D37989" s="28"/>
      <c r="F37989" s="28"/>
      <c r="H37989" s="28"/>
    </row>
    <row r="37990" spans="4:8" x14ac:dyDescent="0.25">
      <c r="D37990" s="28"/>
      <c r="F37990" s="28"/>
      <c r="H37990" s="28"/>
    </row>
    <row r="37991" spans="4:8" x14ac:dyDescent="0.25">
      <c r="D37991" s="28"/>
      <c r="F37991" s="28"/>
      <c r="H37991" s="28"/>
    </row>
    <row r="37992" spans="4:8" x14ac:dyDescent="0.25">
      <c r="D37992" s="28"/>
      <c r="F37992" s="28"/>
      <c r="H37992" s="28"/>
    </row>
    <row r="37993" spans="4:8" x14ac:dyDescent="0.25">
      <c r="D37993" s="28"/>
      <c r="F37993" s="28"/>
      <c r="H37993" s="28"/>
    </row>
    <row r="37994" spans="4:8" x14ac:dyDescent="0.25">
      <c r="D37994" s="28"/>
      <c r="F37994" s="28"/>
      <c r="H37994" s="28"/>
    </row>
    <row r="37995" spans="4:8" x14ac:dyDescent="0.25">
      <c r="D37995" s="28"/>
      <c r="F37995" s="28"/>
      <c r="H37995" s="28"/>
    </row>
    <row r="37996" spans="4:8" x14ac:dyDescent="0.25">
      <c r="D37996" s="28"/>
      <c r="F37996" s="28"/>
      <c r="H37996" s="28"/>
    </row>
    <row r="37997" spans="4:8" x14ac:dyDescent="0.25">
      <c r="D37997" s="28"/>
      <c r="F37997" s="28"/>
      <c r="H37997" s="28"/>
    </row>
    <row r="37998" spans="4:8" x14ac:dyDescent="0.25">
      <c r="D37998" s="28"/>
      <c r="F37998" s="28"/>
      <c r="H37998" s="28"/>
    </row>
    <row r="37999" spans="4:8" x14ac:dyDescent="0.25">
      <c r="D37999" s="28"/>
      <c r="F37999" s="28"/>
      <c r="H37999" s="28"/>
    </row>
    <row r="38000" spans="4:8" x14ac:dyDescent="0.25">
      <c r="D38000" s="28"/>
      <c r="F38000" s="28"/>
      <c r="H38000" s="28"/>
    </row>
    <row r="38001" spans="4:8" x14ac:dyDescent="0.25">
      <c r="D38001" s="28"/>
      <c r="F38001" s="28"/>
      <c r="H38001" s="28"/>
    </row>
    <row r="38002" spans="4:8" x14ac:dyDescent="0.25">
      <c r="D38002" s="28"/>
      <c r="F38002" s="28"/>
      <c r="H38002" s="28"/>
    </row>
    <row r="38003" spans="4:8" x14ac:dyDescent="0.25">
      <c r="D38003" s="28"/>
      <c r="F38003" s="28"/>
      <c r="H38003" s="28"/>
    </row>
    <row r="38004" spans="4:8" x14ac:dyDescent="0.25">
      <c r="D38004" s="28"/>
      <c r="F38004" s="28"/>
      <c r="H38004" s="28"/>
    </row>
    <row r="38005" spans="4:8" x14ac:dyDescent="0.25">
      <c r="D38005" s="28"/>
      <c r="F38005" s="28"/>
      <c r="H38005" s="28"/>
    </row>
    <row r="38006" spans="4:8" x14ac:dyDescent="0.25">
      <c r="D38006" s="28"/>
      <c r="F38006" s="28"/>
      <c r="H38006" s="28"/>
    </row>
    <row r="38007" spans="4:8" x14ac:dyDescent="0.25">
      <c r="D38007" s="28"/>
      <c r="F38007" s="28"/>
      <c r="H38007" s="28"/>
    </row>
    <row r="38008" spans="4:8" x14ac:dyDescent="0.25">
      <c r="D38008" s="28"/>
      <c r="F38008" s="28"/>
      <c r="H38008" s="28"/>
    </row>
    <row r="38009" spans="4:8" x14ac:dyDescent="0.25">
      <c r="D38009" s="28"/>
      <c r="F38009" s="28"/>
      <c r="H38009" s="28"/>
    </row>
    <row r="38010" spans="4:8" x14ac:dyDescent="0.25">
      <c r="D38010" s="28"/>
      <c r="F38010" s="28"/>
      <c r="H38010" s="28"/>
    </row>
    <row r="38011" spans="4:8" x14ac:dyDescent="0.25">
      <c r="D38011" s="28"/>
      <c r="F38011" s="28"/>
      <c r="H38011" s="28"/>
    </row>
    <row r="38012" spans="4:8" x14ac:dyDescent="0.25">
      <c r="D38012" s="28"/>
      <c r="F38012" s="28"/>
      <c r="H38012" s="28"/>
    </row>
    <row r="38013" spans="4:8" x14ac:dyDescent="0.25">
      <c r="D38013" s="28"/>
      <c r="F38013" s="28"/>
      <c r="H38013" s="28"/>
    </row>
    <row r="38014" spans="4:8" x14ac:dyDescent="0.25">
      <c r="D38014" s="28"/>
      <c r="F38014" s="28"/>
      <c r="H38014" s="28"/>
    </row>
    <row r="38015" spans="4:8" x14ac:dyDescent="0.25">
      <c r="D38015" s="28"/>
      <c r="F38015" s="28"/>
      <c r="H38015" s="28"/>
    </row>
    <row r="38016" spans="4:8" x14ac:dyDescent="0.25">
      <c r="D38016" s="28"/>
      <c r="F38016" s="28"/>
      <c r="H38016" s="28"/>
    </row>
    <row r="38017" spans="4:8" x14ac:dyDescent="0.25">
      <c r="D38017" s="28"/>
      <c r="F38017" s="28"/>
      <c r="H38017" s="28"/>
    </row>
    <row r="38018" spans="4:8" x14ac:dyDescent="0.25">
      <c r="D38018" s="28"/>
      <c r="F38018" s="28"/>
      <c r="H38018" s="28"/>
    </row>
    <row r="38019" spans="4:8" x14ac:dyDescent="0.25">
      <c r="D38019" s="28"/>
      <c r="F38019" s="28"/>
      <c r="H38019" s="28"/>
    </row>
    <row r="38020" spans="4:8" x14ac:dyDescent="0.25">
      <c r="D38020" s="28"/>
      <c r="F38020" s="28"/>
      <c r="H38020" s="28"/>
    </row>
    <row r="38021" spans="4:8" x14ac:dyDescent="0.25">
      <c r="D38021" s="28"/>
      <c r="F38021" s="28"/>
      <c r="H38021" s="28"/>
    </row>
    <row r="38022" spans="4:8" x14ac:dyDescent="0.25">
      <c r="D38022" s="28"/>
      <c r="F38022" s="28"/>
      <c r="H38022" s="28"/>
    </row>
    <row r="38023" spans="4:8" x14ac:dyDescent="0.25">
      <c r="D38023" s="28"/>
      <c r="F38023" s="28"/>
      <c r="H38023" s="28"/>
    </row>
    <row r="38024" spans="4:8" x14ac:dyDescent="0.25">
      <c r="D38024" s="28"/>
      <c r="F38024" s="28"/>
      <c r="H38024" s="28"/>
    </row>
    <row r="38025" spans="4:8" x14ac:dyDescent="0.25">
      <c r="D38025" s="28"/>
      <c r="F38025" s="28"/>
      <c r="H38025" s="28"/>
    </row>
    <row r="38026" spans="4:8" x14ac:dyDescent="0.25">
      <c r="D38026" s="28"/>
      <c r="F38026" s="28"/>
      <c r="H38026" s="28"/>
    </row>
    <row r="38027" spans="4:8" x14ac:dyDescent="0.25">
      <c r="D38027" s="28"/>
      <c r="F38027" s="28"/>
      <c r="H38027" s="28"/>
    </row>
    <row r="38028" spans="4:8" x14ac:dyDescent="0.25">
      <c r="D38028" s="28"/>
      <c r="F38028" s="28"/>
      <c r="H38028" s="28"/>
    </row>
    <row r="38029" spans="4:8" x14ac:dyDescent="0.25">
      <c r="D38029" s="28"/>
      <c r="F38029" s="28"/>
      <c r="H38029" s="28"/>
    </row>
    <row r="38030" spans="4:8" x14ac:dyDescent="0.25">
      <c r="D38030" s="28"/>
      <c r="F38030" s="28"/>
      <c r="H38030" s="28"/>
    </row>
    <row r="38031" spans="4:8" x14ac:dyDescent="0.25">
      <c r="D38031" s="28"/>
      <c r="F38031" s="28"/>
      <c r="H38031" s="28"/>
    </row>
    <row r="38032" spans="4:8" x14ac:dyDescent="0.25">
      <c r="D38032" s="28"/>
      <c r="F38032" s="28"/>
      <c r="H38032" s="28"/>
    </row>
    <row r="38033" spans="4:8" x14ac:dyDescent="0.25">
      <c r="D38033" s="28"/>
      <c r="F38033" s="28"/>
      <c r="H38033" s="28"/>
    </row>
    <row r="38034" spans="4:8" x14ac:dyDescent="0.25">
      <c r="D38034" s="28"/>
      <c r="F38034" s="28"/>
      <c r="H38034" s="28"/>
    </row>
    <row r="38035" spans="4:8" x14ac:dyDescent="0.25">
      <c r="D38035" s="28"/>
      <c r="F38035" s="28"/>
      <c r="H38035" s="28"/>
    </row>
    <row r="38036" spans="4:8" x14ac:dyDescent="0.25">
      <c r="D38036" s="28"/>
      <c r="F38036" s="28"/>
      <c r="H38036" s="28"/>
    </row>
    <row r="38037" spans="4:8" x14ac:dyDescent="0.25">
      <c r="D38037" s="28"/>
      <c r="F38037" s="28"/>
      <c r="H38037" s="28"/>
    </row>
    <row r="38038" spans="4:8" x14ac:dyDescent="0.25">
      <c r="D38038" s="28"/>
      <c r="F38038" s="28"/>
      <c r="H38038" s="28"/>
    </row>
    <row r="38039" spans="4:8" x14ac:dyDescent="0.25">
      <c r="D38039" s="28"/>
      <c r="F38039" s="28"/>
      <c r="H38039" s="28"/>
    </row>
    <row r="38040" spans="4:8" x14ac:dyDescent="0.25">
      <c r="D38040" s="28"/>
      <c r="F38040" s="28"/>
      <c r="H38040" s="28"/>
    </row>
    <row r="38041" spans="4:8" x14ac:dyDescent="0.25">
      <c r="D38041" s="28"/>
      <c r="F38041" s="28"/>
      <c r="H38041" s="28"/>
    </row>
    <row r="38042" spans="4:8" x14ac:dyDescent="0.25">
      <c r="D38042" s="28"/>
      <c r="F38042" s="28"/>
      <c r="H38042" s="28"/>
    </row>
    <row r="38043" spans="4:8" x14ac:dyDescent="0.25">
      <c r="D38043" s="28"/>
      <c r="F38043" s="28"/>
      <c r="H38043" s="28"/>
    </row>
    <row r="38044" spans="4:8" x14ac:dyDescent="0.25">
      <c r="D38044" s="28"/>
      <c r="F38044" s="28"/>
      <c r="H38044" s="28"/>
    </row>
    <row r="38045" spans="4:8" x14ac:dyDescent="0.25">
      <c r="D38045" s="28"/>
      <c r="F38045" s="28"/>
      <c r="H38045" s="28"/>
    </row>
    <row r="38046" spans="4:8" x14ac:dyDescent="0.25">
      <c r="D38046" s="28"/>
      <c r="F38046" s="28"/>
      <c r="H38046" s="28"/>
    </row>
    <row r="38047" spans="4:8" x14ac:dyDescent="0.25">
      <c r="D38047" s="28"/>
      <c r="F38047" s="28"/>
      <c r="H38047" s="28"/>
    </row>
    <row r="38048" spans="4:8" x14ac:dyDescent="0.25">
      <c r="D38048" s="28"/>
      <c r="F38048" s="28"/>
      <c r="H38048" s="28"/>
    </row>
    <row r="38049" spans="4:8" x14ac:dyDescent="0.25">
      <c r="D38049" s="28"/>
      <c r="F38049" s="28"/>
      <c r="H38049" s="28"/>
    </row>
    <row r="38050" spans="4:8" x14ac:dyDescent="0.25">
      <c r="D38050" s="28"/>
      <c r="F38050" s="28"/>
      <c r="H38050" s="28"/>
    </row>
    <row r="38051" spans="4:8" x14ac:dyDescent="0.25">
      <c r="D38051" s="28"/>
      <c r="F38051" s="28"/>
      <c r="H38051" s="28"/>
    </row>
    <row r="38052" spans="4:8" x14ac:dyDescent="0.25">
      <c r="D38052" s="28"/>
      <c r="F38052" s="28"/>
      <c r="H38052" s="28"/>
    </row>
    <row r="38053" spans="4:8" x14ac:dyDescent="0.25">
      <c r="D38053" s="28"/>
      <c r="F38053" s="28"/>
      <c r="H38053" s="28"/>
    </row>
    <row r="38054" spans="4:8" x14ac:dyDescent="0.25">
      <c r="D38054" s="28"/>
      <c r="F38054" s="28"/>
      <c r="H38054" s="28"/>
    </row>
    <row r="38055" spans="4:8" x14ac:dyDescent="0.25">
      <c r="D38055" s="28"/>
      <c r="F38055" s="28"/>
      <c r="H38055" s="28"/>
    </row>
    <row r="38056" spans="4:8" x14ac:dyDescent="0.25">
      <c r="D38056" s="28"/>
      <c r="F38056" s="28"/>
      <c r="H38056" s="28"/>
    </row>
    <row r="38057" spans="4:8" x14ac:dyDescent="0.25">
      <c r="D38057" s="28"/>
      <c r="F38057" s="28"/>
      <c r="H38057" s="28"/>
    </row>
    <row r="38058" spans="4:8" x14ac:dyDescent="0.25">
      <c r="D38058" s="28"/>
      <c r="F38058" s="28"/>
      <c r="H38058" s="28"/>
    </row>
    <row r="38059" spans="4:8" x14ac:dyDescent="0.25">
      <c r="D38059" s="28"/>
      <c r="F38059" s="28"/>
      <c r="H38059" s="28"/>
    </row>
    <row r="38060" spans="4:8" x14ac:dyDescent="0.25">
      <c r="D38060" s="28"/>
      <c r="F38060" s="28"/>
      <c r="H38060" s="28"/>
    </row>
    <row r="38061" spans="4:8" x14ac:dyDescent="0.25">
      <c r="D38061" s="28"/>
      <c r="F38061" s="28"/>
      <c r="H38061" s="28"/>
    </row>
    <row r="38062" spans="4:8" x14ac:dyDescent="0.25">
      <c r="D38062" s="28"/>
      <c r="F38062" s="28"/>
      <c r="H38062" s="28"/>
    </row>
    <row r="38063" spans="4:8" x14ac:dyDescent="0.25">
      <c r="D38063" s="28"/>
      <c r="F38063" s="28"/>
      <c r="H38063" s="28"/>
    </row>
    <row r="38064" spans="4:8" x14ac:dyDescent="0.25">
      <c r="D38064" s="28"/>
      <c r="F38064" s="28"/>
      <c r="H38064" s="28"/>
    </row>
    <row r="38065" spans="4:8" x14ac:dyDescent="0.25">
      <c r="D38065" s="28"/>
      <c r="F38065" s="28"/>
      <c r="H38065" s="28"/>
    </row>
    <row r="38066" spans="4:8" x14ac:dyDescent="0.25">
      <c r="D38066" s="28"/>
      <c r="F38066" s="28"/>
      <c r="H38066" s="28"/>
    </row>
    <row r="38067" spans="4:8" x14ac:dyDescent="0.25">
      <c r="D38067" s="28"/>
      <c r="F38067" s="28"/>
      <c r="H38067" s="28"/>
    </row>
    <row r="38068" spans="4:8" x14ac:dyDescent="0.25">
      <c r="D38068" s="28"/>
      <c r="F38068" s="28"/>
      <c r="H38068" s="28"/>
    </row>
    <row r="38069" spans="4:8" x14ac:dyDescent="0.25">
      <c r="D38069" s="28"/>
      <c r="F38069" s="28"/>
      <c r="H38069" s="28"/>
    </row>
    <row r="38070" spans="4:8" x14ac:dyDescent="0.25">
      <c r="D38070" s="28"/>
      <c r="F38070" s="28"/>
      <c r="H38070" s="28"/>
    </row>
    <row r="38071" spans="4:8" x14ac:dyDescent="0.25">
      <c r="D38071" s="28"/>
      <c r="F38071" s="28"/>
      <c r="H38071" s="28"/>
    </row>
    <row r="38072" spans="4:8" x14ac:dyDescent="0.25">
      <c r="D38072" s="28"/>
      <c r="F38072" s="28"/>
      <c r="H38072" s="28"/>
    </row>
    <row r="38073" spans="4:8" x14ac:dyDescent="0.25">
      <c r="D38073" s="28"/>
      <c r="F38073" s="28"/>
      <c r="H38073" s="28"/>
    </row>
    <row r="38074" spans="4:8" x14ac:dyDescent="0.25">
      <c r="D38074" s="28"/>
      <c r="F38074" s="28"/>
      <c r="H38074" s="28"/>
    </row>
    <row r="38075" spans="4:8" x14ac:dyDescent="0.25">
      <c r="D38075" s="28"/>
      <c r="F38075" s="28"/>
      <c r="H38075" s="28"/>
    </row>
    <row r="38076" spans="4:8" x14ac:dyDescent="0.25">
      <c r="D38076" s="28"/>
      <c r="F38076" s="28"/>
      <c r="H38076" s="28"/>
    </row>
    <row r="38077" spans="4:8" x14ac:dyDescent="0.25">
      <c r="D38077" s="28"/>
      <c r="F38077" s="28"/>
      <c r="H38077" s="28"/>
    </row>
    <row r="38078" spans="4:8" x14ac:dyDescent="0.25">
      <c r="D38078" s="28"/>
      <c r="F38078" s="28"/>
      <c r="H38078" s="28"/>
    </row>
    <row r="38079" spans="4:8" x14ac:dyDescent="0.25">
      <c r="D38079" s="28"/>
      <c r="F38079" s="28"/>
      <c r="H38079" s="28"/>
    </row>
    <row r="38080" spans="4:8" x14ac:dyDescent="0.25">
      <c r="D38080" s="28"/>
      <c r="F38080" s="28"/>
      <c r="H38080" s="28"/>
    </row>
    <row r="38081" spans="4:8" x14ac:dyDescent="0.25">
      <c r="D38081" s="28"/>
      <c r="F38081" s="28"/>
      <c r="H38081" s="28"/>
    </row>
    <row r="38082" spans="4:8" x14ac:dyDescent="0.25">
      <c r="D38082" s="28"/>
      <c r="F38082" s="28"/>
      <c r="H38082" s="28"/>
    </row>
    <row r="38083" spans="4:8" x14ac:dyDescent="0.25">
      <c r="D38083" s="28"/>
      <c r="F38083" s="28"/>
      <c r="H38083" s="28"/>
    </row>
    <row r="38084" spans="4:8" x14ac:dyDescent="0.25">
      <c r="D38084" s="28"/>
      <c r="F38084" s="28"/>
      <c r="H38084" s="28"/>
    </row>
    <row r="38085" spans="4:8" x14ac:dyDescent="0.25">
      <c r="D38085" s="28"/>
      <c r="F38085" s="28"/>
      <c r="H38085" s="28"/>
    </row>
    <row r="38086" spans="4:8" x14ac:dyDescent="0.25">
      <c r="D38086" s="28"/>
      <c r="F38086" s="28"/>
      <c r="H38086" s="28"/>
    </row>
    <row r="38087" spans="4:8" x14ac:dyDescent="0.25">
      <c r="D38087" s="28"/>
      <c r="F38087" s="28"/>
      <c r="H38087" s="28"/>
    </row>
    <row r="38088" spans="4:8" x14ac:dyDescent="0.25">
      <c r="D38088" s="28"/>
      <c r="F38088" s="28"/>
      <c r="H38088" s="28"/>
    </row>
    <row r="38089" spans="4:8" x14ac:dyDescent="0.25">
      <c r="D38089" s="28"/>
      <c r="F38089" s="28"/>
      <c r="H38089" s="28"/>
    </row>
    <row r="38090" spans="4:8" x14ac:dyDescent="0.25">
      <c r="D38090" s="28"/>
      <c r="F38090" s="28"/>
      <c r="H38090" s="28"/>
    </row>
    <row r="38091" spans="4:8" x14ac:dyDescent="0.25">
      <c r="D38091" s="28"/>
      <c r="F38091" s="28"/>
      <c r="H38091" s="28"/>
    </row>
    <row r="38092" spans="4:8" x14ac:dyDescent="0.25">
      <c r="D38092" s="28"/>
      <c r="F38092" s="28"/>
      <c r="H38092" s="28"/>
    </row>
    <row r="38093" spans="4:8" x14ac:dyDescent="0.25">
      <c r="D38093" s="28"/>
      <c r="F38093" s="28"/>
      <c r="H38093" s="28"/>
    </row>
    <row r="38094" spans="4:8" x14ac:dyDescent="0.25">
      <c r="D38094" s="28"/>
      <c r="F38094" s="28"/>
      <c r="H38094" s="28"/>
    </row>
    <row r="38095" spans="4:8" x14ac:dyDescent="0.25">
      <c r="D38095" s="28"/>
      <c r="F38095" s="28"/>
      <c r="H38095" s="28"/>
    </row>
    <row r="38096" spans="4:8" x14ac:dyDescent="0.25">
      <c r="D38096" s="28"/>
      <c r="F38096" s="28"/>
      <c r="H38096" s="28"/>
    </row>
    <row r="38097" spans="4:8" x14ac:dyDescent="0.25">
      <c r="D38097" s="28"/>
      <c r="F38097" s="28"/>
      <c r="H38097" s="28"/>
    </row>
    <row r="38098" spans="4:8" x14ac:dyDescent="0.25">
      <c r="D38098" s="28"/>
      <c r="F38098" s="28"/>
      <c r="H38098" s="28"/>
    </row>
    <row r="38099" spans="4:8" x14ac:dyDescent="0.25">
      <c r="D38099" s="28"/>
      <c r="F38099" s="28"/>
      <c r="H38099" s="28"/>
    </row>
    <row r="38100" spans="4:8" x14ac:dyDescent="0.25">
      <c r="D38100" s="28"/>
      <c r="F38100" s="28"/>
      <c r="H38100" s="28"/>
    </row>
    <row r="38101" spans="4:8" x14ac:dyDescent="0.25">
      <c r="D38101" s="28"/>
      <c r="F38101" s="28"/>
      <c r="H38101" s="28"/>
    </row>
    <row r="38102" spans="4:8" x14ac:dyDescent="0.25">
      <c r="D38102" s="28"/>
      <c r="F38102" s="28"/>
      <c r="H38102" s="28"/>
    </row>
    <row r="38103" spans="4:8" x14ac:dyDescent="0.25">
      <c r="D38103" s="28"/>
      <c r="F38103" s="28"/>
      <c r="H38103" s="28"/>
    </row>
    <row r="38104" spans="4:8" x14ac:dyDescent="0.25">
      <c r="D38104" s="28"/>
      <c r="F38104" s="28"/>
      <c r="H38104" s="28"/>
    </row>
    <row r="38105" spans="4:8" x14ac:dyDescent="0.25">
      <c r="D38105" s="28"/>
      <c r="F38105" s="28"/>
      <c r="H38105" s="28"/>
    </row>
    <row r="38106" spans="4:8" x14ac:dyDescent="0.25">
      <c r="D38106" s="28"/>
      <c r="F38106" s="28"/>
      <c r="H38106" s="28"/>
    </row>
    <row r="38107" spans="4:8" x14ac:dyDescent="0.25">
      <c r="D38107" s="28"/>
      <c r="F38107" s="28"/>
      <c r="H38107" s="28"/>
    </row>
    <row r="38108" spans="4:8" x14ac:dyDescent="0.25">
      <c r="D38108" s="28"/>
      <c r="F38108" s="28"/>
      <c r="H38108" s="28"/>
    </row>
    <row r="38109" spans="4:8" x14ac:dyDescent="0.25">
      <c r="D38109" s="28"/>
      <c r="F38109" s="28"/>
      <c r="H38109" s="28"/>
    </row>
    <row r="38110" spans="4:8" x14ac:dyDescent="0.25">
      <c r="D38110" s="28"/>
      <c r="F38110" s="28"/>
      <c r="H38110" s="28"/>
    </row>
    <row r="38111" spans="4:8" x14ac:dyDescent="0.25">
      <c r="D38111" s="28"/>
      <c r="F38111" s="28"/>
      <c r="H38111" s="28"/>
    </row>
    <row r="38112" spans="4:8" x14ac:dyDescent="0.25">
      <c r="D38112" s="28"/>
      <c r="F38112" s="28"/>
      <c r="H38112" s="28"/>
    </row>
    <row r="38113" spans="4:8" x14ac:dyDescent="0.25">
      <c r="D38113" s="28"/>
      <c r="F38113" s="28"/>
      <c r="H38113" s="28"/>
    </row>
    <row r="38114" spans="4:8" x14ac:dyDescent="0.25">
      <c r="D38114" s="28"/>
      <c r="F38114" s="28"/>
      <c r="H38114" s="28"/>
    </row>
    <row r="38115" spans="4:8" x14ac:dyDescent="0.25">
      <c r="D38115" s="28"/>
      <c r="F38115" s="28"/>
      <c r="H38115" s="28"/>
    </row>
    <row r="38116" spans="4:8" x14ac:dyDescent="0.25">
      <c r="D38116" s="28"/>
      <c r="F38116" s="28"/>
      <c r="H38116" s="28"/>
    </row>
    <row r="38117" spans="4:8" x14ac:dyDescent="0.25">
      <c r="D38117" s="28"/>
      <c r="F38117" s="28"/>
      <c r="H38117" s="28"/>
    </row>
    <row r="38118" spans="4:8" x14ac:dyDescent="0.25">
      <c r="D38118" s="28"/>
      <c r="F38118" s="28"/>
      <c r="H38118" s="28"/>
    </row>
    <row r="38119" spans="4:8" x14ac:dyDescent="0.25">
      <c r="D38119" s="28"/>
      <c r="F38119" s="28"/>
      <c r="H38119" s="28"/>
    </row>
    <row r="38120" spans="4:8" x14ac:dyDescent="0.25">
      <c r="D38120" s="28"/>
      <c r="F38120" s="28"/>
      <c r="H38120" s="28"/>
    </row>
    <row r="38121" spans="4:8" x14ac:dyDescent="0.25">
      <c r="D38121" s="28"/>
      <c r="F38121" s="28"/>
      <c r="H38121" s="28"/>
    </row>
    <row r="38122" spans="4:8" x14ac:dyDescent="0.25">
      <c r="D38122" s="28"/>
      <c r="F38122" s="28"/>
      <c r="H38122" s="28"/>
    </row>
    <row r="38123" spans="4:8" x14ac:dyDescent="0.25">
      <c r="D38123" s="28"/>
      <c r="F38123" s="28"/>
      <c r="H38123" s="28"/>
    </row>
    <row r="38124" spans="4:8" x14ac:dyDescent="0.25">
      <c r="D38124" s="28"/>
      <c r="F38124" s="28"/>
      <c r="H38124" s="28"/>
    </row>
    <row r="38125" spans="4:8" x14ac:dyDescent="0.25">
      <c r="D38125" s="28"/>
      <c r="F38125" s="28"/>
      <c r="H38125" s="28"/>
    </row>
    <row r="38126" spans="4:8" x14ac:dyDescent="0.25">
      <c r="D38126" s="28"/>
      <c r="F38126" s="28"/>
      <c r="H38126" s="28"/>
    </row>
    <row r="38127" spans="4:8" x14ac:dyDescent="0.25">
      <c r="D38127" s="28"/>
      <c r="F38127" s="28"/>
      <c r="H38127" s="28"/>
    </row>
    <row r="38128" spans="4:8" x14ac:dyDescent="0.25">
      <c r="D38128" s="28"/>
      <c r="F38128" s="28"/>
      <c r="H38128" s="28"/>
    </row>
    <row r="38129" spans="4:8" x14ac:dyDescent="0.25">
      <c r="D38129" s="28"/>
      <c r="F38129" s="28"/>
      <c r="H38129" s="28"/>
    </row>
    <row r="38130" spans="4:8" x14ac:dyDescent="0.25">
      <c r="D38130" s="28"/>
      <c r="F38130" s="28"/>
      <c r="H38130" s="28"/>
    </row>
    <row r="38131" spans="4:8" x14ac:dyDescent="0.25">
      <c r="D38131" s="28"/>
      <c r="F38131" s="28"/>
      <c r="H38131" s="28"/>
    </row>
    <row r="38132" spans="4:8" x14ac:dyDescent="0.25">
      <c r="D38132" s="28"/>
      <c r="F38132" s="28"/>
      <c r="H38132" s="28"/>
    </row>
    <row r="38133" spans="4:8" x14ac:dyDescent="0.25">
      <c r="D38133" s="28"/>
      <c r="F38133" s="28"/>
      <c r="H38133" s="28"/>
    </row>
    <row r="38134" spans="4:8" x14ac:dyDescent="0.25">
      <c r="D38134" s="28"/>
      <c r="F38134" s="28"/>
      <c r="H38134" s="28"/>
    </row>
    <row r="38135" spans="4:8" x14ac:dyDescent="0.25">
      <c r="D38135" s="28"/>
      <c r="F38135" s="28"/>
      <c r="H38135" s="28"/>
    </row>
    <row r="38136" spans="4:8" x14ac:dyDescent="0.25">
      <c r="D38136" s="28"/>
      <c r="F38136" s="28"/>
      <c r="H38136" s="28"/>
    </row>
    <row r="38137" spans="4:8" x14ac:dyDescent="0.25">
      <c r="D38137" s="28"/>
      <c r="F38137" s="28"/>
      <c r="H38137" s="28"/>
    </row>
    <row r="38138" spans="4:8" x14ac:dyDescent="0.25">
      <c r="D38138" s="28"/>
      <c r="F38138" s="28"/>
      <c r="H38138" s="28"/>
    </row>
    <row r="38139" spans="4:8" x14ac:dyDescent="0.25">
      <c r="D38139" s="28"/>
      <c r="F38139" s="28"/>
      <c r="H38139" s="28"/>
    </row>
    <row r="38140" spans="4:8" x14ac:dyDescent="0.25">
      <c r="D38140" s="28"/>
      <c r="F38140" s="28"/>
      <c r="H38140" s="28"/>
    </row>
    <row r="38141" spans="4:8" x14ac:dyDescent="0.25">
      <c r="D38141" s="28"/>
      <c r="F38141" s="28"/>
      <c r="H38141" s="28"/>
    </row>
    <row r="38142" spans="4:8" x14ac:dyDescent="0.25">
      <c r="D38142" s="28"/>
      <c r="F38142" s="28"/>
      <c r="H38142" s="28"/>
    </row>
    <row r="38143" spans="4:8" x14ac:dyDescent="0.25">
      <c r="D38143" s="28"/>
      <c r="F38143" s="28"/>
      <c r="H38143" s="28"/>
    </row>
    <row r="38144" spans="4:8" x14ac:dyDescent="0.25">
      <c r="D38144" s="28"/>
      <c r="F38144" s="28"/>
      <c r="H38144" s="28"/>
    </row>
    <row r="38145" spans="4:8" x14ac:dyDescent="0.25">
      <c r="D38145" s="28"/>
      <c r="F38145" s="28"/>
      <c r="H38145" s="28"/>
    </row>
    <row r="38146" spans="4:8" x14ac:dyDescent="0.25">
      <c r="D38146" s="28"/>
      <c r="F38146" s="28"/>
      <c r="H38146" s="28"/>
    </row>
    <row r="38147" spans="4:8" x14ac:dyDescent="0.25">
      <c r="D38147" s="28"/>
      <c r="F38147" s="28"/>
      <c r="H38147" s="28"/>
    </row>
    <row r="38148" spans="4:8" x14ac:dyDescent="0.25">
      <c r="D38148" s="28"/>
      <c r="F38148" s="28"/>
      <c r="H38148" s="28"/>
    </row>
    <row r="38149" spans="4:8" x14ac:dyDescent="0.25">
      <c r="D38149" s="28"/>
      <c r="F38149" s="28"/>
      <c r="H38149" s="28"/>
    </row>
    <row r="38150" spans="4:8" x14ac:dyDescent="0.25">
      <c r="D38150" s="28"/>
      <c r="F38150" s="28"/>
      <c r="H38150" s="28"/>
    </row>
    <row r="38151" spans="4:8" x14ac:dyDescent="0.25">
      <c r="D38151" s="28"/>
      <c r="F38151" s="28"/>
      <c r="H38151" s="28"/>
    </row>
    <row r="38152" spans="4:8" x14ac:dyDescent="0.25">
      <c r="D38152" s="28"/>
      <c r="F38152" s="28"/>
      <c r="H38152" s="28"/>
    </row>
    <row r="38153" spans="4:8" x14ac:dyDescent="0.25">
      <c r="D38153" s="28"/>
      <c r="F38153" s="28"/>
      <c r="H38153" s="28"/>
    </row>
    <row r="38154" spans="4:8" x14ac:dyDescent="0.25">
      <c r="D38154" s="28"/>
      <c r="F38154" s="28"/>
      <c r="H38154" s="28"/>
    </row>
    <row r="38155" spans="4:8" x14ac:dyDescent="0.25">
      <c r="D38155" s="28"/>
      <c r="F38155" s="28"/>
      <c r="H38155" s="28"/>
    </row>
    <row r="38156" spans="4:8" x14ac:dyDescent="0.25">
      <c r="D38156" s="28"/>
      <c r="F38156" s="28"/>
      <c r="H38156" s="28"/>
    </row>
    <row r="38157" spans="4:8" x14ac:dyDescent="0.25">
      <c r="D38157" s="28"/>
      <c r="F38157" s="28"/>
      <c r="H38157" s="28"/>
    </row>
    <row r="38158" spans="4:8" x14ac:dyDescent="0.25">
      <c r="D38158" s="28"/>
      <c r="F38158" s="28"/>
      <c r="H38158" s="28"/>
    </row>
    <row r="38159" spans="4:8" x14ac:dyDescent="0.25">
      <c r="D38159" s="28"/>
      <c r="F38159" s="28"/>
      <c r="H38159" s="28"/>
    </row>
    <row r="38160" spans="4:8" x14ac:dyDescent="0.25">
      <c r="D38160" s="28"/>
      <c r="F38160" s="28"/>
      <c r="H38160" s="28"/>
    </row>
    <row r="38161" spans="4:8" x14ac:dyDescent="0.25">
      <c r="D38161" s="28"/>
      <c r="F38161" s="28"/>
      <c r="H38161" s="28"/>
    </row>
    <row r="38162" spans="4:8" x14ac:dyDescent="0.25">
      <c r="D38162" s="28"/>
      <c r="F38162" s="28"/>
      <c r="H38162" s="28"/>
    </row>
    <row r="38163" spans="4:8" x14ac:dyDescent="0.25">
      <c r="D38163" s="28"/>
      <c r="F38163" s="28"/>
      <c r="H38163" s="28"/>
    </row>
    <row r="38164" spans="4:8" x14ac:dyDescent="0.25">
      <c r="D38164" s="28"/>
      <c r="F38164" s="28"/>
      <c r="H38164" s="28"/>
    </row>
    <row r="38165" spans="4:8" x14ac:dyDescent="0.25">
      <c r="D38165" s="28"/>
      <c r="F38165" s="28"/>
      <c r="H38165" s="28"/>
    </row>
    <row r="38166" spans="4:8" x14ac:dyDescent="0.25">
      <c r="D38166" s="28"/>
      <c r="F38166" s="28"/>
      <c r="H38166" s="28"/>
    </row>
    <row r="38167" spans="4:8" x14ac:dyDescent="0.25">
      <c r="D38167" s="28"/>
      <c r="F38167" s="28"/>
      <c r="H38167" s="28"/>
    </row>
    <row r="38168" spans="4:8" x14ac:dyDescent="0.25">
      <c r="D38168" s="28"/>
      <c r="F38168" s="28"/>
      <c r="H38168" s="28"/>
    </row>
    <row r="38169" spans="4:8" x14ac:dyDescent="0.25">
      <c r="D38169" s="28"/>
      <c r="F38169" s="28"/>
      <c r="H38169" s="28"/>
    </row>
    <row r="38170" spans="4:8" x14ac:dyDescent="0.25">
      <c r="D38170" s="28"/>
      <c r="F38170" s="28"/>
      <c r="H38170" s="28"/>
    </row>
    <row r="38171" spans="4:8" x14ac:dyDescent="0.25">
      <c r="D38171" s="28"/>
      <c r="F38171" s="28"/>
      <c r="H38171" s="28"/>
    </row>
    <row r="38172" spans="4:8" x14ac:dyDescent="0.25">
      <c r="D38172" s="28"/>
      <c r="F38172" s="28"/>
      <c r="H38172" s="28"/>
    </row>
    <row r="38173" spans="4:8" x14ac:dyDescent="0.25">
      <c r="D38173" s="28"/>
      <c r="F38173" s="28"/>
      <c r="H38173" s="28"/>
    </row>
    <row r="38174" spans="4:8" x14ac:dyDescent="0.25">
      <c r="D38174" s="28"/>
      <c r="F38174" s="28"/>
      <c r="H38174" s="28"/>
    </row>
    <row r="38175" spans="4:8" x14ac:dyDescent="0.25">
      <c r="D38175" s="28"/>
      <c r="F38175" s="28"/>
      <c r="H38175" s="28"/>
    </row>
    <row r="38176" spans="4:8" x14ac:dyDescent="0.25">
      <c r="D38176" s="28"/>
      <c r="F38176" s="28"/>
      <c r="H38176" s="28"/>
    </row>
    <row r="38177" spans="4:8" x14ac:dyDescent="0.25">
      <c r="D38177" s="28"/>
      <c r="F38177" s="28"/>
      <c r="H38177" s="28"/>
    </row>
    <row r="38178" spans="4:8" x14ac:dyDescent="0.25">
      <c r="D38178" s="28"/>
      <c r="F38178" s="28"/>
      <c r="H38178" s="28"/>
    </row>
    <row r="38179" spans="4:8" x14ac:dyDescent="0.25">
      <c r="D38179" s="28"/>
      <c r="F38179" s="28"/>
      <c r="H38179" s="28"/>
    </row>
    <row r="38180" spans="4:8" x14ac:dyDescent="0.25">
      <c r="D38180" s="28"/>
      <c r="F38180" s="28"/>
      <c r="H38180" s="28"/>
    </row>
    <row r="38181" spans="4:8" x14ac:dyDescent="0.25">
      <c r="D38181" s="28"/>
      <c r="F38181" s="28"/>
      <c r="H38181" s="28"/>
    </row>
    <row r="38182" spans="4:8" x14ac:dyDescent="0.25">
      <c r="D38182" s="28"/>
      <c r="F38182" s="28"/>
      <c r="H38182" s="28"/>
    </row>
    <row r="38183" spans="4:8" x14ac:dyDescent="0.25">
      <c r="D38183" s="28"/>
      <c r="F38183" s="28"/>
      <c r="H38183" s="28"/>
    </row>
    <row r="38184" spans="4:8" x14ac:dyDescent="0.25">
      <c r="D38184" s="28"/>
      <c r="F38184" s="28"/>
      <c r="H38184" s="28"/>
    </row>
    <row r="38185" spans="4:8" x14ac:dyDescent="0.25">
      <c r="D38185" s="28"/>
      <c r="F38185" s="28"/>
      <c r="H38185" s="28"/>
    </row>
    <row r="38186" spans="4:8" x14ac:dyDescent="0.25">
      <c r="D38186" s="28"/>
      <c r="F38186" s="28"/>
      <c r="H38186" s="28"/>
    </row>
    <row r="38187" spans="4:8" x14ac:dyDescent="0.25">
      <c r="D38187" s="28"/>
      <c r="F38187" s="28"/>
      <c r="H38187" s="28"/>
    </row>
    <row r="38188" spans="4:8" x14ac:dyDescent="0.25">
      <c r="D38188" s="28"/>
      <c r="F38188" s="28"/>
      <c r="H38188" s="28"/>
    </row>
    <row r="38189" spans="4:8" x14ac:dyDescent="0.25">
      <c r="D38189" s="28"/>
      <c r="F38189" s="28"/>
      <c r="H38189" s="28"/>
    </row>
    <row r="38190" spans="4:8" x14ac:dyDescent="0.25">
      <c r="D38190" s="28"/>
      <c r="F38190" s="28"/>
      <c r="H38190" s="28"/>
    </row>
    <row r="38191" spans="4:8" x14ac:dyDescent="0.25">
      <c r="D38191" s="28"/>
      <c r="F38191" s="28"/>
      <c r="H38191" s="28"/>
    </row>
    <row r="38192" spans="4:8" x14ac:dyDescent="0.25">
      <c r="D38192" s="28"/>
      <c r="F38192" s="28"/>
      <c r="H38192" s="28"/>
    </row>
    <row r="38193" spans="4:8" x14ac:dyDescent="0.25">
      <c r="D38193" s="28"/>
      <c r="F38193" s="28"/>
      <c r="H38193" s="28"/>
    </row>
    <row r="38194" spans="4:8" x14ac:dyDescent="0.25">
      <c r="D38194" s="28"/>
      <c r="F38194" s="28"/>
      <c r="H38194" s="28"/>
    </row>
    <row r="38195" spans="4:8" x14ac:dyDescent="0.25">
      <c r="D38195" s="28"/>
      <c r="F38195" s="28"/>
      <c r="H38195" s="28"/>
    </row>
    <row r="38196" spans="4:8" x14ac:dyDescent="0.25">
      <c r="D38196" s="28"/>
      <c r="F38196" s="28"/>
      <c r="H38196" s="28"/>
    </row>
    <row r="38197" spans="4:8" x14ac:dyDescent="0.25">
      <c r="D38197" s="28"/>
      <c r="F38197" s="28"/>
      <c r="H38197" s="28"/>
    </row>
    <row r="38198" spans="4:8" x14ac:dyDescent="0.25">
      <c r="D38198" s="28"/>
      <c r="F38198" s="28"/>
      <c r="H38198" s="28"/>
    </row>
    <row r="38199" spans="4:8" x14ac:dyDescent="0.25">
      <c r="D38199" s="28"/>
      <c r="F38199" s="28"/>
      <c r="H38199" s="28"/>
    </row>
    <row r="38200" spans="4:8" x14ac:dyDescent="0.25">
      <c r="D38200" s="28"/>
      <c r="F38200" s="28"/>
      <c r="H38200" s="28"/>
    </row>
    <row r="38201" spans="4:8" x14ac:dyDescent="0.25">
      <c r="D38201" s="28"/>
      <c r="F38201" s="28"/>
      <c r="H38201" s="28"/>
    </row>
    <row r="38202" spans="4:8" x14ac:dyDescent="0.25">
      <c r="D38202" s="28"/>
      <c r="F38202" s="28"/>
      <c r="H38202" s="28"/>
    </row>
    <row r="38203" spans="4:8" x14ac:dyDescent="0.25">
      <c r="D38203" s="28"/>
      <c r="F38203" s="28"/>
      <c r="H38203" s="28"/>
    </row>
    <row r="38204" spans="4:8" x14ac:dyDescent="0.25">
      <c r="D38204" s="28"/>
      <c r="F38204" s="28"/>
      <c r="H38204" s="28"/>
    </row>
    <row r="38205" spans="4:8" x14ac:dyDescent="0.25">
      <c r="D38205" s="28"/>
      <c r="F38205" s="28"/>
      <c r="H38205" s="28"/>
    </row>
    <row r="38206" spans="4:8" x14ac:dyDescent="0.25">
      <c r="D38206" s="28"/>
      <c r="F38206" s="28"/>
      <c r="H38206" s="28"/>
    </row>
    <row r="38207" spans="4:8" x14ac:dyDescent="0.25">
      <c r="D38207" s="28"/>
      <c r="F38207" s="28"/>
      <c r="H38207" s="28"/>
    </row>
    <row r="38208" spans="4:8" x14ac:dyDescent="0.25">
      <c r="D38208" s="28"/>
      <c r="F38208" s="28"/>
      <c r="H38208" s="28"/>
    </row>
    <row r="38209" spans="4:8" x14ac:dyDescent="0.25">
      <c r="D38209" s="28"/>
      <c r="F38209" s="28"/>
      <c r="H38209" s="28"/>
    </row>
    <row r="38210" spans="4:8" x14ac:dyDescent="0.25">
      <c r="D38210" s="28"/>
      <c r="F38210" s="28"/>
      <c r="H38210" s="28"/>
    </row>
    <row r="38211" spans="4:8" x14ac:dyDescent="0.25">
      <c r="D38211" s="28"/>
      <c r="F38211" s="28"/>
      <c r="H38211" s="28"/>
    </row>
    <row r="38212" spans="4:8" x14ac:dyDescent="0.25">
      <c r="D38212" s="28"/>
      <c r="F38212" s="28"/>
      <c r="H38212" s="28"/>
    </row>
    <row r="38213" spans="4:8" x14ac:dyDescent="0.25">
      <c r="D38213" s="28"/>
      <c r="F38213" s="28"/>
      <c r="H38213" s="28"/>
    </row>
    <row r="38214" spans="4:8" x14ac:dyDescent="0.25">
      <c r="D38214" s="28"/>
      <c r="F38214" s="28"/>
      <c r="H38214" s="28"/>
    </row>
    <row r="38215" spans="4:8" x14ac:dyDescent="0.25">
      <c r="D38215" s="28"/>
      <c r="F38215" s="28"/>
      <c r="H38215" s="28"/>
    </row>
    <row r="38216" spans="4:8" x14ac:dyDescent="0.25">
      <c r="D38216" s="28"/>
      <c r="F38216" s="28"/>
      <c r="H38216" s="28"/>
    </row>
    <row r="38217" spans="4:8" x14ac:dyDescent="0.25">
      <c r="D38217" s="28"/>
      <c r="F38217" s="28"/>
      <c r="H38217" s="28"/>
    </row>
    <row r="38218" spans="4:8" x14ac:dyDescent="0.25">
      <c r="D38218" s="28"/>
      <c r="F38218" s="28"/>
      <c r="H38218" s="28"/>
    </row>
    <row r="38219" spans="4:8" x14ac:dyDescent="0.25">
      <c r="D38219" s="28"/>
      <c r="F38219" s="28"/>
      <c r="H38219" s="28"/>
    </row>
    <row r="38220" spans="4:8" x14ac:dyDescent="0.25">
      <c r="D38220" s="28"/>
      <c r="F38220" s="28"/>
      <c r="H38220" s="28"/>
    </row>
    <row r="38221" spans="4:8" x14ac:dyDescent="0.25">
      <c r="D38221" s="28"/>
      <c r="F38221" s="28"/>
      <c r="H38221" s="28"/>
    </row>
    <row r="38222" spans="4:8" x14ac:dyDescent="0.25">
      <c r="D38222" s="28"/>
      <c r="F38222" s="28"/>
      <c r="H38222" s="28"/>
    </row>
    <row r="38223" spans="4:8" x14ac:dyDescent="0.25">
      <c r="D38223" s="28"/>
      <c r="F38223" s="28"/>
      <c r="H38223" s="28"/>
    </row>
    <row r="38224" spans="4:8" x14ac:dyDescent="0.25">
      <c r="D38224" s="28"/>
      <c r="F38224" s="28"/>
      <c r="H38224" s="28"/>
    </row>
    <row r="38225" spans="4:8" x14ac:dyDescent="0.25">
      <c r="D38225" s="28"/>
      <c r="F38225" s="28"/>
      <c r="H38225" s="28"/>
    </row>
    <row r="38226" spans="4:8" x14ac:dyDescent="0.25">
      <c r="D38226" s="28"/>
      <c r="F38226" s="28"/>
      <c r="H38226" s="28"/>
    </row>
    <row r="38227" spans="4:8" x14ac:dyDescent="0.25">
      <c r="D38227" s="28"/>
      <c r="F38227" s="28"/>
      <c r="H38227" s="28"/>
    </row>
    <row r="38228" spans="4:8" x14ac:dyDescent="0.25">
      <c r="D38228" s="28"/>
      <c r="F38228" s="28"/>
      <c r="H38228" s="28"/>
    </row>
    <row r="38229" spans="4:8" x14ac:dyDescent="0.25">
      <c r="D38229" s="28"/>
      <c r="F38229" s="28"/>
      <c r="H38229" s="28"/>
    </row>
    <row r="38230" spans="4:8" x14ac:dyDescent="0.25">
      <c r="D38230" s="28"/>
      <c r="F38230" s="28"/>
      <c r="H38230" s="28"/>
    </row>
    <row r="38231" spans="4:8" x14ac:dyDescent="0.25">
      <c r="D38231" s="28"/>
      <c r="F38231" s="28"/>
      <c r="H38231" s="28"/>
    </row>
    <row r="38232" spans="4:8" x14ac:dyDescent="0.25">
      <c r="D38232" s="28"/>
      <c r="F38232" s="28"/>
      <c r="H38232" s="28"/>
    </row>
    <row r="38233" spans="4:8" x14ac:dyDescent="0.25">
      <c r="D38233" s="28"/>
      <c r="F38233" s="28"/>
      <c r="H38233" s="28"/>
    </row>
    <row r="38234" spans="4:8" x14ac:dyDescent="0.25">
      <c r="D38234" s="28"/>
      <c r="F38234" s="28"/>
      <c r="H38234" s="28"/>
    </row>
    <row r="38235" spans="4:8" x14ac:dyDescent="0.25">
      <c r="D38235" s="28"/>
      <c r="F38235" s="28"/>
      <c r="H38235" s="28"/>
    </row>
    <row r="38236" spans="4:8" x14ac:dyDescent="0.25">
      <c r="D38236" s="28"/>
      <c r="F38236" s="28"/>
      <c r="H38236" s="28"/>
    </row>
    <row r="38237" spans="4:8" x14ac:dyDescent="0.25">
      <c r="D38237" s="28"/>
      <c r="F38237" s="28"/>
      <c r="H38237" s="28"/>
    </row>
    <row r="38238" spans="4:8" x14ac:dyDescent="0.25">
      <c r="D38238" s="28"/>
      <c r="F38238" s="28"/>
      <c r="H38238" s="28"/>
    </row>
    <row r="38239" spans="4:8" x14ac:dyDescent="0.25">
      <c r="D38239" s="28"/>
      <c r="F38239" s="28"/>
      <c r="H38239" s="28"/>
    </row>
    <row r="38240" spans="4:8" x14ac:dyDescent="0.25">
      <c r="D38240" s="28"/>
      <c r="F38240" s="28"/>
      <c r="H38240" s="28"/>
    </row>
    <row r="38241" spans="4:8" x14ac:dyDescent="0.25">
      <c r="D38241" s="28"/>
      <c r="F38241" s="28"/>
      <c r="H38241" s="28"/>
    </row>
    <row r="38242" spans="4:8" x14ac:dyDescent="0.25">
      <c r="D38242" s="28"/>
      <c r="F38242" s="28"/>
      <c r="H38242" s="28"/>
    </row>
    <row r="38243" spans="4:8" x14ac:dyDescent="0.25">
      <c r="D38243" s="28"/>
      <c r="F38243" s="28"/>
      <c r="H38243" s="28"/>
    </row>
    <row r="38244" spans="4:8" x14ac:dyDescent="0.25">
      <c r="D38244" s="28"/>
      <c r="F38244" s="28"/>
      <c r="H38244" s="28"/>
    </row>
    <row r="38245" spans="4:8" x14ac:dyDescent="0.25">
      <c r="D38245" s="28"/>
      <c r="F38245" s="28"/>
      <c r="H38245" s="28"/>
    </row>
    <row r="38246" spans="4:8" x14ac:dyDescent="0.25">
      <c r="D38246" s="28"/>
      <c r="F38246" s="28"/>
      <c r="H38246" s="28"/>
    </row>
    <row r="38247" spans="4:8" x14ac:dyDescent="0.25">
      <c r="D38247" s="28"/>
      <c r="F38247" s="28"/>
      <c r="H38247" s="28"/>
    </row>
    <row r="38248" spans="4:8" x14ac:dyDescent="0.25">
      <c r="D38248" s="28"/>
      <c r="F38248" s="28"/>
      <c r="H38248" s="28"/>
    </row>
    <row r="38249" spans="4:8" x14ac:dyDescent="0.25">
      <c r="D38249" s="28"/>
      <c r="F38249" s="28"/>
      <c r="H38249" s="28"/>
    </row>
    <row r="38250" spans="4:8" x14ac:dyDescent="0.25">
      <c r="D38250" s="28"/>
      <c r="F38250" s="28"/>
      <c r="H38250" s="28"/>
    </row>
    <row r="38251" spans="4:8" x14ac:dyDescent="0.25">
      <c r="D38251" s="28"/>
      <c r="F38251" s="28"/>
      <c r="H38251" s="28"/>
    </row>
    <row r="38252" spans="4:8" x14ac:dyDescent="0.25">
      <c r="D38252" s="28"/>
      <c r="F38252" s="28"/>
      <c r="H38252" s="28"/>
    </row>
    <row r="38253" spans="4:8" x14ac:dyDescent="0.25">
      <c r="D38253" s="28"/>
      <c r="F38253" s="28"/>
      <c r="H38253" s="28"/>
    </row>
    <row r="38254" spans="4:8" x14ac:dyDescent="0.25">
      <c r="D38254" s="28"/>
      <c r="F38254" s="28"/>
      <c r="H38254" s="28"/>
    </row>
    <row r="38255" spans="4:8" x14ac:dyDescent="0.25">
      <c r="D38255" s="28"/>
      <c r="F38255" s="28"/>
      <c r="H38255" s="28"/>
    </row>
    <row r="38256" spans="4:8" x14ac:dyDescent="0.25">
      <c r="D38256" s="28"/>
      <c r="F38256" s="28"/>
      <c r="H38256" s="28"/>
    </row>
    <row r="38257" spans="4:8" x14ac:dyDescent="0.25">
      <c r="D38257" s="28"/>
      <c r="F38257" s="28"/>
      <c r="H38257" s="28"/>
    </row>
    <row r="38258" spans="4:8" x14ac:dyDescent="0.25">
      <c r="D38258" s="28"/>
      <c r="F38258" s="28"/>
      <c r="H38258" s="28"/>
    </row>
    <row r="38259" spans="4:8" x14ac:dyDescent="0.25">
      <c r="D38259" s="28"/>
      <c r="F38259" s="28"/>
      <c r="H38259" s="28"/>
    </row>
    <row r="38260" spans="4:8" x14ac:dyDescent="0.25">
      <c r="D38260" s="28"/>
      <c r="F38260" s="28"/>
      <c r="H38260" s="28"/>
    </row>
    <row r="38261" spans="4:8" x14ac:dyDescent="0.25">
      <c r="D38261" s="28"/>
      <c r="F38261" s="28"/>
      <c r="H38261" s="28"/>
    </row>
    <row r="38262" spans="4:8" x14ac:dyDescent="0.25">
      <c r="D38262" s="28"/>
      <c r="F38262" s="28"/>
      <c r="H38262" s="28"/>
    </row>
    <row r="38263" spans="4:8" x14ac:dyDescent="0.25">
      <c r="D38263" s="28"/>
      <c r="F38263" s="28"/>
      <c r="H38263" s="28"/>
    </row>
    <row r="38264" spans="4:8" x14ac:dyDescent="0.25">
      <c r="D38264" s="28"/>
      <c r="F38264" s="28"/>
      <c r="H38264" s="28"/>
    </row>
    <row r="38265" spans="4:8" x14ac:dyDescent="0.25">
      <c r="D38265" s="28"/>
      <c r="F38265" s="28"/>
      <c r="H38265" s="28"/>
    </row>
    <row r="38266" spans="4:8" x14ac:dyDescent="0.25">
      <c r="D38266" s="28"/>
      <c r="F38266" s="28"/>
      <c r="H38266" s="28"/>
    </row>
    <row r="38267" spans="4:8" x14ac:dyDescent="0.25">
      <c r="D38267" s="28"/>
      <c r="F38267" s="28"/>
      <c r="H38267" s="28"/>
    </row>
    <row r="38268" spans="4:8" x14ac:dyDescent="0.25">
      <c r="D38268" s="28"/>
      <c r="F38268" s="28"/>
      <c r="H38268" s="28"/>
    </row>
    <row r="38269" spans="4:8" x14ac:dyDescent="0.25">
      <c r="D38269" s="28"/>
      <c r="F38269" s="28"/>
      <c r="H38269" s="28"/>
    </row>
    <row r="38270" spans="4:8" x14ac:dyDescent="0.25">
      <c r="D38270" s="28"/>
      <c r="F38270" s="28"/>
      <c r="H38270" s="28"/>
    </row>
    <row r="38271" spans="4:8" x14ac:dyDescent="0.25">
      <c r="D38271" s="28"/>
      <c r="F38271" s="28"/>
      <c r="H38271" s="28"/>
    </row>
    <row r="38272" spans="4:8" x14ac:dyDescent="0.25">
      <c r="D38272" s="28"/>
      <c r="F38272" s="28"/>
      <c r="H38272" s="28"/>
    </row>
    <row r="38273" spans="4:8" x14ac:dyDescent="0.25">
      <c r="D38273" s="28"/>
      <c r="F38273" s="28"/>
      <c r="H38273" s="28"/>
    </row>
    <row r="38274" spans="4:8" x14ac:dyDescent="0.25">
      <c r="D38274" s="28"/>
      <c r="F38274" s="28"/>
      <c r="H38274" s="28"/>
    </row>
    <row r="38275" spans="4:8" x14ac:dyDescent="0.25">
      <c r="D38275" s="28"/>
      <c r="F38275" s="28"/>
      <c r="H38275" s="28"/>
    </row>
    <row r="38276" spans="4:8" x14ac:dyDescent="0.25">
      <c r="D38276" s="28"/>
      <c r="F38276" s="28"/>
      <c r="H38276" s="28"/>
    </row>
    <row r="38277" spans="4:8" x14ac:dyDescent="0.25">
      <c r="D38277" s="28"/>
      <c r="F38277" s="28"/>
      <c r="H38277" s="28"/>
    </row>
    <row r="38278" spans="4:8" x14ac:dyDescent="0.25">
      <c r="D38278" s="28"/>
      <c r="F38278" s="28"/>
      <c r="H38278" s="28"/>
    </row>
    <row r="38279" spans="4:8" x14ac:dyDescent="0.25">
      <c r="D38279" s="28"/>
      <c r="F38279" s="28"/>
      <c r="H38279" s="28"/>
    </row>
    <row r="38280" spans="4:8" x14ac:dyDescent="0.25">
      <c r="D38280" s="28"/>
      <c r="F38280" s="28"/>
      <c r="H38280" s="28"/>
    </row>
    <row r="38281" spans="4:8" x14ac:dyDescent="0.25">
      <c r="D38281" s="28"/>
      <c r="F38281" s="28"/>
      <c r="H38281" s="28"/>
    </row>
    <row r="38282" spans="4:8" x14ac:dyDescent="0.25">
      <c r="D38282" s="28"/>
      <c r="F38282" s="28"/>
      <c r="H38282" s="28"/>
    </row>
    <row r="38283" spans="4:8" x14ac:dyDescent="0.25">
      <c r="D38283" s="28"/>
      <c r="F38283" s="28"/>
      <c r="H38283" s="28"/>
    </row>
    <row r="38284" spans="4:8" x14ac:dyDescent="0.25">
      <c r="D38284" s="28"/>
      <c r="F38284" s="28"/>
      <c r="H38284" s="28"/>
    </row>
    <row r="38285" spans="4:8" x14ac:dyDescent="0.25">
      <c r="D38285" s="28"/>
      <c r="F38285" s="28"/>
      <c r="H38285" s="28"/>
    </row>
    <row r="38286" spans="4:8" x14ac:dyDescent="0.25">
      <c r="D38286" s="28"/>
      <c r="F38286" s="28"/>
      <c r="H38286" s="28"/>
    </row>
    <row r="38287" spans="4:8" x14ac:dyDescent="0.25">
      <c r="D38287" s="28"/>
      <c r="F38287" s="28"/>
      <c r="H38287" s="28"/>
    </row>
    <row r="38288" spans="4:8" x14ac:dyDescent="0.25">
      <c r="D38288" s="28"/>
      <c r="F38288" s="28"/>
      <c r="H38288" s="28"/>
    </row>
    <row r="38289" spans="4:8" x14ac:dyDescent="0.25">
      <c r="D38289" s="28"/>
      <c r="F38289" s="28"/>
      <c r="H38289" s="28"/>
    </row>
    <row r="38290" spans="4:8" x14ac:dyDescent="0.25">
      <c r="D38290" s="28"/>
      <c r="F38290" s="28"/>
      <c r="H38290" s="28"/>
    </row>
    <row r="38291" spans="4:8" x14ac:dyDescent="0.25">
      <c r="D38291" s="28"/>
      <c r="F38291" s="28"/>
      <c r="H38291" s="28"/>
    </row>
    <row r="38292" spans="4:8" x14ac:dyDescent="0.25">
      <c r="D38292" s="28"/>
      <c r="F38292" s="28"/>
      <c r="H38292" s="28"/>
    </row>
    <row r="38293" spans="4:8" x14ac:dyDescent="0.25">
      <c r="D38293" s="28"/>
      <c r="F38293" s="28"/>
      <c r="H38293" s="28"/>
    </row>
    <row r="38294" spans="4:8" x14ac:dyDescent="0.25">
      <c r="D38294" s="28"/>
      <c r="F38294" s="28"/>
      <c r="H38294" s="28"/>
    </row>
    <row r="38295" spans="4:8" x14ac:dyDescent="0.25">
      <c r="D38295" s="28"/>
      <c r="F38295" s="28"/>
      <c r="H38295" s="28"/>
    </row>
    <row r="38296" spans="4:8" x14ac:dyDescent="0.25">
      <c r="D38296" s="28"/>
      <c r="F38296" s="28"/>
      <c r="H38296" s="28"/>
    </row>
    <row r="38297" spans="4:8" x14ac:dyDescent="0.25">
      <c r="D38297" s="28"/>
      <c r="F38297" s="28"/>
      <c r="H38297" s="28"/>
    </row>
    <row r="38298" spans="4:8" x14ac:dyDescent="0.25">
      <c r="D38298" s="28"/>
      <c r="F38298" s="28"/>
      <c r="H38298" s="28"/>
    </row>
    <row r="38299" spans="4:8" x14ac:dyDescent="0.25">
      <c r="D38299" s="28"/>
      <c r="F38299" s="28"/>
      <c r="H38299" s="28"/>
    </row>
    <row r="38300" spans="4:8" x14ac:dyDescent="0.25">
      <c r="D38300" s="28"/>
      <c r="F38300" s="28"/>
      <c r="H38300" s="28"/>
    </row>
    <row r="38301" spans="4:8" x14ac:dyDescent="0.25">
      <c r="D38301" s="28"/>
      <c r="F38301" s="28"/>
      <c r="H38301" s="28"/>
    </row>
    <row r="38302" spans="4:8" x14ac:dyDescent="0.25">
      <c r="D38302" s="28"/>
      <c r="F38302" s="28"/>
      <c r="H38302" s="28"/>
    </row>
    <row r="38303" spans="4:8" x14ac:dyDescent="0.25">
      <c r="D38303" s="28"/>
      <c r="F38303" s="28"/>
      <c r="H38303" s="28"/>
    </row>
    <row r="38304" spans="4:8" x14ac:dyDescent="0.25">
      <c r="D38304" s="28"/>
      <c r="F38304" s="28"/>
      <c r="H38304" s="28"/>
    </row>
    <row r="38305" spans="4:8" x14ac:dyDescent="0.25">
      <c r="D38305" s="28"/>
      <c r="F38305" s="28"/>
      <c r="H38305" s="28"/>
    </row>
    <row r="38306" spans="4:8" x14ac:dyDescent="0.25">
      <c r="D38306" s="28"/>
      <c r="F38306" s="28"/>
      <c r="H38306" s="28"/>
    </row>
    <row r="38307" spans="4:8" x14ac:dyDescent="0.25">
      <c r="D38307" s="28"/>
      <c r="F38307" s="28"/>
      <c r="H38307" s="28"/>
    </row>
    <row r="38308" spans="4:8" x14ac:dyDescent="0.25">
      <c r="D38308" s="28"/>
      <c r="F38308" s="28"/>
      <c r="H38308" s="28"/>
    </row>
    <row r="38309" spans="4:8" x14ac:dyDescent="0.25">
      <c r="D38309" s="28"/>
      <c r="F38309" s="28"/>
      <c r="H38309" s="28"/>
    </row>
    <row r="38310" spans="4:8" x14ac:dyDescent="0.25">
      <c r="D38310" s="28"/>
      <c r="F38310" s="28"/>
      <c r="H38310" s="28"/>
    </row>
    <row r="38311" spans="4:8" x14ac:dyDescent="0.25">
      <c r="D38311" s="28"/>
      <c r="F38311" s="28"/>
      <c r="H38311" s="28"/>
    </row>
    <row r="38312" spans="4:8" x14ac:dyDescent="0.25">
      <c r="D38312" s="28"/>
      <c r="F38312" s="28"/>
      <c r="H38312" s="28"/>
    </row>
    <row r="38313" spans="4:8" x14ac:dyDescent="0.25">
      <c r="D38313" s="28"/>
      <c r="F38313" s="28"/>
      <c r="H38313" s="28"/>
    </row>
    <row r="38314" spans="4:8" x14ac:dyDescent="0.25">
      <c r="D38314" s="28"/>
      <c r="F38314" s="28"/>
      <c r="H38314" s="28"/>
    </row>
    <row r="38315" spans="4:8" x14ac:dyDescent="0.25">
      <c r="D38315" s="28"/>
      <c r="F38315" s="28"/>
      <c r="H38315" s="28"/>
    </row>
    <row r="38316" spans="4:8" x14ac:dyDescent="0.25">
      <c r="D38316" s="28"/>
      <c r="F38316" s="28"/>
      <c r="H38316" s="28"/>
    </row>
    <row r="38317" spans="4:8" x14ac:dyDescent="0.25">
      <c r="D38317" s="28"/>
      <c r="F38317" s="28"/>
      <c r="H38317" s="28"/>
    </row>
    <row r="38318" spans="4:8" x14ac:dyDescent="0.25">
      <c r="D38318" s="28"/>
      <c r="F38318" s="28"/>
      <c r="H38318" s="28"/>
    </row>
    <row r="38319" spans="4:8" x14ac:dyDescent="0.25">
      <c r="D38319" s="28"/>
      <c r="F38319" s="28"/>
      <c r="H38319" s="28"/>
    </row>
    <row r="38320" spans="4:8" x14ac:dyDescent="0.25">
      <c r="D38320" s="28"/>
      <c r="F38320" s="28"/>
      <c r="H38320" s="28"/>
    </row>
    <row r="38321" spans="4:8" x14ac:dyDescent="0.25">
      <c r="D38321" s="28"/>
      <c r="F38321" s="28"/>
      <c r="H38321" s="28"/>
    </row>
    <row r="38322" spans="4:8" x14ac:dyDescent="0.25">
      <c r="D38322" s="28"/>
      <c r="F38322" s="28"/>
      <c r="H38322" s="28"/>
    </row>
    <row r="38323" spans="4:8" x14ac:dyDescent="0.25">
      <c r="D38323" s="28"/>
      <c r="F38323" s="28"/>
      <c r="H38323" s="28"/>
    </row>
    <row r="38324" spans="4:8" x14ac:dyDescent="0.25">
      <c r="D38324" s="28"/>
      <c r="F38324" s="28"/>
      <c r="H38324" s="28"/>
    </row>
    <row r="38325" spans="4:8" x14ac:dyDescent="0.25">
      <c r="D38325" s="28"/>
      <c r="F38325" s="28"/>
      <c r="H38325" s="28"/>
    </row>
    <row r="38326" spans="4:8" x14ac:dyDescent="0.25">
      <c r="D38326" s="28"/>
      <c r="F38326" s="28"/>
      <c r="H38326" s="28"/>
    </row>
    <row r="38327" spans="4:8" x14ac:dyDescent="0.25">
      <c r="D38327" s="28"/>
      <c r="F38327" s="28"/>
      <c r="H38327" s="28"/>
    </row>
    <row r="38328" spans="4:8" x14ac:dyDescent="0.25">
      <c r="D38328" s="28"/>
      <c r="F38328" s="28"/>
      <c r="H38328" s="28"/>
    </row>
    <row r="38329" spans="4:8" x14ac:dyDescent="0.25">
      <c r="D38329" s="28"/>
      <c r="F38329" s="28"/>
      <c r="H38329" s="28"/>
    </row>
    <row r="38330" spans="4:8" x14ac:dyDescent="0.25">
      <c r="D38330" s="28"/>
      <c r="F38330" s="28"/>
      <c r="H38330" s="28"/>
    </row>
    <row r="38331" spans="4:8" x14ac:dyDescent="0.25">
      <c r="D38331" s="28"/>
      <c r="F38331" s="28"/>
      <c r="H38331" s="28"/>
    </row>
    <row r="38332" spans="4:8" x14ac:dyDescent="0.25">
      <c r="D38332" s="28"/>
      <c r="F38332" s="28"/>
      <c r="H38332" s="28"/>
    </row>
    <row r="38333" spans="4:8" x14ac:dyDescent="0.25">
      <c r="D38333" s="28"/>
      <c r="F38333" s="28"/>
      <c r="H38333" s="28"/>
    </row>
    <row r="38334" spans="4:8" x14ac:dyDescent="0.25">
      <c r="D38334" s="28"/>
      <c r="F38334" s="28"/>
      <c r="H38334" s="28"/>
    </row>
    <row r="38335" spans="4:8" x14ac:dyDescent="0.25">
      <c r="D38335" s="28"/>
      <c r="F38335" s="28"/>
      <c r="H38335" s="28"/>
    </row>
    <row r="38336" spans="4:8" x14ac:dyDescent="0.25">
      <c r="D38336" s="28"/>
      <c r="F38336" s="28"/>
      <c r="H38336" s="28"/>
    </row>
    <row r="38337" spans="4:8" x14ac:dyDescent="0.25">
      <c r="D38337" s="28"/>
      <c r="F38337" s="28"/>
      <c r="H38337" s="28"/>
    </row>
    <row r="38338" spans="4:8" x14ac:dyDescent="0.25">
      <c r="D38338" s="28"/>
      <c r="F38338" s="28"/>
      <c r="H38338" s="28"/>
    </row>
    <row r="38339" spans="4:8" x14ac:dyDescent="0.25">
      <c r="D38339" s="28"/>
      <c r="F38339" s="28"/>
      <c r="H38339" s="28"/>
    </row>
    <row r="38340" spans="4:8" x14ac:dyDescent="0.25">
      <c r="D38340" s="28"/>
      <c r="F38340" s="28"/>
      <c r="H38340" s="28"/>
    </row>
    <row r="38341" spans="4:8" x14ac:dyDescent="0.25">
      <c r="D38341" s="28"/>
      <c r="F38341" s="28"/>
      <c r="H38341" s="28"/>
    </row>
    <row r="38342" spans="4:8" x14ac:dyDescent="0.25">
      <c r="D38342" s="28"/>
      <c r="F38342" s="28"/>
      <c r="H38342" s="28"/>
    </row>
    <row r="38343" spans="4:8" x14ac:dyDescent="0.25">
      <c r="D38343" s="28"/>
      <c r="F38343" s="28"/>
      <c r="H38343" s="28"/>
    </row>
    <row r="38344" spans="4:8" x14ac:dyDescent="0.25">
      <c r="D38344" s="28"/>
      <c r="F38344" s="28"/>
      <c r="H38344" s="28"/>
    </row>
    <row r="38345" spans="4:8" x14ac:dyDescent="0.25">
      <c r="D38345" s="28"/>
      <c r="F38345" s="28"/>
      <c r="H38345" s="28"/>
    </row>
    <row r="38346" spans="4:8" x14ac:dyDescent="0.25">
      <c r="D38346" s="28"/>
      <c r="F38346" s="28"/>
      <c r="H38346" s="28"/>
    </row>
    <row r="38347" spans="4:8" x14ac:dyDescent="0.25">
      <c r="D38347" s="28"/>
      <c r="F38347" s="28"/>
      <c r="H38347" s="28"/>
    </row>
    <row r="38348" spans="4:8" x14ac:dyDescent="0.25">
      <c r="D38348" s="28"/>
      <c r="F38348" s="28"/>
      <c r="H38348" s="28"/>
    </row>
    <row r="38349" spans="4:8" x14ac:dyDescent="0.25">
      <c r="D38349" s="28"/>
      <c r="F38349" s="28"/>
      <c r="H38349" s="28"/>
    </row>
    <row r="38350" spans="4:8" x14ac:dyDescent="0.25">
      <c r="D38350" s="28"/>
      <c r="F38350" s="28"/>
      <c r="H38350" s="28"/>
    </row>
    <row r="38351" spans="4:8" x14ac:dyDescent="0.25">
      <c r="D38351" s="28"/>
      <c r="F38351" s="28"/>
      <c r="H38351" s="28"/>
    </row>
    <row r="38352" spans="4:8" x14ac:dyDescent="0.25">
      <c r="D38352" s="28"/>
      <c r="F38352" s="28"/>
      <c r="H38352" s="28"/>
    </row>
    <row r="38353" spans="4:8" x14ac:dyDescent="0.25">
      <c r="D38353" s="28"/>
      <c r="F38353" s="28"/>
      <c r="H38353" s="28"/>
    </row>
    <row r="38354" spans="4:8" x14ac:dyDescent="0.25">
      <c r="D38354" s="28"/>
      <c r="F38354" s="28"/>
      <c r="H38354" s="28"/>
    </row>
    <row r="38355" spans="4:8" x14ac:dyDescent="0.25">
      <c r="D38355" s="28"/>
      <c r="F38355" s="28"/>
      <c r="H38355" s="28"/>
    </row>
    <row r="38356" spans="4:8" x14ac:dyDescent="0.25">
      <c r="D38356" s="28"/>
      <c r="F38356" s="28"/>
      <c r="H38356" s="28"/>
    </row>
    <row r="38357" spans="4:8" x14ac:dyDescent="0.25">
      <c r="D38357" s="28"/>
      <c r="F38357" s="28"/>
      <c r="H38357" s="28"/>
    </row>
    <row r="38358" spans="4:8" x14ac:dyDescent="0.25">
      <c r="D38358" s="28"/>
      <c r="F38358" s="28"/>
      <c r="H38358" s="28"/>
    </row>
    <row r="38359" spans="4:8" x14ac:dyDescent="0.25">
      <c r="D38359" s="28"/>
      <c r="F38359" s="28"/>
      <c r="H38359" s="28"/>
    </row>
    <row r="38360" spans="4:8" x14ac:dyDescent="0.25">
      <c r="D38360" s="28"/>
      <c r="F38360" s="28"/>
      <c r="H38360" s="28"/>
    </row>
    <row r="38361" spans="4:8" x14ac:dyDescent="0.25">
      <c r="D38361" s="28"/>
      <c r="F38361" s="28"/>
      <c r="H38361" s="28"/>
    </row>
    <row r="38362" spans="4:8" x14ac:dyDescent="0.25">
      <c r="D38362" s="28"/>
      <c r="F38362" s="28"/>
      <c r="H38362" s="28"/>
    </row>
    <row r="38363" spans="4:8" x14ac:dyDescent="0.25">
      <c r="D38363" s="28"/>
      <c r="F38363" s="28"/>
      <c r="H38363" s="28"/>
    </row>
    <row r="38364" spans="4:8" x14ac:dyDescent="0.25">
      <c r="D38364" s="28"/>
      <c r="F38364" s="28"/>
      <c r="H38364" s="28"/>
    </row>
    <row r="38365" spans="4:8" x14ac:dyDescent="0.25">
      <c r="D38365" s="28"/>
      <c r="F38365" s="28"/>
      <c r="H38365" s="28"/>
    </row>
    <row r="38366" spans="4:8" x14ac:dyDescent="0.25">
      <c r="D38366" s="28"/>
      <c r="F38366" s="28"/>
      <c r="H38366" s="28"/>
    </row>
    <row r="38367" spans="4:8" x14ac:dyDescent="0.25">
      <c r="D38367" s="28"/>
      <c r="F38367" s="28"/>
      <c r="H38367" s="28"/>
    </row>
    <row r="38368" spans="4:8" x14ac:dyDescent="0.25">
      <c r="D38368" s="28"/>
      <c r="F38368" s="28"/>
      <c r="H38368" s="28"/>
    </row>
    <row r="38369" spans="4:8" x14ac:dyDescent="0.25">
      <c r="D38369" s="28"/>
      <c r="F38369" s="28"/>
      <c r="H38369" s="28"/>
    </row>
    <row r="38370" spans="4:8" x14ac:dyDescent="0.25">
      <c r="D38370" s="28"/>
      <c r="F38370" s="28"/>
      <c r="H38370" s="28"/>
    </row>
    <row r="38371" spans="4:8" x14ac:dyDescent="0.25">
      <c r="D38371" s="28"/>
      <c r="F38371" s="28"/>
      <c r="H38371" s="28"/>
    </row>
    <row r="38372" spans="4:8" x14ac:dyDescent="0.25">
      <c r="D38372" s="28"/>
      <c r="F38372" s="28"/>
      <c r="H38372" s="28"/>
    </row>
    <row r="38373" spans="4:8" x14ac:dyDescent="0.25">
      <c r="D38373" s="28"/>
      <c r="F38373" s="28"/>
      <c r="H38373" s="28"/>
    </row>
    <row r="38374" spans="4:8" x14ac:dyDescent="0.25">
      <c r="D38374" s="28"/>
      <c r="F38374" s="28"/>
      <c r="H38374" s="28"/>
    </row>
    <row r="38375" spans="4:8" x14ac:dyDescent="0.25">
      <c r="D38375" s="28"/>
      <c r="F38375" s="28"/>
      <c r="H38375" s="28"/>
    </row>
    <row r="38376" spans="4:8" x14ac:dyDescent="0.25">
      <c r="D38376" s="28"/>
      <c r="F38376" s="28"/>
      <c r="H38376" s="28"/>
    </row>
    <row r="38377" spans="4:8" x14ac:dyDescent="0.25">
      <c r="D38377" s="28"/>
      <c r="F38377" s="28"/>
      <c r="H38377" s="28"/>
    </row>
    <row r="38378" spans="4:8" x14ac:dyDescent="0.25">
      <c r="D38378" s="28"/>
      <c r="F38378" s="28"/>
      <c r="H38378" s="28"/>
    </row>
    <row r="38379" spans="4:8" x14ac:dyDescent="0.25">
      <c r="D38379" s="28"/>
      <c r="F38379" s="28"/>
      <c r="H38379" s="28"/>
    </row>
    <row r="38380" spans="4:8" x14ac:dyDescent="0.25">
      <c r="D38380" s="28"/>
      <c r="F38380" s="28"/>
      <c r="H38380" s="28"/>
    </row>
    <row r="38381" spans="4:8" x14ac:dyDescent="0.25">
      <c r="D38381" s="28"/>
      <c r="F38381" s="28"/>
      <c r="H38381" s="28"/>
    </row>
    <row r="38382" spans="4:8" x14ac:dyDescent="0.25">
      <c r="D38382" s="28"/>
      <c r="F38382" s="28"/>
      <c r="H38382" s="28"/>
    </row>
    <row r="38383" spans="4:8" x14ac:dyDescent="0.25">
      <c r="D38383" s="28"/>
      <c r="F38383" s="28"/>
      <c r="H38383" s="28"/>
    </row>
    <row r="38384" spans="4:8" x14ac:dyDescent="0.25">
      <c r="D38384" s="28"/>
      <c r="F38384" s="28"/>
      <c r="H38384" s="28"/>
    </row>
    <row r="38385" spans="4:8" x14ac:dyDescent="0.25">
      <c r="D38385" s="28"/>
      <c r="F38385" s="28"/>
      <c r="H38385" s="28"/>
    </row>
    <row r="38386" spans="4:8" x14ac:dyDescent="0.25">
      <c r="D38386" s="28"/>
      <c r="F38386" s="28"/>
      <c r="H38386" s="28"/>
    </row>
    <row r="38387" spans="4:8" x14ac:dyDescent="0.25">
      <c r="D38387" s="28"/>
      <c r="F38387" s="28"/>
      <c r="H38387" s="28"/>
    </row>
    <row r="38388" spans="4:8" x14ac:dyDescent="0.25">
      <c r="D38388" s="28"/>
      <c r="F38388" s="28"/>
      <c r="H38388" s="28"/>
    </row>
    <row r="38389" spans="4:8" x14ac:dyDescent="0.25">
      <c r="D38389" s="28"/>
      <c r="F38389" s="28"/>
      <c r="H38389" s="28"/>
    </row>
    <row r="38390" spans="4:8" x14ac:dyDescent="0.25">
      <c r="D38390" s="28"/>
      <c r="F38390" s="28"/>
      <c r="H38390" s="28"/>
    </row>
    <row r="38391" spans="4:8" x14ac:dyDescent="0.25">
      <c r="D38391" s="28"/>
      <c r="F38391" s="28"/>
      <c r="H38391" s="28"/>
    </row>
    <row r="38392" spans="4:8" x14ac:dyDescent="0.25">
      <c r="D38392" s="28"/>
      <c r="F38392" s="28"/>
      <c r="H38392" s="28"/>
    </row>
    <row r="38393" spans="4:8" x14ac:dyDescent="0.25">
      <c r="D38393" s="28"/>
      <c r="F38393" s="28"/>
      <c r="H38393" s="28"/>
    </row>
    <row r="38394" spans="4:8" x14ac:dyDescent="0.25">
      <c r="D38394" s="28"/>
      <c r="F38394" s="28"/>
      <c r="H38394" s="28"/>
    </row>
    <row r="38395" spans="4:8" x14ac:dyDescent="0.25">
      <c r="D38395" s="28"/>
      <c r="F38395" s="28"/>
      <c r="H38395" s="28"/>
    </row>
    <row r="38396" spans="4:8" x14ac:dyDescent="0.25">
      <c r="D38396" s="28"/>
      <c r="F38396" s="28"/>
      <c r="H38396" s="28"/>
    </row>
    <row r="38397" spans="4:8" x14ac:dyDescent="0.25">
      <c r="D38397" s="28"/>
      <c r="F38397" s="28"/>
      <c r="H38397" s="28"/>
    </row>
    <row r="38398" spans="4:8" x14ac:dyDescent="0.25">
      <c r="D38398" s="28"/>
      <c r="F38398" s="28"/>
      <c r="H38398" s="28"/>
    </row>
    <row r="38399" spans="4:8" x14ac:dyDescent="0.25">
      <c r="D38399" s="28"/>
      <c r="F38399" s="28"/>
      <c r="H38399" s="28"/>
    </row>
    <row r="38400" spans="4:8" x14ac:dyDescent="0.25">
      <c r="D38400" s="28"/>
      <c r="F38400" s="28"/>
      <c r="H38400" s="28"/>
    </row>
    <row r="38401" spans="4:8" x14ac:dyDescent="0.25">
      <c r="D38401" s="28"/>
      <c r="F38401" s="28"/>
      <c r="H38401" s="28"/>
    </row>
    <row r="38402" spans="4:8" x14ac:dyDescent="0.25">
      <c r="D38402" s="28"/>
      <c r="F38402" s="28"/>
      <c r="H38402" s="28"/>
    </row>
    <row r="38403" spans="4:8" x14ac:dyDescent="0.25">
      <c r="D38403" s="28"/>
      <c r="F38403" s="28"/>
      <c r="H38403" s="28"/>
    </row>
    <row r="38404" spans="4:8" x14ac:dyDescent="0.25">
      <c r="D38404" s="28"/>
      <c r="F38404" s="28"/>
      <c r="H38404" s="28"/>
    </row>
    <row r="38405" spans="4:8" x14ac:dyDescent="0.25">
      <c r="D38405" s="28"/>
      <c r="F38405" s="28"/>
      <c r="H38405" s="28"/>
    </row>
    <row r="38406" spans="4:8" x14ac:dyDescent="0.25">
      <c r="D38406" s="28"/>
      <c r="F38406" s="28"/>
      <c r="H38406" s="28"/>
    </row>
    <row r="38407" spans="4:8" x14ac:dyDescent="0.25">
      <c r="D38407" s="28"/>
      <c r="F38407" s="28"/>
      <c r="H38407" s="28"/>
    </row>
    <row r="38408" spans="4:8" x14ac:dyDescent="0.25">
      <c r="D38408" s="28"/>
      <c r="F38408" s="28"/>
      <c r="H38408" s="28"/>
    </row>
    <row r="38409" spans="4:8" x14ac:dyDescent="0.25">
      <c r="D38409" s="28"/>
      <c r="F38409" s="28"/>
      <c r="H38409" s="28"/>
    </row>
    <row r="38410" spans="4:8" x14ac:dyDescent="0.25">
      <c r="D38410" s="28"/>
      <c r="F38410" s="28"/>
      <c r="H38410" s="28"/>
    </row>
    <row r="38411" spans="4:8" x14ac:dyDescent="0.25">
      <c r="D38411" s="28"/>
      <c r="F38411" s="28"/>
      <c r="H38411" s="28"/>
    </row>
    <row r="38412" spans="4:8" x14ac:dyDescent="0.25">
      <c r="D38412" s="28"/>
      <c r="F38412" s="28"/>
      <c r="H38412" s="28"/>
    </row>
    <row r="38413" spans="4:8" x14ac:dyDescent="0.25">
      <c r="D38413" s="28"/>
      <c r="F38413" s="28"/>
      <c r="H38413" s="28"/>
    </row>
    <row r="38414" spans="4:8" x14ac:dyDescent="0.25">
      <c r="D38414" s="28"/>
      <c r="F38414" s="28"/>
      <c r="H38414" s="28"/>
    </row>
    <row r="38415" spans="4:8" x14ac:dyDescent="0.25">
      <c r="D38415" s="28"/>
      <c r="F38415" s="28"/>
      <c r="H38415" s="28"/>
    </row>
    <row r="38416" spans="4:8" x14ac:dyDescent="0.25">
      <c r="D38416" s="28"/>
      <c r="F38416" s="28"/>
      <c r="H38416" s="28"/>
    </row>
    <row r="38417" spans="4:8" x14ac:dyDescent="0.25">
      <c r="D38417" s="28"/>
      <c r="F38417" s="28"/>
      <c r="H38417" s="28"/>
    </row>
    <row r="38418" spans="4:8" x14ac:dyDescent="0.25">
      <c r="D38418" s="28"/>
      <c r="F38418" s="28"/>
      <c r="H38418" s="28"/>
    </row>
    <row r="38419" spans="4:8" x14ac:dyDescent="0.25">
      <c r="D38419" s="28"/>
      <c r="F38419" s="28"/>
      <c r="H38419" s="28"/>
    </row>
    <row r="38420" spans="4:8" x14ac:dyDescent="0.25">
      <c r="D38420" s="28"/>
      <c r="F38420" s="28"/>
      <c r="H38420" s="28"/>
    </row>
    <row r="38421" spans="4:8" x14ac:dyDescent="0.25">
      <c r="D38421" s="28"/>
      <c r="F38421" s="28"/>
      <c r="H38421" s="28"/>
    </row>
    <row r="38422" spans="4:8" x14ac:dyDescent="0.25">
      <c r="D38422" s="28"/>
      <c r="F38422" s="28"/>
      <c r="H38422" s="28"/>
    </row>
    <row r="38423" spans="4:8" x14ac:dyDescent="0.25">
      <c r="D38423" s="28"/>
      <c r="F38423" s="28"/>
      <c r="H38423" s="28"/>
    </row>
    <row r="38424" spans="4:8" x14ac:dyDescent="0.25">
      <c r="D38424" s="28"/>
      <c r="F38424" s="28"/>
      <c r="H38424" s="28"/>
    </row>
    <row r="38425" spans="4:8" x14ac:dyDescent="0.25">
      <c r="D38425" s="28"/>
      <c r="F38425" s="28"/>
      <c r="H38425" s="28"/>
    </row>
    <row r="38426" spans="4:8" x14ac:dyDescent="0.25">
      <c r="D38426" s="28"/>
      <c r="F38426" s="28"/>
      <c r="H38426" s="28"/>
    </row>
    <row r="38427" spans="4:8" x14ac:dyDescent="0.25">
      <c r="D38427" s="28"/>
      <c r="F38427" s="28"/>
      <c r="H38427" s="28"/>
    </row>
    <row r="38428" spans="4:8" x14ac:dyDescent="0.25">
      <c r="D38428" s="28"/>
      <c r="F38428" s="28"/>
      <c r="H38428" s="28"/>
    </row>
    <row r="38429" spans="4:8" x14ac:dyDescent="0.25">
      <c r="D38429" s="28"/>
      <c r="F38429" s="28"/>
      <c r="H38429" s="28"/>
    </row>
    <row r="38430" spans="4:8" x14ac:dyDescent="0.25">
      <c r="D38430" s="28"/>
      <c r="F38430" s="28"/>
      <c r="H38430" s="28"/>
    </row>
    <row r="38431" spans="4:8" x14ac:dyDescent="0.25">
      <c r="D38431" s="28"/>
      <c r="F38431" s="28"/>
      <c r="H38431" s="28"/>
    </row>
    <row r="38432" spans="4:8" x14ac:dyDescent="0.25">
      <c r="D38432" s="28"/>
      <c r="F38432" s="28"/>
      <c r="H38432" s="28"/>
    </row>
    <row r="38433" spans="4:8" x14ac:dyDescent="0.25">
      <c r="D38433" s="28"/>
      <c r="F38433" s="28"/>
      <c r="H38433" s="28"/>
    </row>
    <row r="38434" spans="4:8" x14ac:dyDescent="0.25">
      <c r="D38434" s="28"/>
      <c r="F38434" s="28"/>
      <c r="H38434" s="28"/>
    </row>
    <row r="38435" spans="4:8" x14ac:dyDescent="0.25">
      <c r="D38435" s="28"/>
      <c r="F38435" s="28"/>
      <c r="H38435" s="28"/>
    </row>
    <row r="38436" spans="4:8" x14ac:dyDescent="0.25">
      <c r="D38436" s="28"/>
      <c r="F38436" s="28"/>
      <c r="H38436" s="28"/>
    </row>
    <row r="38437" spans="4:8" x14ac:dyDescent="0.25">
      <c r="D38437" s="28"/>
      <c r="F38437" s="28"/>
      <c r="H38437" s="28"/>
    </row>
    <row r="38438" spans="4:8" x14ac:dyDescent="0.25">
      <c r="D38438" s="28"/>
      <c r="F38438" s="28"/>
      <c r="H38438" s="28"/>
    </row>
    <row r="38439" spans="4:8" x14ac:dyDescent="0.25">
      <c r="D38439" s="28"/>
      <c r="F38439" s="28"/>
      <c r="H38439" s="28"/>
    </row>
    <row r="38440" spans="4:8" x14ac:dyDescent="0.25">
      <c r="D38440" s="28"/>
      <c r="F38440" s="28"/>
      <c r="H38440" s="28"/>
    </row>
    <row r="38441" spans="4:8" x14ac:dyDescent="0.25">
      <c r="D38441" s="28"/>
      <c r="F38441" s="28"/>
      <c r="H38441" s="28"/>
    </row>
    <row r="38442" spans="4:8" x14ac:dyDescent="0.25">
      <c r="D38442" s="28"/>
      <c r="F38442" s="28"/>
      <c r="H38442" s="28"/>
    </row>
    <row r="38443" spans="4:8" x14ac:dyDescent="0.25">
      <c r="D38443" s="28"/>
      <c r="F38443" s="28"/>
      <c r="H38443" s="28"/>
    </row>
    <row r="38444" spans="4:8" x14ac:dyDescent="0.25">
      <c r="D38444" s="28"/>
      <c r="F38444" s="28"/>
      <c r="H38444" s="28"/>
    </row>
    <row r="38445" spans="4:8" x14ac:dyDescent="0.25">
      <c r="D38445" s="28"/>
      <c r="F38445" s="28"/>
      <c r="H38445" s="28"/>
    </row>
    <row r="38446" spans="4:8" x14ac:dyDescent="0.25">
      <c r="D38446" s="28"/>
      <c r="F38446" s="28"/>
      <c r="H38446" s="28"/>
    </row>
    <row r="38447" spans="4:8" x14ac:dyDescent="0.25">
      <c r="D38447" s="28"/>
      <c r="F38447" s="28"/>
      <c r="H38447" s="28"/>
    </row>
    <row r="38448" spans="4:8" x14ac:dyDescent="0.25">
      <c r="D38448" s="28"/>
      <c r="F38448" s="28"/>
      <c r="H38448" s="28"/>
    </row>
    <row r="38449" spans="4:8" x14ac:dyDescent="0.25">
      <c r="D38449" s="28"/>
      <c r="F38449" s="28"/>
      <c r="H38449" s="28"/>
    </row>
    <row r="38450" spans="4:8" x14ac:dyDescent="0.25">
      <c r="D38450" s="28"/>
      <c r="F38450" s="28"/>
      <c r="H38450" s="28"/>
    </row>
    <row r="38451" spans="4:8" x14ac:dyDescent="0.25">
      <c r="D38451" s="28"/>
      <c r="F38451" s="28"/>
      <c r="H38451" s="28"/>
    </row>
    <row r="38452" spans="4:8" x14ac:dyDescent="0.25">
      <c r="D38452" s="28"/>
      <c r="F38452" s="28"/>
      <c r="H38452" s="28"/>
    </row>
    <row r="38453" spans="4:8" x14ac:dyDescent="0.25">
      <c r="D38453" s="28"/>
      <c r="F38453" s="28"/>
      <c r="H38453" s="28"/>
    </row>
    <row r="38454" spans="4:8" x14ac:dyDescent="0.25">
      <c r="D38454" s="28"/>
      <c r="F38454" s="28"/>
      <c r="H38454" s="28"/>
    </row>
    <row r="38455" spans="4:8" x14ac:dyDescent="0.25">
      <c r="D38455" s="28"/>
      <c r="F38455" s="28"/>
      <c r="H38455" s="28"/>
    </row>
    <row r="38456" spans="4:8" x14ac:dyDescent="0.25">
      <c r="D38456" s="28"/>
      <c r="F38456" s="28"/>
      <c r="H38456" s="28"/>
    </row>
    <row r="38457" spans="4:8" x14ac:dyDescent="0.25">
      <c r="D38457" s="28"/>
      <c r="F38457" s="28"/>
      <c r="H38457" s="28"/>
    </row>
    <row r="38458" spans="4:8" x14ac:dyDescent="0.25">
      <c r="D38458" s="28"/>
      <c r="F38458" s="28"/>
      <c r="H38458" s="28"/>
    </row>
    <row r="38459" spans="4:8" x14ac:dyDescent="0.25">
      <c r="D38459" s="28"/>
      <c r="F38459" s="28"/>
      <c r="H38459" s="28"/>
    </row>
    <row r="38460" spans="4:8" x14ac:dyDescent="0.25">
      <c r="D38460" s="28"/>
      <c r="F38460" s="28"/>
      <c r="H38460" s="28"/>
    </row>
    <row r="38461" spans="4:8" x14ac:dyDescent="0.25">
      <c r="D38461" s="28"/>
      <c r="F38461" s="28"/>
      <c r="H38461" s="28"/>
    </row>
    <row r="38462" spans="4:8" x14ac:dyDescent="0.25">
      <c r="D38462" s="28"/>
      <c r="F38462" s="28"/>
      <c r="H38462" s="28"/>
    </row>
    <row r="38463" spans="4:8" x14ac:dyDescent="0.25">
      <c r="D38463" s="28"/>
      <c r="F38463" s="28"/>
      <c r="H38463" s="28"/>
    </row>
    <row r="38464" spans="4:8" x14ac:dyDescent="0.25">
      <c r="D38464" s="28"/>
      <c r="F38464" s="28"/>
      <c r="H38464" s="28"/>
    </row>
    <row r="38465" spans="4:8" x14ac:dyDescent="0.25">
      <c r="D38465" s="28"/>
      <c r="F38465" s="28"/>
      <c r="H38465" s="28"/>
    </row>
    <row r="38466" spans="4:8" x14ac:dyDescent="0.25">
      <c r="D38466" s="28"/>
      <c r="F38466" s="28"/>
      <c r="H38466" s="28"/>
    </row>
    <row r="38467" spans="4:8" x14ac:dyDescent="0.25">
      <c r="D38467" s="28"/>
      <c r="F38467" s="28"/>
      <c r="H38467" s="28"/>
    </row>
    <row r="38468" spans="4:8" x14ac:dyDescent="0.25">
      <c r="D38468" s="28"/>
      <c r="F38468" s="28"/>
      <c r="H38468" s="28"/>
    </row>
    <row r="38469" spans="4:8" x14ac:dyDescent="0.25">
      <c r="D38469" s="28"/>
      <c r="F38469" s="28"/>
      <c r="H38469" s="28"/>
    </row>
    <row r="38470" spans="4:8" x14ac:dyDescent="0.25">
      <c r="D38470" s="28"/>
      <c r="F38470" s="28"/>
      <c r="H38470" s="28"/>
    </row>
    <row r="38471" spans="4:8" x14ac:dyDescent="0.25">
      <c r="D38471" s="28"/>
      <c r="F38471" s="28"/>
      <c r="H38471" s="28"/>
    </row>
    <row r="38472" spans="4:8" x14ac:dyDescent="0.25">
      <c r="D38472" s="28"/>
      <c r="F38472" s="28"/>
      <c r="H38472" s="28"/>
    </row>
    <row r="38473" spans="4:8" x14ac:dyDescent="0.25">
      <c r="D38473" s="28"/>
      <c r="F38473" s="28"/>
      <c r="H38473" s="28"/>
    </row>
    <row r="38474" spans="4:8" x14ac:dyDescent="0.25">
      <c r="D38474" s="28"/>
      <c r="F38474" s="28"/>
      <c r="H38474" s="28"/>
    </row>
    <row r="38475" spans="4:8" x14ac:dyDescent="0.25">
      <c r="D38475" s="28"/>
      <c r="F38475" s="28"/>
      <c r="H38475" s="28"/>
    </row>
    <row r="38476" spans="4:8" x14ac:dyDescent="0.25">
      <c r="D38476" s="28"/>
      <c r="F38476" s="28"/>
      <c r="H38476" s="28"/>
    </row>
    <row r="38477" spans="4:8" x14ac:dyDescent="0.25">
      <c r="D38477" s="28"/>
      <c r="F38477" s="28"/>
      <c r="H38477" s="28"/>
    </row>
    <row r="38478" spans="4:8" x14ac:dyDescent="0.25">
      <c r="D38478" s="28"/>
      <c r="F38478" s="28"/>
      <c r="H38478" s="28"/>
    </row>
    <row r="38479" spans="4:8" x14ac:dyDescent="0.25">
      <c r="D38479" s="28"/>
      <c r="F38479" s="28"/>
      <c r="H38479" s="28"/>
    </row>
    <row r="38480" spans="4:8" x14ac:dyDescent="0.25">
      <c r="D38480" s="28"/>
      <c r="F38480" s="28"/>
      <c r="H38480" s="28"/>
    </row>
    <row r="38481" spans="4:8" x14ac:dyDescent="0.25">
      <c r="D38481" s="28"/>
      <c r="F38481" s="28"/>
      <c r="H38481" s="28"/>
    </row>
    <row r="38482" spans="4:8" x14ac:dyDescent="0.25">
      <c r="D38482" s="28"/>
      <c r="F38482" s="28"/>
      <c r="H38482" s="28"/>
    </row>
    <row r="38483" spans="4:8" x14ac:dyDescent="0.25">
      <c r="D38483" s="28"/>
      <c r="F38483" s="28"/>
      <c r="H38483" s="28"/>
    </row>
    <row r="38484" spans="4:8" x14ac:dyDescent="0.25">
      <c r="D38484" s="28"/>
      <c r="F38484" s="28"/>
      <c r="H38484" s="28"/>
    </row>
    <row r="38485" spans="4:8" x14ac:dyDescent="0.25">
      <c r="D38485" s="28"/>
      <c r="F38485" s="28"/>
      <c r="H38485" s="28"/>
    </row>
    <row r="38486" spans="4:8" x14ac:dyDescent="0.25">
      <c r="D38486" s="28"/>
      <c r="F38486" s="28"/>
      <c r="H38486" s="28"/>
    </row>
    <row r="38487" spans="4:8" x14ac:dyDescent="0.25">
      <c r="D38487" s="28"/>
      <c r="F38487" s="28"/>
      <c r="H38487" s="28"/>
    </row>
    <row r="38488" spans="4:8" x14ac:dyDescent="0.25">
      <c r="D38488" s="28"/>
      <c r="F38488" s="28"/>
      <c r="H38488" s="28"/>
    </row>
    <row r="38489" spans="4:8" x14ac:dyDescent="0.25">
      <c r="D38489" s="28"/>
      <c r="F38489" s="28"/>
      <c r="H38489" s="28"/>
    </row>
    <row r="38490" spans="4:8" x14ac:dyDescent="0.25">
      <c r="D38490" s="28"/>
      <c r="F38490" s="28"/>
      <c r="H38490" s="28"/>
    </row>
    <row r="38491" spans="4:8" x14ac:dyDescent="0.25">
      <c r="D38491" s="28"/>
      <c r="F38491" s="28"/>
      <c r="H38491" s="28"/>
    </row>
    <row r="38492" spans="4:8" x14ac:dyDescent="0.25">
      <c r="D38492" s="28"/>
      <c r="F38492" s="28"/>
      <c r="H38492" s="28"/>
    </row>
    <row r="38493" spans="4:8" x14ac:dyDescent="0.25">
      <c r="D38493" s="28"/>
      <c r="F38493" s="28"/>
      <c r="H38493" s="28"/>
    </row>
    <row r="38494" spans="4:8" x14ac:dyDescent="0.25">
      <c r="D38494" s="28"/>
      <c r="F38494" s="28"/>
      <c r="H38494" s="28"/>
    </row>
    <row r="38495" spans="4:8" x14ac:dyDescent="0.25">
      <c r="D38495" s="28"/>
      <c r="F38495" s="28"/>
      <c r="H38495" s="28"/>
    </row>
    <row r="38496" spans="4:8" x14ac:dyDescent="0.25">
      <c r="D38496" s="28"/>
      <c r="F38496" s="28"/>
      <c r="H38496" s="28"/>
    </row>
    <row r="38497" spans="4:8" x14ac:dyDescent="0.25">
      <c r="D38497" s="28"/>
      <c r="F38497" s="28"/>
      <c r="H38497" s="28"/>
    </row>
    <row r="38498" spans="4:8" x14ac:dyDescent="0.25">
      <c r="D38498" s="28"/>
      <c r="F38498" s="28"/>
      <c r="H38498" s="28"/>
    </row>
    <row r="38499" spans="4:8" x14ac:dyDescent="0.25">
      <c r="D38499" s="28"/>
      <c r="F38499" s="28"/>
      <c r="H38499" s="28"/>
    </row>
    <row r="38500" spans="4:8" x14ac:dyDescent="0.25">
      <c r="D38500" s="28"/>
      <c r="F38500" s="28"/>
      <c r="H38500" s="28"/>
    </row>
    <row r="38501" spans="4:8" x14ac:dyDescent="0.25">
      <c r="D38501" s="28"/>
      <c r="F38501" s="28"/>
      <c r="H38501" s="28"/>
    </row>
    <row r="38502" spans="4:8" x14ac:dyDescent="0.25">
      <c r="D38502" s="28"/>
      <c r="F38502" s="28"/>
      <c r="H38502" s="28"/>
    </row>
    <row r="38503" spans="4:8" x14ac:dyDescent="0.25">
      <c r="D38503" s="28"/>
      <c r="F38503" s="28"/>
      <c r="H38503" s="28"/>
    </row>
    <row r="38504" spans="4:8" x14ac:dyDescent="0.25">
      <c r="D38504" s="28"/>
      <c r="F38504" s="28"/>
      <c r="H38504" s="28"/>
    </row>
    <row r="38505" spans="4:8" x14ac:dyDescent="0.25">
      <c r="D38505" s="28"/>
      <c r="F38505" s="28"/>
      <c r="H38505" s="28"/>
    </row>
    <row r="38506" spans="4:8" x14ac:dyDescent="0.25">
      <c r="D38506" s="28"/>
      <c r="F38506" s="28"/>
      <c r="H38506" s="28"/>
    </row>
    <row r="38507" spans="4:8" x14ac:dyDescent="0.25">
      <c r="D38507" s="28"/>
      <c r="F38507" s="28"/>
      <c r="H38507" s="28"/>
    </row>
    <row r="38508" spans="4:8" x14ac:dyDescent="0.25">
      <c r="D38508" s="28"/>
      <c r="F38508" s="28"/>
      <c r="H38508" s="28"/>
    </row>
    <row r="38509" spans="4:8" x14ac:dyDescent="0.25">
      <c r="D38509" s="28"/>
      <c r="F38509" s="28"/>
      <c r="H38509" s="28"/>
    </row>
    <row r="38510" spans="4:8" x14ac:dyDescent="0.25">
      <c r="D38510" s="28"/>
      <c r="F38510" s="28"/>
      <c r="H38510" s="28"/>
    </row>
    <row r="38511" spans="4:8" x14ac:dyDescent="0.25">
      <c r="D38511" s="28"/>
      <c r="F38511" s="28"/>
      <c r="H38511" s="28"/>
    </row>
    <row r="38512" spans="4:8" x14ac:dyDescent="0.25">
      <c r="D38512" s="28"/>
      <c r="F38512" s="28"/>
      <c r="H38512" s="28"/>
    </row>
    <row r="38513" spans="4:8" x14ac:dyDescent="0.25">
      <c r="D38513" s="28"/>
      <c r="F38513" s="28"/>
      <c r="H38513" s="28"/>
    </row>
    <row r="38514" spans="4:8" x14ac:dyDescent="0.25">
      <c r="D38514" s="28"/>
      <c r="F38514" s="28"/>
      <c r="H38514" s="28"/>
    </row>
    <row r="38515" spans="4:8" x14ac:dyDescent="0.25">
      <c r="D38515" s="28"/>
      <c r="F38515" s="28"/>
      <c r="H38515" s="28"/>
    </row>
    <row r="38516" spans="4:8" x14ac:dyDescent="0.25">
      <c r="D38516" s="28"/>
      <c r="F38516" s="28"/>
      <c r="H38516" s="28"/>
    </row>
    <row r="38517" spans="4:8" x14ac:dyDescent="0.25">
      <c r="D38517" s="28"/>
      <c r="F38517" s="28"/>
      <c r="H38517" s="28"/>
    </row>
    <row r="38518" spans="4:8" x14ac:dyDescent="0.25">
      <c r="D38518" s="28"/>
      <c r="F38518" s="28"/>
      <c r="H38518" s="28"/>
    </row>
    <row r="38519" spans="4:8" x14ac:dyDescent="0.25">
      <c r="D38519" s="28"/>
      <c r="F38519" s="28"/>
      <c r="H38519" s="28"/>
    </row>
    <row r="38520" spans="4:8" x14ac:dyDescent="0.25">
      <c r="D38520" s="28"/>
      <c r="F38520" s="28"/>
      <c r="H38520" s="28"/>
    </row>
    <row r="38521" spans="4:8" x14ac:dyDescent="0.25">
      <c r="D38521" s="28"/>
      <c r="F38521" s="28"/>
      <c r="H38521" s="28"/>
    </row>
    <row r="38522" spans="4:8" x14ac:dyDescent="0.25">
      <c r="D38522" s="28"/>
      <c r="F38522" s="28"/>
      <c r="H38522" s="28"/>
    </row>
    <row r="38523" spans="4:8" x14ac:dyDescent="0.25">
      <c r="D38523" s="28"/>
      <c r="F38523" s="28"/>
      <c r="H38523" s="28"/>
    </row>
    <row r="38524" spans="4:8" x14ac:dyDescent="0.25">
      <c r="D38524" s="28"/>
      <c r="F38524" s="28"/>
      <c r="H38524" s="28"/>
    </row>
    <row r="38525" spans="4:8" x14ac:dyDescent="0.25">
      <c r="D38525" s="28"/>
      <c r="F38525" s="28"/>
      <c r="H38525" s="28"/>
    </row>
    <row r="38526" spans="4:8" x14ac:dyDescent="0.25">
      <c r="D38526" s="28"/>
      <c r="F38526" s="28"/>
      <c r="H38526" s="28"/>
    </row>
    <row r="38527" spans="4:8" x14ac:dyDescent="0.25">
      <c r="D38527" s="28"/>
      <c r="F38527" s="28"/>
      <c r="H38527" s="28"/>
    </row>
    <row r="38528" spans="4:8" x14ac:dyDescent="0.25">
      <c r="D38528" s="28"/>
      <c r="F38528" s="28"/>
      <c r="H38528" s="28"/>
    </row>
    <row r="38529" spans="4:8" x14ac:dyDescent="0.25">
      <c r="D38529" s="28"/>
      <c r="F38529" s="28"/>
      <c r="H38529" s="28"/>
    </row>
    <row r="38530" spans="4:8" x14ac:dyDescent="0.25">
      <c r="D38530" s="28"/>
      <c r="F38530" s="28"/>
      <c r="H38530" s="28"/>
    </row>
    <row r="38531" spans="4:8" x14ac:dyDescent="0.25">
      <c r="D38531" s="28"/>
      <c r="F38531" s="28"/>
      <c r="H38531" s="28"/>
    </row>
    <row r="38532" spans="4:8" x14ac:dyDescent="0.25">
      <c r="D38532" s="28"/>
      <c r="F38532" s="28"/>
      <c r="H38532" s="28"/>
    </row>
    <row r="38533" spans="4:8" x14ac:dyDescent="0.25">
      <c r="D38533" s="28"/>
      <c r="F38533" s="28"/>
      <c r="H38533" s="28"/>
    </row>
    <row r="38534" spans="4:8" x14ac:dyDescent="0.25">
      <c r="D38534" s="28"/>
      <c r="F38534" s="28"/>
      <c r="H38534" s="28"/>
    </row>
    <row r="38535" spans="4:8" x14ac:dyDescent="0.25">
      <c r="D38535" s="28"/>
      <c r="F38535" s="28"/>
      <c r="H38535" s="28"/>
    </row>
    <row r="38536" spans="4:8" x14ac:dyDescent="0.25">
      <c r="D38536" s="28"/>
      <c r="F38536" s="28"/>
      <c r="H38536" s="28"/>
    </row>
    <row r="38537" spans="4:8" x14ac:dyDescent="0.25">
      <c r="D38537" s="28"/>
      <c r="F38537" s="28"/>
      <c r="H38537" s="28"/>
    </row>
    <row r="38538" spans="4:8" x14ac:dyDescent="0.25">
      <c r="D38538" s="28"/>
      <c r="F38538" s="28"/>
      <c r="H38538" s="28"/>
    </row>
    <row r="38539" spans="4:8" x14ac:dyDescent="0.25">
      <c r="D38539" s="28"/>
      <c r="F38539" s="28"/>
      <c r="H38539" s="28"/>
    </row>
    <row r="38540" spans="4:8" x14ac:dyDescent="0.25">
      <c r="D38540" s="28"/>
      <c r="F38540" s="28"/>
      <c r="H38540" s="28"/>
    </row>
    <row r="38541" spans="4:8" x14ac:dyDescent="0.25">
      <c r="D38541" s="28"/>
      <c r="F38541" s="28"/>
      <c r="H38541" s="28"/>
    </row>
    <row r="38542" spans="4:8" x14ac:dyDescent="0.25">
      <c r="D38542" s="28"/>
      <c r="F38542" s="28"/>
      <c r="H38542" s="28"/>
    </row>
    <row r="38543" spans="4:8" x14ac:dyDescent="0.25">
      <c r="D38543" s="28"/>
      <c r="F38543" s="28"/>
      <c r="H38543" s="28"/>
    </row>
    <row r="38544" spans="4:8" x14ac:dyDescent="0.25">
      <c r="D38544" s="28"/>
      <c r="F38544" s="28"/>
      <c r="H38544" s="28"/>
    </row>
    <row r="38545" spans="4:8" x14ac:dyDescent="0.25">
      <c r="D38545" s="28"/>
      <c r="F38545" s="28"/>
      <c r="H38545" s="28"/>
    </row>
    <row r="38546" spans="4:8" x14ac:dyDescent="0.25">
      <c r="D38546" s="28"/>
      <c r="F38546" s="28"/>
      <c r="H38546" s="28"/>
    </row>
    <row r="38547" spans="4:8" x14ac:dyDescent="0.25">
      <c r="D38547" s="28"/>
      <c r="F38547" s="28"/>
      <c r="H38547" s="28"/>
    </row>
    <row r="38548" spans="4:8" x14ac:dyDescent="0.25">
      <c r="D38548" s="28"/>
      <c r="F38548" s="28"/>
      <c r="H38548" s="28"/>
    </row>
    <row r="38549" spans="4:8" x14ac:dyDescent="0.25">
      <c r="D38549" s="28"/>
      <c r="F38549" s="28"/>
      <c r="H38549" s="28"/>
    </row>
    <row r="38550" spans="4:8" x14ac:dyDescent="0.25">
      <c r="D38550" s="28"/>
      <c r="F38550" s="28"/>
      <c r="H38550" s="28"/>
    </row>
    <row r="38551" spans="4:8" x14ac:dyDescent="0.25">
      <c r="D38551" s="28"/>
      <c r="F38551" s="28"/>
      <c r="H38551" s="28"/>
    </row>
    <row r="38552" spans="4:8" x14ac:dyDescent="0.25">
      <c r="D38552" s="28"/>
      <c r="F38552" s="28"/>
      <c r="H38552" s="28"/>
    </row>
    <row r="38553" spans="4:8" x14ac:dyDescent="0.25">
      <c r="D38553" s="28"/>
      <c r="F38553" s="28"/>
      <c r="H38553" s="28"/>
    </row>
    <row r="38554" spans="4:8" x14ac:dyDescent="0.25">
      <c r="D38554" s="28"/>
      <c r="F38554" s="28"/>
      <c r="H38554" s="28"/>
    </row>
    <row r="38555" spans="4:8" x14ac:dyDescent="0.25">
      <c r="D38555" s="28"/>
      <c r="F38555" s="28"/>
      <c r="H38555" s="28"/>
    </row>
    <row r="38556" spans="4:8" x14ac:dyDescent="0.25">
      <c r="D38556" s="28"/>
      <c r="F38556" s="28"/>
      <c r="H38556" s="28"/>
    </row>
    <row r="38557" spans="4:8" x14ac:dyDescent="0.25">
      <c r="D38557" s="28"/>
      <c r="F38557" s="28"/>
      <c r="H38557" s="28"/>
    </row>
    <row r="38558" spans="4:8" x14ac:dyDescent="0.25">
      <c r="D38558" s="28"/>
      <c r="F38558" s="28"/>
      <c r="H38558" s="28"/>
    </row>
    <row r="38559" spans="4:8" x14ac:dyDescent="0.25">
      <c r="D38559" s="28"/>
      <c r="F38559" s="28"/>
      <c r="H38559" s="28"/>
    </row>
    <row r="38560" spans="4:8" x14ac:dyDescent="0.25">
      <c r="D38560" s="28"/>
      <c r="F38560" s="28"/>
      <c r="H38560" s="28"/>
    </row>
    <row r="38561" spans="4:8" x14ac:dyDescent="0.25">
      <c r="D38561" s="28"/>
      <c r="F38561" s="28"/>
      <c r="H38561" s="28"/>
    </row>
    <row r="38562" spans="4:8" x14ac:dyDescent="0.25">
      <c r="D38562" s="28"/>
      <c r="F38562" s="28"/>
      <c r="H38562" s="28"/>
    </row>
    <row r="38563" spans="4:8" x14ac:dyDescent="0.25">
      <c r="D38563" s="28"/>
      <c r="F38563" s="28"/>
      <c r="H38563" s="28"/>
    </row>
    <row r="38564" spans="4:8" x14ac:dyDescent="0.25">
      <c r="D38564" s="28"/>
      <c r="F38564" s="28"/>
      <c r="H38564" s="28"/>
    </row>
    <row r="38565" spans="4:8" x14ac:dyDescent="0.25">
      <c r="D38565" s="28"/>
      <c r="F38565" s="28"/>
      <c r="H38565" s="28"/>
    </row>
    <row r="38566" spans="4:8" x14ac:dyDescent="0.25">
      <c r="D38566" s="28"/>
      <c r="F38566" s="28"/>
      <c r="H38566" s="28"/>
    </row>
    <row r="38567" spans="4:8" x14ac:dyDescent="0.25">
      <c r="D38567" s="28"/>
      <c r="F38567" s="28"/>
      <c r="H38567" s="28"/>
    </row>
    <row r="38568" spans="4:8" x14ac:dyDescent="0.25">
      <c r="D38568" s="28"/>
      <c r="F38568" s="28"/>
      <c r="H38568" s="28"/>
    </row>
    <row r="38569" spans="4:8" x14ac:dyDescent="0.25">
      <c r="D38569" s="28"/>
      <c r="F38569" s="28"/>
      <c r="H38569" s="28"/>
    </row>
    <row r="38570" spans="4:8" x14ac:dyDescent="0.25">
      <c r="D38570" s="28"/>
      <c r="F38570" s="28"/>
      <c r="H38570" s="28"/>
    </row>
    <row r="38571" spans="4:8" x14ac:dyDescent="0.25">
      <c r="D38571" s="28"/>
      <c r="F38571" s="28"/>
      <c r="H38571" s="28"/>
    </row>
    <row r="38572" spans="4:8" x14ac:dyDescent="0.25">
      <c r="D38572" s="28"/>
      <c r="F38572" s="28"/>
      <c r="H38572" s="28"/>
    </row>
    <row r="38573" spans="4:8" x14ac:dyDescent="0.25">
      <c r="D38573" s="28"/>
      <c r="F38573" s="28"/>
      <c r="H38573" s="28"/>
    </row>
    <row r="38574" spans="4:8" x14ac:dyDescent="0.25">
      <c r="D38574" s="28"/>
      <c r="F38574" s="28"/>
      <c r="H38574" s="28"/>
    </row>
    <row r="38575" spans="4:8" x14ac:dyDescent="0.25">
      <c r="D38575" s="28"/>
      <c r="F38575" s="28"/>
      <c r="H38575" s="28"/>
    </row>
    <row r="38576" spans="4:8" x14ac:dyDescent="0.25">
      <c r="D38576" s="28"/>
      <c r="F38576" s="28"/>
      <c r="H38576" s="28"/>
    </row>
    <row r="38577" spans="4:8" x14ac:dyDescent="0.25">
      <c r="D38577" s="28"/>
      <c r="F38577" s="28"/>
      <c r="H38577" s="28"/>
    </row>
    <row r="38578" spans="4:8" x14ac:dyDescent="0.25">
      <c r="D38578" s="28"/>
      <c r="F38578" s="28"/>
      <c r="H38578" s="28"/>
    </row>
    <row r="38579" spans="4:8" x14ac:dyDescent="0.25">
      <c r="D38579" s="28"/>
      <c r="F38579" s="28"/>
      <c r="H38579" s="28"/>
    </row>
    <row r="38580" spans="4:8" x14ac:dyDescent="0.25">
      <c r="D38580" s="28"/>
      <c r="F38580" s="28"/>
      <c r="H38580" s="28"/>
    </row>
    <row r="38581" spans="4:8" x14ac:dyDescent="0.25">
      <c r="D38581" s="28"/>
      <c r="F38581" s="28"/>
      <c r="H38581" s="28"/>
    </row>
    <row r="38582" spans="4:8" x14ac:dyDescent="0.25">
      <c r="D38582" s="28"/>
      <c r="F38582" s="28"/>
      <c r="H38582" s="28"/>
    </row>
    <row r="38583" spans="4:8" x14ac:dyDescent="0.25">
      <c r="D38583" s="28"/>
      <c r="F38583" s="28"/>
      <c r="H38583" s="28"/>
    </row>
    <row r="38584" spans="4:8" x14ac:dyDescent="0.25">
      <c r="D38584" s="28"/>
      <c r="F38584" s="28"/>
      <c r="H38584" s="28"/>
    </row>
    <row r="38585" spans="4:8" x14ac:dyDescent="0.25">
      <c r="D38585" s="28"/>
      <c r="F38585" s="28"/>
      <c r="H38585" s="28"/>
    </row>
    <row r="38586" spans="4:8" x14ac:dyDescent="0.25">
      <c r="D38586" s="28"/>
      <c r="F38586" s="28"/>
      <c r="H38586" s="28"/>
    </row>
    <row r="38587" spans="4:8" x14ac:dyDescent="0.25">
      <c r="D38587" s="28"/>
      <c r="F38587" s="28"/>
      <c r="H38587" s="28"/>
    </row>
    <row r="38588" spans="4:8" x14ac:dyDescent="0.25">
      <c r="D38588" s="28"/>
      <c r="F38588" s="28"/>
      <c r="H38588" s="28"/>
    </row>
    <row r="38589" spans="4:8" x14ac:dyDescent="0.25">
      <c r="D38589" s="28"/>
      <c r="F38589" s="28"/>
      <c r="H38589" s="28"/>
    </row>
    <row r="38590" spans="4:8" x14ac:dyDescent="0.25">
      <c r="D38590" s="28"/>
      <c r="F38590" s="28"/>
      <c r="H38590" s="28"/>
    </row>
    <row r="38591" spans="4:8" x14ac:dyDescent="0.25">
      <c r="D38591" s="28"/>
      <c r="F38591" s="28"/>
      <c r="H38591" s="28"/>
    </row>
    <row r="38592" spans="4:8" x14ac:dyDescent="0.25">
      <c r="D38592" s="28"/>
      <c r="F38592" s="28"/>
      <c r="H38592" s="28"/>
    </row>
    <row r="38593" spans="4:8" x14ac:dyDescent="0.25">
      <c r="D38593" s="28"/>
      <c r="F38593" s="28"/>
      <c r="H38593" s="28"/>
    </row>
    <row r="38594" spans="4:8" x14ac:dyDescent="0.25">
      <c r="D38594" s="28"/>
      <c r="F38594" s="28"/>
      <c r="H38594" s="28"/>
    </row>
    <row r="38595" spans="4:8" x14ac:dyDescent="0.25">
      <c r="D38595" s="28"/>
      <c r="F38595" s="28"/>
      <c r="H38595" s="28"/>
    </row>
    <row r="38596" spans="4:8" x14ac:dyDescent="0.25">
      <c r="D38596" s="28"/>
      <c r="F38596" s="28"/>
      <c r="H38596" s="28"/>
    </row>
    <row r="38597" spans="4:8" x14ac:dyDescent="0.25">
      <c r="D38597" s="28"/>
      <c r="F38597" s="28"/>
      <c r="H38597" s="28"/>
    </row>
    <row r="38598" spans="4:8" x14ac:dyDescent="0.25">
      <c r="D38598" s="28"/>
      <c r="F38598" s="28"/>
      <c r="H38598" s="28"/>
    </row>
    <row r="38599" spans="4:8" x14ac:dyDescent="0.25">
      <c r="D38599" s="28"/>
      <c r="F38599" s="28"/>
      <c r="H38599" s="28"/>
    </row>
    <row r="38600" spans="4:8" x14ac:dyDescent="0.25">
      <c r="D38600" s="28"/>
      <c r="F38600" s="28"/>
      <c r="H38600" s="28"/>
    </row>
    <row r="38601" spans="4:8" x14ac:dyDescent="0.25">
      <c r="D38601" s="28"/>
      <c r="F38601" s="28"/>
      <c r="H38601" s="28"/>
    </row>
    <row r="38602" spans="4:8" x14ac:dyDescent="0.25">
      <c r="D38602" s="28"/>
      <c r="F38602" s="28"/>
      <c r="H38602" s="28"/>
    </row>
    <row r="38603" spans="4:8" x14ac:dyDescent="0.25">
      <c r="D38603" s="28"/>
      <c r="F38603" s="28"/>
      <c r="H38603" s="28"/>
    </row>
    <row r="38604" spans="4:8" x14ac:dyDescent="0.25">
      <c r="D38604" s="28"/>
      <c r="F38604" s="28"/>
      <c r="H38604" s="28"/>
    </row>
    <row r="38605" spans="4:8" x14ac:dyDescent="0.25">
      <c r="D38605" s="28"/>
      <c r="F38605" s="28"/>
      <c r="H38605" s="28"/>
    </row>
    <row r="38606" spans="4:8" x14ac:dyDescent="0.25">
      <c r="D38606" s="28"/>
      <c r="F38606" s="28"/>
      <c r="H38606" s="28"/>
    </row>
    <row r="38607" spans="4:8" x14ac:dyDescent="0.25">
      <c r="D38607" s="28"/>
      <c r="F38607" s="28"/>
      <c r="H38607" s="28"/>
    </row>
    <row r="38608" spans="4:8" x14ac:dyDescent="0.25">
      <c r="D38608" s="28"/>
      <c r="F38608" s="28"/>
      <c r="H38608" s="28"/>
    </row>
    <row r="38609" spans="4:8" x14ac:dyDescent="0.25">
      <c r="D38609" s="28"/>
      <c r="F38609" s="28"/>
      <c r="H38609" s="28"/>
    </row>
    <row r="38610" spans="4:8" x14ac:dyDescent="0.25">
      <c r="D38610" s="28"/>
      <c r="F38610" s="28"/>
      <c r="H38610" s="28"/>
    </row>
    <row r="38611" spans="4:8" x14ac:dyDescent="0.25">
      <c r="D38611" s="28"/>
      <c r="F38611" s="28"/>
      <c r="H38611" s="28"/>
    </row>
    <row r="38612" spans="4:8" x14ac:dyDescent="0.25">
      <c r="D38612" s="28"/>
      <c r="F38612" s="28"/>
      <c r="H38612" s="28"/>
    </row>
    <row r="38613" spans="4:8" x14ac:dyDescent="0.25">
      <c r="D38613" s="28"/>
      <c r="F38613" s="28"/>
      <c r="H38613" s="28"/>
    </row>
    <row r="38614" spans="4:8" x14ac:dyDescent="0.25">
      <c r="D38614" s="28"/>
      <c r="F38614" s="28"/>
      <c r="H38614" s="28"/>
    </row>
    <row r="38615" spans="4:8" x14ac:dyDescent="0.25">
      <c r="D38615" s="28"/>
      <c r="F38615" s="28"/>
      <c r="H38615" s="28"/>
    </row>
    <row r="38616" spans="4:8" x14ac:dyDescent="0.25">
      <c r="D38616" s="28"/>
      <c r="F38616" s="28"/>
      <c r="H38616" s="28"/>
    </row>
    <row r="38617" spans="4:8" x14ac:dyDescent="0.25">
      <c r="D38617" s="28"/>
      <c r="F38617" s="28"/>
      <c r="H38617" s="28"/>
    </row>
    <row r="38618" spans="4:8" x14ac:dyDescent="0.25">
      <c r="D38618" s="28"/>
      <c r="F38618" s="28"/>
      <c r="H38618" s="28"/>
    </row>
    <row r="38619" spans="4:8" x14ac:dyDescent="0.25">
      <c r="D38619" s="28"/>
      <c r="F38619" s="28"/>
      <c r="H38619" s="28"/>
    </row>
    <row r="38620" spans="4:8" x14ac:dyDescent="0.25">
      <c r="D38620" s="28"/>
      <c r="F38620" s="28"/>
      <c r="H38620" s="28"/>
    </row>
    <row r="38621" spans="4:8" x14ac:dyDescent="0.25">
      <c r="D38621" s="28"/>
      <c r="F38621" s="28"/>
      <c r="H38621" s="28"/>
    </row>
    <row r="38622" spans="4:8" x14ac:dyDescent="0.25">
      <c r="D38622" s="28"/>
      <c r="F38622" s="28"/>
      <c r="H38622" s="28"/>
    </row>
    <row r="38623" spans="4:8" x14ac:dyDescent="0.25">
      <c r="D38623" s="28"/>
      <c r="F38623" s="28"/>
      <c r="H38623" s="28"/>
    </row>
    <row r="38624" spans="4:8" x14ac:dyDescent="0.25">
      <c r="D38624" s="28"/>
      <c r="F38624" s="28"/>
      <c r="H38624" s="28"/>
    </row>
    <row r="38625" spans="4:8" x14ac:dyDescent="0.25">
      <c r="D38625" s="28"/>
      <c r="F38625" s="28"/>
      <c r="H38625" s="28"/>
    </row>
    <row r="38626" spans="4:8" x14ac:dyDescent="0.25">
      <c r="D38626" s="28"/>
      <c r="F38626" s="28"/>
      <c r="H38626" s="28"/>
    </row>
    <row r="38627" spans="4:8" x14ac:dyDescent="0.25">
      <c r="D38627" s="28"/>
      <c r="F38627" s="28"/>
      <c r="H38627" s="28"/>
    </row>
    <row r="38628" spans="4:8" x14ac:dyDescent="0.25">
      <c r="D38628" s="28"/>
      <c r="F38628" s="28"/>
      <c r="H38628" s="28"/>
    </row>
    <row r="38629" spans="4:8" x14ac:dyDescent="0.25">
      <c r="D38629" s="28"/>
      <c r="F38629" s="28"/>
      <c r="H38629" s="28"/>
    </row>
    <row r="38630" spans="4:8" x14ac:dyDescent="0.25">
      <c r="D38630" s="28"/>
      <c r="F38630" s="28"/>
      <c r="H38630" s="28"/>
    </row>
    <row r="38631" spans="4:8" x14ac:dyDescent="0.25">
      <c r="D38631" s="28"/>
      <c r="F38631" s="28"/>
      <c r="H38631" s="28"/>
    </row>
    <row r="38632" spans="4:8" x14ac:dyDescent="0.25">
      <c r="D38632" s="28"/>
      <c r="F38632" s="28"/>
      <c r="H38632" s="28"/>
    </row>
    <row r="38633" spans="4:8" x14ac:dyDescent="0.25">
      <c r="D38633" s="28"/>
      <c r="F38633" s="28"/>
      <c r="H38633" s="28"/>
    </row>
    <row r="38634" spans="4:8" x14ac:dyDescent="0.25">
      <c r="D38634" s="28"/>
      <c r="F38634" s="28"/>
      <c r="H38634" s="28"/>
    </row>
    <row r="38635" spans="4:8" x14ac:dyDescent="0.25">
      <c r="D38635" s="28"/>
      <c r="F38635" s="28"/>
      <c r="H38635" s="28"/>
    </row>
    <row r="38636" spans="4:8" x14ac:dyDescent="0.25">
      <c r="D38636" s="28"/>
      <c r="F38636" s="28"/>
      <c r="H38636" s="28"/>
    </row>
    <row r="38637" spans="4:8" x14ac:dyDescent="0.25">
      <c r="D38637" s="28"/>
      <c r="F38637" s="28"/>
      <c r="H38637" s="28"/>
    </row>
    <row r="38638" spans="4:8" x14ac:dyDescent="0.25">
      <c r="D38638" s="28"/>
      <c r="F38638" s="28"/>
      <c r="H38638" s="28"/>
    </row>
    <row r="38639" spans="4:8" x14ac:dyDescent="0.25">
      <c r="D38639" s="28"/>
      <c r="F38639" s="28"/>
      <c r="H38639" s="28"/>
    </row>
    <row r="38640" spans="4:8" x14ac:dyDescent="0.25">
      <c r="D38640" s="28"/>
      <c r="F38640" s="28"/>
      <c r="H38640" s="28"/>
    </row>
    <row r="38641" spans="4:8" x14ac:dyDescent="0.25">
      <c r="D38641" s="28"/>
      <c r="F38641" s="28"/>
      <c r="H38641" s="28"/>
    </row>
    <row r="38642" spans="4:8" x14ac:dyDescent="0.25">
      <c r="D38642" s="28"/>
      <c r="F38642" s="28"/>
      <c r="H38642" s="28"/>
    </row>
    <row r="38643" spans="4:8" x14ac:dyDescent="0.25">
      <c r="D38643" s="28"/>
      <c r="F38643" s="28"/>
      <c r="H38643" s="28"/>
    </row>
    <row r="38644" spans="4:8" x14ac:dyDescent="0.25">
      <c r="D38644" s="28"/>
      <c r="F38644" s="28"/>
      <c r="H38644" s="28"/>
    </row>
    <row r="38645" spans="4:8" x14ac:dyDescent="0.25">
      <c r="D38645" s="28"/>
      <c r="F38645" s="28"/>
      <c r="H38645" s="28"/>
    </row>
    <row r="38646" spans="4:8" x14ac:dyDescent="0.25">
      <c r="D38646" s="28"/>
      <c r="F38646" s="28"/>
      <c r="H38646" s="28"/>
    </row>
    <row r="38647" spans="4:8" x14ac:dyDescent="0.25">
      <c r="D38647" s="28"/>
      <c r="F38647" s="28"/>
      <c r="H38647" s="28"/>
    </row>
    <row r="38648" spans="4:8" x14ac:dyDescent="0.25">
      <c r="D38648" s="28"/>
      <c r="F38648" s="28"/>
      <c r="H38648" s="28"/>
    </row>
    <row r="38649" spans="4:8" x14ac:dyDescent="0.25">
      <c r="D38649" s="28"/>
      <c r="F38649" s="28"/>
      <c r="H38649" s="28"/>
    </row>
    <row r="38650" spans="4:8" x14ac:dyDescent="0.25">
      <c r="D38650" s="28"/>
      <c r="F38650" s="28"/>
      <c r="H38650" s="28"/>
    </row>
    <row r="38651" spans="4:8" x14ac:dyDescent="0.25">
      <c r="D38651" s="28"/>
      <c r="F38651" s="28"/>
      <c r="H38651" s="28"/>
    </row>
    <row r="38652" spans="4:8" x14ac:dyDescent="0.25">
      <c r="D38652" s="28"/>
      <c r="F38652" s="28"/>
      <c r="H38652" s="28"/>
    </row>
    <row r="38653" spans="4:8" x14ac:dyDescent="0.25">
      <c r="D38653" s="28"/>
      <c r="F38653" s="28"/>
      <c r="H38653" s="28"/>
    </row>
    <row r="38654" spans="4:8" x14ac:dyDescent="0.25">
      <c r="D38654" s="28"/>
      <c r="F38654" s="28"/>
      <c r="H38654" s="28"/>
    </row>
    <row r="38655" spans="4:8" x14ac:dyDescent="0.25">
      <c r="D38655" s="28"/>
      <c r="F38655" s="28"/>
      <c r="H38655" s="28"/>
    </row>
    <row r="38656" spans="4:8" x14ac:dyDescent="0.25">
      <c r="D38656" s="28"/>
      <c r="F38656" s="28"/>
      <c r="H38656" s="28"/>
    </row>
    <row r="38657" spans="4:8" x14ac:dyDescent="0.25">
      <c r="D38657" s="28"/>
      <c r="F38657" s="28"/>
      <c r="H38657" s="28"/>
    </row>
    <row r="38658" spans="4:8" x14ac:dyDescent="0.25">
      <c r="D38658" s="28"/>
      <c r="F38658" s="28"/>
      <c r="H38658" s="28"/>
    </row>
    <row r="38659" spans="4:8" x14ac:dyDescent="0.25">
      <c r="D38659" s="28"/>
      <c r="F38659" s="28"/>
      <c r="H38659" s="28"/>
    </row>
    <row r="38660" spans="4:8" x14ac:dyDescent="0.25">
      <c r="D38660" s="28"/>
      <c r="F38660" s="28"/>
      <c r="H38660" s="28"/>
    </row>
    <row r="38661" spans="4:8" x14ac:dyDescent="0.25">
      <c r="D38661" s="28"/>
      <c r="F38661" s="28"/>
      <c r="H38661" s="28"/>
    </row>
    <row r="38662" spans="4:8" x14ac:dyDescent="0.25">
      <c r="D38662" s="28"/>
      <c r="F38662" s="28"/>
      <c r="H38662" s="28"/>
    </row>
    <row r="38663" spans="4:8" x14ac:dyDescent="0.25">
      <c r="D38663" s="28"/>
      <c r="F38663" s="28"/>
      <c r="H38663" s="28"/>
    </row>
    <row r="38664" spans="4:8" x14ac:dyDescent="0.25">
      <c r="D38664" s="28"/>
      <c r="F38664" s="28"/>
      <c r="H38664" s="28"/>
    </row>
    <row r="38665" spans="4:8" x14ac:dyDescent="0.25">
      <c r="D38665" s="28"/>
      <c r="F38665" s="28"/>
      <c r="H38665" s="28"/>
    </row>
    <row r="38666" spans="4:8" x14ac:dyDescent="0.25">
      <c r="D38666" s="28"/>
      <c r="F38666" s="28"/>
      <c r="H38666" s="28"/>
    </row>
    <row r="38667" spans="4:8" x14ac:dyDescent="0.25">
      <c r="D38667" s="28"/>
      <c r="F38667" s="28"/>
      <c r="H38667" s="28"/>
    </row>
    <row r="38668" spans="4:8" x14ac:dyDescent="0.25">
      <c r="D38668" s="28"/>
      <c r="F38668" s="28"/>
      <c r="H38668" s="28"/>
    </row>
    <row r="38669" spans="4:8" x14ac:dyDescent="0.25">
      <c r="D38669" s="28"/>
      <c r="F38669" s="28"/>
      <c r="H38669" s="28"/>
    </row>
    <row r="38670" spans="4:8" x14ac:dyDescent="0.25">
      <c r="D38670" s="28"/>
      <c r="F38670" s="28"/>
      <c r="H38670" s="28"/>
    </row>
    <row r="38671" spans="4:8" x14ac:dyDescent="0.25">
      <c r="D38671" s="28"/>
      <c r="F38671" s="28"/>
      <c r="H38671" s="28"/>
    </row>
    <row r="38672" spans="4:8" x14ac:dyDescent="0.25">
      <c r="D38672" s="28"/>
      <c r="F38672" s="28"/>
      <c r="H38672" s="28"/>
    </row>
    <row r="38673" spans="4:8" x14ac:dyDescent="0.25">
      <c r="D38673" s="28"/>
      <c r="F38673" s="28"/>
      <c r="H38673" s="28"/>
    </row>
    <row r="38674" spans="4:8" x14ac:dyDescent="0.25">
      <c r="D38674" s="28"/>
      <c r="F38674" s="28"/>
      <c r="H38674" s="28"/>
    </row>
    <row r="38675" spans="4:8" x14ac:dyDescent="0.25">
      <c r="D38675" s="28"/>
      <c r="F38675" s="28"/>
      <c r="H38675" s="28"/>
    </row>
    <row r="38676" spans="4:8" x14ac:dyDescent="0.25">
      <c r="D38676" s="28"/>
      <c r="F38676" s="28"/>
      <c r="H38676" s="28"/>
    </row>
    <row r="38677" spans="4:8" x14ac:dyDescent="0.25">
      <c r="D38677" s="28"/>
      <c r="F38677" s="28"/>
      <c r="H38677" s="28"/>
    </row>
    <row r="38678" spans="4:8" x14ac:dyDescent="0.25">
      <c r="D38678" s="28"/>
      <c r="F38678" s="28"/>
      <c r="H38678" s="28"/>
    </row>
    <row r="38679" spans="4:8" x14ac:dyDescent="0.25">
      <c r="D38679" s="28"/>
      <c r="F38679" s="28"/>
      <c r="H38679" s="28"/>
    </row>
    <row r="38680" spans="4:8" x14ac:dyDescent="0.25">
      <c r="D38680" s="28"/>
      <c r="F38680" s="28"/>
      <c r="H38680" s="28"/>
    </row>
    <row r="38681" spans="4:8" x14ac:dyDescent="0.25">
      <c r="D38681" s="28"/>
      <c r="F38681" s="28"/>
      <c r="H38681" s="28"/>
    </row>
    <row r="38682" spans="4:8" x14ac:dyDescent="0.25">
      <c r="D38682" s="28"/>
      <c r="F38682" s="28"/>
      <c r="H38682" s="28"/>
    </row>
    <row r="38683" spans="4:8" x14ac:dyDescent="0.25">
      <c r="D38683" s="28"/>
      <c r="F38683" s="28"/>
      <c r="H38683" s="28"/>
    </row>
    <row r="38684" spans="4:8" x14ac:dyDescent="0.25">
      <c r="D38684" s="28"/>
      <c r="F38684" s="28"/>
      <c r="H38684" s="28"/>
    </row>
    <row r="38685" spans="4:8" x14ac:dyDescent="0.25">
      <c r="D38685" s="28"/>
      <c r="F38685" s="28"/>
      <c r="H38685" s="28"/>
    </row>
    <row r="38686" spans="4:8" x14ac:dyDescent="0.25">
      <c r="D38686" s="28"/>
      <c r="F38686" s="28"/>
      <c r="H38686" s="28"/>
    </row>
    <row r="38687" spans="4:8" x14ac:dyDescent="0.25">
      <c r="D38687" s="28"/>
      <c r="F38687" s="28"/>
      <c r="H38687" s="28"/>
    </row>
    <row r="38688" spans="4:8" x14ac:dyDescent="0.25">
      <c r="D38688" s="28"/>
      <c r="F38688" s="28"/>
      <c r="H38688" s="28"/>
    </row>
    <row r="38689" spans="4:8" x14ac:dyDescent="0.25">
      <c r="D38689" s="28"/>
      <c r="F38689" s="28"/>
      <c r="H38689" s="28"/>
    </row>
    <row r="38690" spans="4:8" x14ac:dyDescent="0.25">
      <c r="D38690" s="28"/>
      <c r="F38690" s="28"/>
      <c r="H38690" s="28"/>
    </row>
    <row r="38691" spans="4:8" x14ac:dyDescent="0.25">
      <c r="D38691" s="28"/>
      <c r="F38691" s="28"/>
      <c r="H38691" s="28"/>
    </row>
    <row r="38692" spans="4:8" x14ac:dyDescent="0.25">
      <c r="D38692" s="28"/>
      <c r="F38692" s="28"/>
      <c r="H38692" s="28"/>
    </row>
    <row r="38693" spans="4:8" x14ac:dyDescent="0.25">
      <c r="D38693" s="28"/>
      <c r="F38693" s="28"/>
      <c r="H38693" s="28"/>
    </row>
    <row r="38694" spans="4:8" x14ac:dyDescent="0.25">
      <c r="D38694" s="28"/>
      <c r="F38694" s="28"/>
      <c r="H38694" s="28"/>
    </row>
    <row r="38695" spans="4:8" x14ac:dyDescent="0.25">
      <c r="D38695" s="28"/>
      <c r="F38695" s="28"/>
      <c r="H38695" s="28"/>
    </row>
    <row r="38696" spans="4:8" x14ac:dyDescent="0.25">
      <c r="D38696" s="28"/>
      <c r="F38696" s="28"/>
      <c r="H38696" s="28"/>
    </row>
    <row r="38697" spans="4:8" x14ac:dyDescent="0.25">
      <c r="D38697" s="28"/>
      <c r="F38697" s="28"/>
      <c r="H38697" s="28"/>
    </row>
    <row r="38698" spans="4:8" x14ac:dyDescent="0.25">
      <c r="D38698" s="28"/>
      <c r="F38698" s="28"/>
      <c r="H38698" s="28"/>
    </row>
    <row r="38699" spans="4:8" x14ac:dyDescent="0.25">
      <c r="D38699" s="28"/>
      <c r="F38699" s="28"/>
      <c r="H38699" s="28"/>
    </row>
    <row r="38700" spans="4:8" x14ac:dyDescent="0.25">
      <c r="D38700" s="28"/>
      <c r="F38700" s="28"/>
      <c r="H38700" s="28"/>
    </row>
    <row r="38701" spans="4:8" x14ac:dyDescent="0.25">
      <c r="D38701" s="28"/>
      <c r="F38701" s="28"/>
      <c r="H38701" s="28"/>
    </row>
    <row r="38702" spans="4:8" x14ac:dyDescent="0.25">
      <c r="D38702" s="28"/>
      <c r="F38702" s="28"/>
      <c r="H38702" s="28"/>
    </row>
    <row r="38703" spans="4:8" x14ac:dyDescent="0.25">
      <c r="D38703" s="28"/>
      <c r="F38703" s="28"/>
      <c r="H38703" s="28"/>
    </row>
    <row r="38704" spans="4:8" x14ac:dyDescent="0.25">
      <c r="D38704" s="28"/>
      <c r="F38704" s="28"/>
      <c r="H38704" s="28"/>
    </row>
    <row r="38705" spans="4:8" x14ac:dyDescent="0.25">
      <c r="D38705" s="28"/>
      <c r="F38705" s="28"/>
      <c r="H38705" s="28"/>
    </row>
    <row r="38706" spans="4:8" x14ac:dyDescent="0.25">
      <c r="D38706" s="28"/>
      <c r="F38706" s="28"/>
      <c r="H38706" s="28"/>
    </row>
    <row r="38707" spans="4:8" x14ac:dyDescent="0.25">
      <c r="D38707" s="28"/>
      <c r="F38707" s="28"/>
      <c r="H38707" s="28"/>
    </row>
    <row r="38708" spans="4:8" x14ac:dyDescent="0.25">
      <c r="D38708" s="28"/>
      <c r="F38708" s="28"/>
      <c r="H38708" s="28"/>
    </row>
    <row r="38709" spans="4:8" x14ac:dyDescent="0.25">
      <c r="D38709" s="28"/>
      <c r="F38709" s="28"/>
      <c r="H38709" s="28"/>
    </row>
    <row r="38710" spans="4:8" x14ac:dyDescent="0.25">
      <c r="D38710" s="28"/>
      <c r="F38710" s="28"/>
      <c r="H38710" s="28"/>
    </row>
    <row r="38711" spans="4:8" x14ac:dyDescent="0.25">
      <c r="D38711" s="28"/>
      <c r="F38711" s="28"/>
      <c r="H38711" s="28"/>
    </row>
    <row r="38712" spans="4:8" x14ac:dyDescent="0.25">
      <c r="D38712" s="28"/>
      <c r="F38712" s="28"/>
      <c r="H38712" s="28"/>
    </row>
    <row r="38713" spans="4:8" x14ac:dyDescent="0.25">
      <c r="D38713" s="28"/>
      <c r="F38713" s="28"/>
      <c r="H38713" s="28"/>
    </row>
    <row r="38714" spans="4:8" x14ac:dyDescent="0.25">
      <c r="D38714" s="28"/>
      <c r="F38714" s="28"/>
      <c r="H38714" s="28"/>
    </row>
    <row r="38715" spans="4:8" x14ac:dyDescent="0.25">
      <c r="D38715" s="28"/>
      <c r="F38715" s="28"/>
      <c r="H38715" s="28"/>
    </row>
    <row r="38716" spans="4:8" x14ac:dyDescent="0.25">
      <c r="D38716" s="28"/>
      <c r="F38716" s="28"/>
      <c r="H38716" s="28"/>
    </row>
    <row r="38717" spans="4:8" x14ac:dyDescent="0.25">
      <c r="D38717" s="28"/>
      <c r="F38717" s="28"/>
      <c r="H38717" s="28"/>
    </row>
    <row r="38718" spans="4:8" x14ac:dyDescent="0.25">
      <c r="D38718" s="28"/>
      <c r="F38718" s="28"/>
      <c r="H38718" s="28"/>
    </row>
    <row r="38719" spans="4:8" x14ac:dyDescent="0.25">
      <c r="D38719" s="28"/>
      <c r="F38719" s="28"/>
      <c r="H38719" s="28"/>
    </row>
    <row r="38720" spans="4:8" x14ac:dyDescent="0.25">
      <c r="D38720" s="28"/>
      <c r="F38720" s="28"/>
      <c r="H38720" s="28"/>
    </row>
    <row r="38721" spans="4:8" x14ac:dyDescent="0.25">
      <c r="D38721" s="28"/>
      <c r="F38721" s="28"/>
      <c r="H38721" s="28"/>
    </row>
    <row r="38722" spans="4:8" x14ac:dyDescent="0.25">
      <c r="D38722" s="28"/>
      <c r="F38722" s="28"/>
      <c r="H38722" s="28"/>
    </row>
    <row r="38723" spans="4:8" x14ac:dyDescent="0.25">
      <c r="D38723" s="28"/>
      <c r="F38723" s="28"/>
      <c r="H38723" s="28"/>
    </row>
    <row r="38724" spans="4:8" x14ac:dyDescent="0.25">
      <c r="D38724" s="28"/>
      <c r="F38724" s="28"/>
      <c r="H38724" s="28"/>
    </row>
    <row r="38725" spans="4:8" x14ac:dyDescent="0.25">
      <c r="D38725" s="28"/>
      <c r="F38725" s="28"/>
      <c r="H38725" s="28"/>
    </row>
    <row r="38726" spans="4:8" x14ac:dyDescent="0.25">
      <c r="D38726" s="28"/>
      <c r="F38726" s="28"/>
      <c r="H38726" s="28"/>
    </row>
    <row r="38727" spans="4:8" x14ac:dyDescent="0.25">
      <c r="D38727" s="28"/>
      <c r="F38727" s="28"/>
      <c r="H38727" s="28"/>
    </row>
    <row r="38728" spans="4:8" x14ac:dyDescent="0.25">
      <c r="D38728" s="28"/>
      <c r="F38728" s="28"/>
      <c r="H38728" s="28"/>
    </row>
    <row r="38729" spans="4:8" x14ac:dyDescent="0.25">
      <c r="D38729" s="28"/>
      <c r="F38729" s="28"/>
      <c r="H38729" s="28"/>
    </row>
    <row r="38730" spans="4:8" x14ac:dyDescent="0.25">
      <c r="D38730" s="28"/>
      <c r="F38730" s="28"/>
      <c r="H38730" s="28"/>
    </row>
    <row r="38731" spans="4:8" x14ac:dyDescent="0.25">
      <c r="D38731" s="28"/>
      <c r="F38731" s="28"/>
      <c r="H38731" s="28"/>
    </row>
    <row r="38732" spans="4:8" x14ac:dyDescent="0.25">
      <c r="D38732" s="28"/>
      <c r="F38732" s="28"/>
      <c r="H38732" s="28"/>
    </row>
    <row r="38733" spans="4:8" x14ac:dyDescent="0.25">
      <c r="D38733" s="28"/>
      <c r="F38733" s="28"/>
      <c r="H38733" s="28"/>
    </row>
    <row r="38734" spans="4:8" x14ac:dyDescent="0.25">
      <c r="D38734" s="28"/>
      <c r="F38734" s="28"/>
      <c r="H38734" s="28"/>
    </row>
    <row r="38735" spans="4:8" x14ac:dyDescent="0.25">
      <c r="D38735" s="28"/>
      <c r="F38735" s="28"/>
      <c r="H38735" s="28"/>
    </row>
    <row r="38736" spans="4:8" x14ac:dyDescent="0.25">
      <c r="D38736" s="28"/>
      <c r="F38736" s="28"/>
      <c r="H38736" s="28"/>
    </row>
    <row r="38737" spans="4:8" x14ac:dyDescent="0.25">
      <c r="D38737" s="28"/>
      <c r="F38737" s="28"/>
      <c r="H38737" s="28"/>
    </row>
    <row r="38738" spans="4:8" x14ac:dyDescent="0.25">
      <c r="D38738" s="28"/>
      <c r="F38738" s="28"/>
      <c r="H38738" s="28"/>
    </row>
    <row r="38739" spans="4:8" x14ac:dyDescent="0.25">
      <c r="D38739" s="28"/>
      <c r="F38739" s="28"/>
      <c r="H38739" s="28"/>
    </row>
    <row r="38740" spans="4:8" x14ac:dyDescent="0.25">
      <c r="D38740" s="28"/>
      <c r="F38740" s="28"/>
      <c r="H38740" s="28"/>
    </row>
    <row r="38741" spans="4:8" x14ac:dyDescent="0.25">
      <c r="D38741" s="28"/>
      <c r="F38741" s="28"/>
      <c r="H38741" s="28"/>
    </row>
    <row r="38742" spans="4:8" x14ac:dyDescent="0.25">
      <c r="D38742" s="28"/>
      <c r="F38742" s="28"/>
      <c r="H38742" s="28"/>
    </row>
    <row r="38743" spans="4:8" x14ac:dyDescent="0.25">
      <c r="D38743" s="28"/>
      <c r="F38743" s="28"/>
      <c r="H38743" s="28"/>
    </row>
    <row r="38744" spans="4:8" x14ac:dyDescent="0.25">
      <c r="D38744" s="28"/>
      <c r="F38744" s="28"/>
      <c r="H38744" s="28"/>
    </row>
    <row r="38745" spans="4:8" x14ac:dyDescent="0.25">
      <c r="D38745" s="28"/>
      <c r="F38745" s="28"/>
      <c r="H38745" s="28"/>
    </row>
    <row r="38746" spans="4:8" x14ac:dyDescent="0.25">
      <c r="D38746" s="28"/>
      <c r="F38746" s="28"/>
      <c r="H38746" s="28"/>
    </row>
    <row r="38747" spans="4:8" x14ac:dyDescent="0.25">
      <c r="D38747" s="28"/>
      <c r="F38747" s="28"/>
      <c r="H38747" s="28"/>
    </row>
    <row r="38748" spans="4:8" x14ac:dyDescent="0.25">
      <c r="D38748" s="28"/>
      <c r="F38748" s="28"/>
      <c r="H38748" s="28"/>
    </row>
    <row r="38749" spans="4:8" x14ac:dyDescent="0.25">
      <c r="D38749" s="28"/>
      <c r="F38749" s="28"/>
      <c r="H38749" s="28"/>
    </row>
    <row r="38750" spans="4:8" x14ac:dyDescent="0.25">
      <c r="D38750" s="28"/>
      <c r="F38750" s="28"/>
      <c r="H38750" s="28"/>
    </row>
    <row r="38751" spans="4:8" x14ac:dyDescent="0.25">
      <c r="D38751" s="28"/>
      <c r="F38751" s="28"/>
      <c r="H38751" s="28"/>
    </row>
    <row r="38752" spans="4:8" x14ac:dyDescent="0.25">
      <c r="D38752" s="28"/>
      <c r="F38752" s="28"/>
      <c r="H38752" s="28"/>
    </row>
    <row r="38753" spans="4:8" x14ac:dyDescent="0.25">
      <c r="D38753" s="28"/>
      <c r="F38753" s="28"/>
      <c r="H38753" s="28"/>
    </row>
    <row r="38754" spans="4:8" x14ac:dyDescent="0.25">
      <c r="D38754" s="28"/>
      <c r="F38754" s="28"/>
      <c r="H38754" s="28"/>
    </row>
    <row r="38755" spans="4:8" x14ac:dyDescent="0.25">
      <c r="D38755" s="28"/>
      <c r="F38755" s="28"/>
      <c r="H38755" s="28"/>
    </row>
    <row r="38756" spans="4:8" x14ac:dyDescent="0.25">
      <c r="D38756" s="28"/>
      <c r="F38756" s="28"/>
      <c r="H38756" s="28"/>
    </row>
    <row r="38757" spans="4:8" x14ac:dyDescent="0.25">
      <c r="D38757" s="28"/>
      <c r="F38757" s="28"/>
      <c r="H38757" s="28"/>
    </row>
    <row r="38758" spans="4:8" x14ac:dyDescent="0.25">
      <c r="D38758" s="28"/>
      <c r="F38758" s="28"/>
      <c r="H38758" s="28"/>
    </row>
    <row r="38759" spans="4:8" x14ac:dyDescent="0.25">
      <c r="D38759" s="28"/>
      <c r="F38759" s="28"/>
      <c r="H38759" s="28"/>
    </row>
    <row r="38760" spans="4:8" x14ac:dyDescent="0.25">
      <c r="D38760" s="28"/>
      <c r="F38760" s="28"/>
      <c r="H38760" s="28"/>
    </row>
    <row r="38761" spans="4:8" x14ac:dyDescent="0.25">
      <c r="D38761" s="28"/>
      <c r="F38761" s="28"/>
      <c r="H38761" s="28"/>
    </row>
    <row r="38762" spans="4:8" x14ac:dyDescent="0.25">
      <c r="D38762" s="28"/>
      <c r="F38762" s="28"/>
      <c r="H38762" s="28"/>
    </row>
    <row r="38763" spans="4:8" x14ac:dyDescent="0.25">
      <c r="D38763" s="28"/>
      <c r="F38763" s="28"/>
      <c r="H38763" s="28"/>
    </row>
    <row r="38764" spans="4:8" x14ac:dyDescent="0.25">
      <c r="D38764" s="28"/>
      <c r="F38764" s="28"/>
      <c r="H38764" s="28"/>
    </row>
    <row r="38765" spans="4:8" x14ac:dyDescent="0.25">
      <c r="D38765" s="28"/>
      <c r="F38765" s="28"/>
      <c r="H38765" s="28"/>
    </row>
    <row r="38766" spans="4:8" x14ac:dyDescent="0.25">
      <c r="D38766" s="28"/>
      <c r="F38766" s="28"/>
      <c r="H38766" s="28"/>
    </row>
    <row r="38767" spans="4:8" x14ac:dyDescent="0.25">
      <c r="D38767" s="28"/>
      <c r="F38767" s="28"/>
      <c r="H38767" s="28"/>
    </row>
    <row r="38768" spans="4:8" x14ac:dyDescent="0.25">
      <c r="D38768" s="28"/>
      <c r="F38768" s="28"/>
      <c r="H38768" s="28"/>
    </row>
    <row r="38769" spans="4:8" x14ac:dyDescent="0.25">
      <c r="D38769" s="28"/>
      <c r="F38769" s="28"/>
      <c r="H38769" s="28"/>
    </row>
    <row r="38770" spans="4:8" x14ac:dyDescent="0.25">
      <c r="D38770" s="28"/>
      <c r="F38770" s="28"/>
      <c r="H38770" s="28"/>
    </row>
    <row r="38771" spans="4:8" x14ac:dyDescent="0.25">
      <c r="D38771" s="28"/>
      <c r="F38771" s="28"/>
      <c r="H38771" s="28"/>
    </row>
    <row r="38772" spans="4:8" x14ac:dyDescent="0.25">
      <c r="D38772" s="28"/>
      <c r="F38772" s="28"/>
      <c r="H38772" s="28"/>
    </row>
    <row r="38773" spans="4:8" x14ac:dyDescent="0.25">
      <c r="D38773" s="28"/>
      <c r="F38773" s="28"/>
      <c r="H38773" s="28"/>
    </row>
    <row r="38774" spans="4:8" x14ac:dyDescent="0.25">
      <c r="D38774" s="28"/>
      <c r="F38774" s="28"/>
      <c r="H38774" s="28"/>
    </row>
    <row r="38775" spans="4:8" x14ac:dyDescent="0.25">
      <c r="D38775" s="28"/>
      <c r="F38775" s="28"/>
      <c r="H38775" s="28"/>
    </row>
    <row r="38776" spans="4:8" x14ac:dyDescent="0.25">
      <c r="D38776" s="28"/>
      <c r="F38776" s="28"/>
      <c r="H38776" s="28"/>
    </row>
    <row r="38777" spans="4:8" x14ac:dyDescent="0.25">
      <c r="D38777" s="28"/>
      <c r="F38777" s="28"/>
      <c r="H38777" s="28"/>
    </row>
    <row r="38778" spans="4:8" x14ac:dyDescent="0.25">
      <c r="D38778" s="28"/>
      <c r="F38778" s="28"/>
      <c r="H38778" s="28"/>
    </row>
    <row r="38779" spans="4:8" x14ac:dyDescent="0.25">
      <c r="D38779" s="28"/>
      <c r="F38779" s="28"/>
      <c r="H38779" s="28"/>
    </row>
    <row r="38780" spans="4:8" x14ac:dyDescent="0.25">
      <c r="D38780" s="28"/>
      <c r="F38780" s="28"/>
      <c r="H38780" s="28"/>
    </row>
    <row r="38781" spans="4:8" x14ac:dyDescent="0.25">
      <c r="D38781" s="28"/>
      <c r="F38781" s="28"/>
      <c r="H38781" s="28"/>
    </row>
    <row r="38782" spans="4:8" x14ac:dyDescent="0.25">
      <c r="D38782" s="28"/>
      <c r="F38782" s="28"/>
      <c r="H38782" s="28"/>
    </row>
    <row r="38783" spans="4:8" x14ac:dyDescent="0.25">
      <c r="D38783" s="28"/>
      <c r="F38783" s="28"/>
      <c r="H38783" s="28"/>
    </row>
    <row r="38784" spans="4:8" x14ac:dyDescent="0.25">
      <c r="D38784" s="28"/>
      <c r="F38784" s="28"/>
      <c r="H38784" s="28"/>
    </row>
    <row r="38785" spans="4:8" x14ac:dyDescent="0.25">
      <c r="D38785" s="28"/>
      <c r="F38785" s="28"/>
      <c r="H38785" s="28"/>
    </row>
    <row r="38786" spans="4:8" x14ac:dyDescent="0.25">
      <c r="D38786" s="28"/>
      <c r="F38786" s="28"/>
      <c r="H38786" s="28"/>
    </row>
    <row r="38787" spans="4:8" x14ac:dyDescent="0.25">
      <c r="D38787" s="28"/>
      <c r="F38787" s="28"/>
      <c r="H38787" s="28"/>
    </row>
    <row r="38788" spans="4:8" x14ac:dyDescent="0.25">
      <c r="D38788" s="28"/>
      <c r="F38788" s="28"/>
      <c r="H38788" s="28"/>
    </row>
    <row r="38789" spans="4:8" x14ac:dyDescent="0.25">
      <c r="D38789" s="28"/>
      <c r="F38789" s="28"/>
      <c r="H38789" s="28"/>
    </row>
    <row r="38790" spans="4:8" x14ac:dyDescent="0.25">
      <c r="D38790" s="28"/>
      <c r="F38790" s="28"/>
      <c r="H38790" s="28"/>
    </row>
    <row r="38791" spans="4:8" x14ac:dyDescent="0.25">
      <c r="D38791" s="28"/>
      <c r="F38791" s="28"/>
      <c r="H38791" s="28"/>
    </row>
    <row r="38792" spans="4:8" x14ac:dyDescent="0.25">
      <c r="D38792" s="28"/>
      <c r="F38792" s="28"/>
      <c r="H38792" s="28"/>
    </row>
    <row r="38793" spans="4:8" x14ac:dyDescent="0.25">
      <c r="D38793" s="28"/>
      <c r="F38793" s="28"/>
      <c r="H38793" s="28"/>
    </row>
    <row r="38794" spans="4:8" x14ac:dyDescent="0.25">
      <c r="D38794" s="28"/>
      <c r="F38794" s="28"/>
      <c r="H38794" s="28"/>
    </row>
    <row r="38795" spans="4:8" x14ac:dyDescent="0.25">
      <c r="D38795" s="28"/>
      <c r="F38795" s="28"/>
      <c r="H38795" s="28"/>
    </row>
    <row r="38796" spans="4:8" x14ac:dyDescent="0.25">
      <c r="D38796" s="28"/>
      <c r="F38796" s="28"/>
      <c r="H38796" s="28"/>
    </row>
    <row r="38797" spans="4:8" x14ac:dyDescent="0.25">
      <c r="D38797" s="28"/>
      <c r="F38797" s="28"/>
      <c r="H38797" s="28"/>
    </row>
    <row r="38798" spans="4:8" x14ac:dyDescent="0.25">
      <c r="D38798" s="28"/>
      <c r="F38798" s="28"/>
      <c r="H38798" s="28"/>
    </row>
    <row r="38799" spans="4:8" x14ac:dyDescent="0.25">
      <c r="D38799" s="28"/>
      <c r="F38799" s="28"/>
      <c r="H38799" s="28"/>
    </row>
    <row r="38800" spans="4:8" x14ac:dyDescent="0.25">
      <c r="D38800" s="28"/>
      <c r="F38800" s="28"/>
      <c r="H38800" s="28"/>
    </row>
    <row r="38801" spans="4:8" x14ac:dyDescent="0.25">
      <c r="D38801" s="28"/>
      <c r="F38801" s="28"/>
      <c r="H38801" s="28"/>
    </row>
    <row r="38802" spans="4:8" x14ac:dyDescent="0.25">
      <c r="D38802" s="28"/>
      <c r="F38802" s="28"/>
      <c r="H38802" s="28"/>
    </row>
    <row r="38803" spans="4:8" x14ac:dyDescent="0.25">
      <c r="D38803" s="28"/>
      <c r="F38803" s="28"/>
      <c r="H38803" s="28"/>
    </row>
    <row r="38804" spans="4:8" x14ac:dyDescent="0.25">
      <c r="D38804" s="28"/>
      <c r="F38804" s="28"/>
      <c r="H38804" s="28"/>
    </row>
    <row r="38805" spans="4:8" x14ac:dyDescent="0.25">
      <c r="D38805" s="28"/>
      <c r="F38805" s="28"/>
      <c r="H38805" s="28"/>
    </row>
    <row r="38806" spans="4:8" x14ac:dyDescent="0.25">
      <c r="D38806" s="28"/>
      <c r="F38806" s="28"/>
      <c r="H38806" s="28"/>
    </row>
    <row r="38807" spans="4:8" x14ac:dyDescent="0.25">
      <c r="D38807" s="28"/>
      <c r="F38807" s="28"/>
      <c r="H38807" s="28"/>
    </row>
    <row r="38808" spans="4:8" x14ac:dyDescent="0.25">
      <c r="D38808" s="28"/>
      <c r="F38808" s="28"/>
      <c r="H38808" s="28"/>
    </row>
    <row r="38809" spans="4:8" x14ac:dyDescent="0.25">
      <c r="D38809" s="28"/>
      <c r="F38809" s="28"/>
      <c r="H38809" s="28"/>
    </row>
    <row r="38810" spans="4:8" x14ac:dyDescent="0.25">
      <c r="D38810" s="28"/>
      <c r="F38810" s="28"/>
      <c r="H38810" s="28"/>
    </row>
    <row r="38811" spans="4:8" x14ac:dyDescent="0.25">
      <c r="D38811" s="28"/>
      <c r="F38811" s="28"/>
      <c r="H38811" s="28"/>
    </row>
    <row r="38812" spans="4:8" x14ac:dyDescent="0.25">
      <c r="D38812" s="28"/>
      <c r="F38812" s="28"/>
      <c r="H38812" s="28"/>
    </row>
    <row r="38813" spans="4:8" x14ac:dyDescent="0.25">
      <c r="D38813" s="28"/>
      <c r="F38813" s="28"/>
      <c r="H38813" s="28"/>
    </row>
    <row r="38814" spans="4:8" x14ac:dyDescent="0.25">
      <c r="D38814" s="28"/>
      <c r="F38814" s="28"/>
      <c r="H38814" s="28"/>
    </row>
    <row r="38815" spans="4:8" x14ac:dyDescent="0.25">
      <c r="D38815" s="28"/>
      <c r="F38815" s="28"/>
      <c r="H38815" s="28"/>
    </row>
    <row r="38816" spans="4:8" x14ac:dyDescent="0.25">
      <c r="D38816" s="28"/>
      <c r="F38816" s="28"/>
      <c r="H38816" s="28"/>
    </row>
    <row r="38817" spans="4:8" x14ac:dyDescent="0.25">
      <c r="D38817" s="28"/>
      <c r="F38817" s="28"/>
      <c r="H38817" s="28"/>
    </row>
    <row r="38818" spans="4:8" x14ac:dyDescent="0.25">
      <c r="D38818" s="28"/>
      <c r="F38818" s="28"/>
      <c r="H38818" s="28"/>
    </row>
    <row r="38819" spans="4:8" x14ac:dyDescent="0.25">
      <c r="D38819" s="28"/>
      <c r="F38819" s="28"/>
      <c r="H38819" s="28"/>
    </row>
    <row r="38820" spans="4:8" x14ac:dyDescent="0.25">
      <c r="D38820" s="28"/>
      <c r="F38820" s="28"/>
      <c r="H38820" s="28"/>
    </row>
    <row r="38821" spans="4:8" x14ac:dyDescent="0.25">
      <c r="D38821" s="28"/>
      <c r="F38821" s="28"/>
      <c r="H38821" s="28"/>
    </row>
    <row r="38822" spans="4:8" x14ac:dyDescent="0.25">
      <c r="D38822" s="28"/>
      <c r="F38822" s="28"/>
      <c r="H38822" s="28"/>
    </row>
    <row r="38823" spans="4:8" x14ac:dyDescent="0.25">
      <c r="D38823" s="28"/>
      <c r="F38823" s="28"/>
      <c r="H38823" s="28"/>
    </row>
    <row r="38824" spans="4:8" x14ac:dyDescent="0.25">
      <c r="D38824" s="28"/>
      <c r="F38824" s="28"/>
      <c r="H38824" s="28"/>
    </row>
    <row r="38825" spans="4:8" x14ac:dyDescent="0.25">
      <c r="D38825" s="28"/>
      <c r="F38825" s="28"/>
      <c r="H38825" s="28"/>
    </row>
    <row r="38826" spans="4:8" x14ac:dyDescent="0.25">
      <c r="D38826" s="28"/>
      <c r="F38826" s="28"/>
      <c r="H38826" s="28"/>
    </row>
    <row r="38827" spans="4:8" x14ac:dyDescent="0.25">
      <c r="D38827" s="28"/>
      <c r="F38827" s="28"/>
      <c r="H38827" s="28"/>
    </row>
    <row r="38828" spans="4:8" x14ac:dyDescent="0.25">
      <c r="D38828" s="28"/>
      <c r="F38828" s="28"/>
      <c r="H38828" s="28"/>
    </row>
    <row r="38829" spans="4:8" x14ac:dyDescent="0.25">
      <c r="D38829" s="28"/>
      <c r="F38829" s="28"/>
      <c r="H38829" s="28"/>
    </row>
    <row r="38830" spans="4:8" x14ac:dyDescent="0.25">
      <c r="D38830" s="28"/>
      <c r="F38830" s="28"/>
      <c r="H38830" s="28"/>
    </row>
    <row r="38831" spans="4:8" x14ac:dyDescent="0.25">
      <c r="D38831" s="28"/>
      <c r="F38831" s="28"/>
      <c r="H38831" s="28"/>
    </row>
    <row r="38832" spans="4:8" x14ac:dyDescent="0.25">
      <c r="D38832" s="28"/>
      <c r="F38832" s="28"/>
      <c r="H38832" s="28"/>
    </row>
    <row r="38833" spans="4:8" x14ac:dyDescent="0.25">
      <c r="D38833" s="28"/>
      <c r="F38833" s="28"/>
      <c r="H38833" s="28"/>
    </row>
    <row r="38834" spans="4:8" x14ac:dyDescent="0.25">
      <c r="D38834" s="28"/>
      <c r="F38834" s="28"/>
      <c r="H38834" s="28"/>
    </row>
    <row r="38835" spans="4:8" x14ac:dyDescent="0.25">
      <c r="D38835" s="28"/>
      <c r="F38835" s="28"/>
      <c r="H38835" s="28"/>
    </row>
    <row r="38836" spans="4:8" x14ac:dyDescent="0.25">
      <c r="D38836" s="28"/>
      <c r="F38836" s="28"/>
      <c r="H38836" s="28"/>
    </row>
    <row r="38837" spans="4:8" x14ac:dyDescent="0.25">
      <c r="D38837" s="28"/>
      <c r="F38837" s="28"/>
      <c r="H38837" s="28"/>
    </row>
    <row r="38838" spans="4:8" x14ac:dyDescent="0.25">
      <c r="D38838" s="28"/>
      <c r="F38838" s="28"/>
      <c r="H38838" s="28"/>
    </row>
    <row r="38839" spans="4:8" x14ac:dyDescent="0.25">
      <c r="D38839" s="28"/>
      <c r="F38839" s="28"/>
      <c r="H38839" s="28"/>
    </row>
    <row r="38840" spans="4:8" x14ac:dyDescent="0.25">
      <c r="D38840" s="28"/>
      <c r="F38840" s="28"/>
      <c r="H38840" s="28"/>
    </row>
    <row r="38841" spans="4:8" x14ac:dyDescent="0.25">
      <c r="D38841" s="28"/>
      <c r="F38841" s="28"/>
      <c r="H38841" s="28"/>
    </row>
    <row r="38842" spans="4:8" x14ac:dyDescent="0.25">
      <c r="D38842" s="28"/>
      <c r="F38842" s="28"/>
      <c r="H38842" s="28"/>
    </row>
    <row r="38843" spans="4:8" x14ac:dyDescent="0.25">
      <c r="D38843" s="28"/>
      <c r="F38843" s="28"/>
      <c r="H38843" s="28"/>
    </row>
    <row r="38844" spans="4:8" x14ac:dyDescent="0.25">
      <c r="D38844" s="28"/>
      <c r="F38844" s="28"/>
      <c r="H38844" s="28"/>
    </row>
    <row r="38845" spans="4:8" x14ac:dyDescent="0.25">
      <c r="D38845" s="28"/>
      <c r="F38845" s="28"/>
      <c r="H38845" s="28"/>
    </row>
    <row r="38846" spans="4:8" x14ac:dyDescent="0.25">
      <c r="D38846" s="28"/>
      <c r="F38846" s="28"/>
      <c r="H38846" s="28"/>
    </row>
    <row r="38847" spans="4:8" x14ac:dyDescent="0.25">
      <c r="D38847" s="28"/>
      <c r="F38847" s="28"/>
      <c r="H38847" s="28"/>
    </row>
    <row r="38848" spans="4:8" x14ac:dyDescent="0.25">
      <c r="D38848" s="28"/>
      <c r="F38848" s="28"/>
      <c r="H38848" s="28"/>
    </row>
    <row r="38849" spans="4:8" x14ac:dyDescent="0.25">
      <c r="D38849" s="28"/>
      <c r="F38849" s="28"/>
      <c r="H38849" s="28"/>
    </row>
    <row r="38850" spans="4:8" x14ac:dyDescent="0.25">
      <c r="D38850" s="28"/>
      <c r="F38850" s="28"/>
      <c r="H38850" s="28"/>
    </row>
    <row r="38851" spans="4:8" x14ac:dyDescent="0.25">
      <c r="D38851" s="28"/>
      <c r="F38851" s="28"/>
      <c r="H38851" s="28"/>
    </row>
    <row r="38852" spans="4:8" x14ac:dyDescent="0.25">
      <c r="D38852" s="28"/>
      <c r="F38852" s="28"/>
      <c r="H38852" s="28"/>
    </row>
    <row r="38853" spans="4:8" x14ac:dyDescent="0.25">
      <c r="D38853" s="28"/>
      <c r="F38853" s="28"/>
      <c r="H38853" s="28"/>
    </row>
    <row r="38854" spans="4:8" x14ac:dyDescent="0.25">
      <c r="D38854" s="28"/>
      <c r="F38854" s="28"/>
      <c r="H38854" s="28"/>
    </row>
    <row r="38855" spans="4:8" x14ac:dyDescent="0.25">
      <c r="D38855" s="28"/>
      <c r="F38855" s="28"/>
      <c r="H38855" s="28"/>
    </row>
    <row r="38856" spans="4:8" x14ac:dyDescent="0.25">
      <c r="D38856" s="28"/>
      <c r="F38856" s="28"/>
      <c r="H38856" s="28"/>
    </row>
    <row r="38857" spans="4:8" x14ac:dyDescent="0.25">
      <c r="D38857" s="28"/>
      <c r="F38857" s="28"/>
      <c r="H38857" s="28"/>
    </row>
    <row r="38858" spans="4:8" x14ac:dyDescent="0.25">
      <c r="D38858" s="28"/>
      <c r="F38858" s="28"/>
      <c r="H38858" s="28"/>
    </row>
    <row r="38859" spans="4:8" x14ac:dyDescent="0.25">
      <c r="D38859" s="28"/>
      <c r="F38859" s="28"/>
      <c r="H38859" s="28"/>
    </row>
    <row r="38860" spans="4:8" x14ac:dyDescent="0.25">
      <c r="D38860" s="28"/>
      <c r="F38860" s="28"/>
      <c r="H38860" s="28"/>
    </row>
    <row r="38861" spans="4:8" x14ac:dyDescent="0.25">
      <c r="D38861" s="28"/>
      <c r="F38861" s="28"/>
      <c r="H38861" s="28"/>
    </row>
    <row r="38862" spans="4:8" x14ac:dyDescent="0.25">
      <c r="D38862" s="28"/>
      <c r="F38862" s="28"/>
      <c r="H38862" s="28"/>
    </row>
    <row r="38863" spans="4:8" x14ac:dyDescent="0.25">
      <c r="D38863" s="28"/>
      <c r="F38863" s="28"/>
      <c r="H38863" s="28"/>
    </row>
    <row r="38864" spans="4:8" x14ac:dyDescent="0.25">
      <c r="D38864" s="28"/>
      <c r="F38864" s="28"/>
      <c r="H38864" s="28"/>
    </row>
    <row r="38865" spans="4:8" x14ac:dyDescent="0.25">
      <c r="D38865" s="28"/>
      <c r="F38865" s="28"/>
      <c r="H38865" s="28"/>
    </row>
    <row r="38866" spans="4:8" x14ac:dyDescent="0.25">
      <c r="D38866" s="28"/>
      <c r="F38866" s="28"/>
      <c r="H38866" s="28"/>
    </row>
    <row r="38867" spans="4:8" x14ac:dyDescent="0.25">
      <c r="D38867" s="28"/>
      <c r="F38867" s="28"/>
      <c r="H38867" s="28"/>
    </row>
    <row r="38868" spans="4:8" x14ac:dyDescent="0.25">
      <c r="D38868" s="28"/>
      <c r="F38868" s="28"/>
      <c r="H38868" s="28"/>
    </row>
    <row r="38869" spans="4:8" x14ac:dyDescent="0.25">
      <c r="D38869" s="28"/>
      <c r="F38869" s="28"/>
      <c r="H38869" s="28"/>
    </row>
    <row r="38870" spans="4:8" x14ac:dyDescent="0.25">
      <c r="D38870" s="28"/>
      <c r="F38870" s="28"/>
      <c r="H38870" s="28"/>
    </row>
    <row r="38871" spans="4:8" x14ac:dyDescent="0.25">
      <c r="D38871" s="28"/>
      <c r="F38871" s="28"/>
      <c r="H38871" s="28"/>
    </row>
    <row r="38872" spans="4:8" x14ac:dyDescent="0.25">
      <c r="D38872" s="28"/>
      <c r="F38872" s="28"/>
      <c r="H38872" s="28"/>
    </row>
    <row r="38873" spans="4:8" x14ac:dyDescent="0.25">
      <c r="D38873" s="28"/>
      <c r="F38873" s="28"/>
      <c r="H38873" s="28"/>
    </row>
    <row r="38874" spans="4:8" x14ac:dyDescent="0.25">
      <c r="D38874" s="28"/>
      <c r="F38874" s="28"/>
      <c r="H38874" s="28"/>
    </row>
    <row r="38875" spans="4:8" x14ac:dyDescent="0.25">
      <c r="D38875" s="28"/>
      <c r="F38875" s="28"/>
      <c r="H38875" s="28"/>
    </row>
    <row r="38876" spans="4:8" x14ac:dyDescent="0.25">
      <c r="D38876" s="28"/>
      <c r="F38876" s="28"/>
      <c r="H38876" s="28"/>
    </row>
    <row r="38877" spans="4:8" x14ac:dyDescent="0.25">
      <c r="D38877" s="28"/>
      <c r="F38877" s="28"/>
      <c r="H38877" s="28"/>
    </row>
    <row r="38878" spans="4:8" x14ac:dyDescent="0.25">
      <c r="D38878" s="28"/>
      <c r="F38878" s="28"/>
      <c r="H38878" s="28"/>
    </row>
    <row r="38879" spans="4:8" x14ac:dyDescent="0.25">
      <c r="D38879" s="28"/>
      <c r="F38879" s="28"/>
      <c r="H38879" s="28"/>
    </row>
    <row r="38880" spans="4:8" x14ac:dyDescent="0.25">
      <c r="D38880" s="28"/>
      <c r="F38880" s="28"/>
      <c r="H38880" s="28"/>
    </row>
    <row r="38881" spans="4:8" x14ac:dyDescent="0.25">
      <c r="D38881" s="28"/>
      <c r="F38881" s="28"/>
      <c r="H38881" s="28"/>
    </row>
    <row r="38882" spans="4:8" x14ac:dyDescent="0.25">
      <c r="D38882" s="28"/>
      <c r="F38882" s="28"/>
      <c r="H38882" s="28"/>
    </row>
    <row r="38883" spans="4:8" x14ac:dyDescent="0.25">
      <c r="D38883" s="28"/>
      <c r="F38883" s="28"/>
      <c r="H38883" s="28"/>
    </row>
    <row r="38884" spans="4:8" x14ac:dyDescent="0.25">
      <c r="D38884" s="28"/>
      <c r="F38884" s="28"/>
      <c r="H38884" s="28"/>
    </row>
    <row r="38885" spans="4:8" x14ac:dyDescent="0.25">
      <c r="D38885" s="28"/>
      <c r="F38885" s="28"/>
      <c r="H38885" s="28"/>
    </row>
    <row r="38886" spans="4:8" x14ac:dyDescent="0.25">
      <c r="D38886" s="28"/>
      <c r="F38886" s="28"/>
      <c r="H38886" s="28"/>
    </row>
    <row r="38887" spans="4:8" x14ac:dyDescent="0.25">
      <c r="D38887" s="28"/>
      <c r="F38887" s="28"/>
      <c r="H38887" s="28"/>
    </row>
    <row r="38888" spans="4:8" x14ac:dyDescent="0.25">
      <c r="D38888" s="28"/>
      <c r="F38888" s="28"/>
      <c r="H38888" s="28"/>
    </row>
    <row r="38889" spans="4:8" x14ac:dyDescent="0.25">
      <c r="D38889" s="28"/>
      <c r="F38889" s="28"/>
      <c r="H38889" s="28"/>
    </row>
    <row r="38890" spans="4:8" x14ac:dyDescent="0.25">
      <c r="D38890" s="28"/>
      <c r="F38890" s="28"/>
      <c r="H38890" s="28"/>
    </row>
    <row r="38891" spans="4:8" x14ac:dyDescent="0.25">
      <c r="D38891" s="28"/>
      <c r="F38891" s="28"/>
      <c r="H38891" s="28"/>
    </row>
    <row r="38892" spans="4:8" x14ac:dyDescent="0.25">
      <c r="D38892" s="28"/>
      <c r="F38892" s="28"/>
      <c r="H38892" s="28"/>
    </row>
    <row r="38893" spans="4:8" x14ac:dyDescent="0.25">
      <c r="D38893" s="28"/>
      <c r="F38893" s="28"/>
      <c r="H38893" s="28"/>
    </row>
    <row r="38894" spans="4:8" x14ac:dyDescent="0.25">
      <c r="D38894" s="28"/>
      <c r="F38894" s="28"/>
      <c r="H38894" s="28"/>
    </row>
    <row r="38895" spans="4:8" x14ac:dyDescent="0.25">
      <c r="D38895" s="28"/>
      <c r="F38895" s="28"/>
      <c r="H38895" s="28"/>
    </row>
    <row r="38896" spans="4:8" x14ac:dyDescent="0.25">
      <c r="D38896" s="28"/>
      <c r="F38896" s="28"/>
      <c r="H38896" s="28"/>
    </row>
    <row r="38897" spans="4:8" x14ac:dyDescent="0.25">
      <c r="D38897" s="28"/>
      <c r="F38897" s="28"/>
      <c r="H38897" s="28"/>
    </row>
    <row r="38898" spans="4:8" x14ac:dyDescent="0.25">
      <c r="D38898" s="28"/>
      <c r="F38898" s="28"/>
      <c r="H38898" s="28"/>
    </row>
    <row r="38899" spans="4:8" x14ac:dyDescent="0.25">
      <c r="D38899" s="28"/>
      <c r="F38899" s="28"/>
      <c r="H38899" s="28"/>
    </row>
    <row r="38900" spans="4:8" x14ac:dyDescent="0.25">
      <c r="D38900" s="28"/>
      <c r="F38900" s="28"/>
      <c r="H38900" s="28"/>
    </row>
    <row r="38901" spans="4:8" x14ac:dyDescent="0.25">
      <c r="D38901" s="28"/>
      <c r="F38901" s="28"/>
      <c r="H38901" s="28"/>
    </row>
    <row r="38902" spans="4:8" x14ac:dyDescent="0.25">
      <c r="D38902" s="28"/>
      <c r="F38902" s="28"/>
      <c r="H38902" s="28"/>
    </row>
    <row r="38903" spans="4:8" x14ac:dyDescent="0.25">
      <c r="D38903" s="28"/>
      <c r="F38903" s="28"/>
      <c r="H38903" s="28"/>
    </row>
    <row r="38904" spans="4:8" x14ac:dyDescent="0.25">
      <c r="D38904" s="28"/>
      <c r="F38904" s="28"/>
      <c r="H38904" s="28"/>
    </row>
    <row r="38905" spans="4:8" x14ac:dyDescent="0.25">
      <c r="D38905" s="28"/>
      <c r="F38905" s="28"/>
      <c r="H38905" s="28"/>
    </row>
    <row r="38906" spans="4:8" x14ac:dyDescent="0.25">
      <c r="D38906" s="28"/>
      <c r="F38906" s="28"/>
      <c r="H38906" s="28"/>
    </row>
    <row r="38907" spans="4:8" x14ac:dyDescent="0.25">
      <c r="D38907" s="28"/>
      <c r="F38907" s="28"/>
      <c r="H38907" s="28"/>
    </row>
    <row r="38908" spans="4:8" x14ac:dyDescent="0.25">
      <c r="D38908" s="28"/>
      <c r="F38908" s="28"/>
      <c r="H38908" s="28"/>
    </row>
    <row r="38909" spans="4:8" x14ac:dyDescent="0.25">
      <c r="D38909" s="28"/>
      <c r="F38909" s="28"/>
      <c r="H38909" s="28"/>
    </row>
    <row r="38910" spans="4:8" x14ac:dyDescent="0.25">
      <c r="D38910" s="28"/>
      <c r="F38910" s="28"/>
      <c r="H38910" s="28"/>
    </row>
    <row r="38911" spans="4:8" x14ac:dyDescent="0.25">
      <c r="D38911" s="28"/>
      <c r="F38911" s="28"/>
      <c r="H38911" s="28"/>
    </row>
    <row r="38912" spans="4:8" x14ac:dyDescent="0.25">
      <c r="D38912" s="28"/>
      <c r="F38912" s="28"/>
      <c r="H38912" s="28"/>
    </row>
    <row r="38913" spans="4:8" x14ac:dyDescent="0.25">
      <c r="D38913" s="28"/>
      <c r="F38913" s="28"/>
      <c r="H38913" s="28"/>
    </row>
    <row r="38914" spans="4:8" x14ac:dyDescent="0.25">
      <c r="D38914" s="28"/>
      <c r="F38914" s="28"/>
      <c r="H38914" s="28"/>
    </row>
    <row r="38915" spans="4:8" x14ac:dyDescent="0.25">
      <c r="D38915" s="28"/>
      <c r="F38915" s="28"/>
      <c r="H38915" s="28"/>
    </row>
    <row r="38916" spans="4:8" x14ac:dyDescent="0.25">
      <c r="D38916" s="28"/>
      <c r="F38916" s="28"/>
      <c r="H38916" s="28"/>
    </row>
    <row r="38917" spans="4:8" x14ac:dyDescent="0.25">
      <c r="D38917" s="28"/>
      <c r="F38917" s="28"/>
      <c r="H38917" s="28"/>
    </row>
    <row r="38918" spans="4:8" x14ac:dyDescent="0.25">
      <c r="D38918" s="28"/>
      <c r="F38918" s="28"/>
      <c r="H38918" s="28"/>
    </row>
    <row r="38919" spans="4:8" x14ac:dyDescent="0.25">
      <c r="D38919" s="28"/>
      <c r="F38919" s="28"/>
      <c r="H38919" s="28"/>
    </row>
    <row r="38920" spans="4:8" x14ac:dyDescent="0.25">
      <c r="D38920" s="28"/>
      <c r="F38920" s="28"/>
      <c r="H38920" s="28"/>
    </row>
    <row r="38921" spans="4:8" x14ac:dyDescent="0.25">
      <c r="D38921" s="28"/>
      <c r="F38921" s="28"/>
      <c r="H38921" s="28"/>
    </row>
    <row r="38922" spans="4:8" x14ac:dyDescent="0.25">
      <c r="D38922" s="28"/>
      <c r="F38922" s="28"/>
      <c r="H38922" s="28"/>
    </row>
    <row r="38923" spans="4:8" x14ac:dyDescent="0.25">
      <c r="D38923" s="28"/>
      <c r="F38923" s="28"/>
      <c r="H38923" s="28"/>
    </row>
    <row r="38924" spans="4:8" x14ac:dyDescent="0.25">
      <c r="D38924" s="28"/>
      <c r="F38924" s="28"/>
      <c r="H38924" s="28"/>
    </row>
    <row r="38925" spans="4:8" x14ac:dyDescent="0.25">
      <c r="D38925" s="28"/>
      <c r="F38925" s="28"/>
      <c r="H38925" s="28"/>
    </row>
    <row r="38926" spans="4:8" x14ac:dyDescent="0.25">
      <c r="D38926" s="28"/>
      <c r="F38926" s="28"/>
      <c r="H38926" s="28"/>
    </row>
    <row r="38927" spans="4:8" x14ac:dyDescent="0.25">
      <c r="D38927" s="28"/>
      <c r="F38927" s="28"/>
      <c r="H38927" s="28"/>
    </row>
    <row r="38928" spans="4:8" x14ac:dyDescent="0.25">
      <c r="D38928" s="28"/>
      <c r="F38928" s="28"/>
      <c r="H38928" s="28"/>
    </row>
    <row r="38929" spans="4:8" x14ac:dyDescent="0.25">
      <c r="D38929" s="28"/>
      <c r="F38929" s="28"/>
      <c r="H38929" s="28"/>
    </row>
    <row r="38930" spans="4:8" x14ac:dyDescent="0.25">
      <c r="D38930" s="28"/>
      <c r="F38930" s="28"/>
      <c r="H38930" s="28"/>
    </row>
    <row r="38931" spans="4:8" x14ac:dyDescent="0.25">
      <c r="D38931" s="28"/>
      <c r="F38931" s="28"/>
      <c r="H38931" s="28"/>
    </row>
    <row r="38932" spans="4:8" x14ac:dyDescent="0.25">
      <c r="D38932" s="28"/>
      <c r="F38932" s="28"/>
      <c r="H38932" s="28"/>
    </row>
    <row r="38933" spans="4:8" x14ac:dyDescent="0.25">
      <c r="D38933" s="28"/>
      <c r="F38933" s="28"/>
      <c r="H38933" s="28"/>
    </row>
    <row r="38934" spans="4:8" x14ac:dyDescent="0.25">
      <c r="D38934" s="28"/>
      <c r="F38934" s="28"/>
      <c r="H38934" s="28"/>
    </row>
    <row r="38935" spans="4:8" x14ac:dyDescent="0.25">
      <c r="D38935" s="28"/>
      <c r="F38935" s="28"/>
      <c r="H38935" s="28"/>
    </row>
    <row r="38936" spans="4:8" x14ac:dyDescent="0.25">
      <c r="D38936" s="28"/>
      <c r="F38936" s="28"/>
      <c r="H38936" s="28"/>
    </row>
    <row r="38937" spans="4:8" x14ac:dyDescent="0.25">
      <c r="D38937" s="28"/>
      <c r="F38937" s="28"/>
      <c r="H38937" s="28"/>
    </row>
    <row r="38938" spans="4:8" x14ac:dyDescent="0.25">
      <c r="D38938" s="28"/>
      <c r="F38938" s="28"/>
      <c r="H38938" s="28"/>
    </row>
    <row r="38939" spans="4:8" x14ac:dyDescent="0.25">
      <c r="D38939" s="28"/>
      <c r="F38939" s="28"/>
      <c r="H38939" s="28"/>
    </row>
    <row r="38940" spans="4:8" x14ac:dyDescent="0.25">
      <c r="D38940" s="28"/>
      <c r="F38940" s="28"/>
      <c r="H38940" s="28"/>
    </row>
    <row r="38941" spans="4:8" x14ac:dyDescent="0.25">
      <c r="D38941" s="28"/>
      <c r="F38941" s="28"/>
      <c r="H38941" s="28"/>
    </row>
    <row r="38942" spans="4:8" x14ac:dyDescent="0.25">
      <c r="D38942" s="28"/>
      <c r="F38942" s="28"/>
      <c r="H38942" s="28"/>
    </row>
    <row r="38943" spans="4:8" x14ac:dyDescent="0.25">
      <c r="D38943" s="28"/>
      <c r="F38943" s="28"/>
      <c r="H38943" s="28"/>
    </row>
    <row r="38944" spans="4:8" x14ac:dyDescent="0.25">
      <c r="D38944" s="28"/>
      <c r="F38944" s="28"/>
      <c r="H38944" s="28"/>
    </row>
    <row r="38945" spans="4:8" x14ac:dyDescent="0.25">
      <c r="D38945" s="28"/>
      <c r="F38945" s="28"/>
      <c r="H38945" s="28"/>
    </row>
    <row r="38946" spans="4:8" x14ac:dyDescent="0.25">
      <c r="D38946" s="28"/>
      <c r="F38946" s="28"/>
      <c r="H38946" s="28"/>
    </row>
    <row r="38947" spans="4:8" x14ac:dyDescent="0.25">
      <c r="D38947" s="28"/>
      <c r="F38947" s="28"/>
      <c r="H38947" s="28"/>
    </row>
    <row r="38948" spans="4:8" x14ac:dyDescent="0.25">
      <c r="D38948" s="28"/>
      <c r="F38948" s="28"/>
      <c r="H38948" s="28"/>
    </row>
    <row r="38949" spans="4:8" x14ac:dyDescent="0.25">
      <c r="D38949" s="28"/>
      <c r="F38949" s="28"/>
      <c r="H38949" s="28"/>
    </row>
    <row r="38950" spans="4:8" x14ac:dyDescent="0.25">
      <c r="D38950" s="28"/>
      <c r="F38950" s="28"/>
      <c r="H38950" s="28"/>
    </row>
    <row r="38951" spans="4:8" x14ac:dyDescent="0.25">
      <c r="D38951" s="28"/>
      <c r="F38951" s="28"/>
      <c r="H38951" s="28"/>
    </row>
    <row r="38952" spans="4:8" x14ac:dyDescent="0.25">
      <c r="D38952" s="28"/>
      <c r="F38952" s="28"/>
      <c r="H38952" s="28"/>
    </row>
    <row r="38953" spans="4:8" x14ac:dyDescent="0.25">
      <c r="D38953" s="28"/>
      <c r="F38953" s="28"/>
      <c r="H38953" s="28"/>
    </row>
    <row r="38954" spans="4:8" x14ac:dyDescent="0.25">
      <c r="D38954" s="28"/>
      <c r="F38954" s="28"/>
      <c r="H38954" s="28"/>
    </row>
    <row r="38955" spans="4:8" x14ac:dyDescent="0.25">
      <c r="D38955" s="28"/>
      <c r="F38955" s="28"/>
      <c r="H38955" s="28"/>
    </row>
    <row r="38956" spans="4:8" x14ac:dyDescent="0.25">
      <c r="D38956" s="28"/>
      <c r="F38956" s="28"/>
      <c r="H38956" s="28"/>
    </row>
    <row r="38957" spans="4:8" x14ac:dyDescent="0.25">
      <c r="D38957" s="28"/>
      <c r="F38957" s="28"/>
      <c r="H38957" s="28"/>
    </row>
    <row r="38958" spans="4:8" x14ac:dyDescent="0.25">
      <c r="D38958" s="28"/>
      <c r="F38958" s="28"/>
      <c r="H38958" s="28"/>
    </row>
    <row r="38959" spans="4:8" x14ac:dyDescent="0.25">
      <c r="D38959" s="28"/>
      <c r="F38959" s="28"/>
      <c r="H38959" s="28"/>
    </row>
    <row r="38960" spans="4:8" x14ac:dyDescent="0.25">
      <c r="D38960" s="28"/>
      <c r="F38960" s="28"/>
      <c r="H38960" s="28"/>
    </row>
    <row r="38961" spans="4:8" x14ac:dyDescent="0.25">
      <c r="D38961" s="28"/>
      <c r="F38961" s="28"/>
      <c r="H38961" s="28"/>
    </row>
    <row r="38962" spans="4:8" x14ac:dyDescent="0.25">
      <c r="D38962" s="28"/>
      <c r="F38962" s="28"/>
      <c r="H38962" s="28"/>
    </row>
    <row r="38963" spans="4:8" x14ac:dyDescent="0.25">
      <c r="D38963" s="28"/>
      <c r="F38963" s="28"/>
      <c r="H38963" s="28"/>
    </row>
    <row r="38964" spans="4:8" x14ac:dyDescent="0.25">
      <c r="D38964" s="28"/>
      <c r="F38964" s="28"/>
      <c r="H38964" s="28"/>
    </row>
    <row r="38965" spans="4:8" x14ac:dyDescent="0.25">
      <c r="D38965" s="28"/>
      <c r="F38965" s="28"/>
      <c r="H38965" s="28"/>
    </row>
    <row r="38966" spans="4:8" x14ac:dyDescent="0.25">
      <c r="D38966" s="28"/>
      <c r="F38966" s="28"/>
      <c r="H38966" s="28"/>
    </row>
    <row r="38967" spans="4:8" x14ac:dyDescent="0.25">
      <c r="D38967" s="28"/>
      <c r="F38967" s="28"/>
      <c r="H38967" s="28"/>
    </row>
    <row r="38968" spans="4:8" x14ac:dyDescent="0.25">
      <c r="D38968" s="28"/>
      <c r="F38968" s="28"/>
      <c r="H38968" s="28"/>
    </row>
    <row r="38969" spans="4:8" x14ac:dyDescent="0.25">
      <c r="D38969" s="28"/>
      <c r="F38969" s="28"/>
      <c r="H38969" s="28"/>
    </row>
    <row r="38970" spans="4:8" x14ac:dyDescent="0.25">
      <c r="D38970" s="28"/>
      <c r="F38970" s="28"/>
      <c r="H38970" s="28"/>
    </row>
    <row r="38971" spans="4:8" x14ac:dyDescent="0.25">
      <c r="D38971" s="28"/>
      <c r="F38971" s="28"/>
      <c r="H38971" s="28"/>
    </row>
    <row r="38972" spans="4:8" x14ac:dyDescent="0.25">
      <c r="D38972" s="28"/>
      <c r="F38972" s="28"/>
      <c r="H38972" s="28"/>
    </row>
    <row r="38973" spans="4:8" x14ac:dyDescent="0.25">
      <c r="D38973" s="28"/>
      <c r="F38973" s="28"/>
      <c r="H38973" s="28"/>
    </row>
    <row r="38974" spans="4:8" x14ac:dyDescent="0.25">
      <c r="D38974" s="28"/>
      <c r="F38974" s="28"/>
      <c r="H38974" s="28"/>
    </row>
    <row r="38975" spans="4:8" x14ac:dyDescent="0.25">
      <c r="D38975" s="28"/>
      <c r="F38975" s="28"/>
      <c r="H38975" s="28"/>
    </row>
    <row r="38976" spans="4:8" x14ac:dyDescent="0.25">
      <c r="D38976" s="28"/>
      <c r="F38976" s="28"/>
      <c r="H38976" s="28"/>
    </row>
    <row r="38977" spans="4:8" x14ac:dyDescent="0.25">
      <c r="D38977" s="28"/>
      <c r="F38977" s="28"/>
      <c r="H38977" s="28"/>
    </row>
    <row r="38978" spans="4:8" x14ac:dyDescent="0.25">
      <c r="D38978" s="28"/>
      <c r="F38978" s="28"/>
      <c r="H38978" s="28"/>
    </row>
    <row r="38979" spans="4:8" x14ac:dyDescent="0.25">
      <c r="D38979" s="28"/>
      <c r="F38979" s="28"/>
      <c r="H38979" s="28"/>
    </row>
    <row r="38980" spans="4:8" x14ac:dyDescent="0.25">
      <c r="D38980" s="28"/>
      <c r="F38980" s="28"/>
      <c r="H38980" s="28"/>
    </row>
    <row r="38981" spans="4:8" x14ac:dyDescent="0.25">
      <c r="D38981" s="28"/>
      <c r="F38981" s="28"/>
      <c r="H38981" s="28"/>
    </row>
    <row r="38982" spans="4:8" x14ac:dyDescent="0.25">
      <c r="D38982" s="28"/>
      <c r="F38982" s="28"/>
      <c r="H38982" s="28"/>
    </row>
    <row r="38983" spans="4:8" x14ac:dyDescent="0.25">
      <c r="D38983" s="28"/>
      <c r="F38983" s="28"/>
      <c r="H38983" s="28"/>
    </row>
    <row r="38984" spans="4:8" x14ac:dyDescent="0.25">
      <c r="D38984" s="28"/>
      <c r="F38984" s="28"/>
      <c r="H38984" s="28"/>
    </row>
    <row r="38985" spans="4:8" x14ac:dyDescent="0.25">
      <c r="D38985" s="28"/>
      <c r="F38985" s="28"/>
      <c r="H38985" s="28"/>
    </row>
    <row r="38986" spans="4:8" x14ac:dyDescent="0.25">
      <c r="D38986" s="28"/>
      <c r="F38986" s="28"/>
      <c r="H38986" s="28"/>
    </row>
    <row r="38987" spans="4:8" x14ac:dyDescent="0.25">
      <c r="D38987" s="28"/>
      <c r="F38987" s="28"/>
      <c r="H38987" s="28"/>
    </row>
    <row r="38988" spans="4:8" x14ac:dyDescent="0.25">
      <c r="D38988" s="28"/>
      <c r="F38988" s="28"/>
      <c r="H38988" s="28"/>
    </row>
    <row r="38989" spans="4:8" x14ac:dyDescent="0.25">
      <c r="D38989" s="28"/>
      <c r="F38989" s="28"/>
      <c r="H38989" s="28"/>
    </row>
    <row r="38990" spans="4:8" x14ac:dyDescent="0.25">
      <c r="D38990" s="28"/>
      <c r="F38990" s="28"/>
      <c r="H38990" s="28"/>
    </row>
    <row r="38991" spans="4:8" x14ac:dyDescent="0.25">
      <c r="D38991" s="28"/>
      <c r="F38991" s="28"/>
      <c r="H38991" s="28"/>
    </row>
    <row r="38992" spans="4:8" x14ac:dyDescent="0.25">
      <c r="D38992" s="28"/>
      <c r="F38992" s="28"/>
      <c r="H38992" s="28"/>
    </row>
    <row r="38993" spans="4:8" x14ac:dyDescent="0.25">
      <c r="D38993" s="28"/>
      <c r="F38993" s="28"/>
      <c r="H38993" s="28"/>
    </row>
    <row r="38994" spans="4:8" x14ac:dyDescent="0.25">
      <c r="D38994" s="28"/>
      <c r="F38994" s="28"/>
      <c r="H38994" s="28"/>
    </row>
    <row r="38995" spans="4:8" x14ac:dyDescent="0.25">
      <c r="D38995" s="28"/>
      <c r="F38995" s="28"/>
      <c r="H38995" s="28"/>
    </row>
    <row r="38996" spans="4:8" x14ac:dyDescent="0.25">
      <c r="D38996" s="28"/>
      <c r="F38996" s="28"/>
      <c r="H38996" s="28"/>
    </row>
    <row r="38997" spans="4:8" x14ac:dyDescent="0.25">
      <c r="D38997" s="28"/>
      <c r="F38997" s="28"/>
      <c r="H38997" s="28"/>
    </row>
    <row r="38998" spans="4:8" x14ac:dyDescent="0.25">
      <c r="D38998" s="28"/>
      <c r="F38998" s="28"/>
      <c r="H38998" s="28"/>
    </row>
    <row r="38999" spans="4:8" x14ac:dyDescent="0.25">
      <c r="D38999" s="28"/>
      <c r="F38999" s="28"/>
      <c r="H38999" s="28"/>
    </row>
    <row r="39000" spans="4:8" x14ac:dyDescent="0.25">
      <c r="D39000" s="28"/>
      <c r="F39000" s="28"/>
      <c r="H39000" s="28"/>
    </row>
    <row r="39001" spans="4:8" x14ac:dyDescent="0.25">
      <c r="D39001" s="28"/>
      <c r="F39001" s="28"/>
      <c r="H39001" s="28"/>
    </row>
    <row r="39002" spans="4:8" x14ac:dyDescent="0.25">
      <c r="D39002" s="28"/>
      <c r="F39002" s="28"/>
      <c r="H39002" s="28"/>
    </row>
    <row r="39003" spans="4:8" x14ac:dyDescent="0.25">
      <c r="D39003" s="28"/>
      <c r="F39003" s="28"/>
      <c r="H39003" s="28"/>
    </row>
    <row r="39004" spans="4:8" x14ac:dyDescent="0.25">
      <c r="D39004" s="28"/>
      <c r="F39004" s="28"/>
      <c r="H39004" s="28"/>
    </row>
    <row r="39005" spans="4:8" x14ac:dyDescent="0.25">
      <c r="D39005" s="28"/>
      <c r="F39005" s="28"/>
      <c r="H39005" s="28"/>
    </row>
    <row r="39006" spans="4:8" x14ac:dyDescent="0.25">
      <c r="D39006" s="28"/>
      <c r="F39006" s="28"/>
      <c r="H39006" s="28"/>
    </row>
    <row r="39007" spans="4:8" x14ac:dyDescent="0.25">
      <c r="D39007" s="28"/>
      <c r="F39007" s="28"/>
      <c r="H39007" s="28"/>
    </row>
    <row r="39008" spans="4:8" x14ac:dyDescent="0.25">
      <c r="D39008" s="28"/>
      <c r="F39008" s="28"/>
      <c r="H39008" s="28"/>
    </row>
    <row r="39009" spans="4:8" x14ac:dyDescent="0.25">
      <c r="D39009" s="28"/>
      <c r="F39009" s="28"/>
      <c r="H39009" s="28"/>
    </row>
    <row r="39010" spans="4:8" x14ac:dyDescent="0.25">
      <c r="D39010" s="28"/>
      <c r="F39010" s="28"/>
      <c r="H39010" s="28"/>
    </row>
    <row r="39011" spans="4:8" x14ac:dyDescent="0.25">
      <c r="D39011" s="28"/>
      <c r="F39011" s="28"/>
      <c r="H39011" s="28"/>
    </row>
    <row r="39012" spans="4:8" x14ac:dyDescent="0.25">
      <c r="D39012" s="28"/>
      <c r="F39012" s="28"/>
      <c r="H39012" s="28"/>
    </row>
    <row r="39013" spans="4:8" x14ac:dyDescent="0.25">
      <c r="D39013" s="28"/>
      <c r="F39013" s="28"/>
      <c r="H39013" s="28"/>
    </row>
    <row r="39014" spans="4:8" x14ac:dyDescent="0.25">
      <c r="D39014" s="28"/>
      <c r="F39014" s="28"/>
      <c r="H39014" s="28"/>
    </row>
    <row r="39015" spans="4:8" x14ac:dyDescent="0.25">
      <c r="D39015" s="28"/>
      <c r="F39015" s="28"/>
      <c r="H39015" s="28"/>
    </row>
    <row r="39016" spans="4:8" x14ac:dyDescent="0.25">
      <c r="D39016" s="28"/>
      <c r="F39016" s="28"/>
      <c r="H39016" s="28"/>
    </row>
    <row r="39017" spans="4:8" x14ac:dyDescent="0.25">
      <c r="D39017" s="28"/>
      <c r="F39017" s="28"/>
      <c r="H39017" s="28"/>
    </row>
    <row r="39018" spans="4:8" x14ac:dyDescent="0.25">
      <c r="D39018" s="28"/>
      <c r="F39018" s="28"/>
      <c r="H39018" s="28"/>
    </row>
    <row r="39019" spans="4:8" x14ac:dyDescent="0.25">
      <c r="D39019" s="28"/>
      <c r="F39019" s="28"/>
      <c r="H39019" s="28"/>
    </row>
    <row r="39020" spans="4:8" x14ac:dyDescent="0.25">
      <c r="D39020" s="28"/>
      <c r="F39020" s="28"/>
      <c r="H39020" s="28"/>
    </row>
    <row r="39021" spans="4:8" x14ac:dyDescent="0.25">
      <c r="D39021" s="28"/>
      <c r="F39021" s="28"/>
      <c r="H39021" s="28"/>
    </row>
    <row r="39022" spans="4:8" x14ac:dyDescent="0.25">
      <c r="D39022" s="28"/>
      <c r="F39022" s="28"/>
      <c r="H39022" s="28"/>
    </row>
    <row r="39023" spans="4:8" x14ac:dyDescent="0.25">
      <c r="D39023" s="28"/>
      <c r="F39023" s="28"/>
      <c r="H39023" s="28"/>
    </row>
    <row r="39024" spans="4:8" x14ac:dyDescent="0.25">
      <c r="D39024" s="28"/>
      <c r="F39024" s="28"/>
      <c r="H39024" s="28"/>
    </row>
    <row r="39025" spans="4:8" x14ac:dyDescent="0.25">
      <c r="D39025" s="28"/>
      <c r="F39025" s="28"/>
      <c r="H39025" s="28"/>
    </row>
    <row r="39026" spans="4:8" x14ac:dyDescent="0.25">
      <c r="D39026" s="28"/>
      <c r="F39026" s="28"/>
      <c r="H39026" s="28"/>
    </row>
    <row r="39027" spans="4:8" x14ac:dyDescent="0.25">
      <c r="D39027" s="28"/>
      <c r="F39027" s="28"/>
      <c r="H39027" s="28"/>
    </row>
    <row r="39028" spans="4:8" x14ac:dyDescent="0.25">
      <c r="D39028" s="28"/>
      <c r="F39028" s="28"/>
      <c r="H39028" s="28"/>
    </row>
    <row r="39029" spans="4:8" x14ac:dyDescent="0.25">
      <c r="D39029" s="28"/>
      <c r="F39029" s="28"/>
      <c r="H39029" s="28"/>
    </row>
    <row r="39030" spans="4:8" x14ac:dyDescent="0.25">
      <c r="D39030" s="28"/>
      <c r="F39030" s="28"/>
      <c r="H39030" s="28"/>
    </row>
    <row r="39031" spans="4:8" x14ac:dyDescent="0.25">
      <c r="D39031" s="28"/>
      <c r="F39031" s="28"/>
      <c r="H39031" s="28"/>
    </row>
    <row r="39032" spans="4:8" x14ac:dyDescent="0.25">
      <c r="D39032" s="28"/>
      <c r="F39032" s="28"/>
      <c r="H39032" s="28"/>
    </row>
    <row r="39033" spans="4:8" x14ac:dyDescent="0.25">
      <c r="D39033" s="28"/>
      <c r="F39033" s="28"/>
      <c r="H39033" s="28"/>
    </row>
    <row r="39034" spans="4:8" x14ac:dyDescent="0.25">
      <c r="D39034" s="28"/>
      <c r="F39034" s="28"/>
      <c r="H39034" s="28"/>
    </row>
    <row r="39035" spans="4:8" x14ac:dyDescent="0.25">
      <c r="D39035" s="28"/>
      <c r="F39035" s="28"/>
      <c r="H39035" s="28"/>
    </row>
    <row r="39036" spans="4:8" x14ac:dyDescent="0.25">
      <c r="D39036" s="28"/>
      <c r="F39036" s="28"/>
      <c r="H39036" s="28"/>
    </row>
    <row r="39037" spans="4:8" x14ac:dyDescent="0.25">
      <c r="D39037" s="28"/>
      <c r="F39037" s="28"/>
      <c r="H39037" s="28"/>
    </row>
    <row r="39038" spans="4:8" x14ac:dyDescent="0.25">
      <c r="D39038" s="28"/>
      <c r="F39038" s="28"/>
      <c r="H39038" s="28"/>
    </row>
    <row r="39039" spans="4:8" x14ac:dyDescent="0.25">
      <c r="D39039" s="28"/>
      <c r="F39039" s="28"/>
      <c r="H39039" s="28"/>
    </row>
    <row r="39040" spans="4:8" x14ac:dyDescent="0.25">
      <c r="D39040" s="28"/>
      <c r="F39040" s="28"/>
      <c r="H39040" s="28"/>
    </row>
    <row r="39041" spans="4:8" x14ac:dyDescent="0.25">
      <c r="D39041" s="28"/>
      <c r="F39041" s="28"/>
      <c r="H39041" s="28"/>
    </row>
    <row r="39042" spans="4:8" x14ac:dyDescent="0.25">
      <c r="D39042" s="28"/>
      <c r="F39042" s="28"/>
      <c r="H39042" s="28"/>
    </row>
    <row r="39043" spans="4:8" x14ac:dyDescent="0.25">
      <c r="D39043" s="28"/>
      <c r="F39043" s="28"/>
      <c r="H39043" s="28"/>
    </row>
    <row r="39044" spans="4:8" x14ac:dyDescent="0.25">
      <c r="D39044" s="28"/>
      <c r="F39044" s="28"/>
      <c r="H39044" s="28"/>
    </row>
    <row r="39045" spans="4:8" x14ac:dyDescent="0.25">
      <c r="D39045" s="28"/>
      <c r="F39045" s="28"/>
      <c r="H39045" s="28"/>
    </row>
    <row r="39046" spans="4:8" x14ac:dyDescent="0.25">
      <c r="D39046" s="28"/>
      <c r="F39046" s="28"/>
      <c r="H39046" s="28"/>
    </row>
    <row r="39047" spans="4:8" x14ac:dyDescent="0.25">
      <c r="D39047" s="28"/>
      <c r="F39047" s="28"/>
      <c r="H39047" s="28"/>
    </row>
    <row r="39048" spans="4:8" x14ac:dyDescent="0.25">
      <c r="D39048" s="28"/>
      <c r="F39048" s="28"/>
      <c r="H39048" s="28"/>
    </row>
    <row r="39049" spans="4:8" x14ac:dyDescent="0.25">
      <c r="D39049" s="28"/>
      <c r="F39049" s="28"/>
      <c r="H39049" s="28"/>
    </row>
    <row r="39050" spans="4:8" x14ac:dyDescent="0.25">
      <c r="D39050" s="28"/>
      <c r="F39050" s="28"/>
      <c r="H39050" s="28"/>
    </row>
    <row r="39051" spans="4:8" x14ac:dyDescent="0.25">
      <c r="D39051" s="28"/>
      <c r="F39051" s="28"/>
      <c r="H39051" s="28"/>
    </row>
    <row r="39052" spans="4:8" x14ac:dyDescent="0.25">
      <c r="D39052" s="28"/>
      <c r="F39052" s="28"/>
      <c r="H39052" s="28"/>
    </row>
    <row r="39053" spans="4:8" x14ac:dyDescent="0.25">
      <c r="D39053" s="28"/>
      <c r="F39053" s="28"/>
      <c r="H39053" s="28"/>
    </row>
    <row r="39054" spans="4:8" x14ac:dyDescent="0.25">
      <c r="D39054" s="28"/>
      <c r="F39054" s="28"/>
      <c r="H39054" s="28"/>
    </row>
    <row r="39055" spans="4:8" x14ac:dyDescent="0.25">
      <c r="D39055" s="28"/>
      <c r="F39055" s="28"/>
      <c r="H39055" s="28"/>
    </row>
    <row r="39056" spans="4:8" x14ac:dyDescent="0.25">
      <c r="D39056" s="28"/>
      <c r="F39056" s="28"/>
      <c r="H39056" s="28"/>
    </row>
    <row r="39057" spans="4:8" x14ac:dyDescent="0.25">
      <c r="D39057" s="28"/>
      <c r="F39057" s="28"/>
      <c r="H39057" s="28"/>
    </row>
    <row r="39058" spans="4:8" x14ac:dyDescent="0.25">
      <c r="D39058" s="28"/>
      <c r="F39058" s="28"/>
      <c r="H39058" s="28"/>
    </row>
    <row r="39059" spans="4:8" x14ac:dyDescent="0.25">
      <c r="D39059" s="28"/>
      <c r="F39059" s="28"/>
      <c r="H39059" s="28"/>
    </row>
    <row r="39060" spans="4:8" x14ac:dyDescent="0.25">
      <c r="D39060" s="28"/>
      <c r="F39060" s="28"/>
      <c r="H39060" s="28"/>
    </row>
    <row r="39061" spans="4:8" x14ac:dyDescent="0.25">
      <c r="D39061" s="28"/>
      <c r="F39061" s="28"/>
      <c r="H39061" s="28"/>
    </row>
    <row r="39062" spans="4:8" x14ac:dyDescent="0.25">
      <c r="D39062" s="28"/>
      <c r="F39062" s="28"/>
      <c r="H39062" s="28"/>
    </row>
    <row r="39063" spans="4:8" x14ac:dyDescent="0.25">
      <c r="D39063" s="28"/>
      <c r="F39063" s="28"/>
      <c r="H39063" s="28"/>
    </row>
    <row r="39064" spans="4:8" x14ac:dyDescent="0.25">
      <c r="D39064" s="28"/>
      <c r="F39064" s="28"/>
      <c r="H39064" s="28"/>
    </row>
    <row r="39065" spans="4:8" x14ac:dyDescent="0.25">
      <c r="D39065" s="28"/>
      <c r="F39065" s="28"/>
      <c r="H39065" s="28"/>
    </row>
    <row r="39066" spans="4:8" x14ac:dyDescent="0.25">
      <c r="D39066" s="28"/>
      <c r="F39066" s="28"/>
      <c r="H39066" s="28"/>
    </row>
    <row r="39067" spans="4:8" x14ac:dyDescent="0.25">
      <c r="D39067" s="28"/>
      <c r="F39067" s="28"/>
      <c r="H39067" s="28"/>
    </row>
    <row r="39068" spans="4:8" x14ac:dyDescent="0.25">
      <c r="D39068" s="28"/>
      <c r="F39068" s="28"/>
      <c r="H39068" s="28"/>
    </row>
    <row r="39069" spans="4:8" x14ac:dyDescent="0.25">
      <c r="D39069" s="28"/>
      <c r="F39069" s="28"/>
      <c r="H39069" s="28"/>
    </row>
    <row r="39070" spans="4:8" x14ac:dyDescent="0.25">
      <c r="D39070" s="28"/>
      <c r="F39070" s="28"/>
      <c r="H39070" s="28"/>
    </row>
    <row r="39071" spans="4:8" x14ac:dyDescent="0.25">
      <c r="D39071" s="28"/>
      <c r="F39071" s="28"/>
      <c r="H39071" s="28"/>
    </row>
    <row r="39072" spans="4:8" x14ac:dyDescent="0.25">
      <c r="D39072" s="28"/>
      <c r="F39072" s="28"/>
      <c r="H39072" s="28"/>
    </row>
    <row r="39073" spans="4:8" x14ac:dyDescent="0.25">
      <c r="D39073" s="28"/>
      <c r="F39073" s="28"/>
      <c r="H39073" s="28"/>
    </row>
    <row r="39074" spans="4:8" x14ac:dyDescent="0.25">
      <c r="D39074" s="28"/>
      <c r="F39074" s="28"/>
      <c r="H39074" s="28"/>
    </row>
    <row r="39075" spans="4:8" x14ac:dyDescent="0.25">
      <c r="D39075" s="28"/>
      <c r="F39075" s="28"/>
      <c r="H39075" s="28"/>
    </row>
    <row r="39076" spans="4:8" x14ac:dyDescent="0.25">
      <c r="D39076" s="28"/>
      <c r="F39076" s="28"/>
      <c r="H39076" s="28"/>
    </row>
    <row r="39077" spans="4:8" x14ac:dyDescent="0.25">
      <c r="D39077" s="28"/>
      <c r="F39077" s="28"/>
      <c r="H39077" s="28"/>
    </row>
    <row r="39078" spans="4:8" x14ac:dyDescent="0.25">
      <c r="D39078" s="28"/>
      <c r="F39078" s="28"/>
      <c r="H39078" s="28"/>
    </row>
    <row r="39079" spans="4:8" x14ac:dyDescent="0.25">
      <c r="D39079" s="28"/>
      <c r="F39079" s="28"/>
      <c r="H39079" s="28"/>
    </row>
    <row r="39080" spans="4:8" x14ac:dyDescent="0.25">
      <c r="D39080" s="28"/>
      <c r="F39080" s="28"/>
      <c r="H39080" s="28"/>
    </row>
    <row r="39081" spans="4:8" x14ac:dyDescent="0.25">
      <c r="D39081" s="28"/>
      <c r="F39081" s="28"/>
      <c r="H39081" s="28"/>
    </row>
    <row r="39082" spans="4:8" x14ac:dyDescent="0.25">
      <c r="D39082" s="28"/>
      <c r="F39082" s="28"/>
      <c r="H39082" s="28"/>
    </row>
    <row r="39083" spans="4:8" x14ac:dyDescent="0.25">
      <c r="D39083" s="28"/>
      <c r="F39083" s="28"/>
      <c r="H39083" s="28"/>
    </row>
    <row r="39084" spans="4:8" x14ac:dyDescent="0.25">
      <c r="D39084" s="28"/>
      <c r="F39084" s="28"/>
      <c r="H39084" s="28"/>
    </row>
    <row r="39085" spans="4:8" x14ac:dyDescent="0.25">
      <c r="D39085" s="28"/>
      <c r="F39085" s="28"/>
      <c r="H39085" s="28"/>
    </row>
    <row r="39086" spans="4:8" x14ac:dyDescent="0.25">
      <c r="D39086" s="28"/>
      <c r="F39086" s="28"/>
      <c r="H39086" s="28"/>
    </row>
    <row r="39087" spans="4:8" x14ac:dyDescent="0.25">
      <c r="D39087" s="28"/>
      <c r="F39087" s="28"/>
      <c r="H39087" s="28"/>
    </row>
    <row r="39088" spans="4:8" x14ac:dyDescent="0.25">
      <c r="D39088" s="28"/>
      <c r="F39088" s="28"/>
      <c r="H39088" s="28"/>
    </row>
    <row r="39089" spans="4:8" x14ac:dyDescent="0.25">
      <c r="D39089" s="28"/>
      <c r="F39089" s="28"/>
      <c r="H39089" s="28"/>
    </row>
    <row r="39090" spans="4:8" x14ac:dyDescent="0.25">
      <c r="D39090" s="28"/>
      <c r="F39090" s="28"/>
      <c r="H39090" s="28"/>
    </row>
    <row r="39091" spans="4:8" x14ac:dyDescent="0.25">
      <c r="D39091" s="28"/>
      <c r="F39091" s="28"/>
      <c r="H39091" s="28"/>
    </row>
    <row r="39092" spans="4:8" x14ac:dyDescent="0.25">
      <c r="D39092" s="28"/>
      <c r="F39092" s="28"/>
      <c r="H39092" s="28"/>
    </row>
    <row r="39093" spans="4:8" x14ac:dyDescent="0.25">
      <c r="D39093" s="28"/>
      <c r="F39093" s="28"/>
      <c r="H39093" s="28"/>
    </row>
    <row r="39094" spans="4:8" x14ac:dyDescent="0.25">
      <c r="D39094" s="28"/>
      <c r="F39094" s="28"/>
      <c r="H39094" s="28"/>
    </row>
    <row r="39095" spans="4:8" x14ac:dyDescent="0.25">
      <c r="D39095" s="28"/>
      <c r="F39095" s="28"/>
      <c r="H39095" s="28"/>
    </row>
    <row r="39096" spans="4:8" x14ac:dyDescent="0.25">
      <c r="D39096" s="28"/>
      <c r="F39096" s="28"/>
      <c r="H39096" s="28"/>
    </row>
    <row r="39097" spans="4:8" x14ac:dyDescent="0.25">
      <c r="D39097" s="28"/>
      <c r="F39097" s="28"/>
      <c r="H39097" s="28"/>
    </row>
    <row r="39098" spans="4:8" x14ac:dyDescent="0.25">
      <c r="D39098" s="28"/>
      <c r="F39098" s="28"/>
      <c r="H39098" s="28"/>
    </row>
    <row r="39099" spans="4:8" x14ac:dyDescent="0.25">
      <c r="D39099" s="28"/>
      <c r="F39099" s="28"/>
      <c r="H39099" s="28"/>
    </row>
    <row r="39100" spans="4:8" x14ac:dyDescent="0.25">
      <c r="D39100" s="28"/>
      <c r="F39100" s="28"/>
      <c r="H39100" s="28"/>
    </row>
    <row r="39101" spans="4:8" x14ac:dyDescent="0.25">
      <c r="D39101" s="28"/>
      <c r="F39101" s="28"/>
      <c r="H39101" s="28"/>
    </row>
    <row r="39102" spans="4:8" x14ac:dyDescent="0.25">
      <c r="D39102" s="28"/>
      <c r="F39102" s="28"/>
      <c r="H39102" s="28"/>
    </row>
    <row r="39103" spans="4:8" x14ac:dyDescent="0.25">
      <c r="D39103" s="28"/>
      <c r="F39103" s="28"/>
      <c r="H39103" s="28"/>
    </row>
    <row r="39104" spans="4:8" x14ac:dyDescent="0.25">
      <c r="D39104" s="28"/>
      <c r="F39104" s="28"/>
      <c r="H39104" s="28"/>
    </row>
    <row r="39105" spans="4:8" x14ac:dyDescent="0.25">
      <c r="D39105" s="28"/>
      <c r="F39105" s="28"/>
      <c r="H39105" s="28"/>
    </row>
    <row r="39106" spans="4:8" x14ac:dyDescent="0.25">
      <c r="D39106" s="28"/>
      <c r="F39106" s="28"/>
      <c r="H39106" s="28"/>
    </row>
    <row r="39107" spans="4:8" x14ac:dyDescent="0.25">
      <c r="D39107" s="28"/>
      <c r="F39107" s="28"/>
      <c r="H39107" s="28"/>
    </row>
    <row r="39108" spans="4:8" x14ac:dyDescent="0.25">
      <c r="D39108" s="28"/>
      <c r="F39108" s="28"/>
      <c r="H39108" s="28"/>
    </row>
    <row r="39109" spans="4:8" x14ac:dyDescent="0.25">
      <c r="D39109" s="28"/>
      <c r="F39109" s="28"/>
      <c r="H39109" s="28"/>
    </row>
    <row r="39110" spans="4:8" x14ac:dyDescent="0.25">
      <c r="D39110" s="28"/>
      <c r="F39110" s="28"/>
      <c r="H39110" s="28"/>
    </row>
    <row r="39111" spans="4:8" x14ac:dyDescent="0.25">
      <c r="D39111" s="28"/>
      <c r="F39111" s="28"/>
      <c r="H39111" s="28"/>
    </row>
    <row r="39112" spans="4:8" x14ac:dyDescent="0.25">
      <c r="D39112" s="28"/>
      <c r="F39112" s="28"/>
      <c r="H39112" s="28"/>
    </row>
    <row r="39113" spans="4:8" x14ac:dyDescent="0.25">
      <c r="D39113" s="28"/>
      <c r="F39113" s="28"/>
      <c r="H39113" s="28"/>
    </row>
    <row r="39114" spans="4:8" x14ac:dyDescent="0.25">
      <c r="D39114" s="28"/>
      <c r="F39114" s="28"/>
      <c r="H39114" s="28"/>
    </row>
    <row r="39115" spans="4:8" x14ac:dyDescent="0.25">
      <c r="D39115" s="28"/>
      <c r="F39115" s="28"/>
      <c r="H39115" s="28"/>
    </row>
    <row r="39116" spans="4:8" x14ac:dyDescent="0.25">
      <c r="D39116" s="28"/>
      <c r="F39116" s="28"/>
      <c r="H39116" s="28"/>
    </row>
    <row r="39117" spans="4:8" x14ac:dyDescent="0.25">
      <c r="D39117" s="28"/>
      <c r="F39117" s="28"/>
      <c r="H39117" s="28"/>
    </row>
    <row r="39118" spans="4:8" x14ac:dyDescent="0.25">
      <c r="D39118" s="28"/>
      <c r="F39118" s="28"/>
      <c r="H39118" s="28"/>
    </row>
    <row r="39119" spans="4:8" x14ac:dyDescent="0.25">
      <c r="D39119" s="28"/>
      <c r="F39119" s="28"/>
      <c r="H39119" s="28"/>
    </row>
    <row r="39120" spans="4:8" x14ac:dyDescent="0.25">
      <c r="D39120" s="28"/>
      <c r="F39120" s="28"/>
      <c r="H39120" s="28"/>
    </row>
    <row r="39121" spans="4:8" x14ac:dyDescent="0.25">
      <c r="D39121" s="28"/>
      <c r="F39121" s="28"/>
      <c r="H39121" s="28"/>
    </row>
    <row r="39122" spans="4:8" x14ac:dyDescent="0.25">
      <c r="D39122" s="28"/>
      <c r="F39122" s="28"/>
      <c r="H39122" s="28"/>
    </row>
    <row r="39123" spans="4:8" x14ac:dyDescent="0.25">
      <c r="D39123" s="28"/>
      <c r="F39123" s="28"/>
      <c r="H39123" s="28"/>
    </row>
    <row r="39124" spans="4:8" x14ac:dyDescent="0.25">
      <c r="D39124" s="28"/>
      <c r="F39124" s="28"/>
      <c r="H39124" s="28"/>
    </row>
    <row r="39125" spans="4:8" x14ac:dyDescent="0.25">
      <c r="D39125" s="28"/>
      <c r="F39125" s="28"/>
      <c r="H39125" s="28"/>
    </row>
    <row r="39126" spans="4:8" x14ac:dyDescent="0.25">
      <c r="D39126" s="28"/>
      <c r="F39126" s="28"/>
      <c r="H39126" s="28"/>
    </row>
    <row r="39127" spans="4:8" x14ac:dyDescent="0.25">
      <c r="D39127" s="28"/>
      <c r="F39127" s="28"/>
      <c r="H39127" s="28"/>
    </row>
    <row r="39128" spans="4:8" x14ac:dyDescent="0.25">
      <c r="D39128" s="28"/>
      <c r="F39128" s="28"/>
      <c r="H39128" s="28"/>
    </row>
    <row r="39129" spans="4:8" x14ac:dyDescent="0.25">
      <c r="D39129" s="28"/>
      <c r="F39129" s="28"/>
      <c r="H39129" s="28"/>
    </row>
    <row r="39130" spans="4:8" x14ac:dyDescent="0.25">
      <c r="D39130" s="28"/>
      <c r="F39130" s="28"/>
      <c r="H39130" s="28"/>
    </row>
    <row r="39131" spans="4:8" x14ac:dyDescent="0.25">
      <c r="D39131" s="28"/>
      <c r="F39131" s="28"/>
      <c r="H39131" s="28"/>
    </row>
    <row r="39132" spans="4:8" x14ac:dyDescent="0.25">
      <c r="D39132" s="28"/>
      <c r="F39132" s="28"/>
      <c r="H39132" s="28"/>
    </row>
    <row r="39133" spans="4:8" x14ac:dyDescent="0.25">
      <c r="D39133" s="28"/>
      <c r="F39133" s="28"/>
      <c r="H39133" s="28"/>
    </row>
    <row r="39134" spans="4:8" x14ac:dyDescent="0.25">
      <c r="D39134" s="28"/>
      <c r="F39134" s="28"/>
      <c r="H39134" s="28"/>
    </row>
    <row r="39135" spans="4:8" x14ac:dyDescent="0.25">
      <c r="D39135" s="28"/>
      <c r="F39135" s="28"/>
      <c r="H39135" s="28"/>
    </row>
    <row r="39136" spans="4:8" x14ac:dyDescent="0.25">
      <c r="D39136" s="28"/>
      <c r="F39136" s="28"/>
      <c r="H39136" s="28"/>
    </row>
    <row r="39137" spans="4:8" x14ac:dyDescent="0.25">
      <c r="D39137" s="28"/>
      <c r="F39137" s="28"/>
      <c r="H39137" s="28"/>
    </row>
    <row r="39138" spans="4:8" x14ac:dyDescent="0.25">
      <c r="D39138" s="28"/>
      <c r="F39138" s="28"/>
      <c r="H39138" s="28"/>
    </row>
    <row r="39139" spans="4:8" x14ac:dyDescent="0.25">
      <c r="D39139" s="28"/>
      <c r="F39139" s="28"/>
      <c r="H39139" s="28"/>
    </row>
    <row r="39140" spans="4:8" x14ac:dyDescent="0.25">
      <c r="D39140" s="28"/>
      <c r="F39140" s="28"/>
      <c r="H39140" s="28"/>
    </row>
    <row r="39141" spans="4:8" x14ac:dyDescent="0.25">
      <c r="D39141" s="28"/>
      <c r="F39141" s="28"/>
      <c r="H39141" s="28"/>
    </row>
    <row r="39142" spans="4:8" x14ac:dyDescent="0.25">
      <c r="D39142" s="28"/>
      <c r="F39142" s="28"/>
      <c r="H39142" s="28"/>
    </row>
    <row r="39143" spans="4:8" x14ac:dyDescent="0.25">
      <c r="D39143" s="28"/>
      <c r="F39143" s="28"/>
      <c r="H39143" s="28"/>
    </row>
    <row r="39144" spans="4:8" x14ac:dyDescent="0.25">
      <c r="D39144" s="28"/>
      <c r="F39144" s="28"/>
      <c r="H39144" s="28"/>
    </row>
    <row r="39145" spans="4:8" x14ac:dyDescent="0.25">
      <c r="D39145" s="28"/>
      <c r="F39145" s="28"/>
      <c r="H39145" s="28"/>
    </row>
    <row r="39146" spans="4:8" x14ac:dyDescent="0.25">
      <c r="D39146" s="28"/>
      <c r="F39146" s="28"/>
      <c r="H39146" s="28"/>
    </row>
    <row r="39147" spans="4:8" x14ac:dyDescent="0.25">
      <c r="D39147" s="28"/>
      <c r="F39147" s="28"/>
      <c r="H39147" s="28"/>
    </row>
    <row r="39148" spans="4:8" x14ac:dyDescent="0.25">
      <c r="D39148" s="28"/>
      <c r="F39148" s="28"/>
      <c r="H39148" s="28"/>
    </row>
    <row r="39149" spans="4:8" x14ac:dyDescent="0.25">
      <c r="D39149" s="28"/>
      <c r="F39149" s="28"/>
      <c r="H39149" s="28"/>
    </row>
    <row r="39150" spans="4:8" x14ac:dyDescent="0.25">
      <c r="D39150" s="28"/>
      <c r="F39150" s="28"/>
      <c r="H39150" s="28"/>
    </row>
    <row r="39151" spans="4:8" x14ac:dyDescent="0.25">
      <c r="D39151" s="28"/>
      <c r="F39151" s="28"/>
      <c r="H39151" s="28"/>
    </row>
    <row r="39152" spans="4:8" x14ac:dyDescent="0.25">
      <c r="D39152" s="28"/>
      <c r="F39152" s="28"/>
      <c r="H39152" s="28"/>
    </row>
    <row r="39153" spans="4:8" x14ac:dyDescent="0.25">
      <c r="D39153" s="28"/>
      <c r="F39153" s="28"/>
      <c r="H39153" s="28"/>
    </row>
    <row r="39154" spans="4:8" x14ac:dyDescent="0.25">
      <c r="D39154" s="28"/>
      <c r="F39154" s="28"/>
      <c r="H39154" s="28"/>
    </row>
    <row r="39155" spans="4:8" x14ac:dyDescent="0.25">
      <c r="D39155" s="28"/>
      <c r="F39155" s="28"/>
      <c r="H39155" s="28"/>
    </row>
    <row r="39156" spans="4:8" x14ac:dyDescent="0.25">
      <c r="D39156" s="28"/>
      <c r="F39156" s="28"/>
      <c r="H39156" s="28"/>
    </row>
    <row r="39157" spans="4:8" x14ac:dyDescent="0.25">
      <c r="D39157" s="28"/>
      <c r="F39157" s="28"/>
      <c r="H39157" s="28"/>
    </row>
    <row r="39158" spans="4:8" x14ac:dyDescent="0.25">
      <c r="D39158" s="28"/>
      <c r="F39158" s="28"/>
      <c r="H39158" s="28"/>
    </row>
    <row r="39159" spans="4:8" x14ac:dyDescent="0.25">
      <c r="D39159" s="28"/>
      <c r="F39159" s="28"/>
      <c r="H39159" s="28"/>
    </row>
    <row r="39160" spans="4:8" x14ac:dyDescent="0.25">
      <c r="D39160" s="28"/>
      <c r="F39160" s="28"/>
      <c r="H39160" s="28"/>
    </row>
    <row r="39161" spans="4:8" x14ac:dyDescent="0.25">
      <c r="D39161" s="28"/>
      <c r="F39161" s="28"/>
      <c r="H39161" s="28"/>
    </row>
    <row r="39162" spans="4:8" x14ac:dyDescent="0.25">
      <c r="D39162" s="28"/>
      <c r="F39162" s="28"/>
      <c r="H39162" s="28"/>
    </row>
    <row r="39163" spans="4:8" x14ac:dyDescent="0.25">
      <c r="D39163" s="28"/>
      <c r="F39163" s="28"/>
      <c r="H39163" s="28"/>
    </row>
    <row r="39164" spans="4:8" x14ac:dyDescent="0.25">
      <c r="D39164" s="28"/>
      <c r="F39164" s="28"/>
      <c r="H39164" s="28"/>
    </row>
    <row r="39165" spans="4:8" x14ac:dyDescent="0.25">
      <c r="D39165" s="28"/>
      <c r="F39165" s="28"/>
      <c r="H39165" s="28"/>
    </row>
    <row r="39166" spans="4:8" x14ac:dyDescent="0.25">
      <c r="D39166" s="28"/>
      <c r="F39166" s="28"/>
      <c r="H39166" s="28"/>
    </row>
    <row r="39167" spans="4:8" x14ac:dyDescent="0.25">
      <c r="D39167" s="28"/>
      <c r="F39167" s="28"/>
      <c r="H39167" s="28"/>
    </row>
    <row r="39168" spans="4:8" x14ac:dyDescent="0.25">
      <c r="D39168" s="28"/>
      <c r="F39168" s="28"/>
      <c r="H39168" s="28"/>
    </row>
    <row r="39169" spans="4:8" x14ac:dyDescent="0.25">
      <c r="D39169" s="28"/>
      <c r="F39169" s="28"/>
      <c r="H39169" s="28"/>
    </row>
    <row r="39170" spans="4:8" x14ac:dyDescent="0.25">
      <c r="D39170" s="28"/>
      <c r="F39170" s="28"/>
      <c r="H39170" s="28"/>
    </row>
    <row r="39171" spans="4:8" x14ac:dyDescent="0.25">
      <c r="D39171" s="28"/>
      <c r="F39171" s="28"/>
      <c r="H39171" s="28"/>
    </row>
    <row r="39172" spans="4:8" x14ac:dyDescent="0.25">
      <c r="D39172" s="28"/>
      <c r="F39172" s="28"/>
      <c r="H39172" s="28"/>
    </row>
    <row r="39173" spans="4:8" x14ac:dyDescent="0.25">
      <c r="D39173" s="28"/>
      <c r="F39173" s="28"/>
      <c r="H39173" s="28"/>
    </row>
    <row r="39174" spans="4:8" x14ac:dyDescent="0.25">
      <c r="D39174" s="28"/>
      <c r="F39174" s="28"/>
      <c r="H39174" s="28"/>
    </row>
    <row r="39175" spans="4:8" x14ac:dyDescent="0.25">
      <c r="D39175" s="28"/>
      <c r="F39175" s="28"/>
      <c r="H39175" s="28"/>
    </row>
    <row r="39176" spans="4:8" x14ac:dyDescent="0.25">
      <c r="D39176" s="28"/>
      <c r="F39176" s="28"/>
      <c r="H39176" s="28"/>
    </row>
    <row r="39177" spans="4:8" x14ac:dyDescent="0.25">
      <c r="D39177" s="28"/>
      <c r="F39177" s="28"/>
      <c r="H39177" s="28"/>
    </row>
    <row r="39178" spans="4:8" x14ac:dyDescent="0.25">
      <c r="D39178" s="28"/>
      <c r="F39178" s="28"/>
      <c r="H39178" s="28"/>
    </row>
    <row r="39179" spans="4:8" x14ac:dyDescent="0.25">
      <c r="D39179" s="28"/>
      <c r="F39179" s="28"/>
      <c r="H39179" s="28"/>
    </row>
    <row r="39180" spans="4:8" x14ac:dyDescent="0.25">
      <c r="D39180" s="28"/>
      <c r="F39180" s="28"/>
      <c r="H39180" s="28"/>
    </row>
    <row r="39181" spans="4:8" x14ac:dyDescent="0.25">
      <c r="D39181" s="28"/>
      <c r="F39181" s="28"/>
      <c r="H39181" s="28"/>
    </row>
    <row r="39182" spans="4:8" x14ac:dyDescent="0.25">
      <c r="D39182" s="28"/>
      <c r="F39182" s="28"/>
      <c r="H39182" s="28"/>
    </row>
    <row r="39183" spans="4:8" x14ac:dyDescent="0.25">
      <c r="D39183" s="28"/>
      <c r="F39183" s="28"/>
      <c r="H39183" s="28"/>
    </row>
    <row r="39184" spans="4:8" x14ac:dyDescent="0.25">
      <c r="D39184" s="28"/>
      <c r="F39184" s="28"/>
      <c r="H39184" s="28"/>
    </row>
    <row r="39185" spans="4:8" x14ac:dyDescent="0.25">
      <c r="D39185" s="28"/>
      <c r="F39185" s="28"/>
      <c r="H39185" s="28"/>
    </row>
    <row r="39186" spans="4:8" x14ac:dyDescent="0.25">
      <c r="D39186" s="28"/>
      <c r="F39186" s="28"/>
      <c r="H39186" s="28"/>
    </row>
    <row r="39187" spans="4:8" x14ac:dyDescent="0.25">
      <c r="D39187" s="28"/>
      <c r="F39187" s="28"/>
      <c r="H39187" s="28"/>
    </row>
    <row r="39188" spans="4:8" x14ac:dyDescent="0.25">
      <c r="D39188" s="28"/>
      <c r="F39188" s="28"/>
      <c r="H39188" s="28"/>
    </row>
    <row r="39189" spans="4:8" x14ac:dyDescent="0.25">
      <c r="D39189" s="28"/>
      <c r="F39189" s="28"/>
      <c r="H39189" s="28"/>
    </row>
    <row r="39190" spans="4:8" x14ac:dyDescent="0.25">
      <c r="D39190" s="28"/>
      <c r="F39190" s="28"/>
      <c r="H39190" s="28"/>
    </row>
    <row r="39191" spans="4:8" x14ac:dyDescent="0.25">
      <c r="D39191" s="28"/>
      <c r="F39191" s="28"/>
      <c r="H39191" s="28"/>
    </row>
    <row r="39192" spans="4:8" x14ac:dyDescent="0.25">
      <c r="D39192" s="28"/>
      <c r="F39192" s="28"/>
      <c r="H39192" s="28"/>
    </row>
    <row r="39193" spans="4:8" x14ac:dyDescent="0.25">
      <c r="D39193" s="28"/>
      <c r="F39193" s="28"/>
      <c r="H39193" s="28"/>
    </row>
    <row r="39194" spans="4:8" x14ac:dyDescent="0.25">
      <c r="D39194" s="28"/>
      <c r="F39194" s="28"/>
      <c r="H39194" s="28"/>
    </row>
    <row r="39195" spans="4:8" x14ac:dyDescent="0.25">
      <c r="D39195" s="28"/>
      <c r="F39195" s="28"/>
      <c r="H39195" s="28"/>
    </row>
    <row r="39196" spans="4:8" x14ac:dyDescent="0.25">
      <c r="D39196" s="28"/>
      <c r="F39196" s="28"/>
      <c r="H39196" s="28"/>
    </row>
    <row r="39197" spans="4:8" x14ac:dyDescent="0.25">
      <c r="D39197" s="28"/>
      <c r="F39197" s="28"/>
      <c r="H39197" s="28"/>
    </row>
    <row r="39198" spans="4:8" x14ac:dyDescent="0.25">
      <c r="D39198" s="28"/>
      <c r="F39198" s="28"/>
      <c r="H39198" s="28"/>
    </row>
    <row r="39199" spans="4:8" x14ac:dyDescent="0.25">
      <c r="D39199" s="28"/>
      <c r="F39199" s="28"/>
      <c r="H39199" s="28"/>
    </row>
    <row r="39200" spans="4:8" x14ac:dyDescent="0.25">
      <c r="D39200" s="28"/>
      <c r="F39200" s="28"/>
      <c r="H39200" s="28"/>
    </row>
    <row r="39201" spans="4:8" x14ac:dyDescent="0.25">
      <c r="D39201" s="28"/>
      <c r="F39201" s="28"/>
      <c r="H39201" s="28"/>
    </row>
    <row r="39202" spans="4:8" x14ac:dyDescent="0.25">
      <c r="D39202" s="28"/>
      <c r="F39202" s="28"/>
      <c r="H39202" s="28"/>
    </row>
    <row r="39203" spans="4:8" x14ac:dyDescent="0.25">
      <c r="D39203" s="28"/>
      <c r="F39203" s="28"/>
      <c r="H39203" s="28"/>
    </row>
    <row r="39204" spans="4:8" x14ac:dyDescent="0.25">
      <c r="D39204" s="28"/>
      <c r="F39204" s="28"/>
      <c r="H39204" s="28"/>
    </row>
    <row r="39205" spans="4:8" x14ac:dyDescent="0.25">
      <c r="D39205" s="28"/>
      <c r="F39205" s="28"/>
      <c r="H39205" s="28"/>
    </row>
    <row r="39206" spans="4:8" x14ac:dyDescent="0.25">
      <c r="D39206" s="28"/>
      <c r="F39206" s="28"/>
      <c r="H39206" s="28"/>
    </row>
    <row r="39207" spans="4:8" x14ac:dyDescent="0.25">
      <c r="D39207" s="28"/>
      <c r="F39207" s="28"/>
      <c r="H39207" s="28"/>
    </row>
    <row r="39208" spans="4:8" x14ac:dyDescent="0.25">
      <c r="D39208" s="28"/>
      <c r="F39208" s="28"/>
      <c r="H39208" s="28"/>
    </row>
    <row r="39209" spans="4:8" x14ac:dyDescent="0.25">
      <c r="D39209" s="28"/>
      <c r="F39209" s="28"/>
      <c r="H39209" s="28"/>
    </row>
    <row r="39210" spans="4:8" x14ac:dyDescent="0.25">
      <c r="D39210" s="28"/>
      <c r="F39210" s="28"/>
      <c r="H39210" s="28"/>
    </row>
    <row r="39211" spans="4:8" x14ac:dyDescent="0.25">
      <c r="D39211" s="28"/>
      <c r="F39211" s="28"/>
      <c r="H39211" s="28"/>
    </row>
    <row r="39212" spans="4:8" x14ac:dyDescent="0.25">
      <c r="D39212" s="28"/>
      <c r="F39212" s="28"/>
      <c r="H39212" s="28"/>
    </row>
    <row r="39213" spans="4:8" x14ac:dyDescent="0.25">
      <c r="D39213" s="28"/>
      <c r="F39213" s="28"/>
      <c r="H39213" s="28"/>
    </row>
    <row r="39214" spans="4:8" x14ac:dyDescent="0.25">
      <c r="D39214" s="28"/>
      <c r="F39214" s="28"/>
      <c r="H39214" s="28"/>
    </row>
    <row r="39215" spans="4:8" x14ac:dyDescent="0.25">
      <c r="D39215" s="28"/>
      <c r="F39215" s="28"/>
      <c r="H39215" s="28"/>
    </row>
    <row r="39216" spans="4:8" x14ac:dyDescent="0.25">
      <c r="D39216" s="28"/>
      <c r="F39216" s="28"/>
      <c r="H39216" s="28"/>
    </row>
    <row r="39217" spans="4:8" x14ac:dyDescent="0.25">
      <c r="D39217" s="28"/>
      <c r="F39217" s="28"/>
      <c r="H39217" s="28"/>
    </row>
    <row r="39218" spans="4:8" x14ac:dyDescent="0.25">
      <c r="D39218" s="28"/>
      <c r="F39218" s="28"/>
      <c r="H39218" s="28"/>
    </row>
    <row r="39219" spans="4:8" x14ac:dyDescent="0.25">
      <c r="D39219" s="28"/>
      <c r="F39219" s="28"/>
      <c r="H39219" s="28"/>
    </row>
    <row r="39220" spans="4:8" x14ac:dyDescent="0.25">
      <c r="D39220" s="28"/>
      <c r="F39220" s="28"/>
      <c r="H39220" s="28"/>
    </row>
    <row r="39221" spans="4:8" x14ac:dyDescent="0.25">
      <c r="D39221" s="28"/>
      <c r="F39221" s="28"/>
      <c r="H39221" s="28"/>
    </row>
    <row r="39222" spans="4:8" x14ac:dyDescent="0.25">
      <c r="D39222" s="28"/>
      <c r="F39222" s="28"/>
      <c r="H39222" s="28"/>
    </row>
    <row r="39223" spans="4:8" x14ac:dyDescent="0.25">
      <c r="D39223" s="28"/>
      <c r="F39223" s="28"/>
      <c r="H39223" s="28"/>
    </row>
    <row r="39224" spans="4:8" x14ac:dyDescent="0.25">
      <c r="D39224" s="28"/>
      <c r="F39224" s="28"/>
      <c r="H39224" s="28"/>
    </row>
    <row r="39225" spans="4:8" x14ac:dyDescent="0.25">
      <c r="D39225" s="28"/>
      <c r="F39225" s="28"/>
      <c r="H39225" s="28"/>
    </row>
    <row r="39226" spans="4:8" x14ac:dyDescent="0.25">
      <c r="D39226" s="28"/>
      <c r="F39226" s="28"/>
      <c r="H39226" s="28"/>
    </row>
    <row r="39227" spans="4:8" x14ac:dyDescent="0.25">
      <c r="D39227" s="28"/>
      <c r="F39227" s="28"/>
      <c r="H39227" s="28"/>
    </row>
    <row r="39228" spans="4:8" x14ac:dyDescent="0.25">
      <c r="D39228" s="28"/>
      <c r="F39228" s="28"/>
      <c r="H39228" s="28"/>
    </row>
    <row r="39229" spans="4:8" x14ac:dyDescent="0.25">
      <c r="D39229" s="28"/>
      <c r="F39229" s="28"/>
      <c r="H39229" s="28"/>
    </row>
    <row r="39230" spans="4:8" x14ac:dyDescent="0.25">
      <c r="D39230" s="28"/>
      <c r="F39230" s="28"/>
      <c r="H39230" s="28"/>
    </row>
    <row r="39231" spans="4:8" x14ac:dyDescent="0.25">
      <c r="D39231" s="28"/>
      <c r="F39231" s="28"/>
      <c r="H39231" s="28"/>
    </row>
    <row r="39232" spans="4:8" x14ac:dyDescent="0.25">
      <c r="D39232" s="28"/>
      <c r="F39232" s="28"/>
      <c r="H39232" s="28"/>
    </row>
    <row r="39233" spans="4:8" x14ac:dyDescent="0.25">
      <c r="D39233" s="28"/>
      <c r="F39233" s="28"/>
      <c r="H39233" s="28"/>
    </row>
    <row r="39234" spans="4:8" x14ac:dyDescent="0.25">
      <c r="D39234" s="28"/>
      <c r="F39234" s="28"/>
      <c r="H39234" s="28"/>
    </row>
    <row r="39235" spans="4:8" x14ac:dyDescent="0.25">
      <c r="D39235" s="28"/>
      <c r="F39235" s="28"/>
      <c r="H39235" s="28"/>
    </row>
    <row r="39236" spans="4:8" x14ac:dyDescent="0.25">
      <c r="D39236" s="28"/>
      <c r="F39236" s="28"/>
      <c r="H39236" s="28"/>
    </row>
    <row r="39237" spans="4:8" x14ac:dyDescent="0.25">
      <c r="D39237" s="28"/>
      <c r="F39237" s="28"/>
      <c r="H39237" s="28"/>
    </row>
    <row r="39238" spans="4:8" x14ac:dyDescent="0.25">
      <c r="D39238" s="28"/>
      <c r="F39238" s="28"/>
      <c r="H39238" s="28"/>
    </row>
    <row r="39239" spans="4:8" x14ac:dyDescent="0.25">
      <c r="D39239" s="28"/>
      <c r="F39239" s="28"/>
      <c r="H39239" s="28"/>
    </row>
    <row r="39240" spans="4:8" x14ac:dyDescent="0.25">
      <c r="D39240" s="28"/>
      <c r="F39240" s="28"/>
      <c r="H39240" s="28"/>
    </row>
    <row r="39241" spans="4:8" x14ac:dyDescent="0.25">
      <c r="D39241" s="28"/>
      <c r="F39241" s="28"/>
      <c r="H39241" s="28"/>
    </row>
    <row r="39242" spans="4:8" x14ac:dyDescent="0.25">
      <c r="D39242" s="28"/>
      <c r="F39242" s="28"/>
      <c r="H39242" s="28"/>
    </row>
    <row r="39243" spans="4:8" x14ac:dyDescent="0.25">
      <c r="D39243" s="28"/>
      <c r="F39243" s="28"/>
      <c r="H39243" s="28"/>
    </row>
    <row r="39244" spans="4:8" x14ac:dyDescent="0.25">
      <c r="D39244" s="28"/>
      <c r="F39244" s="28"/>
      <c r="H39244" s="28"/>
    </row>
    <row r="39245" spans="4:8" x14ac:dyDescent="0.25">
      <c r="D39245" s="28"/>
      <c r="F39245" s="28"/>
      <c r="H39245" s="28"/>
    </row>
    <row r="39246" spans="4:8" x14ac:dyDescent="0.25">
      <c r="D39246" s="28"/>
      <c r="F39246" s="28"/>
      <c r="H39246" s="28"/>
    </row>
    <row r="39247" spans="4:8" x14ac:dyDescent="0.25">
      <c r="D39247" s="28"/>
      <c r="F39247" s="28"/>
      <c r="H39247" s="28"/>
    </row>
    <row r="39248" spans="4:8" x14ac:dyDescent="0.25">
      <c r="D39248" s="28"/>
      <c r="F39248" s="28"/>
      <c r="H39248" s="28"/>
    </row>
    <row r="39249" spans="4:8" x14ac:dyDescent="0.25">
      <c r="D39249" s="28"/>
      <c r="F39249" s="28"/>
      <c r="H39249" s="28"/>
    </row>
    <row r="39250" spans="4:8" x14ac:dyDescent="0.25">
      <c r="D39250" s="28"/>
      <c r="F39250" s="28"/>
      <c r="H39250" s="28"/>
    </row>
    <row r="39251" spans="4:8" x14ac:dyDescent="0.25">
      <c r="D39251" s="28"/>
      <c r="F39251" s="28"/>
      <c r="H39251" s="28"/>
    </row>
    <row r="39252" spans="4:8" x14ac:dyDescent="0.25">
      <c r="D39252" s="28"/>
      <c r="F39252" s="28"/>
      <c r="H39252" s="28"/>
    </row>
    <row r="39253" spans="4:8" x14ac:dyDescent="0.25">
      <c r="D39253" s="28"/>
      <c r="F39253" s="28"/>
      <c r="H39253" s="28"/>
    </row>
    <row r="39254" spans="4:8" x14ac:dyDescent="0.25">
      <c r="D39254" s="28"/>
      <c r="F39254" s="28"/>
      <c r="H39254" s="28"/>
    </row>
    <row r="39255" spans="4:8" x14ac:dyDescent="0.25">
      <c r="D39255" s="28"/>
      <c r="F39255" s="28"/>
      <c r="H39255" s="28"/>
    </row>
    <row r="39256" spans="4:8" x14ac:dyDescent="0.25">
      <c r="D39256" s="28"/>
      <c r="F39256" s="28"/>
      <c r="H39256" s="28"/>
    </row>
    <row r="39257" spans="4:8" x14ac:dyDescent="0.25">
      <c r="D39257" s="28"/>
      <c r="F39257" s="28"/>
      <c r="H39257" s="28"/>
    </row>
    <row r="39258" spans="4:8" x14ac:dyDescent="0.25">
      <c r="D39258" s="28"/>
      <c r="F39258" s="28"/>
      <c r="H39258" s="28"/>
    </row>
    <row r="39259" spans="4:8" x14ac:dyDescent="0.25">
      <c r="D39259" s="28"/>
      <c r="F39259" s="28"/>
      <c r="H39259" s="28"/>
    </row>
    <row r="39260" spans="4:8" x14ac:dyDescent="0.25">
      <c r="D39260" s="28"/>
      <c r="F39260" s="28"/>
      <c r="H39260" s="28"/>
    </row>
    <row r="39261" spans="4:8" x14ac:dyDescent="0.25">
      <c r="D39261" s="28"/>
      <c r="F39261" s="28"/>
      <c r="H39261" s="28"/>
    </row>
    <row r="39262" spans="4:8" x14ac:dyDescent="0.25">
      <c r="D39262" s="28"/>
      <c r="F39262" s="28"/>
      <c r="H39262" s="28"/>
    </row>
    <row r="39263" spans="4:8" x14ac:dyDescent="0.25">
      <c r="D39263" s="28"/>
      <c r="F39263" s="28"/>
      <c r="H39263" s="28"/>
    </row>
    <row r="39264" spans="4:8" x14ac:dyDescent="0.25">
      <c r="D39264" s="28"/>
      <c r="F39264" s="28"/>
      <c r="H39264" s="28"/>
    </row>
    <row r="39265" spans="4:8" x14ac:dyDescent="0.25">
      <c r="D39265" s="28"/>
      <c r="F39265" s="28"/>
      <c r="H39265" s="28"/>
    </row>
    <row r="39266" spans="4:8" x14ac:dyDescent="0.25">
      <c r="D39266" s="28"/>
      <c r="F39266" s="28"/>
      <c r="H39266" s="28"/>
    </row>
    <row r="39267" spans="4:8" x14ac:dyDescent="0.25">
      <c r="D39267" s="28"/>
      <c r="F39267" s="28"/>
      <c r="H39267" s="28"/>
    </row>
    <row r="39268" spans="4:8" x14ac:dyDescent="0.25">
      <c r="D39268" s="28"/>
      <c r="F39268" s="28"/>
      <c r="H39268" s="28"/>
    </row>
    <row r="39269" spans="4:8" x14ac:dyDescent="0.25">
      <c r="D39269" s="28"/>
      <c r="F39269" s="28"/>
      <c r="H39269" s="28"/>
    </row>
    <row r="39270" spans="4:8" x14ac:dyDescent="0.25">
      <c r="D39270" s="28"/>
      <c r="F39270" s="28"/>
      <c r="H39270" s="28"/>
    </row>
    <row r="39271" spans="4:8" x14ac:dyDescent="0.25">
      <c r="D39271" s="28"/>
      <c r="F39271" s="28"/>
      <c r="H39271" s="28"/>
    </row>
    <row r="39272" spans="4:8" x14ac:dyDescent="0.25">
      <c r="D39272" s="28"/>
      <c r="F39272" s="28"/>
      <c r="H39272" s="28"/>
    </row>
    <row r="39273" spans="4:8" x14ac:dyDescent="0.25">
      <c r="D39273" s="28"/>
      <c r="F39273" s="28"/>
      <c r="H39273" s="28"/>
    </row>
    <row r="39274" spans="4:8" x14ac:dyDescent="0.25">
      <c r="D39274" s="28"/>
      <c r="F39274" s="28"/>
      <c r="H39274" s="28"/>
    </row>
    <row r="39275" spans="4:8" x14ac:dyDescent="0.25">
      <c r="D39275" s="28"/>
      <c r="F39275" s="28"/>
      <c r="H39275" s="28"/>
    </row>
    <row r="39276" spans="4:8" x14ac:dyDescent="0.25">
      <c r="D39276" s="28"/>
      <c r="F39276" s="28"/>
      <c r="H39276" s="28"/>
    </row>
    <row r="39277" spans="4:8" x14ac:dyDescent="0.25">
      <c r="D39277" s="28"/>
      <c r="F39277" s="28"/>
      <c r="H39277" s="28"/>
    </row>
    <row r="39278" spans="4:8" x14ac:dyDescent="0.25">
      <c r="D39278" s="28"/>
      <c r="F39278" s="28"/>
      <c r="H39278" s="28"/>
    </row>
    <row r="39279" spans="4:8" x14ac:dyDescent="0.25">
      <c r="D39279" s="28"/>
      <c r="F39279" s="28"/>
      <c r="H39279" s="28"/>
    </row>
    <row r="39280" spans="4:8" x14ac:dyDescent="0.25">
      <c r="D39280" s="28"/>
      <c r="F39280" s="28"/>
      <c r="H39280" s="28"/>
    </row>
    <row r="39281" spans="4:8" x14ac:dyDescent="0.25">
      <c r="D39281" s="28"/>
      <c r="F39281" s="28"/>
      <c r="H39281" s="28"/>
    </row>
    <row r="39282" spans="4:8" x14ac:dyDescent="0.25">
      <c r="D39282" s="28"/>
      <c r="F39282" s="28"/>
      <c r="H39282" s="28"/>
    </row>
    <row r="39283" spans="4:8" x14ac:dyDescent="0.25">
      <c r="D39283" s="28"/>
      <c r="F39283" s="28"/>
      <c r="H39283" s="28"/>
    </row>
    <row r="39284" spans="4:8" x14ac:dyDescent="0.25">
      <c r="D39284" s="28"/>
      <c r="F39284" s="28"/>
      <c r="H39284" s="28"/>
    </row>
    <row r="39285" spans="4:8" x14ac:dyDescent="0.25">
      <c r="D39285" s="28"/>
      <c r="F39285" s="28"/>
      <c r="H39285" s="28"/>
    </row>
    <row r="39286" spans="4:8" x14ac:dyDescent="0.25">
      <c r="D39286" s="28"/>
      <c r="F39286" s="28"/>
      <c r="H39286" s="28"/>
    </row>
    <row r="39287" spans="4:8" x14ac:dyDescent="0.25">
      <c r="D39287" s="28"/>
      <c r="F39287" s="28"/>
      <c r="H39287" s="28"/>
    </row>
    <row r="39288" spans="4:8" x14ac:dyDescent="0.25">
      <c r="D39288" s="28"/>
      <c r="F39288" s="28"/>
      <c r="H39288" s="28"/>
    </row>
    <row r="39289" spans="4:8" x14ac:dyDescent="0.25">
      <c r="D39289" s="28"/>
      <c r="F39289" s="28"/>
      <c r="H39289" s="28"/>
    </row>
    <row r="39290" spans="4:8" x14ac:dyDescent="0.25">
      <c r="D39290" s="28"/>
      <c r="F39290" s="28"/>
      <c r="H39290" s="28"/>
    </row>
    <row r="39291" spans="4:8" x14ac:dyDescent="0.25">
      <c r="D39291" s="28"/>
      <c r="F39291" s="28"/>
      <c r="H39291" s="28"/>
    </row>
    <row r="39292" spans="4:8" x14ac:dyDescent="0.25">
      <c r="D39292" s="28"/>
      <c r="F39292" s="28"/>
      <c r="H39292" s="28"/>
    </row>
    <row r="39293" spans="4:8" x14ac:dyDescent="0.25">
      <c r="D39293" s="28"/>
      <c r="F39293" s="28"/>
      <c r="H39293" s="28"/>
    </row>
    <row r="39294" spans="4:8" x14ac:dyDescent="0.25">
      <c r="D39294" s="28"/>
      <c r="F39294" s="28"/>
      <c r="H39294" s="28"/>
    </row>
    <row r="39295" spans="4:8" x14ac:dyDescent="0.25">
      <c r="D39295" s="28"/>
      <c r="F39295" s="28"/>
      <c r="H39295" s="28"/>
    </row>
    <row r="39296" spans="4:8" x14ac:dyDescent="0.25">
      <c r="D39296" s="28"/>
      <c r="F39296" s="28"/>
      <c r="H39296" s="28"/>
    </row>
    <row r="39297" spans="4:8" x14ac:dyDescent="0.25">
      <c r="D39297" s="28"/>
      <c r="F39297" s="28"/>
      <c r="H39297" s="28"/>
    </row>
    <row r="39298" spans="4:8" x14ac:dyDescent="0.25">
      <c r="D39298" s="28"/>
      <c r="F39298" s="28"/>
      <c r="H39298" s="28"/>
    </row>
    <row r="39299" spans="4:8" x14ac:dyDescent="0.25">
      <c r="D39299" s="28"/>
      <c r="F39299" s="28"/>
      <c r="H39299" s="28"/>
    </row>
    <row r="39300" spans="4:8" x14ac:dyDescent="0.25">
      <c r="D39300" s="28"/>
      <c r="F39300" s="28"/>
      <c r="H39300" s="28"/>
    </row>
    <row r="39301" spans="4:8" x14ac:dyDescent="0.25">
      <c r="D39301" s="28"/>
      <c r="F39301" s="28"/>
      <c r="H39301" s="28"/>
    </row>
    <row r="39302" spans="4:8" x14ac:dyDescent="0.25">
      <c r="D39302" s="28"/>
      <c r="F39302" s="28"/>
      <c r="H39302" s="28"/>
    </row>
    <row r="39303" spans="4:8" x14ac:dyDescent="0.25">
      <c r="D39303" s="28"/>
      <c r="F39303" s="28"/>
      <c r="H39303" s="28"/>
    </row>
    <row r="39304" spans="4:8" x14ac:dyDescent="0.25">
      <c r="D39304" s="28"/>
      <c r="F39304" s="28"/>
      <c r="H39304" s="28"/>
    </row>
    <row r="39305" spans="4:8" x14ac:dyDescent="0.25">
      <c r="D39305" s="28"/>
      <c r="F39305" s="28"/>
      <c r="H39305" s="28"/>
    </row>
    <row r="39306" spans="4:8" x14ac:dyDescent="0.25">
      <c r="D39306" s="28"/>
      <c r="F39306" s="28"/>
      <c r="H39306" s="28"/>
    </row>
    <row r="39307" spans="4:8" x14ac:dyDescent="0.25">
      <c r="D39307" s="28"/>
      <c r="F39307" s="28"/>
      <c r="H39307" s="28"/>
    </row>
    <row r="39308" spans="4:8" x14ac:dyDescent="0.25">
      <c r="D39308" s="28"/>
      <c r="F39308" s="28"/>
      <c r="H39308" s="28"/>
    </row>
    <row r="39309" spans="4:8" x14ac:dyDescent="0.25">
      <c r="D39309" s="28"/>
      <c r="F39309" s="28"/>
      <c r="H39309" s="28"/>
    </row>
    <row r="39310" spans="4:8" x14ac:dyDescent="0.25">
      <c r="D39310" s="28"/>
      <c r="F39310" s="28"/>
      <c r="H39310" s="28"/>
    </row>
    <row r="39311" spans="4:8" x14ac:dyDescent="0.25">
      <c r="D39311" s="28"/>
      <c r="F39311" s="28"/>
      <c r="H39311" s="28"/>
    </row>
    <row r="39312" spans="4:8" x14ac:dyDescent="0.25">
      <c r="D39312" s="28"/>
      <c r="F39312" s="28"/>
      <c r="H39312" s="28"/>
    </row>
    <row r="39313" spans="4:8" x14ac:dyDescent="0.25">
      <c r="D39313" s="28"/>
      <c r="F39313" s="28"/>
      <c r="H39313" s="28"/>
    </row>
    <row r="39314" spans="4:8" x14ac:dyDescent="0.25">
      <c r="D39314" s="28"/>
      <c r="F39314" s="28"/>
      <c r="H39314" s="28"/>
    </row>
    <row r="39315" spans="4:8" x14ac:dyDescent="0.25">
      <c r="D39315" s="28"/>
      <c r="F39315" s="28"/>
      <c r="H39315" s="28"/>
    </row>
    <row r="39316" spans="4:8" x14ac:dyDescent="0.25">
      <c r="D39316" s="28"/>
      <c r="F39316" s="28"/>
      <c r="H39316" s="28"/>
    </row>
    <row r="39317" spans="4:8" x14ac:dyDescent="0.25">
      <c r="D39317" s="28"/>
      <c r="F39317" s="28"/>
      <c r="H39317" s="28"/>
    </row>
    <row r="39318" spans="4:8" x14ac:dyDescent="0.25">
      <c r="D39318" s="28"/>
      <c r="F39318" s="28"/>
      <c r="H39318" s="28"/>
    </row>
    <row r="39319" spans="4:8" x14ac:dyDescent="0.25">
      <c r="D39319" s="28"/>
      <c r="F39319" s="28"/>
      <c r="H39319" s="28"/>
    </row>
    <row r="39320" spans="4:8" x14ac:dyDescent="0.25">
      <c r="D39320" s="28"/>
      <c r="F39320" s="28"/>
      <c r="H39320" s="28"/>
    </row>
    <row r="39321" spans="4:8" x14ac:dyDescent="0.25">
      <c r="D39321" s="28"/>
      <c r="F39321" s="28"/>
      <c r="H39321" s="28"/>
    </row>
    <row r="39322" spans="4:8" x14ac:dyDescent="0.25">
      <c r="D39322" s="28"/>
      <c r="F39322" s="28"/>
      <c r="H39322" s="28"/>
    </row>
    <row r="39323" spans="4:8" x14ac:dyDescent="0.25">
      <c r="D39323" s="28"/>
      <c r="F39323" s="28"/>
      <c r="H39323" s="28"/>
    </row>
    <row r="39324" spans="4:8" x14ac:dyDescent="0.25">
      <c r="D39324" s="28"/>
      <c r="F39324" s="28"/>
      <c r="H39324" s="28"/>
    </row>
    <row r="39325" spans="4:8" x14ac:dyDescent="0.25">
      <c r="D39325" s="28"/>
      <c r="F39325" s="28"/>
      <c r="H39325" s="28"/>
    </row>
    <row r="39326" spans="4:8" x14ac:dyDescent="0.25">
      <c r="D39326" s="28"/>
      <c r="F39326" s="28"/>
      <c r="H39326" s="28"/>
    </row>
    <row r="39327" spans="4:8" x14ac:dyDescent="0.25">
      <c r="D39327" s="28"/>
      <c r="F39327" s="28"/>
      <c r="H39327" s="28"/>
    </row>
    <row r="39328" spans="4:8" x14ac:dyDescent="0.25">
      <c r="D39328" s="28"/>
      <c r="F39328" s="28"/>
      <c r="H39328" s="28"/>
    </row>
    <row r="39329" spans="4:8" x14ac:dyDescent="0.25">
      <c r="D39329" s="28"/>
      <c r="F39329" s="28"/>
      <c r="H39329" s="28"/>
    </row>
    <row r="39330" spans="4:8" x14ac:dyDescent="0.25">
      <c r="D39330" s="28"/>
      <c r="F39330" s="28"/>
      <c r="H39330" s="28"/>
    </row>
    <row r="39331" spans="4:8" x14ac:dyDescent="0.25">
      <c r="D39331" s="28"/>
      <c r="F39331" s="28"/>
      <c r="H39331" s="28"/>
    </row>
    <row r="39332" spans="4:8" x14ac:dyDescent="0.25">
      <c r="D39332" s="28"/>
      <c r="F39332" s="28"/>
      <c r="H39332" s="28"/>
    </row>
    <row r="39333" spans="4:8" x14ac:dyDescent="0.25">
      <c r="D39333" s="28"/>
      <c r="F39333" s="28"/>
      <c r="H39333" s="28"/>
    </row>
    <row r="39334" spans="4:8" x14ac:dyDescent="0.25">
      <c r="D39334" s="28"/>
      <c r="F39334" s="28"/>
      <c r="H39334" s="28"/>
    </row>
    <row r="39335" spans="4:8" x14ac:dyDescent="0.25">
      <c r="D39335" s="28"/>
      <c r="F39335" s="28"/>
      <c r="H39335" s="28"/>
    </row>
    <row r="39336" spans="4:8" x14ac:dyDescent="0.25">
      <c r="D39336" s="28"/>
      <c r="F39336" s="28"/>
      <c r="H39336" s="28"/>
    </row>
    <row r="39337" spans="4:8" x14ac:dyDescent="0.25">
      <c r="D39337" s="28"/>
      <c r="F39337" s="28"/>
      <c r="H39337" s="28"/>
    </row>
    <row r="39338" spans="4:8" x14ac:dyDescent="0.25">
      <c r="D39338" s="28"/>
      <c r="F39338" s="28"/>
      <c r="H39338" s="28"/>
    </row>
    <row r="39339" spans="4:8" x14ac:dyDescent="0.25">
      <c r="D39339" s="28"/>
      <c r="F39339" s="28"/>
      <c r="H39339" s="28"/>
    </row>
    <row r="39340" spans="4:8" x14ac:dyDescent="0.25">
      <c r="D39340" s="28"/>
      <c r="F39340" s="28"/>
      <c r="H39340" s="28"/>
    </row>
    <row r="39341" spans="4:8" x14ac:dyDescent="0.25">
      <c r="D39341" s="28"/>
      <c r="F39341" s="28"/>
      <c r="H39341" s="28"/>
    </row>
    <row r="39342" spans="4:8" x14ac:dyDescent="0.25">
      <c r="D39342" s="28"/>
      <c r="F39342" s="28"/>
      <c r="H39342" s="28"/>
    </row>
    <row r="39343" spans="4:8" x14ac:dyDescent="0.25">
      <c r="D39343" s="28"/>
      <c r="F39343" s="28"/>
      <c r="H39343" s="28"/>
    </row>
    <row r="39344" spans="4:8" x14ac:dyDescent="0.25">
      <c r="D39344" s="28"/>
      <c r="F39344" s="28"/>
      <c r="H39344" s="28"/>
    </row>
    <row r="39345" spans="4:8" x14ac:dyDescent="0.25">
      <c r="D39345" s="28"/>
      <c r="F39345" s="28"/>
      <c r="H39345" s="28"/>
    </row>
    <row r="39346" spans="4:8" x14ac:dyDescent="0.25">
      <c r="D39346" s="28"/>
      <c r="F39346" s="28"/>
      <c r="H39346" s="28"/>
    </row>
    <row r="39347" spans="4:8" x14ac:dyDescent="0.25">
      <c r="D39347" s="28"/>
      <c r="F39347" s="28"/>
      <c r="H39347" s="28"/>
    </row>
    <row r="39348" spans="4:8" x14ac:dyDescent="0.25">
      <c r="D39348" s="28"/>
      <c r="F39348" s="28"/>
      <c r="H39348" s="28"/>
    </row>
    <row r="39349" spans="4:8" x14ac:dyDescent="0.25">
      <c r="D39349" s="28"/>
      <c r="F39349" s="28"/>
      <c r="H39349" s="28"/>
    </row>
    <row r="39350" spans="4:8" x14ac:dyDescent="0.25">
      <c r="D39350" s="28"/>
      <c r="F39350" s="28"/>
      <c r="H39350" s="28"/>
    </row>
    <row r="39351" spans="4:8" x14ac:dyDescent="0.25">
      <c r="D39351" s="28"/>
      <c r="F39351" s="28"/>
      <c r="H39351" s="28"/>
    </row>
    <row r="39352" spans="4:8" x14ac:dyDescent="0.25">
      <c r="D39352" s="28"/>
      <c r="F39352" s="28"/>
      <c r="H39352" s="28"/>
    </row>
    <row r="39353" spans="4:8" x14ac:dyDescent="0.25">
      <c r="D39353" s="28"/>
      <c r="F39353" s="28"/>
      <c r="H39353" s="28"/>
    </row>
    <row r="39354" spans="4:8" x14ac:dyDescent="0.25">
      <c r="D39354" s="28"/>
      <c r="F39354" s="28"/>
      <c r="H39354" s="28"/>
    </row>
    <row r="39355" spans="4:8" x14ac:dyDescent="0.25">
      <c r="D39355" s="28"/>
      <c r="F39355" s="28"/>
      <c r="H39355" s="28"/>
    </row>
    <row r="39356" spans="4:8" x14ac:dyDescent="0.25">
      <c r="D39356" s="28"/>
      <c r="F39356" s="28"/>
      <c r="H39356" s="28"/>
    </row>
    <row r="39357" spans="4:8" x14ac:dyDescent="0.25">
      <c r="D39357" s="28"/>
      <c r="F39357" s="28"/>
      <c r="H39357" s="28"/>
    </row>
    <row r="39358" spans="4:8" x14ac:dyDescent="0.25">
      <c r="D39358" s="28"/>
      <c r="F39358" s="28"/>
      <c r="H39358" s="28"/>
    </row>
    <row r="39359" spans="4:8" x14ac:dyDescent="0.25">
      <c r="D39359" s="28"/>
      <c r="F39359" s="28"/>
      <c r="H39359" s="28"/>
    </row>
    <row r="39360" spans="4:8" x14ac:dyDescent="0.25">
      <c r="D39360" s="28"/>
      <c r="F39360" s="28"/>
      <c r="H39360" s="28"/>
    </row>
    <row r="39361" spans="4:8" x14ac:dyDescent="0.25">
      <c r="D39361" s="28"/>
      <c r="F39361" s="28"/>
      <c r="H39361" s="28"/>
    </row>
    <row r="39362" spans="4:8" x14ac:dyDescent="0.25">
      <c r="D39362" s="28"/>
      <c r="F39362" s="28"/>
      <c r="H39362" s="28"/>
    </row>
    <row r="39363" spans="4:8" x14ac:dyDescent="0.25">
      <c r="D39363" s="28"/>
      <c r="F39363" s="28"/>
      <c r="H39363" s="28"/>
    </row>
    <row r="39364" spans="4:8" x14ac:dyDescent="0.25">
      <c r="D39364" s="28"/>
      <c r="F39364" s="28"/>
      <c r="H39364" s="28"/>
    </row>
    <row r="39365" spans="4:8" x14ac:dyDescent="0.25">
      <c r="D39365" s="28"/>
      <c r="F39365" s="28"/>
      <c r="H39365" s="28"/>
    </row>
    <row r="39366" spans="4:8" x14ac:dyDescent="0.25">
      <c r="D39366" s="28"/>
      <c r="F39366" s="28"/>
      <c r="H39366" s="28"/>
    </row>
    <row r="39367" spans="4:8" x14ac:dyDescent="0.25">
      <c r="D39367" s="28"/>
      <c r="F39367" s="28"/>
      <c r="H39367" s="28"/>
    </row>
    <row r="39368" spans="4:8" x14ac:dyDescent="0.25">
      <c r="D39368" s="28"/>
      <c r="F39368" s="28"/>
      <c r="H39368" s="28"/>
    </row>
    <row r="39369" spans="4:8" x14ac:dyDescent="0.25">
      <c r="D39369" s="28"/>
      <c r="F39369" s="28"/>
      <c r="H39369" s="28"/>
    </row>
    <row r="39370" spans="4:8" x14ac:dyDescent="0.25">
      <c r="D39370" s="28"/>
      <c r="F39370" s="28"/>
      <c r="H39370" s="28"/>
    </row>
    <row r="39371" spans="4:8" x14ac:dyDescent="0.25">
      <c r="D39371" s="28"/>
      <c r="F39371" s="28"/>
      <c r="H39371" s="28"/>
    </row>
    <row r="39372" spans="4:8" x14ac:dyDescent="0.25">
      <c r="D39372" s="28"/>
      <c r="F39372" s="28"/>
      <c r="H39372" s="28"/>
    </row>
    <row r="39373" spans="4:8" x14ac:dyDescent="0.25">
      <c r="D39373" s="28"/>
      <c r="F39373" s="28"/>
      <c r="H39373" s="28"/>
    </row>
    <row r="39374" spans="4:8" x14ac:dyDescent="0.25">
      <c r="D39374" s="28"/>
      <c r="F39374" s="28"/>
      <c r="H39374" s="28"/>
    </row>
    <row r="39375" spans="4:8" x14ac:dyDescent="0.25">
      <c r="D39375" s="28"/>
      <c r="F39375" s="28"/>
      <c r="H39375" s="28"/>
    </row>
    <row r="39376" spans="4:8" x14ac:dyDescent="0.25">
      <c r="D39376" s="28"/>
      <c r="F39376" s="28"/>
      <c r="H39376" s="28"/>
    </row>
    <row r="39377" spans="4:8" x14ac:dyDescent="0.25">
      <c r="D39377" s="28"/>
      <c r="F39377" s="28"/>
      <c r="H39377" s="28"/>
    </row>
    <row r="39378" spans="4:8" x14ac:dyDescent="0.25">
      <c r="D39378" s="28"/>
      <c r="F39378" s="28"/>
      <c r="H39378" s="28"/>
    </row>
    <row r="39379" spans="4:8" x14ac:dyDescent="0.25">
      <c r="D39379" s="28"/>
      <c r="F39379" s="28"/>
      <c r="H39379" s="28"/>
    </row>
    <row r="39380" spans="4:8" x14ac:dyDescent="0.25">
      <c r="D39380" s="28"/>
      <c r="F39380" s="28"/>
      <c r="H39380" s="28"/>
    </row>
    <row r="39381" spans="4:8" x14ac:dyDescent="0.25">
      <c r="D39381" s="28"/>
      <c r="F39381" s="28"/>
      <c r="H39381" s="28"/>
    </row>
    <row r="39382" spans="4:8" x14ac:dyDescent="0.25">
      <c r="D39382" s="28"/>
      <c r="F39382" s="28"/>
      <c r="H39382" s="28"/>
    </row>
    <row r="39383" spans="4:8" x14ac:dyDescent="0.25">
      <c r="D39383" s="28"/>
      <c r="F39383" s="28"/>
      <c r="H39383" s="28"/>
    </row>
    <row r="39384" spans="4:8" x14ac:dyDescent="0.25">
      <c r="D39384" s="28"/>
      <c r="F39384" s="28"/>
      <c r="H39384" s="28"/>
    </row>
    <row r="39385" spans="4:8" x14ac:dyDescent="0.25">
      <c r="D39385" s="28"/>
      <c r="F39385" s="28"/>
      <c r="H39385" s="28"/>
    </row>
    <row r="39386" spans="4:8" x14ac:dyDescent="0.25">
      <c r="D39386" s="28"/>
      <c r="F39386" s="28"/>
      <c r="H39386" s="28"/>
    </row>
    <row r="39387" spans="4:8" x14ac:dyDescent="0.25">
      <c r="D39387" s="28"/>
      <c r="F39387" s="28"/>
      <c r="H39387" s="28"/>
    </row>
    <row r="39388" spans="4:8" x14ac:dyDescent="0.25">
      <c r="D39388" s="28"/>
      <c r="F39388" s="28"/>
      <c r="H39388" s="28"/>
    </row>
    <row r="39389" spans="4:8" x14ac:dyDescent="0.25">
      <c r="D39389" s="28"/>
      <c r="F39389" s="28"/>
      <c r="H39389" s="28"/>
    </row>
    <row r="39390" spans="4:8" x14ac:dyDescent="0.25">
      <c r="D39390" s="28"/>
      <c r="F39390" s="28"/>
      <c r="H39390" s="28"/>
    </row>
    <row r="39391" spans="4:8" x14ac:dyDescent="0.25">
      <c r="D39391" s="28"/>
      <c r="F39391" s="28"/>
      <c r="H39391" s="28"/>
    </row>
    <row r="39392" spans="4:8" x14ac:dyDescent="0.25">
      <c r="D39392" s="28"/>
      <c r="F39392" s="28"/>
      <c r="H39392" s="28"/>
    </row>
    <row r="39393" spans="4:8" x14ac:dyDescent="0.25">
      <c r="D39393" s="28"/>
      <c r="F39393" s="28"/>
      <c r="H39393" s="28"/>
    </row>
    <row r="39394" spans="4:8" x14ac:dyDescent="0.25">
      <c r="D39394" s="28"/>
      <c r="F39394" s="28"/>
      <c r="H39394" s="28"/>
    </row>
    <row r="39395" spans="4:8" x14ac:dyDescent="0.25">
      <c r="D39395" s="28"/>
      <c r="F39395" s="28"/>
      <c r="H39395" s="28"/>
    </row>
    <row r="39396" spans="4:8" x14ac:dyDescent="0.25">
      <c r="D39396" s="28"/>
      <c r="F39396" s="28"/>
      <c r="H39396" s="28"/>
    </row>
    <row r="39397" spans="4:8" x14ac:dyDescent="0.25">
      <c r="D39397" s="28"/>
      <c r="F39397" s="28"/>
      <c r="H39397" s="28"/>
    </row>
    <row r="39398" spans="4:8" x14ac:dyDescent="0.25">
      <c r="D39398" s="28"/>
      <c r="F39398" s="28"/>
      <c r="H39398" s="28"/>
    </row>
    <row r="39399" spans="4:8" x14ac:dyDescent="0.25">
      <c r="D39399" s="28"/>
      <c r="F39399" s="28"/>
      <c r="H39399" s="28"/>
    </row>
    <row r="39400" spans="4:8" x14ac:dyDescent="0.25">
      <c r="D39400" s="28"/>
      <c r="F39400" s="28"/>
      <c r="H39400" s="28"/>
    </row>
    <row r="39401" spans="4:8" x14ac:dyDescent="0.25">
      <c r="D39401" s="28"/>
      <c r="F39401" s="28"/>
      <c r="H39401" s="28"/>
    </row>
    <row r="39402" spans="4:8" x14ac:dyDescent="0.25">
      <c r="D39402" s="28"/>
      <c r="F39402" s="28"/>
      <c r="H39402" s="28"/>
    </row>
    <row r="39403" spans="4:8" x14ac:dyDescent="0.25">
      <c r="D39403" s="28"/>
      <c r="F39403" s="28"/>
      <c r="H39403" s="28"/>
    </row>
    <row r="39404" spans="4:8" x14ac:dyDescent="0.25">
      <c r="D39404" s="28"/>
      <c r="F39404" s="28"/>
      <c r="H39404" s="28"/>
    </row>
    <row r="39405" spans="4:8" x14ac:dyDescent="0.25">
      <c r="D39405" s="28"/>
      <c r="F39405" s="28"/>
      <c r="H39405" s="28"/>
    </row>
    <row r="39406" spans="4:8" x14ac:dyDescent="0.25">
      <c r="D39406" s="28"/>
      <c r="F39406" s="28"/>
      <c r="H39406" s="28"/>
    </row>
    <row r="39407" spans="4:8" x14ac:dyDescent="0.25">
      <c r="D39407" s="28"/>
      <c r="F39407" s="28"/>
      <c r="H39407" s="28"/>
    </row>
    <row r="39408" spans="4:8" x14ac:dyDescent="0.25">
      <c r="D39408" s="28"/>
      <c r="F39408" s="28"/>
      <c r="H39408" s="28"/>
    </row>
    <row r="39409" spans="4:8" x14ac:dyDescent="0.25">
      <c r="D39409" s="28"/>
      <c r="F39409" s="28"/>
      <c r="H39409" s="28"/>
    </row>
    <row r="39410" spans="4:8" x14ac:dyDescent="0.25">
      <c r="D39410" s="28"/>
      <c r="F39410" s="28"/>
      <c r="H39410" s="28"/>
    </row>
    <row r="39411" spans="4:8" x14ac:dyDescent="0.25">
      <c r="D39411" s="28"/>
      <c r="F39411" s="28"/>
      <c r="H39411" s="28"/>
    </row>
    <row r="39412" spans="4:8" x14ac:dyDescent="0.25">
      <c r="D39412" s="28"/>
      <c r="F39412" s="28"/>
      <c r="H39412" s="28"/>
    </row>
    <row r="39413" spans="4:8" x14ac:dyDescent="0.25">
      <c r="D39413" s="28"/>
      <c r="F39413" s="28"/>
      <c r="H39413" s="28"/>
    </row>
    <row r="39414" spans="4:8" x14ac:dyDescent="0.25">
      <c r="D39414" s="28"/>
      <c r="F39414" s="28"/>
      <c r="H39414" s="28"/>
    </row>
    <row r="39415" spans="4:8" x14ac:dyDescent="0.25">
      <c r="D39415" s="28"/>
      <c r="F39415" s="28"/>
      <c r="H39415" s="28"/>
    </row>
    <row r="39416" spans="4:8" x14ac:dyDescent="0.25">
      <c r="D39416" s="28"/>
      <c r="F39416" s="28"/>
      <c r="H39416" s="28"/>
    </row>
    <row r="39417" spans="4:8" x14ac:dyDescent="0.25">
      <c r="D39417" s="28"/>
      <c r="F39417" s="28"/>
      <c r="H39417" s="28"/>
    </row>
    <row r="39418" spans="4:8" x14ac:dyDescent="0.25">
      <c r="D39418" s="28"/>
      <c r="F39418" s="28"/>
      <c r="H39418" s="28"/>
    </row>
    <row r="39419" spans="4:8" x14ac:dyDescent="0.25">
      <c r="D39419" s="28"/>
      <c r="F39419" s="28"/>
      <c r="H39419" s="28"/>
    </row>
    <row r="39420" spans="4:8" x14ac:dyDescent="0.25">
      <c r="D39420" s="28"/>
      <c r="F39420" s="28"/>
      <c r="H39420" s="28"/>
    </row>
    <row r="39421" spans="4:8" x14ac:dyDescent="0.25">
      <c r="D39421" s="28"/>
      <c r="F39421" s="28"/>
      <c r="H39421" s="28"/>
    </row>
    <row r="39422" spans="4:8" x14ac:dyDescent="0.25">
      <c r="D39422" s="28"/>
      <c r="F39422" s="28"/>
      <c r="H39422" s="28"/>
    </row>
    <row r="39423" spans="4:8" x14ac:dyDescent="0.25">
      <c r="D39423" s="28"/>
      <c r="F39423" s="28"/>
      <c r="H39423" s="28"/>
    </row>
    <row r="39424" spans="4:8" x14ac:dyDescent="0.25">
      <c r="D39424" s="28"/>
      <c r="F39424" s="28"/>
      <c r="H39424" s="28"/>
    </row>
    <row r="39425" spans="4:8" x14ac:dyDescent="0.25">
      <c r="D39425" s="28"/>
      <c r="F39425" s="28"/>
      <c r="H39425" s="28"/>
    </row>
    <row r="39426" spans="4:8" x14ac:dyDescent="0.25">
      <c r="D39426" s="28"/>
      <c r="F39426" s="28"/>
      <c r="H39426" s="28"/>
    </row>
    <row r="39427" spans="4:8" x14ac:dyDescent="0.25">
      <c r="D39427" s="28"/>
      <c r="F39427" s="28"/>
      <c r="H39427" s="28"/>
    </row>
    <row r="39428" spans="4:8" x14ac:dyDescent="0.25">
      <c r="D39428" s="28"/>
      <c r="F39428" s="28"/>
      <c r="H39428" s="28"/>
    </row>
    <row r="39429" spans="4:8" x14ac:dyDescent="0.25">
      <c r="D39429" s="28"/>
      <c r="F39429" s="28"/>
      <c r="H39429" s="28"/>
    </row>
    <row r="39430" spans="4:8" x14ac:dyDescent="0.25">
      <c r="D39430" s="28"/>
      <c r="F39430" s="28"/>
      <c r="H39430" s="28"/>
    </row>
    <row r="39431" spans="4:8" x14ac:dyDescent="0.25">
      <c r="D39431" s="28"/>
      <c r="F39431" s="28"/>
      <c r="H39431" s="28"/>
    </row>
    <row r="39432" spans="4:8" x14ac:dyDescent="0.25">
      <c r="D39432" s="28"/>
      <c r="F39432" s="28"/>
      <c r="H39432" s="28"/>
    </row>
    <row r="39433" spans="4:8" x14ac:dyDescent="0.25">
      <c r="D39433" s="28"/>
      <c r="F39433" s="28"/>
      <c r="H39433" s="28"/>
    </row>
    <row r="39434" spans="4:8" x14ac:dyDescent="0.25">
      <c r="D39434" s="28"/>
      <c r="F39434" s="28"/>
      <c r="H39434" s="28"/>
    </row>
    <row r="39435" spans="4:8" x14ac:dyDescent="0.25">
      <c r="D39435" s="28"/>
      <c r="F39435" s="28"/>
      <c r="H39435" s="28"/>
    </row>
    <row r="39436" spans="4:8" x14ac:dyDescent="0.25">
      <c r="D39436" s="28"/>
      <c r="F39436" s="28"/>
      <c r="H39436" s="28"/>
    </row>
    <row r="39437" spans="4:8" x14ac:dyDescent="0.25">
      <c r="D39437" s="28"/>
      <c r="F39437" s="28"/>
      <c r="H39437" s="28"/>
    </row>
    <row r="39438" spans="4:8" x14ac:dyDescent="0.25">
      <c r="D39438" s="28"/>
      <c r="F39438" s="28"/>
      <c r="H39438" s="28"/>
    </row>
    <row r="39439" spans="4:8" x14ac:dyDescent="0.25">
      <c r="D39439" s="28"/>
      <c r="F39439" s="28"/>
      <c r="H39439" s="28"/>
    </row>
    <row r="39440" spans="4:8" x14ac:dyDescent="0.25">
      <c r="D39440" s="28"/>
      <c r="F39440" s="28"/>
      <c r="H39440" s="28"/>
    </row>
    <row r="39441" spans="4:8" x14ac:dyDescent="0.25">
      <c r="D39441" s="28"/>
      <c r="F39441" s="28"/>
      <c r="H39441" s="28"/>
    </row>
    <row r="39442" spans="4:8" x14ac:dyDescent="0.25">
      <c r="D39442" s="28"/>
      <c r="F39442" s="28"/>
      <c r="H39442" s="28"/>
    </row>
    <row r="39443" spans="4:8" x14ac:dyDescent="0.25">
      <c r="D39443" s="28"/>
      <c r="F39443" s="28"/>
      <c r="H39443" s="28"/>
    </row>
    <row r="39444" spans="4:8" x14ac:dyDescent="0.25">
      <c r="D39444" s="28"/>
      <c r="F39444" s="28"/>
      <c r="H39444" s="28"/>
    </row>
    <row r="39445" spans="4:8" x14ac:dyDescent="0.25">
      <c r="D39445" s="28"/>
      <c r="F39445" s="28"/>
      <c r="H39445" s="28"/>
    </row>
    <row r="39446" spans="4:8" x14ac:dyDescent="0.25">
      <c r="D39446" s="28"/>
      <c r="F39446" s="28"/>
      <c r="H39446" s="28"/>
    </row>
    <row r="39447" spans="4:8" x14ac:dyDescent="0.25">
      <c r="D39447" s="28"/>
      <c r="F39447" s="28"/>
      <c r="H39447" s="28"/>
    </row>
    <row r="39448" spans="4:8" x14ac:dyDescent="0.25">
      <c r="D39448" s="28"/>
      <c r="F39448" s="28"/>
      <c r="H39448" s="28"/>
    </row>
    <row r="39449" spans="4:8" x14ac:dyDescent="0.25">
      <c r="D39449" s="28"/>
      <c r="F39449" s="28"/>
      <c r="H39449" s="28"/>
    </row>
    <row r="39450" spans="4:8" x14ac:dyDescent="0.25">
      <c r="D39450" s="28"/>
      <c r="F39450" s="28"/>
      <c r="H39450" s="28"/>
    </row>
    <row r="39451" spans="4:8" x14ac:dyDescent="0.25">
      <c r="D39451" s="28"/>
      <c r="F39451" s="28"/>
      <c r="H39451" s="28"/>
    </row>
    <row r="39452" spans="4:8" x14ac:dyDescent="0.25">
      <c r="D39452" s="28"/>
      <c r="F39452" s="28"/>
      <c r="H39452" s="28"/>
    </row>
    <row r="39453" spans="4:8" x14ac:dyDescent="0.25">
      <c r="D39453" s="28"/>
      <c r="F39453" s="28"/>
      <c r="H39453" s="28"/>
    </row>
    <row r="39454" spans="4:8" x14ac:dyDescent="0.25">
      <c r="D39454" s="28"/>
      <c r="F39454" s="28"/>
      <c r="H39454" s="28"/>
    </row>
    <row r="39455" spans="4:8" x14ac:dyDescent="0.25">
      <c r="D39455" s="28"/>
      <c r="F39455" s="28"/>
      <c r="H39455" s="28"/>
    </row>
    <row r="39456" spans="4:8" x14ac:dyDescent="0.25">
      <c r="D39456" s="28"/>
      <c r="F39456" s="28"/>
      <c r="H39456" s="28"/>
    </row>
    <row r="39457" spans="4:8" x14ac:dyDescent="0.25">
      <c r="D39457" s="28"/>
      <c r="F39457" s="28"/>
      <c r="H39457" s="28"/>
    </row>
    <row r="39458" spans="4:8" x14ac:dyDescent="0.25">
      <c r="D39458" s="28"/>
      <c r="F39458" s="28"/>
      <c r="H39458" s="28"/>
    </row>
    <row r="39459" spans="4:8" x14ac:dyDescent="0.25">
      <c r="D39459" s="28"/>
      <c r="F39459" s="28"/>
      <c r="H39459" s="28"/>
    </row>
    <row r="39460" spans="4:8" x14ac:dyDescent="0.25">
      <c r="D39460" s="28"/>
      <c r="F39460" s="28"/>
      <c r="H39460" s="28"/>
    </row>
    <row r="39461" spans="4:8" x14ac:dyDescent="0.25">
      <c r="D39461" s="28"/>
      <c r="F39461" s="28"/>
      <c r="H39461" s="28"/>
    </row>
    <row r="39462" spans="4:8" x14ac:dyDescent="0.25">
      <c r="D39462" s="28"/>
      <c r="F39462" s="28"/>
      <c r="H39462" s="28"/>
    </row>
    <row r="39463" spans="4:8" x14ac:dyDescent="0.25">
      <c r="D39463" s="28"/>
      <c r="F39463" s="28"/>
      <c r="H39463" s="28"/>
    </row>
    <row r="39464" spans="4:8" x14ac:dyDescent="0.25">
      <c r="D39464" s="28"/>
      <c r="F39464" s="28"/>
      <c r="H39464" s="28"/>
    </row>
    <row r="39465" spans="4:8" x14ac:dyDescent="0.25">
      <c r="D39465" s="28"/>
      <c r="F39465" s="28"/>
      <c r="H39465" s="28"/>
    </row>
    <row r="39466" spans="4:8" x14ac:dyDescent="0.25">
      <c r="D39466" s="28"/>
      <c r="F39466" s="28"/>
      <c r="H39466" s="28"/>
    </row>
    <row r="39467" spans="4:8" x14ac:dyDescent="0.25">
      <c r="D39467" s="28"/>
      <c r="F39467" s="28"/>
      <c r="H39467" s="28"/>
    </row>
    <row r="39468" spans="4:8" x14ac:dyDescent="0.25">
      <c r="D39468" s="28"/>
      <c r="F39468" s="28"/>
      <c r="H39468" s="28"/>
    </row>
    <row r="39469" spans="4:8" x14ac:dyDescent="0.25">
      <c r="D39469" s="28"/>
      <c r="F39469" s="28"/>
      <c r="H39469" s="28"/>
    </row>
    <row r="39470" spans="4:8" x14ac:dyDescent="0.25">
      <c r="D39470" s="28"/>
      <c r="F39470" s="28"/>
      <c r="H39470" s="28"/>
    </row>
    <row r="39471" spans="4:8" x14ac:dyDescent="0.25">
      <c r="D39471" s="28"/>
      <c r="F39471" s="28"/>
      <c r="H39471" s="28"/>
    </row>
    <row r="39472" spans="4:8" x14ac:dyDescent="0.25">
      <c r="D39472" s="28"/>
      <c r="F39472" s="28"/>
      <c r="H39472" s="28"/>
    </row>
    <row r="39473" spans="4:8" x14ac:dyDescent="0.25">
      <c r="D39473" s="28"/>
      <c r="F39473" s="28"/>
      <c r="H39473" s="28"/>
    </row>
    <row r="39474" spans="4:8" x14ac:dyDescent="0.25">
      <c r="D39474" s="28"/>
      <c r="F39474" s="28"/>
      <c r="H39474" s="28"/>
    </row>
    <row r="39475" spans="4:8" x14ac:dyDescent="0.25">
      <c r="D39475" s="28"/>
      <c r="F39475" s="28"/>
      <c r="H39475" s="28"/>
    </row>
    <row r="39476" spans="4:8" x14ac:dyDescent="0.25">
      <c r="D39476" s="28"/>
      <c r="F39476" s="28"/>
      <c r="H39476" s="28"/>
    </row>
    <row r="39477" spans="4:8" x14ac:dyDescent="0.25">
      <c r="D39477" s="28"/>
      <c r="F39477" s="28"/>
      <c r="H39477" s="28"/>
    </row>
    <row r="39478" spans="4:8" x14ac:dyDescent="0.25">
      <c r="D39478" s="28"/>
      <c r="F39478" s="28"/>
      <c r="H39478" s="28"/>
    </row>
    <row r="39479" spans="4:8" x14ac:dyDescent="0.25">
      <c r="D39479" s="28"/>
      <c r="F39479" s="28"/>
      <c r="H39479" s="28"/>
    </row>
    <row r="39480" spans="4:8" x14ac:dyDescent="0.25">
      <c r="D39480" s="28"/>
      <c r="F39480" s="28"/>
      <c r="H39480" s="28"/>
    </row>
    <row r="39481" spans="4:8" x14ac:dyDescent="0.25">
      <c r="D39481" s="28"/>
      <c r="F39481" s="28"/>
      <c r="H39481" s="28"/>
    </row>
    <row r="39482" spans="4:8" x14ac:dyDescent="0.25">
      <c r="D39482" s="28"/>
      <c r="F39482" s="28"/>
      <c r="H39482" s="28"/>
    </row>
    <row r="39483" spans="4:8" x14ac:dyDescent="0.25">
      <c r="D39483" s="28"/>
      <c r="F39483" s="28"/>
      <c r="H39483" s="28"/>
    </row>
    <row r="39484" spans="4:8" x14ac:dyDescent="0.25">
      <c r="D39484" s="28"/>
      <c r="F39484" s="28"/>
      <c r="H39484" s="28"/>
    </row>
    <row r="39485" spans="4:8" x14ac:dyDescent="0.25">
      <c r="D39485" s="28"/>
      <c r="F39485" s="28"/>
      <c r="H39485" s="28"/>
    </row>
    <row r="39486" spans="4:8" x14ac:dyDescent="0.25">
      <c r="D39486" s="28"/>
      <c r="F39486" s="28"/>
      <c r="H39486" s="28"/>
    </row>
    <row r="39487" spans="4:8" x14ac:dyDescent="0.25">
      <c r="D39487" s="28"/>
      <c r="F39487" s="28"/>
      <c r="H39487" s="28"/>
    </row>
    <row r="39488" spans="4:8" x14ac:dyDescent="0.25">
      <c r="D39488" s="28"/>
      <c r="F39488" s="28"/>
      <c r="H39488" s="28"/>
    </row>
    <row r="39489" spans="4:8" x14ac:dyDescent="0.25">
      <c r="D39489" s="28"/>
      <c r="F39489" s="28"/>
      <c r="H39489" s="28"/>
    </row>
    <row r="39490" spans="4:8" x14ac:dyDescent="0.25">
      <c r="D39490" s="28"/>
      <c r="F39490" s="28"/>
      <c r="H39490" s="28"/>
    </row>
    <row r="39491" spans="4:8" x14ac:dyDescent="0.25">
      <c r="D39491" s="28"/>
      <c r="F39491" s="28"/>
      <c r="H39491" s="28"/>
    </row>
    <row r="39492" spans="4:8" x14ac:dyDescent="0.25">
      <c r="D39492" s="28"/>
      <c r="F39492" s="28"/>
      <c r="H39492" s="28"/>
    </row>
    <row r="39493" spans="4:8" x14ac:dyDescent="0.25">
      <c r="D39493" s="28"/>
      <c r="F39493" s="28"/>
      <c r="H39493" s="28"/>
    </row>
    <row r="39494" spans="4:8" x14ac:dyDescent="0.25">
      <c r="D39494" s="28"/>
      <c r="F39494" s="28"/>
      <c r="H39494" s="28"/>
    </row>
    <row r="39495" spans="4:8" x14ac:dyDescent="0.25">
      <c r="D39495" s="28"/>
      <c r="F39495" s="28"/>
      <c r="H39495" s="28"/>
    </row>
    <row r="39496" spans="4:8" x14ac:dyDescent="0.25">
      <c r="D39496" s="28"/>
      <c r="F39496" s="28"/>
      <c r="H39496" s="28"/>
    </row>
    <row r="39497" spans="4:8" x14ac:dyDescent="0.25">
      <c r="D39497" s="28"/>
      <c r="F39497" s="28"/>
      <c r="H39497" s="28"/>
    </row>
    <row r="39498" spans="4:8" x14ac:dyDescent="0.25">
      <c r="D39498" s="28"/>
      <c r="F39498" s="28"/>
      <c r="H39498" s="28"/>
    </row>
    <row r="39499" spans="4:8" x14ac:dyDescent="0.25">
      <c r="D39499" s="28"/>
      <c r="F39499" s="28"/>
      <c r="H39499" s="28"/>
    </row>
    <row r="39500" spans="4:8" x14ac:dyDescent="0.25">
      <c r="D39500" s="28"/>
      <c r="F39500" s="28"/>
      <c r="H39500" s="28"/>
    </row>
    <row r="39501" spans="4:8" x14ac:dyDescent="0.25">
      <c r="D39501" s="28"/>
      <c r="F39501" s="28"/>
      <c r="H39501" s="28"/>
    </row>
    <row r="39502" spans="4:8" x14ac:dyDescent="0.25">
      <c r="D39502" s="28"/>
      <c r="F39502" s="28"/>
      <c r="H39502" s="28"/>
    </row>
    <row r="39503" spans="4:8" x14ac:dyDescent="0.25">
      <c r="D39503" s="28"/>
      <c r="F39503" s="28"/>
      <c r="H39503" s="28"/>
    </row>
    <row r="39504" spans="4:8" x14ac:dyDescent="0.25">
      <c r="D39504" s="28"/>
      <c r="F39504" s="28"/>
      <c r="H39504" s="28"/>
    </row>
    <row r="39505" spans="4:8" x14ac:dyDescent="0.25">
      <c r="D39505" s="28"/>
      <c r="F39505" s="28"/>
      <c r="H39505" s="28"/>
    </row>
    <row r="39506" spans="4:8" x14ac:dyDescent="0.25">
      <c r="D39506" s="28"/>
      <c r="F39506" s="28"/>
      <c r="H39506" s="28"/>
    </row>
    <row r="39507" spans="4:8" x14ac:dyDescent="0.25">
      <c r="D39507" s="28"/>
      <c r="F39507" s="28"/>
      <c r="H39507" s="28"/>
    </row>
    <row r="39508" spans="4:8" x14ac:dyDescent="0.25">
      <c r="D39508" s="28"/>
      <c r="F39508" s="28"/>
      <c r="H39508" s="28"/>
    </row>
    <row r="39509" spans="4:8" x14ac:dyDescent="0.25">
      <c r="D39509" s="28"/>
      <c r="F39509" s="28"/>
      <c r="H39509" s="28"/>
    </row>
    <row r="39510" spans="4:8" x14ac:dyDescent="0.25">
      <c r="D39510" s="28"/>
      <c r="F39510" s="28"/>
      <c r="H39510" s="28"/>
    </row>
    <row r="39511" spans="4:8" x14ac:dyDescent="0.25">
      <c r="D39511" s="28"/>
      <c r="F39511" s="28"/>
      <c r="H39511" s="28"/>
    </row>
    <row r="39512" spans="4:8" x14ac:dyDescent="0.25">
      <c r="D39512" s="28"/>
      <c r="F39512" s="28"/>
      <c r="H39512" s="28"/>
    </row>
    <row r="39513" spans="4:8" x14ac:dyDescent="0.25">
      <c r="D39513" s="28"/>
      <c r="F39513" s="28"/>
      <c r="H39513" s="28"/>
    </row>
    <row r="39514" spans="4:8" x14ac:dyDescent="0.25">
      <c r="D39514" s="28"/>
      <c r="F39514" s="28"/>
      <c r="H39514" s="28"/>
    </row>
    <row r="39515" spans="4:8" x14ac:dyDescent="0.25">
      <c r="D39515" s="28"/>
      <c r="F39515" s="28"/>
      <c r="H39515" s="28"/>
    </row>
    <row r="39516" spans="4:8" x14ac:dyDescent="0.25">
      <c r="D39516" s="28"/>
      <c r="F39516" s="28"/>
      <c r="H39516" s="28"/>
    </row>
    <row r="39517" spans="4:8" x14ac:dyDescent="0.25">
      <c r="D39517" s="28"/>
      <c r="F39517" s="28"/>
      <c r="H39517" s="28"/>
    </row>
    <row r="39518" spans="4:8" x14ac:dyDescent="0.25">
      <c r="D39518" s="28"/>
      <c r="F39518" s="28"/>
      <c r="H39518" s="28"/>
    </row>
    <row r="39519" spans="4:8" x14ac:dyDescent="0.25">
      <c r="D39519" s="28"/>
      <c r="F39519" s="28"/>
      <c r="H39519" s="28"/>
    </row>
    <row r="39520" spans="4:8" x14ac:dyDescent="0.25">
      <c r="D39520" s="28"/>
      <c r="F39520" s="28"/>
      <c r="H39520" s="28"/>
    </row>
    <row r="39521" spans="4:8" x14ac:dyDescent="0.25">
      <c r="D39521" s="28"/>
      <c r="F39521" s="28"/>
      <c r="H39521" s="28"/>
    </row>
    <row r="39522" spans="4:8" x14ac:dyDescent="0.25">
      <c r="D39522" s="28"/>
      <c r="F39522" s="28"/>
      <c r="H39522" s="28"/>
    </row>
    <row r="39523" spans="4:8" x14ac:dyDescent="0.25">
      <c r="D39523" s="28"/>
      <c r="F39523" s="28"/>
      <c r="H39523" s="28"/>
    </row>
    <row r="39524" spans="4:8" x14ac:dyDescent="0.25">
      <c r="D39524" s="28"/>
      <c r="F39524" s="28"/>
      <c r="H39524" s="28"/>
    </row>
    <row r="39525" spans="4:8" x14ac:dyDescent="0.25">
      <c r="D39525" s="28"/>
      <c r="F39525" s="28"/>
      <c r="H39525" s="28"/>
    </row>
    <row r="39526" spans="4:8" x14ac:dyDescent="0.25">
      <c r="D39526" s="28"/>
      <c r="F39526" s="28"/>
      <c r="H39526" s="28"/>
    </row>
    <row r="39527" spans="4:8" x14ac:dyDescent="0.25">
      <c r="D39527" s="28"/>
      <c r="F39527" s="28"/>
      <c r="H39527" s="28"/>
    </row>
    <row r="39528" spans="4:8" x14ac:dyDescent="0.25">
      <c r="D39528" s="28"/>
      <c r="F39528" s="28"/>
      <c r="H39528" s="28"/>
    </row>
    <row r="39529" spans="4:8" x14ac:dyDescent="0.25">
      <c r="D39529" s="28"/>
      <c r="F39529" s="28"/>
      <c r="H39529" s="28"/>
    </row>
    <row r="39530" spans="4:8" x14ac:dyDescent="0.25">
      <c r="D39530" s="28"/>
      <c r="F39530" s="28"/>
      <c r="H39530" s="28"/>
    </row>
    <row r="39531" spans="4:8" x14ac:dyDescent="0.25">
      <c r="D39531" s="28"/>
      <c r="F39531" s="28"/>
      <c r="H39531" s="28"/>
    </row>
    <row r="39532" spans="4:8" x14ac:dyDescent="0.25">
      <c r="D39532" s="28"/>
      <c r="F39532" s="28"/>
      <c r="H39532" s="28"/>
    </row>
    <row r="39533" spans="4:8" x14ac:dyDescent="0.25">
      <c r="D39533" s="28"/>
      <c r="F39533" s="28"/>
      <c r="H39533" s="28"/>
    </row>
    <row r="39534" spans="4:8" x14ac:dyDescent="0.25">
      <c r="D39534" s="28"/>
      <c r="F39534" s="28"/>
      <c r="H39534" s="28"/>
    </row>
    <row r="39535" spans="4:8" x14ac:dyDescent="0.25">
      <c r="D39535" s="28"/>
      <c r="F39535" s="28"/>
      <c r="H39535" s="28"/>
    </row>
    <row r="39536" spans="4:8" x14ac:dyDescent="0.25">
      <c r="D39536" s="28"/>
      <c r="F39536" s="28"/>
      <c r="H39536" s="28"/>
    </row>
    <row r="39537" spans="4:8" x14ac:dyDescent="0.25">
      <c r="D39537" s="28"/>
      <c r="F39537" s="28"/>
      <c r="H39537" s="28"/>
    </row>
    <row r="39538" spans="4:8" x14ac:dyDescent="0.25">
      <c r="D39538" s="28"/>
      <c r="F39538" s="28"/>
      <c r="H39538" s="28"/>
    </row>
    <row r="39539" spans="4:8" x14ac:dyDescent="0.25">
      <c r="D39539" s="28"/>
      <c r="F39539" s="28"/>
      <c r="H39539" s="28"/>
    </row>
    <row r="39540" spans="4:8" x14ac:dyDescent="0.25">
      <c r="D39540" s="28"/>
      <c r="F39540" s="28"/>
      <c r="H39540" s="28"/>
    </row>
    <row r="39541" spans="4:8" x14ac:dyDescent="0.25">
      <c r="D39541" s="28"/>
      <c r="F39541" s="28"/>
      <c r="H39541" s="28"/>
    </row>
    <row r="39542" spans="4:8" x14ac:dyDescent="0.25">
      <c r="D39542" s="28"/>
      <c r="F39542" s="28"/>
      <c r="H39542" s="28"/>
    </row>
    <row r="39543" spans="4:8" x14ac:dyDescent="0.25">
      <c r="D39543" s="28"/>
      <c r="F39543" s="28"/>
      <c r="H39543" s="28"/>
    </row>
    <row r="39544" spans="4:8" x14ac:dyDescent="0.25">
      <c r="D39544" s="28"/>
      <c r="F39544" s="28"/>
      <c r="H39544" s="28"/>
    </row>
    <row r="39545" spans="4:8" x14ac:dyDescent="0.25">
      <c r="D39545" s="28"/>
      <c r="F39545" s="28"/>
      <c r="H39545" s="28"/>
    </row>
    <row r="39546" spans="4:8" x14ac:dyDescent="0.25">
      <c r="D39546" s="28"/>
      <c r="F39546" s="28"/>
      <c r="H39546" s="28"/>
    </row>
    <row r="39547" spans="4:8" x14ac:dyDescent="0.25">
      <c r="D39547" s="28"/>
      <c r="F39547" s="28"/>
      <c r="H39547" s="28"/>
    </row>
    <row r="39548" spans="4:8" x14ac:dyDescent="0.25">
      <c r="D39548" s="28"/>
      <c r="F39548" s="28"/>
      <c r="H39548" s="28"/>
    </row>
    <row r="39549" spans="4:8" x14ac:dyDescent="0.25">
      <c r="D39549" s="28"/>
      <c r="F39549" s="28"/>
      <c r="H39549" s="28"/>
    </row>
    <row r="39550" spans="4:8" x14ac:dyDescent="0.25">
      <c r="D39550" s="28"/>
      <c r="F39550" s="28"/>
      <c r="H39550" s="28"/>
    </row>
    <row r="39551" spans="4:8" x14ac:dyDescent="0.25">
      <c r="D39551" s="28"/>
      <c r="F39551" s="28"/>
      <c r="H39551" s="28"/>
    </row>
    <row r="39552" spans="4:8" x14ac:dyDescent="0.25">
      <c r="D39552" s="28"/>
      <c r="F39552" s="28"/>
      <c r="H39552" s="28"/>
    </row>
    <row r="39553" spans="4:8" x14ac:dyDescent="0.25">
      <c r="D39553" s="28"/>
      <c r="F39553" s="28"/>
      <c r="H39553" s="28"/>
    </row>
    <row r="39554" spans="4:8" x14ac:dyDescent="0.25">
      <c r="D39554" s="28"/>
      <c r="F39554" s="28"/>
      <c r="H39554" s="28"/>
    </row>
    <row r="39555" spans="4:8" x14ac:dyDescent="0.25">
      <c r="D39555" s="28"/>
      <c r="F39555" s="28"/>
      <c r="H39555" s="28"/>
    </row>
    <row r="39556" spans="4:8" x14ac:dyDescent="0.25">
      <c r="D39556" s="28"/>
      <c r="F39556" s="28"/>
      <c r="H39556" s="28"/>
    </row>
    <row r="39557" spans="4:8" x14ac:dyDescent="0.25">
      <c r="D39557" s="28"/>
      <c r="F39557" s="28"/>
      <c r="H39557" s="28"/>
    </row>
    <row r="39558" spans="4:8" x14ac:dyDescent="0.25">
      <c r="D39558" s="28"/>
      <c r="F39558" s="28"/>
      <c r="H39558" s="28"/>
    </row>
    <row r="39559" spans="4:8" x14ac:dyDescent="0.25">
      <c r="D39559" s="28"/>
      <c r="F39559" s="28"/>
      <c r="H39559" s="28"/>
    </row>
    <row r="39560" spans="4:8" x14ac:dyDescent="0.25">
      <c r="D39560" s="28"/>
      <c r="F39560" s="28"/>
      <c r="H39560" s="28"/>
    </row>
    <row r="39561" spans="4:8" x14ac:dyDescent="0.25">
      <c r="D39561" s="28"/>
      <c r="F39561" s="28"/>
      <c r="H39561" s="28"/>
    </row>
    <row r="39562" spans="4:8" x14ac:dyDescent="0.25">
      <c r="D39562" s="28"/>
      <c r="F39562" s="28"/>
      <c r="H39562" s="28"/>
    </row>
    <row r="39563" spans="4:8" x14ac:dyDescent="0.25">
      <c r="D39563" s="28"/>
      <c r="F39563" s="28"/>
      <c r="H39563" s="28"/>
    </row>
    <row r="39564" spans="4:8" x14ac:dyDescent="0.25">
      <c r="D39564" s="28"/>
      <c r="F39564" s="28"/>
      <c r="H39564" s="28"/>
    </row>
    <row r="39565" spans="4:8" x14ac:dyDescent="0.25">
      <c r="D39565" s="28"/>
      <c r="F39565" s="28"/>
      <c r="H39565" s="28"/>
    </row>
    <row r="39566" spans="4:8" x14ac:dyDescent="0.25">
      <c r="D39566" s="28"/>
      <c r="F39566" s="28"/>
      <c r="H39566" s="28"/>
    </row>
    <row r="39567" spans="4:8" x14ac:dyDescent="0.25">
      <c r="D39567" s="28"/>
      <c r="F39567" s="28"/>
      <c r="H39567" s="28"/>
    </row>
    <row r="39568" spans="4:8" x14ac:dyDescent="0.25">
      <c r="D39568" s="28"/>
      <c r="F39568" s="28"/>
      <c r="H39568" s="28"/>
    </row>
    <row r="39569" spans="4:8" x14ac:dyDescent="0.25">
      <c r="D39569" s="28"/>
      <c r="F39569" s="28"/>
      <c r="H39569" s="28"/>
    </row>
    <row r="39570" spans="4:8" x14ac:dyDescent="0.25">
      <c r="D39570" s="28"/>
      <c r="F39570" s="28"/>
      <c r="H39570" s="28"/>
    </row>
    <row r="39571" spans="4:8" x14ac:dyDescent="0.25">
      <c r="D39571" s="28"/>
      <c r="F39571" s="28"/>
      <c r="H39571" s="28"/>
    </row>
    <row r="39572" spans="4:8" x14ac:dyDescent="0.25">
      <c r="D39572" s="28"/>
      <c r="F39572" s="28"/>
      <c r="H39572" s="28"/>
    </row>
    <row r="39573" spans="4:8" x14ac:dyDescent="0.25">
      <c r="D39573" s="28"/>
      <c r="F39573" s="28"/>
      <c r="H39573" s="28"/>
    </row>
    <row r="39574" spans="4:8" x14ac:dyDescent="0.25">
      <c r="D39574" s="28"/>
      <c r="F39574" s="28"/>
      <c r="H39574" s="28"/>
    </row>
    <row r="39575" spans="4:8" x14ac:dyDescent="0.25">
      <c r="D39575" s="28"/>
      <c r="F39575" s="28"/>
      <c r="H39575" s="28"/>
    </row>
    <row r="39576" spans="4:8" x14ac:dyDescent="0.25">
      <c r="D39576" s="28"/>
      <c r="F39576" s="28"/>
      <c r="H39576" s="28"/>
    </row>
    <row r="39577" spans="4:8" x14ac:dyDescent="0.25">
      <c r="D39577" s="28"/>
      <c r="F39577" s="28"/>
      <c r="H39577" s="28"/>
    </row>
    <row r="39578" spans="4:8" x14ac:dyDescent="0.25">
      <c r="D39578" s="28"/>
      <c r="F39578" s="28"/>
      <c r="H39578" s="28"/>
    </row>
    <row r="39579" spans="4:8" x14ac:dyDescent="0.25">
      <c r="D39579" s="28"/>
      <c r="F39579" s="28"/>
      <c r="H39579" s="28"/>
    </row>
    <row r="39580" spans="4:8" x14ac:dyDescent="0.25">
      <c r="D39580" s="28"/>
      <c r="F39580" s="28"/>
      <c r="H39580" s="28"/>
    </row>
    <row r="39581" spans="4:8" x14ac:dyDescent="0.25">
      <c r="D39581" s="28"/>
      <c r="F39581" s="28"/>
      <c r="H39581" s="28"/>
    </row>
    <row r="39582" spans="4:8" x14ac:dyDescent="0.25">
      <c r="D39582" s="28"/>
      <c r="F39582" s="28"/>
      <c r="H39582" s="28"/>
    </row>
    <row r="39583" spans="4:8" x14ac:dyDescent="0.25">
      <c r="D39583" s="28"/>
      <c r="F39583" s="28"/>
      <c r="H39583" s="28"/>
    </row>
    <row r="39584" spans="4:8" x14ac:dyDescent="0.25">
      <c r="D39584" s="28"/>
      <c r="F39584" s="28"/>
      <c r="H39584" s="28"/>
    </row>
    <row r="39585" spans="4:8" x14ac:dyDescent="0.25">
      <c r="D39585" s="28"/>
      <c r="F39585" s="28"/>
      <c r="H39585" s="28"/>
    </row>
    <row r="39586" spans="4:8" x14ac:dyDescent="0.25">
      <c r="D39586" s="28"/>
      <c r="F39586" s="28"/>
      <c r="H39586" s="28"/>
    </row>
    <row r="39587" spans="4:8" x14ac:dyDescent="0.25">
      <c r="D39587" s="28"/>
      <c r="F39587" s="28"/>
      <c r="H39587" s="28"/>
    </row>
    <row r="39588" spans="4:8" x14ac:dyDescent="0.25">
      <c r="D39588" s="28"/>
      <c r="F39588" s="28"/>
      <c r="H39588" s="28"/>
    </row>
    <row r="39589" spans="4:8" x14ac:dyDescent="0.25">
      <c r="D39589" s="28"/>
      <c r="F39589" s="28"/>
      <c r="H39589" s="28"/>
    </row>
    <row r="39590" spans="4:8" x14ac:dyDescent="0.25">
      <c r="D39590" s="28"/>
      <c r="F39590" s="28"/>
      <c r="H39590" s="28"/>
    </row>
    <row r="39591" spans="4:8" x14ac:dyDescent="0.25">
      <c r="D39591" s="28"/>
      <c r="F39591" s="28"/>
      <c r="H39591" s="28"/>
    </row>
    <row r="39592" spans="4:8" x14ac:dyDescent="0.25">
      <c r="D39592" s="28"/>
      <c r="F39592" s="28"/>
      <c r="H39592" s="28"/>
    </row>
    <row r="39593" spans="4:8" x14ac:dyDescent="0.25">
      <c r="D39593" s="28"/>
      <c r="F39593" s="28"/>
      <c r="H39593" s="28"/>
    </row>
    <row r="39594" spans="4:8" x14ac:dyDescent="0.25">
      <c r="D39594" s="28"/>
      <c r="F39594" s="28"/>
      <c r="H39594" s="28"/>
    </row>
    <row r="39595" spans="4:8" x14ac:dyDescent="0.25">
      <c r="D39595" s="28"/>
      <c r="F39595" s="28"/>
      <c r="H39595" s="28"/>
    </row>
    <row r="39596" spans="4:8" x14ac:dyDescent="0.25">
      <c r="D39596" s="28"/>
      <c r="F39596" s="28"/>
      <c r="H39596" s="28"/>
    </row>
    <row r="39597" spans="4:8" x14ac:dyDescent="0.25">
      <c r="D39597" s="28"/>
      <c r="F39597" s="28"/>
      <c r="H39597" s="28"/>
    </row>
    <row r="39598" spans="4:8" x14ac:dyDescent="0.25">
      <c r="D39598" s="28"/>
      <c r="F39598" s="28"/>
      <c r="H39598" s="28"/>
    </row>
    <row r="39599" spans="4:8" x14ac:dyDescent="0.25">
      <c r="D39599" s="28"/>
      <c r="F39599" s="28"/>
      <c r="H39599" s="28"/>
    </row>
    <row r="39600" spans="4:8" x14ac:dyDescent="0.25">
      <c r="D39600" s="28"/>
      <c r="F39600" s="28"/>
      <c r="H39600" s="28"/>
    </row>
    <row r="39601" spans="4:8" x14ac:dyDescent="0.25">
      <c r="D39601" s="28"/>
      <c r="F39601" s="28"/>
      <c r="H39601" s="28"/>
    </row>
    <row r="39602" spans="4:8" x14ac:dyDescent="0.25">
      <c r="D39602" s="28"/>
      <c r="F39602" s="28"/>
      <c r="H39602" s="28"/>
    </row>
    <row r="39603" spans="4:8" x14ac:dyDescent="0.25">
      <c r="D39603" s="28"/>
      <c r="F39603" s="28"/>
      <c r="H39603" s="28"/>
    </row>
    <row r="39604" spans="4:8" x14ac:dyDescent="0.25">
      <c r="D39604" s="28"/>
      <c r="F39604" s="28"/>
      <c r="H39604" s="28"/>
    </row>
    <row r="39605" spans="4:8" x14ac:dyDescent="0.25">
      <c r="D39605" s="28"/>
      <c r="F39605" s="28"/>
      <c r="H39605" s="28"/>
    </row>
    <row r="39606" spans="4:8" x14ac:dyDescent="0.25">
      <c r="D39606" s="28"/>
      <c r="F39606" s="28"/>
      <c r="H39606" s="28"/>
    </row>
    <row r="39607" spans="4:8" x14ac:dyDescent="0.25">
      <c r="D39607" s="28"/>
      <c r="F39607" s="28"/>
      <c r="H39607" s="28"/>
    </row>
    <row r="39608" spans="4:8" x14ac:dyDescent="0.25">
      <c r="D39608" s="28"/>
      <c r="F39608" s="28"/>
      <c r="H39608" s="28"/>
    </row>
    <row r="39609" spans="4:8" x14ac:dyDescent="0.25">
      <c r="D39609" s="28"/>
      <c r="F39609" s="28"/>
      <c r="H39609" s="28"/>
    </row>
    <row r="39610" spans="4:8" x14ac:dyDescent="0.25">
      <c r="D39610" s="28"/>
      <c r="F39610" s="28"/>
      <c r="H39610" s="28"/>
    </row>
    <row r="39611" spans="4:8" x14ac:dyDescent="0.25">
      <c r="D39611" s="28"/>
      <c r="F39611" s="28"/>
      <c r="H39611" s="28"/>
    </row>
    <row r="39612" spans="4:8" x14ac:dyDescent="0.25">
      <c r="D39612" s="28"/>
      <c r="F39612" s="28"/>
      <c r="H39612" s="28"/>
    </row>
    <row r="39613" spans="4:8" x14ac:dyDescent="0.25">
      <c r="D39613" s="28"/>
      <c r="F39613" s="28"/>
      <c r="H39613" s="28"/>
    </row>
    <row r="39614" spans="4:8" x14ac:dyDescent="0.25">
      <c r="D39614" s="28"/>
      <c r="F39614" s="28"/>
      <c r="H39614" s="28"/>
    </row>
    <row r="39615" spans="4:8" x14ac:dyDescent="0.25">
      <c r="D39615" s="28"/>
      <c r="F39615" s="28"/>
      <c r="H39615" s="28"/>
    </row>
    <row r="39616" spans="4:8" x14ac:dyDescent="0.25">
      <c r="D39616" s="28"/>
      <c r="F39616" s="28"/>
      <c r="H39616" s="28"/>
    </row>
    <row r="39617" spans="4:8" x14ac:dyDescent="0.25">
      <c r="D39617" s="28"/>
      <c r="F39617" s="28"/>
      <c r="H39617" s="28"/>
    </row>
    <row r="39618" spans="4:8" x14ac:dyDescent="0.25">
      <c r="D39618" s="28"/>
      <c r="F39618" s="28"/>
      <c r="H39618" s="28"/>
    </row>
    <row r="39619" spans="4:8" x14ac:dyDescent="0.25">
      <c r="D39619" s="28"/>
      <c r="F39619" s="28"/>
      <c r="H39619" s="28"/>
    </row>
    <row r="39620" spans="4:8" x14ac:dyDescent="0.25">
      <c r="D39620" s="28"/>
      <c r="F39620" s="28"/>
      <c r="H39620" s="28"/>
    </row>
    <row r="39621" spans="4:8" x14ac:dyDescent="0.25">
      <c r="D39621" s="28"/>
      <c r="F39621" s="28"/>
      <c r="H39621" s="28"/>
    </row>
    <row r="39622" spans="4:8" x14ac:dyDescent="0.25">
      <c r="D39622" s="28"/>
      <c r="F39622" s="28"/>
      <c r="H39622" s="28"/>
    </row>
    <row r="39623" spans="4:8" x14ac:dyDescent="0.25">
      <c r="D39623" s="28"/>
      <c r="F39623" s="28"/>
      <c r="H39623" s="28"/>
    </row>
    <row r="39624" spans="4:8" x14ac:dyDescent="0.25">
      <c r="D39624" s="28"/>
      <c r="F39624" s="28"/>
      <c r="H39624" s="28"/>
    </row>
    <row r="39625" spans="4:8" x14ac:dyDescent="0.25">
      <c r="D39625" s="28"/>
      <c r="F39625" s="28"/>
      <c r="H39625" s="28"/>
    </row>
    <row r="39626" spans="4:8" x14ac:dyDescent="0.25">
      <c r="D39626" s="28"/>
      <c r="F39626" s="28"/>
      <c r="H39626" s="28"/>
    </row>
    <row r="39627" spans="4:8" x14ac:dyDescent="0.25">
      <c r="D39627" s="28"/>
      <c r="F39627" s="28"/>
      <c r="H39627" s="28"/>
    </row>
    <row r="39628" spans="4:8" x14ac:dyDescent="0.25">
      <c r="D39628" s="28"/>
      <c r="F39628" s="28"/>
      <c r="H39628" s="28"/>
    </row>
    <row r="39629" spans="4:8" x14ac:dyDescent="0.25">
      <c r="D39629" s="28"/>
      <c r="F39629" s="28"/>
      <c r="H39629" s="28"/>
    </row>
    <row r="39630" spans="4:8" x14ac:dyDescent="0.25">
      <c r="D39630" s="28"/>
      <c r="F39630" s="28"/>
      <c r="H39630" s="28"/>
    </row>
    <row r="39631" spans="4:8" x14ac:dyDescent="0.25">
      <c r="D39631" s="28"/>
      <c r="F39631" s="28"/>
      <c r="H39631" s="28"/>
    </row>
    <row r="39632" spans="4:8" x14ac:dyDescent="0.25">
      <c r="D39632" s="28"/>
      <c r="F39632" s="28"/>
      <c r="H39632" s="28"/>
    </row>
    <row r="39633" spans="4:8" x14ac:dyDescent="0.25">
      <c r="D39633" s="28"/>
      <c r="F39633" s="28"/>
      <c r="H39633" s="28"/>
    </row>
    <row r="39634" spans="4:8" x14ac:dyDescent="0.25">
      <c r="D39634" s="28"/>
      <c r="F39634" s="28"/>
      <c r="H39634" s="28"/>
    </row>
    <row r="39635" spans="4:8" x14ac:dyDescent="0.25">
      <c r="D39635" s="28"/>
      <c r="F39635" s="28"/>
      <c r="H39635" s="28"/>
    </row>
    <row r="39636" spans="4:8" x14ac:dyDescent="0.25">
      <c r="D39636" s="28"/>
      <c r="F39636" s="28"/>
      <c r="H39636" s="28"/>
    </row>
    <row r="39637" spans="4:8" x14ac:dyDescent="0.25">
      <c r="D39637" s="28"/>
      <c r="F39637" s="28"/>
      <c r="H39637" s="28"/>
    </row>
    <row r="39638" spans="4:8" x14ac:dyDescent="0.25">
      <c r="D39638" s="28"/>
      <c r="F39638" s="28"/>
      <c r="H39638" s="28"/>
    </row>
    <row r="39639" spans="4:8" x14ac:dyDescent="0.25">
      <c r="D39639" s="28"/>
      <c r="F39639" s="28"/>
      <c r="H39639" s="28"/>
    </row>
    <row r="39640" spans="4:8" x14ac:dyDescent="0.25">
      <c r="D39640" s="28"/>
      <c r="F39640" s="28"/>
      <c r="H39640" s="28"/>
    </row>
    <row r="39641" spans="4:8" x14ac:dyDescent="0.25">
      <c r="D39641" s="28"/>
      <c r="F39641" s="28"/>
      <c r="H39641" s="28"/>
    </row>
    <row r="39642" spans="4:8" x14ac:dyDescent="0.25">
      <c r="D39642" s="28"/>
      <c r="F39642" s="28"/>
      <c r="H39642" s="28"/>
    </row>
    <row r="39643" spans="4:8" x14ac:dyDescent="0.25">
      <c r="D39643" s="28"/>
      <c r="F39643" s="28"/>
      <c r="H39643" s="28"/>
    </row>
    <row r="39644" spans="4:8" x14ac:dyDescent="0.25">
      <c r="D39644" s="28"/>
      <c r="F39644" s="28"/>
      <c r="H39644" s="28"/>
    </row>
    <row r="39645" spans="4:8" x14ac:dyDescent="0.25">
      <c r="D39645" s="28"/>
      <c r="F39645" s="28"/>
      <c r="H39645" s="28"/>
    </row>
    <row r="39646" spans="4:8" x14ac:dyDescent="0.25">
      <c r="D39646" s="28"/>
      <c r="F39646" s="28"/>
      <c r="H39646" s="28"/>
    </row>
    <row r="39647" spans="4:8" x14ac:dyDescent="0.25">
      <c r="D39647" s="28"/>
      <c r="F39647" s="28"/>
      <c r="H39647" s="28"/>
    </row>
    <row r="39648" spans="4:8" x14ac:dyDescent="0.25">
      <c r="D39648" s="28"/>
      <c r="F39648" s="28"/>
      <c r="H39648" s="28"/>
    </row>
    <row r="39649" spans="4:8" x14ac:dyDescent="0.25">
      <c r="D39649" s="28"/>
      <c r="F39649" s="28"/>
      <c r="H39649" s="28"/>
    </row>
    <row r="39650" spans="4:8" x14ac:dyDescent="0.25">
      <c r="D39650" s="28"/>
      <c r="F39650" s="28"/>
      <c r="H39650" s="28"/>
    </row>
    <row r="39651" spans="4:8" x14ac:dyDescent="0.25">
      <c r="D39651" s="28"/>
      <c r="F39651" s="28"/>
      <c r="H39651" s="28"/>
    </row>
    <row r="39652" spans="4:8" x14ac:dyDescent="0.25">
      <c r="D39652" s="28"/>
      <c r="F39652" s="28"/>
      <c r="H39652" s="28"/>
    </row>
    <row r="39653" spans="4:8" x14ac:dyDescent="0.25">
      <c r="D39653" s="28"/>
      <c r="F39653" s="28"/>
      <c r="H39653" s="28"/>
    </row>
    <row r="39654" spans="4:8" x14ac:dyDescent="0.25">
      <c r="D39654" s="28"/>
      <c r="F39654" s="28"/>
      <c r="H39654" s="28"/>
    </row>
    <row r="39655" spans="4:8" x14ac:dyDescent="0.25">
      <c r="D39655" s="28"/>
      <c r="F39655" s="28"/>
      <c r="H39655" s="28"/>
    </row>
    <row r="39656" spans="4:8" x14ac:dyDescent="0.25">
      <c r="D39656" s="28"/>
      <c r="F39656" s="28"/>
      <c r="H39656" s="28"/>
    </row>
    <row r="39657" spans="4:8" x14ac:dyDescent="0.25">
      <c r="D39657" s="28"/>
      <c r="F39657" s="28"/>
      <c r="H39657" s="28"/>
    </row>
    <row r="39658" spans="4:8" x14ac:dyDescent="0.25">
      <c r="D39658" s="28"/>
      <c r="F39658" s="28"/>
      <c r="H39658" s="28"/>
    </row>
    <row r="39659" spans="4:8" x14ac:dyDescent="0.25">
      <c r="D39659" s="28"/>
      <c r="F39659" s="28"/>
      <c r="H39659" s="28"/>
    </row>
    <row r="39660" spans="4:8" x14ac:dyDescent="0.25">
      <c r="D39660" s="28"/>
      <c r="F39660" s="28"/>
      <c r="H39660" s="28"/>
    </row>
    <row r="39661" spans="4:8" x14ac:dyDescent="0.25">
      <c r="D39661" s="28"/>
      <c r="F39661" s="28"/>
      <c r="H39661" s="28"/>
    </row>
    <row r="39662" spans="4:8" x14ac:dyDescent="0.25">
      <c r="D39662" s="28"/>
      <c r="F39662" s="28"/>
      <c r="H39662" s="28"/>
    </row>
    <row r="39663" spans="4:8" x14ac:dyDescent="0.25">
      <c r="D39663" s="28"/>
      <c r="F39663" s="28"/>
      <c r="H39663" s="28"/>
    </row>
    <row r="39664" spans="4:8" x14ac:dyDescent="0.25">
      <c r="D39664" s="28"/>
      <c r="F39664" s="28"/>
      <c r="H39664" s="28"/>
    </row>
    <row r="39665" spans="4:8" x14ac:dyDescent="0.25">
      <c r="D39665" s="28"/>
      <c r="F39665" s="28"/>
      <c r="H39665" s="28"/>
    </row>
    <row r="39666" spans="4:8" x14ac:dyDescent="0.25">
      <c r="D39666" s="28"/>
      <c r="F39666" s="28"/>
      <c r="H39666" s="28"/>
    </row>
    <row r="39667" spans="4:8" x14ac:dyDescent="0.25">
      <c r="D39667" s="28"/>
      <c r="F39667" s="28"/>
      <c r="H39667" s="28"/>
    </row>
    <row r="39668" spans="4:8" x14ac:dyDescent="0.25">
      <c r="D39668" s="28"/>
      <c r="F39668" s="28"/>
      <c r="H39668" s="28"/>
    </row>
    <row r="39669" spans="4:8" x14ac:dyDescent="0.25">
      <c r="D39669" s="28"/>
      <c r="F39669" s="28"/>
      <c r="H39669" s="28"/>
    </row>
    <row r="39670" spans="4:8" x14ac:dyDescent="0.25">
      <c r="D39670" s="28"/>
      <c r="F39670" s="28"/>
      <c r="H39670" s="28"/>
    </row>
    <row r="39671" spans="4:8" x14ac:dyDescent="0.25">
      <c r="D39671" s="28"/>
      <c r="F39671" s="28"/>
      <c r="H39671" s="28"/>
    </row>
    <row r="39672" spans="4:8" x14ac:dyDescent="0.25">
      <c r="D39672" s="28"/>
      <c r="F39672" s="28"/>
      <c r="H39672" s="28"/>
    </row>
    <row r="39673" spans="4:8" x14ac:dyDescent="0.25">
      <c r="D39673" s="28"/>
      <c r="F39673" s="28"/>
      <c r="H39673" s="28"/>
    </row>
    <row r="39674" spans="4:8" x14ac:dyDescent="0.25">
      <c r="D39674" s="28"/>
      <c r="F39674" s="28"/>
      <c r="H39674" s="28"/>
    </row>
    <row r="39675" spans="4:8" x14ac:dyDescent="0.25">
      <c r="D39675" s="28"/>
      <c r="F39675" s="28"/>
      <c r="H39675" s="28"/>
    </row>
    <row r="39676" spans="4:8" x14ac:dyDescent="0.25">
      <c r="D39676" s="28"/>
      <c r="F39676" s="28"/>
      <c r="H39676" s="28"/>
    </row>
    <row r="39677" spans="4:8" x14ac:dyDescent="0.25">
      <c r="D39677" s="28"/>
      <c r="F39677" s="28"/>
      <c r="H39677" s="28"/>
    </row>
    <row r="39678" spans="4:8" x14ac:dyDescent="0.25">
      <c r="D39678" s="28"/>
      <c r="F39678" s="28"/>
      <c r="H39678" s="28"/>
    </row>
    <row r="39679" spans="4:8" x14ac:dyDescent="0.25">
      <c r="D39679" s="28"/>
      <c r="F39679" s="28"/>
      <c r="H39679" s="28"/>
    </row>
    <row r="39680" spans="4:8" x14ac:dyDescent="0.25">
      <c r="D39680" s="28"/>
      <c r="F39680" s="28"/>
      <c r="H39680" s="28"/>
    </row>
    <row r="39681" spans="4:8" x14ac:dyDescent="0.25">
      <c r="D39681" s="28"/>
      <c r="F39681" s="28"/>
      <c r="H39681" s="28"/>
    </row>
    <row r="39682" spans="4:8" x14ac:dyDescent="0.25">
      <c r="D39682" s="28"/>
      <c r="F39682" s="28"/>
      <c r="H39682" s="28"/>
    </row>
    <row r="39683" spans="4:8" x14ac:dyDescent="0.25">
      <c r="D39683" s="28"/>
      <c r="F39683" s="28"/>
      <c r="H39683" s="28"/>
    </row>
    <row r="39684" spans="4:8" x14ac:dyDescent="0.25">
      <c r="D39684" s="28"/>
      <c r="F39684" s="28"/>
      <c r="H39684" s="28"/>
    </row>
    <row r="39685" spans="4:8" x14ac:dyDescent="0.25">
      <c r="D39685" s="28"/>
      <c r="F39685" s="28"/>
      <c r="H39685" s="28"/>
    </row>
    <row r="39686" spans="4:8" x14ac:dyDescent="0.25">
      <c r="D39686" s="28"/>
      <c r="F39686" s="28"/>
      <c r="H39686" s="28"/>
    </row>
    <row r="39687" spans="4:8" x14ac:dyDescent="0.25">
      <c r="D39687" s="28"/>
      <c r="F39687" s="28"/>
      <c r="H39687" s="28"/>
    </row>
    <row r="39688" spans="4:8" x14ac:dyDescent="0.25">
      <c r="D39688" s="28"/>
      <c r="F39688" s="28"/>
      <c r="H39688" s="28"/>
    </row>
    <row r="39689" spans="4:8" x14ac:dyDescent="0.25">
      <c r="D39689" s="28"/>
      <c r="F39689" s="28"/>
      <c r="H39689" s="28"/>
    </row>
    <row r="39690" spans="4:8" x14ac:dyDescent="0.25">
      <c r="D39690" s="28"/>
      <c r="F39690" s="28"/>
      <c r="H39690" s="28"/>
    </row>
    <row r="39691" spans="4:8" x14ac:dyDescent="0.25">
      <c r="D39691" s="28"/>
      <c r="F39691" s="28"/>
      <c r="H39691" s="28"/>
    </row>
    <row r="39692" spans="4:8" x14ac:dyDescent="0.25">
      <c r="D39692" s="28"/>
      <c r="F39692" s="28"/>
      <c r="H39692" s="28"/>
    </row>
    <row r="39693" spans="4:8" x14ac:dyDescent="0.25">
      <c r="D39693" s="28"/>
      <c r="F39693" s="28"/>
      <c r="H39693" s="28"/>
    </row>
    <row r="39694" spans="4:8" x14ac:dyDescent="0.25">
      <c r="D39694" s="28"/>
      <c r="F39694" s="28"/>
      <c r="H39694" s="28"/>
    </row>
    <row r="39695" spans="4:8" x14ac:dyDescent="0.25">
      <c r="D39695" s="28"/>
      <c r="F39695" s="28"/>
      <c r="H39695" s="28"/>
    </row>
    <row r="39696" spans="4:8" x14ac:dyDescent="0.25">
      <c r="D39696" s="28"/>
      <c r="F39696" s="28"/>
      <c r="H39696" s="28"/>
    </row>
    <row r="39697" spans="4:8" x14ac:dyDescent="0.25">
      <c r="D39697" s="28"/>
      <c r="F39697" s="28"/>
      <c r="H39697" s="28"/>
    </row>
    <row r="39698" spans="4:8" x14ac:dyDescent="0.25">
      <c r="D39698" s="28"/>
      <c r="F39698" s="28"/>
      <c r="H39698" s="28"/>
    </row>
    <row r="39699" spans="4:8" x14ac:dyDescent="0.25">
      <c r="D39699" s="28"/>
      <c r="F39699" s="28"/>
      <c r="H39699" s="28"/>
    </row>
    <row r="39700" spans="4:8" x14ac:dyDescent="0.25">
      <c r="D39700" s="28"/>
      <c r="F39700" s="28"/>
      <c r="H39700" s="28"/>
    </row>
    <row r="39701" spans="4:8" x14ac:dyDescent="0.25">
      <c r="D39701" s="28"/>
      <c r="F39701" s="28"/>
      <c r="H39701" s="28"/>
    </row>
    <row r="39702" spans="4:8" x14ac:dyDescent="0.25">
      <c r="D39702" s="28"/>
      <c r="F39702" s="28"/>
      <c r="H39702" s="28"/>
    </row>
    <row r="39703" spans="4:8" x14ac:dyDescent="0.25">
      <c r="D39703" s="28"/>
      <c r="F39703" s="28"/>
      <c r="H39703" s="28"/>
    </row>
    <row r="39704" spans="4:8" x14ac:dyDescent="0.25">
      <c r="D39704" s="28"/>
      <c r="F39704" s="28"/>
      <c r="H39704" s="28"/>
    </row>
    <row r="39705" spans="4:8" x14ac:dyDescent="0.25">
      <c r="D39705" s="28"/>
      <c r="F39705" s="28"/>
      <c r="H39705" s="28"/>
    </row>
    <row r="39706" spans="4:8" x14ac:dyDescent="0.25">
      <c r="D39706" s="28"/>
      <c r="F39706" s="28"/>
      <c r="H39706" s="28"/>
    </row>
    <row r="39707" spans="4:8" x14ac:dyDescent="0.25">
      <c r="D39707" s="28"/>
      <c r="F39707" s="28"/>
      <c r="H39707" s="28"/>
    </row>
    <row r="39708" spans="4:8" x14ac:dyDescent="0.25">
      <c r="D39708" s="28"/>
      <c r="F39708" s="28"/>
      <c r="H39708" s="28"/>
    </row>
    <row r="39709" spans="4:8" x14ac:dyDescent="0.25">
      <c r="D39709" s="28"/>
      <c r="F39709" s="28"/>
      <c r="H39709" s="28"/>
    </row>
    <row r="39710" spans="4:8" x14ac:dyDescent="0.25">
      <c r="D39710" s="28"/>
      <c r="F39710" s="28"/>
      <c r="H39710" s="28"/>
    </row>
    <row r="39711" spans="4:8" x14ac:dyDescent="0.25">
      <c r="D39711" s="28"/>
      <c r="F39711" s="28"/>
      <c r="H39711" s="28"/>
    </row>
    <row r="39712" spans="4:8" x14ac:dyDescent="0.25">
      <c r="D39712" s="28"/>
      <c r="F39712" s="28"/>
      <c r="H39712" s="28"/>
    </row>
    <row r="39713" spans="4:8" x14ac:dyDescent="0.25">
      <c r="D39713" s="28"/>
      <c r="F39713" s="28"/>
      <c r="H39713" s="28"/>
    </row>
    <row r="39714" spans="4:8" x14ac:dyDescent="0.25">
      <c r="D39714" s="28"/>
      <c r="F39714" s="28"/>
      <c r="H39714" s="28"/>
    </row>
    <row r="39715" spans="4:8" x14ac:dyDescent="0.25">
      <c r="D39715" s="28"/>
      <c r="F39715" s="28"/>
      <c r="H39715" s="28"/>
    </row>
    <row r="39716" spans="4:8" x14ac:dyDescent="0.25">
      <c r="D39716" s="28"/>
      <c r="F39716" s="28"/>
      <c r="H39716" s="28"/>
    </row>
    <row r="39717" spans="4:8" x14ac:dyDescent="0.25">
      <c r="D39717" s="28"/>
      <c r="F39717" s="28"/>
      <c r="H39717" s="28"/>
    </row>
    <row r="39718" spans="4:8" x14ac:dyDescent="0.25">
      <c r="D39718" s="28"/>
      <c r="F39718" s="28"/>
      <c r="H39718" s="28"/>
    </row>
    <row r="39719" spans="4:8" x14ac:dyDescent="0.25">
      <c r="D39719" s="28"/>
      <c r="F39719" s="28"/>
      <c r="H39719" s="28"/>
    </row>
    <row r="39720" spans="4:8" x14ac:dyDescent="0.25">
      <c r="D39720" s="28"/>
      <c r="F39720" s="28"/>
      <c r="H39720" s="28"/>
    </row>
    <row r="39721" spans="4:8" x14ac:dyDescent="0.25">
      <c r="D39721" s="28"/>
      <c r="F39721" s="28"/>
      <c r="H39721" s="28"/>
    </row>
    <row r="39722" spans="4:8" x14ac:dyDescent="0.25">
      <c r="D39722" s="28"/>
      <c r="F39722" s="28"/>
      <c r="H39722" s="28"/>
    </row>
    <row r="39723" spans="4:8" x14ac:dyDescent="0.25">
      <c r="D39723" s="28"/>
      <c r="F39723" s="28"/>
      <c r="H39723" s="28"/>
    </row>
    <row r="39724" spans="4:8" x14ac:dyDescent="0.25">
      <c r="D39724" s="28"/>
      <c r="F39724" s="28"/>
      <c r="H39724" s="28"/>
    </row>
    <row r="39725" spans="4:8" x14ac:dyDescent="0.25">
      <c r="D39725" s="28"/>
      <c r="F39725" s="28"/>
      <c r="H39725" s="28"/>
    </row>
    <row r="39726" spans="4:8" x14ac:dyDescent="0.25">
      <c r="D39726" s="28"/>
      <c r="F39726" s="28"/>
      <c r="H39726" s="28"/>
    </row>
    <row r="39727" spans="4:8" x14ac:dyDescent="0.25">
      <c r="D39727" s="28"/>
      <c r="F39727" s="28"/>
      <c r="H39727" s="28"/>
    </row>
    <row r="39728" spans="4:8" x14ac:dyDescent="0.25">
      <c r="D39728" s="28"/>
      <c r="F39728" s="28"/>
      <c r="H39728" s="28"/>
    </row>
    <row r="39729" spans="4:8" x14ac:dyDescent="0.25">
      <c r="D39729" s="28"/>
      <c r="F39729" s="28"/>
      <c r="H39729" s="28"/>
    </row>
    <row r="39730" spans="4:8" x14ac:dyDescent="0.25">
      <c r="D39730" s="28"/>
      <c r="F39730" s="28"/>
      <c r="H39730" s="28"/>
    </row>
    <row r="39731" spans="4:8" x14ac:dyDescent="0.25">
      <c r="D39731" s="28"/>
      <c r="F39731" s="28"/>
      <c r="H39731" s="28"/>
    </row>
    <row r="39732" spans="4:8" x14ac:dyDescent="0.25">
      <c r="D39732" s="28"/>
      <c r="F39732" s="28"/>
      <c r="H39732" s="28"/>
    </row>
    <row r="39733" spans="4:8" x14ac:dyDescent="0.25">
      <c r="D39733" s="28"/>
      <c r="F39733" s="28"/>
      <c r="H39733" s="28"/>
    </row>
    <row r="39734" spans="4:8" x14ac:dyDescent="0.25">
      <c r="D39734" s="28"/>
      <c r="F39734" s="28"/>
      <c r="H39734" s="28"/>
    </row>
    <row r="39735" spans="4:8" x14ac:dyDescent="0.25">
      <c r="D39735" s="28"/>
      <c r="F39735" s="28"/>
      <c r="H39735" s="28"/>
    </row>
    <row r="39736" spans="4:8" x14ac:dyDescent="0.25">
      <c r="D39736" s="28"/>
      <c r="F39736" s="28"/>
      <c r="H39736" s="28"/>
    </row>
    <row r="39737" spans="4:8" x14ac:dyDescent="0.25">
      <c r="D39737" s="28"/>
      <c r="F39737" s="28"/>
      <c r="H39737" s="28"/>
    </row>
    <row r="39738" spans="4:8" x14ac:dyDescent="0.25">
      <c r="D39738" s="28"/>
      <c r="F39738" s="28"/>
      <c r="H39738" s="28"/>
    </row>
    <row r="39739" spans="4:8" x14ac:dyDescent="0.25">
      <c r="D39739" s="28"/>
      <c r="F39739" s="28"/>
      <c r="H39739" s="28"/>
    </row>
    <row r="39740" spans="4:8" x14ac:dyDescent="0.25">
      <c r="D39740" s="28"/>
      <c r="F39740" s="28"/>
      <c r="H39740" s="28"/>
    </row>
    <row r="39741" spans="4:8" x14ac:dyDescent="0.25">
      <c r="D39741" s="28"/>
      <c r="F39741" s="28"/>
      <c r="H39741" s="28"/>
    </row>
    <row r="39742" spans="4:8" x14ac:dyDescent="0.25">
      <c r="D39742" s="28"/>
      <c r="F39742" s="28"/>
      <c r="H39742" s="28"/>
    </row>
    <row r="39743" spans="4:8" x14ac:dyDescent="0.25">
      <c r="D39743" s="28"/>
      <c r="F39743" s="28"/>
      <c r="H39743" s="28"/>
    </row>
    <row r="39744" spans="4:8" x14ac:dyDescent="0.25">
      <c r="D39744" s="28"/>
      <c r="F39744" s="28"/>
      <c r="H39744" s="28"/>
    </row>
    <row r="39745" spans="4:8" x14ac:dyDescent="0.25">
      <c r="D39745" s="28"/>
      <c r="F39745" s="28"/>
      <c r="H39745" s="28"/>
    </row>
    <row r="39746" spans="4:8" x14ac:dyDescent="0.25">
      <c r="D39746" s="28"/>
      <c r="F39746" s="28"/>
      <c r="H39746" s="28"/>
    </row>
    <row r="39747" spans="4:8" x14ac:dyDescent="0.25">
      <c r="D39747" s="28"/>
      <c r="F39747" s="28"/>
      <c r="H39747" s="28"/>
    </row>
    <row r="39748" spans="4:8" x14ac:dyDescent="0.25">
      <c r="D39748" s="28"/>
      <c r="F39748" s="28"/>
      <c r="H39748" s="28"/>
    </row>
    <row r="39749" spans="4:8" x14ac:dyDescent="0.25">
      <c r="D39749" s="28"/>
      <c r="F39749" s="28"/>
      <c r="H39749" s="28"/>
    </row>
    <row r="39750" spans="4:8" x14ac:dyDescent="0.25">
      <c r="D39750" s="28"/>
      <c r="F39750" s="28"/>
      <c r="H39750" s="28"/>
    </row>
    <row r="39751" spans="4:8" x14ac:dyDescent="0.25">
      <c r="D39751" s="28"/>
      <c r="F39751" s="28"/>
      <c r="H39751" s="28"/>
    </row>
    <row r="39752" spans="4:8" x14ac:dyDescent="0.25">
      <c r="D39752" s="28"/>
      <c r="F39752" s="28"/>
      <c r="H39752" s="28"/>
    </row>
    <row r="39753" spans="4:8" x14ac:dyDescent="0.25">
      <c r="D39753" s="28"/>
      <c r="F39753" s="28"/>
      <c r="H39753" s="28"/>
    </row>
    <row r="39754" spans="4:8" x14ac:dyDescent="0.25">
      <c r="D39754" s="28"/>
      <c r="F39754" s="28"/>
      <c r="H39754" s="28"/>
    </row>
    <row r="39755" spans="4:8" x14ac:dyDescent="0.25">
      <c r="D39755" s="28"/>
      <c r="F39755" s="28"/>
      <c r="H39755" s="28"/>
    </row>
    <row r="39756" spans="4:8" x14ac:dyDescent="0.25">
      <c r="D39756" s="28"/>
      <c r="F39756" s="28"/>
      <c r="H39756" s="28"/>
    </row>
    <row r="39757" spans="4:8" x14ac:dyDescent="0.25">
      <c r="D39757" s="28"/>
      <c r="F39757" s="28"/>
      <c r="H39757" s="28"/>
    </row>
    <row r="39758" spans="4:8" x14ac:dyDescent="0.25">
      <c r="D39758" s="28"/>
      <c r="F39758" s="28"/>
      <c r="H39758" s="28"/>
    </row>
    <row r="39759" spans="4:8" x14ac:dyDescent="0.25">
      <c r="D39759" s="28"/>
      <c r="F39759" s="28"/>
      <c r="H39759" s="28"/>
    </row>
    <row r="39760" spans="4:8" x14ac:dyDescent="0.25">
      <c r="D39760" s="28"/>
      <c r="F39760" s="28"/>
      <c r="H39760" s="28"/>
    </row>
    <row r="39761" spans="4:8" x14ac:dyDescent="0.25">
      <c r="D39761" s="28"/>
      <c r="F39761" s="28"/>
      <c r="H39761" s="28"/>
    </row>
    <row r="39762" spans="4:8" x14ac:dyDescent="0.25">
      <c r="D39762" s="28"/>
      <c r="F39762" s="28"/>
      <c r="H39762" s="28"/>
    </row>
    <row r="39763" spans="4:8" x14ac:dyDescent="0.25">
      <c r="D39763" s="28"/>
      <c r="F39763" s="28"/>
      <c r="H39763" s="28"/>
    </row>
    <row r="39764" spans="4:8" x14ac:dyDescent="0.25">
      <c r="D39764" s="28"/>
      <c r="F39764" s="28"/>
      <c r="H39764" s="28"/>
    </row>
    <row r="39765" spans="4:8" x14ac:dyDescent="0.25">
      <c r="D39765" s="28"/>
      <c r="F39765" s="28"/>
      <c r="H39765" s="28"/>
    </row>
    <row r="39766" spans="4:8" x14ac:dyDescent="0.25">
      <c r="D39766" s="28"/>
      <c r="F39766" s="28"/>
      <c r="H39766" s="28"/>
    </row>
    <row r="39767" spans="4:8" x14ac:dyDescent="0.25">
      <c r="D39767" s="28"/>
      <c r="F39767" s="28"/>
      <c r="H39767" s="28"/>
    </row>
    <row r="39768" spans="4:8" x14ac:dyDescent="0.25">
      <c r="D39768" s="28"/>
      <c r="F39768" s="28"/>
      <c r="H39768" s="28"/>
    </row>
    <row r="39769" spans="4:8" x14ac:dyDescent="0.25">
      <c r="D39769" s="28"/>
      <c r="F39769" s="28"/>
      <c r="H39769" s="28"/>
    </row>
    <row r="39770" spans="4:8" x14ac:dyDescent="0.25">
      <c r="D39770" s="28"/>
      <c r="F39770" s="28"/>
      <c r="H39770" s="28"/>
    </row>
    <row r="39771" spans="4:8" x14ac:dyDescent="0.25">
      <c r="D39771" s="28"/>
      <c r="F39771" s="28"/>
      <c r="H39771" s="28"/>
    </row>
    <row r="39772" spans="4:8" x14ac:dyDescent="0.25">
      <c r="D39772" s="28"/>
      <c r="F39772" s="28"/>
      <c r="H39772" s="28"/>
    </row>
    <row r="39773" spans="4:8" x14ac:dyDescent="0.25">
      <c r="D39773" s="28"/>
      <c r="F39773" s="28"/>
      <c r="H39773" s="28"/>
    </row>
    <row r="39774" spans="4:8" x14ac:dyDescent="0.25">
      <c r="D39774" s="28"/>
      <c r="F39774" s="28"/>
      <c r="H39774" s="28"/>
    </row>
    <row r="39775" spans="4:8" x14ac:dyDescent="0.25">
      <c r="D39775" s="28"/>
      <c r="F39775" s="28"/>
      <c r="H39775" s="28"/>
    </row>
    <row r="39776" spans="4:8" x14ac:dyDescent="0.25">
      <c r="D39776" s="28"/>
      <c r="F39776" s="28"/>
      <c r="H39776" s="28"/>
    </row>
    <row r="39777" spans="4:8" x14ac:dyDescent="0.25">
      <c r="D39777" s="28"/>
      <c r="F39777" s="28"/>
      <c r="H39777" s="28"/>
    </row>
    <row r="39778" spans="4:8" x14ac:dyDescent="0.25">
      <c r="D39778" s="28"/>
      <c r="F39778" s="28"/>
      <c r="H39778" s="28"/>
    </row>
    <row r="39779" spans="4:8" x14ac:dyDescent="0.25">
      <c r="D39779" s="28"/>
      <c r="F39779" s="28"/>
      <c r="H39779" s="28"/>
    </row>
    <row r="39780" spans="4:8" x14ac:dyDescent="0.25">
      <c r="D39780" s="28"/>
      <c r="F39780" s="28"/>
      <c r="H39780" s="28"/>
    </row>
    <row r="39781" spans="4:8" x14ac:dyDescent="0.25">
      <c r="D39781" s="28"/>
      <c r="F39781" s="28"/>
      <c r="H39781" s="28"/>
    </row>
    <row r="39782" spans="4:8" x14ac:dyDescent="0.25">
      <c r="D39782" s="28"/>
      <c r="F39782" s="28"/>
      <c r="H39782" s="28"/>
    </row>
    <row r="39783" spans="4:8" x14ac:dyDescent="0.25">
      <c r="D39783" s="28"/>
      <c r="F39783" s="28"/>
      <c r="H39783" s="28"/>
    </row>
    <row r="39784" spans="4:8" x14ac:dyDescent="0.25">
      <c r="D39784" s="28"/>
      <c r="F39784" s="28"/>
      <c r="H39784" s="28"/>
    </row>
    <row r="39785" spans="4:8" x14ac:dyDescent="0.25">
      <c r="D39785" s="28"/>
      <c r="F39785" s="28"/>
      <c r="H39785" s="28"/>
    </row>
    <row r="39786" spans="4:8" x14ac:dyDescent="0.25">
      <c r="D39786" s="28"/>
      <c r="F39786" s="28"/>
      <c r="H39786" s="28"/>
    </row>
    <row r="39787" spans="4:8" x14ac:dyDescent="0.25">
      <c r="D39787" s="28"/>
      <c r="F39787" s="28"/>
      <c r="H39787" s="28"/>
    </row>
    <row r="39788" spans="4:8" x14ac:dyDescent="0.25">
      <c r="D39788" s="28"/>
      <c r="F39788" s="28"/>
      <c r="H39788" s="28"/>
    </row>
    <row r="39789" spans="4:8" x14ac:dyDescent="0.25">
      <c r="D39789" s="28"/>
      <c r="F39789" s="28"/>
      <c r="H39789" s="28"/>
    </row>
    <row r="39790" spans="4:8" x14ac:dyDescent="0.25">
      <c r="D39790" s="28"/>
      <c r="F39790" s="28"/>
      <c r="H39790" s="28"/>
    </row>
    <row r="39791" spans="4:8" x14ac:dyDescent="0.25">
      <c r="D39791" s="28"/>
      <c r="F39791" s="28"/>
      <c r="H39791" s="28"/>
    </row>
    <row r="39792" spans="4:8" x14ac:dyDescent="0.25">
      <c r="D39792" s="28"/>
      <c r="F39792" s="28"/>
      <c r="H39792" s="28"/>
    </row>
    <row r="39793" spans="4:8" x14ac:dyDescent="0.25">
      <c r="D39793" s="28"/>
      <c r="F39793" s="28"/>
      <c r="H39793" s="28"/>
    </row>
    <row r="39794" spans="4:8" x14ac:dyDescent="0.25">
      <c r="D39794" s="28"/>
      <c r="F39794" s="28"/>
      <c r="H39794" s="28"/>
    </row>
    <row r="39795" spans="4:8" x14ac:dyDescent="0.25">
      <c r="D39795" s="28"/>
      <c r="F39795" s="28"/>
      <c r="H39795" s="28"/>
    </row>
    <row r="39796" spans="4:8" x14ac:dyDescent="0.25">
      <c r="D39796" s="28"/>
      <c r="F39796" s="28"/>
      <c r="H39796" s="28"/>
    </row>
    <row r="39797" spans="4:8" x14ac:dyDescent="0.25">
      <c r="D39797" s="28"/>
      <c r="F39797" s="28"/>
      <c r="H39797" s="28"/>
    </row>
    <row r="39798" spans="4:8" x14ac:dyDescent="0.25">
      <c r="D39798" s="28"/>
      <c r="F39798" s="28"/>
      <c r="H39798" s="28"/>
    </row>
    <row r="39799" spans="4:8" x14ac:dyDescent="0.25">
      <c r="D39799" s="28"/>
      <c r="F39799" s="28"/>
      <c r="H39799" s="28"/>
    </row>
    <row r="39800" spans="4:8" x14ac:dyDescent="0.25">
      <c r="D39800" s="28"/>
      <c r="F39800" s="28"/>
      <c r="H39800" s="28"/>
    </row>
    <row r="39801" spans="4:8" x14ac:dyDescent="0.25">
      <c r="D39801" s="28"/>
      <c r="F39801" s="28"/>
      <c r="H39801" s="28"/>
    </row>
    <row r="39802" spans="4:8" x14ac:dyDescent="0.25">
      <c r="D39802" s="28"/>
      <c r="F39802" s="28"/>
      <c r="H39802" s="28"/>
    </row>
    <row r="39803" spans="4:8" x14ac:dyDescent="0.25">
      <c r="D39803" s="28"/>
      <c r="F39803" s="28"/>
      <c r="H39803" s="28"/>
    </row>
    <row r="39804" spans="4:8" x14ac:dyDescent="0.25">
      <c r="D39804" s="28"/>
      <c r="F39804" s="28"/>
      <c r="H39804" s="28"/>
    </row>
    <row r="39805" spans="4:8" x14ac:dyDescent="0.25">
      <c r="D39805" s="28"/>
      <c r="F39805" s="28"/>
      <c r="H39805" s="28"/>
    </row>
    <row r="39806" spans="4:8" x14ac:dyDescent="0.25">
      <c r="D39806" s="28"/>
      <c r="F39806" s="28"/>
      <c r="H39806" s="28"/>
    </row>
    <row r="39807" spans="4:8" x14ac:dyDescent="0.25">
      <c r="D39807" s="28"/>
      <c r="F39807" s="28"/>
      <c r="H39807" s="28"/>
    </row>
    <row r="39808" spans="4:8" x14ac:dyDescent="0.25">
      <c r="D39808" s="28"/>
      <c r="F39808" s="28"/>
      <c r="H39808" s="28"/>
    </row>
    <row r="39809" spans="4:8" x14ac:dyDescent="0.25">
      <c r="D39809" s="28"/>
      <c r="F39809" s="28"/>
      <c r="H39809" s="28"/>
    </row>
    <row r="39810" spans="4:8" x14ac:dyDescent="0.25">
      <c r="D39810" s="28"/>
      <c r="F39810" s="28"/>
      <c r="H39810" s="28"/>
    </row>
    <row r="39811" spans="4:8" x14ac:dyDescent="0.25">
      <c r="D39811" s="28"/>
      <c r="F39811" s="28"/>
      <c r="H39811" s="28"/>
    </row>
    <row r="39812" spans="4:8" x14ac:dyDescent="0.25">
      <c r="D39812" s="28"/>
      <c r="F39812" s="28"/>
      <c r="H39812" s="28"/>
    </row>
    <row r="39813" spans="4:8" x14ac:dyDescent="0.25">
      <c r="D39813" s="28"/>
      <c r="F39813" s="28"/>
      <c r="H39813" s="28"/>
    </row>
    <row r="39814" spans="4:8" x14ac:dyDescent="0.25">
      <c r="D39814" s="28"/>
      <c r="F39814" s="28"/>
      <c r="H39814" s="28"/>
    </row>
    <row r="39815" spans="4:8" x14ac:dyDescent="0.25">
      <c r="D39815" s="28"/>
      <c r="F39815" s="28"/>
      <c r="H39815" s="28"/>
    </row>
    <row r="39816" spans="4:8" x14ac:dyDescent="0.25">
      <c r="D39816" s="28"/>
      <c r="F39816" s="28"/>
      <c r="H39816" s="28"/>
    </row>
    <row r="39817" spans="4:8" x14ac:dyDescent="0.25">
      <c r="D39817" s="28"/>
      <c r="F39817" s="28"/>
      <c r="H39817" s="28"/>
    </row>
    <row r="39818" spans="4:8" x14ac:dyDescent="0.25">
      <c r="D39818" s="28"/>
      <c r="F39818" s="28"/>
      <c r="H39818" s="28"/>
    </row>
    <row r="39819" spans="4:8" x14ac:dyDescent="0.25">
      <c r="D39819" s="28"/>
      <c r="F39819" s="28"/>
      <c r="H39819" s="28"/>
    </row>
    <row r="39820" spans="4:8" x14ac:dyDescent="0.25">
      <c r="D39820" s="28"/>
      <c r="F39820" s="28"/>
      <c r="H39820" s="28"/>
    </row>
    <row r="39821" spans="4:8" x14ac:dyDescent="0.25">
      <c r="D39821" s="28"/>
      <c r="F39821" s="28"/>
      <c r="H39821" s="28"/>
    </row>
    <row r="39822" spans="4:8" x14ac:dyDescent="0.25">
      <c r="D39822" s="28"/>
      <c r="F39822" s="28"/>
      <c r="H39822" s="28"/>
    </row>
    <row r="39823" spans="4:8" x14ac:dyDescent="0.25">
      <c r="D39823" s="28"/>
      <c r="F39823" s="28"/>
      <c r="H39823" s="28"/>
    </row>
    <row r="39824" spans="4:8" x14ac:dyDescent="0.25">
      <c r="D39824" s="28"/>
      <c r="F39824" s="28"/>
      <c r="H39824" s="28"/>
    </row>
    <row r="39825" spans="4:8" x14ac:dyDescent="0.25">
      <c r="D39825" s="28"/>
      <c r="F39825" s="28"/>
      <c r="H39825" s="28"/>
    </row>
    <row r="39826" spans="4:8" x14ac:dyDescent="0.25">
      <c r="D39826" s="28"/>
      <c r="F39826" s="28"/>
      <c r="H39826" s="28"/>
    </row>
    <row r="39827" spans="4:8" x14ac:dyDescent="0.25">
      <c r="D39827" s="28"/>
      <c r="F39827" s="28"/>
      <c r="H39827" s="28"/>
    </row>
    <row r="39828" spans="4:8" x14ac:dyDescent="0.25">
      <c r="D39828" s="28"/>
      <c r="F39828" s="28"/>
      <c r="H39828" s="28"/>
    </row>
    <row r="39829" spans="4:8" x14ac:dyDescent="0.25">
      <c r="D39829" s="28"/>
      <c r="F39829" s="28"/>
      <c r="H39829" s="28"/>
    </row>
    <row r="39830" spans="4:8" x14ac:dyDescent="0.25">
      <c r="D39830" s="28"/>
      <c r="F39830" s="28"/>
      <c r="H39830" s="28"/>
    </row>
    <row r="39831" spans="4:8" x14ac:dyDescent="0.25">
      <c r="D39831" s="28"/>
      <c r="F39831" s="28"/>
      <c r="H39831" s="28"/>
    </row>
    <row r="39832" spans="4:8" x14ac:dyDescent="0.25">
      <c r="D39832" s="28"/>
      <c r="F39832" s="28"/>
      <c r="H39832" s="28"/>
    </row>
    <row r="39833" spans="4:8" x14ac:dyDescent="0.25">
      <c r="D39833" s="28"/>
      <c r="F39833" s="28"/>
      <c r="H39833" s="28"/>
    </row>
    <row r="39834" spans="4:8" x14ac:dyDescent="0.25">
      <c r="D39834" s="28"/>
      <c r="F39834" s="28"/>
      <c r="H39834" s="28"/>
    </row>
    <row r="39835" spans="4:8" x14ac:dyDescent="0.25">
      <c r="D39835" s="28"/>
      <c r="F39835" s="28"/>
      <c r="H39835" s="28"/>
    </row>
    <row r="39836" spans="4:8" x14ac:dyDescent="0.25">
      <c r="D39836" s="28"/>
      <c r="F39836" s="28"/>
      <c r="H39836" s="28"/>
    </row>
    <row r="39837" spans="4:8" x14ac:dyDescent="0.25">
      <c r="D39837" s="28"/>
      <c r="F39837" s="28"/>
      <c r="H39837" s="28"/>
    </row>
    <row r="39838" spans="4:8" x14ac:dyDescent="0.25">
      <c r="D39838" s="28"/>
      <c r="F39838" s="28"/>
      <c r="H39838" s="28"/>
    </row>
    <row r="39839" spans="4:8" x14ac:dyDescent="0.25">
      <c r="D39839" s="28"/>
      <c r="F39839" s="28"/>
      <c r="H39839" s="28"/>
    </row>
    <row r="39840" spans="4:8" x14ac:dyDescent="0.25">
      <c r="D39840" s="28"/>
      <c r="F39840" s="28"/>
      <c r="H39840" s="28"/>
    </row>
    <row r="39841" spans="4:8" x14ac:dyDescent="0.25">
      <c r="D39841" s="28"/>
      <c r="F39841" s="28"/>
      <c r="H39841" s="28"/>
    </row>
    <row r="39842" spans="4:8" x14ac:dyDescent="0.25">
      <c r="D39842" s="28"/>
      <c r="F39842" s="28"/>
      <c r="H39842" s="28"/>
    </row>
    <row r="39843" spans="4:8" x14ac:dyDescent="0.25">
      <c r="D39843" s="28"/>
      <c r="F39843" s="28"/>
      <c r="H39843" s="28"/>
    </row>
    <row r="39844" spans="4:8" x14ac:dyDescent="0.25">
      <c r="D39844" s="28"/>
      <c r="F39844" s="28"/>
      <c r="H39844" s="28"/>
    </row>
    <row r="39845" spans="4:8" x14ac:dyDescent="0.25">
      <c r="D39845" s="28"/>
      <c r="F39845" s="28"/>
      <c r="H39845" s="28"/>
    </row>
    <row r="39846" spans="4:8" x14ac:dyDescent="0.25">
      <c r="D39846" s="28"/>
      <c r="F39846" s="28"/>
      <c r="H39846" s="28"/>
    </row>
    <row r="39847" spans="4:8" x14ac:dyDescent="0.25">
      <c r="D39847" s="28"/>
      <c r="F39847" s="28"/>
      <c r="H39847" s="28"/>
    </row>
    <row r="39848" spans="4:8" x14ac:dyDescent="0.25">
      <c r="D39848" s="28"/>
      <c r="F39848" s="28"/>
      <c r="H39848" s="28"/>
    </row>
    <row r="39849" spans="4:8" x14ac:dyDescent="0.25">
      <c r="D39849" s="28"/>
      <c r="F39849" s="28"/>
      <c r="H39849" s="28"/>
    </row>
    <row r="39850" spans="4:8" x14ac:dyDescent="0.25">
      <c r="D39850" s="28"/>
      <c r="F39850" s="28"/>
      <c r="H39850" s="28"/>
    </row>
    <row r="39851" spans="4:8" x14ac:dyDescent="0.25">
      <c r="D39851" s="28"/>
      <c r="F39851" s="28"/>
      <c r="H39851" s="28"/>
    </row>
    <row r="39852" spans="4:8" x14ac:dyDescent="0.25">
      <c r="D39852" s="28"/>
      <c r="F39852" s="28"/>
      <c r="H39852" s="28"/>
    </row>
    <row r="39853" spans="4:8" x14ac:dyDescent="0.25">
      <c r="D39853" s="28"/>
      <c r="F39853" s="28"/>
      <c r="H39853" s="28"/>
    </row>
    <row r="39854" spans="4:8" x14ac:dyDescent="0.25">
      <c r="D39854" s="28"/>
      <c r="F39854" s="28"/>
      <c r="H39854" s="28"/>
    </row>
    <row r="39855" spans="4:8" x14ac:dyDescent="0.25">
      <c r="D39855" s="28"/>
      <c r="F39855" s="28"/>
      <c r="H39855" s="28"/>
    </row>
    <row r="39856" spans="4:8" x14ac:dyDescent="0.25">
      <c r="D39856" s="28"/>
      <c r="F39856" s="28"/>
      <c r="H39856" s="28"/>
    </row>
    <row r="39857" spans="4:8" x14ac:dyDescent="0.25">
      <c r="D39857" s="28"/>
      <c r="F39857" s="28"/>
      <c r="H39857" s="28"/>
    </row>
    <row r="39858" spans="4:8" x14ac:dyDescent="0.25">
      <c r="D39858" s="28"/>
      <c r="F39858" s="28"/>
      <c r="H39858" s="28"/>
    </row>
    <row r="39859" spans="4:8" x14ac:dyDescent="0.25">
      <c r="D39859" s="28"/>
      <c r="F39859" s="28"/>
      <c r="H39859" s="28"/>
    </row>
    <row r="39860" spans="4:8" x14ac:dyDescent="0.25">
      <c r="D39860" s="28"/>
      <c r="F39860" s="28"/>
      <c r="H39860" s="28"/>
    </row>
    <row r="39861" spans="4:8" x14ac:dyDescent="0.25">
      <c r="D39861" s="28"/>
      <c r="F39861" s="28"/>
      <c r="H39861" s="28"/>
    </row>
    <row r="39862" spans="4:8" x14ac:dyDescent="0.25">
      <c r="D39862" s="28"/>
      <c r="F39862" s="28"/>
      <c r="H39862" s="28"/>
    </row>
    <row r="39863" spans="4:8" x14ac:dyDescent="0.25">
      <c r="D39863" s="28"/>
      <c r="F39863" s="28"/>
      <c r="H39863" s="28"/>
    </row>
    <row r="39864" spans="4:8" x14ac:dyDescent="0.25">
      <c r="D39864" s="28"/>
      <c r="F39864" s="28"/>
      <c r="H39864" s="28"/>
    </row>
    <row r="39865" spans="4:8" x14ac:dyDescent="0.25">
      <c r="D39865" s="28"/>
      <c r="F39865" s="28"/>
      <c r="H39865" s="28"/>
    </row>
    <row r="39866" spans="4:8" x14ac:dyDescent="0.25">
      <c r="D39866" s="28"/>
      <c r="F39866" s="28"/>
      <c r="H39866" s="28"/>
    </row>
    <row r="39867" spans="4:8" x14ac:dyDescent="0.25">
      <c r="D39867" s="28"/>
      <c r="F39867" s="28"/>
      <c r="H39867" s="28"/>
    </row>
    <row r="39868" spans="4:8" x14ac:dyDescent="0.25">
      <c r="D39868" s="28"/>
      <c r="F39868" s="28"/>
      <c r="H39868" s="28"/>
    </row>
    <row r="39869" spans="4:8" x14ac:dyDescent="0.25">
      <c r="D39869" s="28"/>
      <c r="F39869" s="28"/>
      <c r="H39869" s="28"/>
    </row>
    <row r="39870" spans="4:8" x14ac:dyDescent="0.25">
      <c r="D39870" s="28"/>
      <c r="F39870" s="28"/>
      <c r="H39870" s="28"/>
    </row>
    <row r="39871" spans="4:8" x14ac:dyDescent="0.25">
      <c r="D39871" s="28"/>
      <c r="F39871" s="28"/>
      <c r="H39871" s="28"/>
    </row>
    <row r="39872" spans="4:8" x14ac:dyDescent="0.25">
      <c r="D39872" s="28"/>
      <c r="F39872" s="28"/>
      <c r="H39872" s="28"/>
    </row>
    <row r="39873" spans="4:8" x14ac:dyDescent="0.25">
      <c r="D39873" s="28"/>
      <c r="F39873" s="28"/>
      <c r="H39873" s="28"/>
    </row>
    <row r="39874" spans="4:8" x14ac:dyDescent="0.25">
      <c r="D39874" s="28"/>
      <c r="F39874" s="28"/>
      <c r="H39874" s="28"/>
    </row>
    <row r="39875" spans="4:8" x14ac:dyDescent="0.25">
      <c r="D39875" s="28"/>
      <c r="F39875" s="28"/>
      <c r="H39875" s="28"/>
    </row>
    <row r="39876" spans="4:8" x14ac:dyDescent="0.25">
      <c r="D39876" s="28"/>
      <c r="F39876" s="28"/>
      <c r="H39876" s="28"/>
    </row>
    <row r="39877" spans="4:8" x14ac:dyDescent="0.25">
      <c r="D39877" s="28"/>
      <c r="F39877" s="28"/>
      <c r="H39877" s="28"/>
    </row>
    <row r="39878" spans="4:8" x14ac:dyDescent="0.25">
      <c r="D39878" s="28"/>
      <c r="F39878" s="28"/>
      <c r="H39878" s="28"/>
    </row>
    <row r="39879" spans="4:8" x14ac:dyDescent="0.25">
      <c r="D39879" s="28"/>
      <c r="F39879" s="28"/>
      <c r="H39879" s="28"/>
    </row>
    <row r="39880" spans="4:8" x14ac:dyDescent="0.25">
      <c r="D39880" s="28"/>
      <c r="F39880" s="28"/>
      <c r="H39880" s="28"/>
    </row>
    <row r="39881" spans="4:8" x14ac:dyDescent="0.25">
      <c r="D39881" s="28"/>
      <c r="F39881" s="28"/>
      <c r="H39881" s="28"/>
    </row>
    <row r="39882" spans="4:8" x14ac:dyDescent="0.25">
      <c r="D39882" s="28"/>
      <c r="F39882" s="28"/>
      <c r="H39882" s="28"/>
    </row>
    <row r="39883" spans="4:8" x14ac:dyDescent="0.25">
      <c r="D39883" s="28"/>
      <c r="F39883" s="28"/>
      <c r="H39883" s="28"/>
    </row>
    <row r="39884" spans="4:8" x14ac:dyDescent="0.25">
      <c r="D39884" s="28"/>
      <c r="F39884" s="28"/>
      <c r="H39884" s="28"/>
    </row>
    <row r="39885" spans="4:8" x14ac:dyDescent="0.25">
      <c r="D39885" s="28"/>
      <c r="F39885" s="28"/>
      <c r="H39885" s="28"/>
    </row>
    <row r="39886" spans="4:8" x14ac:dyDescent="0.25">
      <c r="D39886" s="28"/>
      <c r="F39886" s="28"/>
      <c r="H39886" s="28"/>
    </row>
    <row r="39887" spans="4:8" x14ac:dyDescent="0.25">
      <c r="D39887" s="28"/>
      <c r="F39887" s="28"/>
      <c r="H39887" s="28"/>
    </row>
    <row r="39888" spans="4:8" x14ac:dyDescent="0.25">
      <c r="D39888" s="28"/>
      <c r="F39888" s="28"/>
      <c r="H39888" s="28"/>
    </row>
    <row r="39889" spans="4:8" x14ac:dyDescent="0.25">
      <c r="D39889" s="28"/>
      <c r="F39889" s="28"/>
      <c r="H39889" s="28"/>
    </row>
    <row r="39890" spans="4:8" x14ac:dyDescent="0.25">
      <c r="D39890" s="28"/>
      <c r="F39890" s="28"/>
      <c r="H39890" s="28"/>
    </row>
    <row r="39891" spans="4:8" x14ac:dyDescent="0.25">
      <c r="D39891" s="28"/>
      <c r="F39891" s="28"/>
      <c r="H39891" s="28"/>
    </row>
    <row r="39892" spans="4:8" x14ac:dyDescent="0.25">
      <c r="D39892" s="28"/>
      <c r="F39892" s="28"/>
      <c r="H39892" s="28"/>
    </row>
    <row r="39893" spans="4:8" x14ac:dyDescent="0.25">
      <c r="D39893" s="28"/>
      <c r="F39893" s="28"/>
      <c r="H39893" s="28"/>
    </row>
    <row r="39894" spans="4:8" x14ac:dyDescent="0.25">
      <c r="D39894" s="28"/>
      <c r="F39894" s="28"/>
      <c r="H39894" s="28"/>
    </row>
    <row r="39895" spans="4:8" x14ac:dyDescent="0.25">
      <c r="D39895" s="28"/>
      <c r="F39895" s="28"/>
      <c r="H39895" s="28"/>
    </row>
    <row r="39896" spans="4:8" x14ac:dyDescent="0.25">
      <c r="D39896" s="28"/>
      <c r="F39896" s="28"/>
      <c r="H39896" s="28"/>
    </row>
    <row r="39897" spans="4:8" x14ac:dyDescent="0.25">
      <c r="D39897" s="28"/>
      <c r="F39897" s="28"/>
      <c r="H39897" s="28"/>
    </row>
    <row r="39898" spans="4:8" x14ac:dyDescent="0.25">
      <c r="D39898" s="28"/>
      <c r="F39898" s="28"/>
      <c r="H39898" s="28"/>
    </row>
    <row r="39899" spans="4:8" x14ac:dyDescent="0.25">
      <c r="D39899" s="28"/>
      <c r="F39899" s="28"/>
      <c r="H39899" s="28"/>
    </row>
    <row r="39900" spans="4:8" x14ac:dyDescent="0.25">
      <c r="D39900" s="28"/>
      <c r="F39900" s="28"/>
      <c r="H39900" s="28"/>
    </row>
    <row r="39901" spans="4:8" x14ac:dyDescent="0.25">
      <c r="D39901" s="28"/>
      <c r="F39901" s="28"/>
      <c r="H39901" s="28"/>
    </row>
    <row r="39902" spans="4:8" x14ac:dyDescent="0.25">
      <c r="D39902" s="28"/>
      <c r="F39902" s="28"/>
      <c r="H39902" s="28"/>
    </row>
    <row r="39903" spans="4:8" x14ac:dyDescent="0.25">
      <c r="D39903" s="28"/>
      <c r="F39903" s="28"/>
      <c r="H39903" s="28"/>
    </row>
    <row r="39904" spans="4:8" x14ac:dyDescent="0.25">
      <c r="D39904" s="28"/>
      <c r="F39904" s="28"/>
      <c r="H39904" s="28"/>
    </row>
    <row r="39905" spans="4:8" x14ac:dyDescent="0.25">
      <c r="D39905" s="28"/>
      <c r="F39905" s="28"/>
      <c r="H39905" s="28"/>
    </row>
    <row r="39906" spans="4:8" x14ac:dyDescent="0.25">
      <c r="D39906" s="28"/>
      <c r="F39906" s="28"/>
      <c r="H39906" s="28"/>
    </row>
    <row r="39907" spans="4:8" x14ac:dyDescent="0.25">
      <c r="D39907" s="28"/>
      <c r="F39907" s="28"/>
      <c r="H39907" s="28"/>
    </row>
    <row r="39908" spans="4:8" x14ac:dyDescent="0.25">
      <c r="D39908" s="28"/>
      <c r="F39908" s="28"/>
      <c r="H39908" s="28"/>
    </row>
    <row r="39909" spans="4:8" x14ac:dyDescent="0.25">
      <c r="D39909" s="28"/>
      <c r="F39909" s="28"/>
      <c r="H39909" s="28"/>
    </row>
    <row r="39910" spans="4:8" x14ac:dyDescent="0.25">
      <c r="D39910" s="28"/>
      <c r="F39910" s="28"/>
      <c r="H39910" s="28"/>
    </row>
    <row r="39911" spans="4:8" x14ac:dyDescent="0.25">
      <c r="D39911" s="28"/>
      <c r="F39911" s="28"/>
      <c r="H39911" s="28"/>
    </row>
    <row r="39912" spans="4:8" x14ac:dyDescent="0.25">
      <c r="D39912" s="28"/>
      <c r="F39912" s="28"/>
      <c r="H39912" s="28"/>
    </row>
    <row r="39913" spans="4:8" x14ac:dyDescent="0.25">
      <c r="D39913" s="28"/>
      <c r="F39913" s="28"/>
      <c r="H39913" s="28"/>
    </row>
    <row r="39914" spans="4:8" x14ac:dyDescent="0.25">
      <c r="D39914" s="28"/>
      <c r="F39914" s="28"/>
      <c r="H39914" s="28"/>
    </row>
    <row r="39915" spans="4:8" x14ac:dyDescent="0.25">
      <c r="D39915" s="28"/>
      <c r="F39915" s="28"/>
      <c r="H39915" s="28"/>
    </row>
    <row r="39916" spans="4:8" x14ac:dyDescent="0.25">
      <c r="D39916" s="28"/>
      <c r="F39916" s="28"/>
      <c r="H39916" s="28"/>
    </row>
    <row r="39917" spans="4:8" x14ac:dyDescent="0.25">
      <c r="D39917" s="28"/>
      <c r="F39917" s="28"/>
      <c r="H39917" s="28"/>
    </row>
    <row r="39918" spans="4:8" x14ac:dyDescent="0.25">
      <c r="D39918" s="28"/>
      <c r="F39918" s="28"/>
      <c r="H39918" s="28"/>
    </row>
    <row r="39919" spans="4:8" x14ac:dyDescent="0.25">
      <c r="D39919" s="28"/>
      <c r="F39919" s="28"/>
      <c r="H39919" s="28"/>
    </row>
    <row r="39920" spans="4:8" x14ac:dyDescent="0.25">
      <c r="D39920" s="28"/>
      <c r="F39920" s="28"/>
      <c r="H39920" s="28"/>
    </row>
    <row r="39921" spans="4:8" x14ac:dyDescent="0.25">
      <c r="D39921" s="28"/>
      <c r="F39921" s="28"/>
      <c r="H39921" s="28"/>
    </row>
    <row r="39922" spans="4:8" x14ac:dyDescent="0.25">
      <c r="D39922" s="28"/>
      <c r="F39922" s="28"/>
      <c r="H39922" s="28"/>
    </row>
    <row r="39923" spans="4:8" x14ac:dyDescent="0.25">
      <c r="D39923" s="28"/>
      <c r="F39923" s="28"/>
      <c r="H39923" s="28"/>
    </row>
    <row r="39924" spans="4:8" x14ac:dyDescent="0.25">
      <c r="D39924" s="28"/>
      <c r="F39924" s="28"/>
      <c r="H39924" s="28"/>
    </row>
    <row r="39925" spans="4:8" x14ac:dyDescent="0.25">
      <c r="D39925" s="28"/>
      <c r="F39925" s="28"/>
      <c r="H39925" s="28"/>
    </row>
    <row r="39926" spans="4:8" x14ac:dyDescent="0.25">
      <c r="D39926" s="28"/>
      <c r="F39926" s="28"/>
      <c r="H39926" s="28"/>
    </row>
    <row r="39927" spans="4:8" x14ac:dyDescent="0.25">
      <c r="D39927" s="28"/>
      <c r="F39927" s="28"/>
      <c r="H39927" s="28"/>
    </row>
    <row r="39928" spans="4:8" x14ac:dyDescent="0.25">
      <c r="D39928" s="28"/>
      <c r="F39928" s="28"/>
      <c r="H39928" s="28"/>
    </row>
    <row r="39929" spans="4:8" x14ac:dyDescent="0.25">
      <c r="D39929" s="28"/>
      <c r="F39929" s="28"/>
      <c r="H39929" s="28"/>
    </row>
    <row r="39930" spans="4:8" x14ac:dyDescent="0.25">
      <c r="D39930" s="28"/>
      <c r="F39930" s="28"/>
      <c r="H39930" s="28"/>
    </row>
    <row r="39931" spans="4:8" x14ac:dyDescent="0.25">
      <c r="D39931" s="28"/>
      <c r="F39931" s="28"/>
      <c r="H39931" s="28"/>
    </row>
    <row r="39932" spans="4:8" x14ac:dyDescent="0.25">
      <c r="D39932" s="28"/>
      <c r="F39932" s="28"/>
      <c r="H39932" s="28"/>
    </row>
    <row r="39933" spans="4:8" x14ac:dyDescent="0.25">
      <c r="D39933" s="28"/>
      <c r="F39933" s="28"/>
      <c r="H39933" s="28"/>
    </row>
    <row r="39934" spans="4:8" x14ac:dyDescent="0.25">
      <c r="D39934" s="28"/>
      <c r="F39934" s="28"/>
      <c r="H39934" s="28"/>
    </row>
    <row r="39935" spans="4:8" x14ac:dyDescent="0.25">
      <c r="D39935" s="28"/>
      <c r="F39935" s="28"/>
      <c r="H39935" s="28"/>
    </row>
    <row r="39936" spans="4:8" x14ac:dyDescent="0.25">
      <c r="D39936" s="28"/>
      <c r="F39936" s="28"/>
      <c r="H39936" s="28"/>
    </row>
    <row r="39937" spans="4:8" x14ac:dyDescent="0.25">
      <c r="D39937" s="28"/>
      <c r="F39937" s="28"/>
      <c r="H39937" s="28"/>
    </row>
    <row r="39938" spans="4:8" x14ac:dyDescent="0.25">
      <c r="D39938" s="28"/>
      <c r="F39938" s="28"/>
      <c r="H39938" s="28"/>
    </row>
    <row r="39939" spans="4:8" x14ac:dyDescent="0.25">
      <c r="D39939" s="28"/>
      <c r="F39939" s="28"/>
      <c r="H39939" s="28"/>
    </row>
    <row r="39940" spans="4:8" x14ac:dyDescent="0.25">
      <c r="D39940" s="28"/>
      <c r="F39940" s="28"/>
      <c r="H39940" s="28"/>
    </row>
    <row r="39941" spans="4:8" x14ac:dyDescent="0.25">
      <c r="D39941" s="28"/>
      <c r="F39941" s="28"/>
      <c r="H39941" s="28"/>
    </row>
    <row r="39942" spans="4:8" x14ac:dyDescent="0.25">
      <c r="D39942" s="28"/>
      <c r="F39942" s="28"/>
      <c r="H39942" s="28"/>
    </row>
    <row r="39943" spans="4:8" x14ac:dyDescent="0.25">
      <c r="D39943" s="28"/>
      <c r="F39943" s="28"/>
      <c r="H39943" s="28"/>
    </row>
    <row r="39944" spans="4:8" x14ac:dyDescent="0.25">
      <c r="D39944" s="28"/>
      <c r="F39944" s="28"/>
      <c r="H39944" s="28"/>
    </row>
    <row r="39945" spans="4:8" x14ac:dyDescent="0.25">
      <c r="D39945" s="28"/>
      <c r="F39945" s="28"/>
      <c r="H39945" s="28"/>
    </row>
    <row r="39946" spans="4:8" x14ac:dyDescent="0.25">
      <c r="D39946" s="28"/>
      <c r="F39946" s="28"/>
      <c r="H39946" s="28"/>
    </row>
    <row r="39947" spans="4:8" x14ac:dyDescent="0.25">
      <c r="D39947" s="28"/>
      <c r="F39947" s="28"/>
      <c r="H39947" s="28"/>
    </row>
    <row r="39948" spans="4:8" x14ac:dyDescent="0.25">
      <c r="D39948" s="28"/>
      <c r="F39948" s="28"/>
      <c r="H39948" s="28"/>
    </row>
    <row r="39949" spans="4:8" x14ac:dyDescent="0.25">
      <c r="D39949" s="28"/>
      <c r="F39949" s="28"/>
      <c r="H39949" s="28"/>
    </row>
    <row r="39950" spans="4:8" x14ac:dyDescent="0.25">
      <c r="D39950" s="28"/>
      <c r="F39950" s="28"/>
      <c r="H39950" s="28"/>
    </row>
    <row r="39951" spans="4:8" x14ac:dyDescent="0.25">
      <c r="D39951" s="28"/>
      <c r="F39951" s="28"/>
      <c r="H39951" s="28"/>
    </row>
    <row r="39952" spans="4:8" x14ac:dyDescent="0.25">
      <c r="D39952" s="28"/>
      <c r="F39952" s="28"/>
      <c r="H39952" s="28"/>
    </row>
    <row r="39953" spans="4:8" x14ac:dyDescent="0.25">
      <c r="D39953" s="28"/>
      <c r="F39953" s="28"/>
      <c r="H39953" s="28"/>
    </row>
    <row r="39954" spans="4:8" x14ac:dyDescent="0.25">
      <c r="D39954" s="28"/>
      <c r="F39954" s="28"/>
      <c r="H39954" s="28"/>
    </row>
    <row r="39955" spans="4:8" x14ac:dyDescent="0.25">
      <c r="D39955" s="28"/>
      <c r="F39955" s="28"/>
      <c r="H39955" s="28"/>
    </row>
    <row r="39956" spans="4:8" x14ac:dyDescent="0.25">
      <c r="D39956" s="28"/>
      <c r="F39956" s="28"/>
      <c r="H39956" s="28"/>
    </row>
    <row r="39957" spans="4:8" x14ac:dyDescent="0.25">
      <c r="D39957" s="28"/>
      <c r="F39957" s="28"/>
      <c r="H39957" s="28"/>
    </row>
    <row r="39958" spans="4:8" x14ac:dyDescent="0.25">
      <c r="D39958" s="28"/>
      <c r="F39958" s="28"/>
      <c r="H39958" s="28"/>
    </row>
    <row r="39959" spans="4:8" x14ac:dyDescent="0.25">
      <c r="D39959" s="28"/>
      <c r="F39959" s="28"/>
      <c r="H39959" s="28"/>
    </row>
    <row r="39960" spans="4:8" x14ac:dyDescent="0.25">
      <c r="D39960" s="28"/>
      <c r="F39960" s="28"/>
      <c r="H39960" s="28"/>
    </row>
    <row r="39961" spans="4:8" x14ac:dyDescent="0.25">
      <c r="D39961" s="28"/>
      <c r="F39961" s="28"/>
      <c r="H39961" s="28"/>
    </row>
    <row r="39962" spans="4:8" x14ac:dyDescent="0.25">
      <c r="D39962" s="28"/>
      <c r="F39962" s="28"/>
      <c r="H39962" s="28"/>
    </row>
    <row r="39963" spans="4:8" x14ac:dyDescent="0.25">
      <c r="D39963" s="28"/>
      <c r="F39963" s="28"/>
      <c r="H39963" s="28"/>
    </row>
    <row r="39964" spans="4:8" x14ac:dyDescent="0.25">
      <c r="D39964" s="28"/>
      <c r="F39964" s="28"/>
      <c r="H39964" s="28"/>
    </row>
    <row r="39965" spans="4:8" x14ac:dyDescent="0.25">
      <c r="D39965" s="28"/>
      <c r="F39965" s="28"/>
      <c r="H39965" s="28"/>
    </row>
    <row r="39966" spans="4:8" x14ac:dyDescent="0.25">
      <c r="D39966" s="28"/>
      <c r="F39966" s="28"/>
      <c r="H39966" s="28"/>
    </row>
    <row r="39967" spans="4:8" x14ac:dyDescent="0.25">
      <c r="D39967" s="28"/>
      <c r="F39967" s="28"/>
      <c r="H39967" s="28"/>
    </row>
    <row r="39968" spans="4:8" x14ac:dyDescent="0.25">
      <c r="D39968" s="28"/>
      <c r="F39968" s="28"/>
      <c r="H39968" s="28"/>
    </row>
    <row r="39969" spans="4:8" x14ac:dyDescent="0.25">
      <c r="D39969" s="28"/>
      <c r="F39969" s="28"/>
      <c r="H39969" s="28"/>
    </row>
    <row r="39970" spans="4:8" x14ac:dyDescent="0.25">
      <c r="D39970" s="28"/>
      <c r="F39970" s="28"/>
      <c r="H39970" s="28"/>
    </row>
    <row r="39971" spans="4:8" x14ac:dyDescent="0.25">
      <c r="D39971" s="28"/>
      <c r="F39971" s="28"/>
      <c r="H39971" s="28"/>
    </row>
    <row r="39972" spans="4:8" x14ac:dyDescent="0.25">
      <c r="D39972" s="28"/>
      <c r="F39972" s="28"/>
      <c r="H39972" s="28"/>
    </row>
    <row r="39973" spans="4:8" x14ac:dyDescent="0.25">
      <c r="D39973" s="28"/>
      <c r="F39973" s="28"/>
      <c r="H39973" s="28"/>
    </row>
    <row r="39974" spans="4:8" x14ac:dyDescent="0.25">
      <c r="D39974" s="28"/>
      <c r="F39974" s="28"/>
      <c r="H39974" s="28"/>
    </row>
    <row r="39975" spans="4:8" x14ac:dyDescent="0.25">
      <c r="D39975" s="28"/>
      <c r="F39975" s="28"/>
      <c r="H39975" s="28"/>
    </row>
    <row r="39976" spans="4:8" x14ac:dyDescent="0.25">
      <c r="D39976" s="28"/>
      <c r="F39976" s="28"/>
      <c r="H39976" s="28"/>
    </row>
    <row r="39977" spans="4:8" x14ac:dyDescent="0.25">
      <c r="D39977" s="28"/>
      <c r="F39977" s="28"/>
      <c r="H39977" s="28"/>
    </row>
    <row r="39978" spans="4:8" x14ac:dyDescent="0.25">
      <c r="D39978" s="28"/>
      <c r="F39978" s="28"/>
      <c r="H39978" s="28"/>
    </row>
    <row r="39979" spans="4:8" x14ac:dyDescent="0.25">
      <c r="D39979" s="28"/>
      <c r="F39979" s="28"/>
      <c r="H39979" s="28"/>
    </row>
    <row r="39980" spans="4:8" x14ac:dyDescent="0.25">
      <c r="D39980" s="28"/>
      <c r="F39980" s="28"/>
      <c r="H39980" s="28"/>
    </row>
    <row r="39981" spans="4:8" x14ac:dyDescent="0.25">
      <c r="D39981" s="28"/>
      <c r="F39981" s="28"/>
      <c r="H39981" s="28"/>
    </row>
    <row r="39982" spans="4:8" x14ac:dyDescent="0.25">
      <c r="D39982" s="28"/>
      <c r="F39982" s="28"/>
      <c r="H39982" s="28"/>
    </row>
    <row r="39983" spans="4:8" x14ac:dyDescent="0.25">
      <c r="D39983" s="28"/>
      <c r="F39983" s="28"/>
      <c r="H39983" s="28"/>
    </row>
    <row r="39984" spans="4:8" x14ac:dyDescent="0.25">
      <c r="D39984" s="28"/>
      <c r="F39984" s="28"/>
      <c r="H39984" s="28"/>
    </row>
    <row r="39985" spans="4:8" x14ac:dyDescent="0.25">
      <c r="D39985" s="28"/>
      <c r="F39985" s="28"/>
      <c r="H39985" s="28"/>
    </row>
    <row r="39986" spans="4:8" x14ac:dyDescent="0.25">
      <c r="D39986" s="28"/>
      <c r="F39986" s="28"/>
      <c r="H39986" s="28"/>
    </row>
    <row r="39987" spans="4:8" x14ac:dyDescent="0.25">
      <c r="D39987" s="28"/>
      <c r="F39987" s="28"/>
      <c r="H39987" s="28"/>
    </row>
    <row r="39988" spans="4:8" x14ac:dyDescent="0.25">
      <c r="D39988" s="28"/>
      <c r="F39988" s="28"/>
      <c r="H39988" s="28"/>
    </row>
    <row r="39989" spans="4:8" x14ac:dyDescent="0.25">
      <c r="D39989" s="28"/>
      <c r="F39989" s="28"/>
      <c r="H39989" s="28"/>
    </row>
    <row r="39990" spans="4:8" x14ac:dyDescent="0.25">
      <c r="D39990" s="28"/>
      <c r="F39990" s="28"/>
      <c r="H39990" s="28"/>
    </row>
    <row r="39991" spans="4:8" x14ac:dyDescent="0.25">
      <c r="D39991" s="28"/>
      <c r="F39991" s="28"/>
      <c r="H39991" s="28"/>
    </row>
    <row r="39992" spans="4:8" x14ac:dyDescent="0.25">
      <c r="D39992" s="28"/>
      <c r="F39992" s="28"/>
      <c r="H39992" s="28"/>
    </row>
    <row r="39993" spans="4:8" x14ac:dyDescent="0.25">
      <c r="D39993" s="28"/>
      <c r="F39993" s="28"/>
      <c r="H39993" s="28"/>
    </row>
    <row r="39994" spans="4:8" x14ac:dyDescent="0.25">
      <c r="D39994" s="28"/>
      <c r="F39994" s="28"/>
      <c r="H39994" s="28"/>
    </row>
    <row r="39995" spans="4:8" x14ac:dyDescent="0.25">
      <c r="D39995" s="28"/>
      <c r="F39995" s="28"/>
      <c r="H39995" s="28"/>
    </row>
    <row r="39996" spans="4:8" x14ac:dyDescent="0.25">
      <c r="D39996" s="28"/>
      <c r="F39996" s="28"/>
      <c r="H39996" s="28"/>
    </row>
    <row r="39997" spans="4:8" x14ac:dyDescent="0.25">
      <c r="D39997" s="28"/>
      <c r="F39997" s="28"/>
      <c r="H39997" s="28"/>
    </row>
    <row r="39998" spans="4:8" x14ac:dyDescent="0.25">
      <c r="D39998" s="28"/>
      <c r="F39998" s="28"/>
      <c r="H39998" s="28"/>
    </row>
    <row r="39999" spans="4:8" x14ac:dyDescent="0.25">
      <c r="D39999" s="28"/>
      <c r="F39999" s="28"/>
      <c r="H39999" s="28"/>
    </row>
    <row r="40000" spans="4:8" x14ac:dyDescent="0.25">
      <c r="D40000" s="28"/>
      <c r="F40000" s="28"/>
      <c r="H40000" s="28"/>
    </row>
    <row r="40001" spans="4:8" x14ac:dyDescent="0.25">
      <c r="D40001" s="28"/>
      <c r="F40001" s="28"/>
      <c r="H40001" s="28"/>
    </row>
    <row r="40002" spans="4:8" x14ac:dyDescent="0.25">
      <c r="D40002" s="28"/>
      <c r="F40002" s="28"/>
      <c r="H40002" s="28"/>
    </row>
    <row r="40003" spans="4:8" x14ac:dyDescent="0.25">
      <c r="D40003" s="28"/>
      <c r="F40003" s="28"/>
      <c r="H40003" s="28"/>
    </row>
    <row r="40004" spans="4:8" x14ac:dyDescent="0.25">
      <c r="D40004" s="28"/>
      <c r="F40004" s="28"/>
      <c r="H40004" s="28"/>
    </row>
    <row r="40005" spans="4:8" x14ac:dyDescent="0.25">
      <c r="D40005" s="28"/>
      <c r="F40005" s="28"/>
      <c r="H40005" s="28"/>
    </row>
    <row r="40006" spans="4:8" x14ac:dyDescent="0.25">
      <c r="D40006" s="28"/>
      <c r="F40006" s="28"/>
      <c r="H40006" s="28"/>
    </row>
    <row r="40007" spans="4:8" x14ac:dyDescent="0.25">
      <c r="D40007" s="28"/>
      <c r="F40007" s="28"/>
      <c r="H40007" s="28"/>
    </row>
    <row r="40008" spans="4:8" x14ac:dyDescent="0.25">
      <c r="D40008" s="28"/>
      <c r="F40008" s="28"/>
      <c r="H40008" s="28"/>
    </row>
    <row r="40009" spans="4:8" x14ac:dyDescent="0.25">
      <c r="D40009" s="28"/>
      <c r="F40009" s="28"/>
      <c r="H40009" s="28"/>
    </row>
    <row r="40010" spans="4:8" x14ac:dyDescent="0.25">
      <c r="D40010" s="28"/>
      <c r="F40010" s="28"/>
      <c r="H40010" s="28"/>
    </row>
    <row r="40011" spans="4:8" x14ac:dyDescent="0.25">
      <c r="D40011" s="28"/>
      <c r="F40011" s="28"/>
      <c r="H40011" s="28"/>
    </row>
    <row r="40012" spans="4:8" x14ac:dyDescent="0.25">
      <c r="D40012" s="28"/>
      <c r="F40012" s="28"/>
      <c r="H40012" s="28"/>
    </row>
    <row r="40013" spans="4:8" x14ac:dyDescent="0.25">
      <c r="D40013" s="28"/>
      <c r="F40013" s="28"/>
      <c r="H40013" s="28"/>
    </row>
    <row r="40014" spans="4:8" x14ac:dyDescent="0.25">
      <c r="D40014" s="28"/>
      <c r="F40014" s="28"/>
      <c r="H40014" s="28"/>
    </row>
    <row r="40015" spans="4:8" x14ac:dyDescent="0.25">
      <c r="D40015" s="28"/>
      <c r="F40015" s="28"/>
      <c r="H40015" s="28"/>
    </row>
    <row r="40016" spans="4:8" x14ac:dyDescent="0.25">
      <c r="D40016" s="28"/>
      <c r="F40016" s="28"/>
      <c r="H40016" s="28"/>
    </row>
    <row r="40017" spans="4:8" x14ac:dyDescent="0.25">
      <c r="D40017" s="28"/>
      <c r="F40017" s="28"/>
      <c r="H40017" s="28"/>
    </row>
    <row r="40018" spans="4:8" x14ac:dyDescent="0.25">
      <c r="D40018" s="28"/>
      <c r="F40018" s="28"/>
      <c r="H40018" s="28"/>
    </row>
    <row r="40019" spans="4:8" x14ac:dyDescent="0.25">
      <c r="D40019" s="28"/>
      <c r="F40019" s="28"/>
      <c r="H40019" s="28"/>
    </row>
    <row r="40020" spans="4:8" x14ac:dyDescent="0.25">
      <c r="D40020" s="28"/>
      <c r="F40020" s="28"/>
      <c r="H40020" s="28"/>
    </row>
    <row r="40021" spans="4:8" x14ac:dyDescent="0.25">
      <c r="D40021" s="28"/>
      <c r="F40021" s="28"/>
      <c r="H40021" s="28"/>
    </row>
    <row r="40022" spans="4:8" x14ac:dyDescent="0.25">
      <c r="D40022" s="28"/>
      <c r="F40022" s="28"/>
      <c r="H40022" s="28"/>
    </row>
    <row r="40023" spans="4:8" x14ac:dyDescent="0.25">
      <c r="D40023" s="28"/>
      <c r="F40023" s="28"/>
      <c r="H40023" s="28"/>
    </row>
    <row r="40024" spans="4:8" x14ac:dyDescent="0.25">
      <c r="D40024" s="28"/>
      <c r="F40024" s="28"/>
      <c r="H40024" s="28"/>
    </row>
    <row r="40025" spans="4:8" x14ac:dyDescent="0.25">
      <c r="D40025" s="28"/>
      <c r="F40025" s="28"/>
      <c r="H40025" s="28"/>
    </row>
    <row r="40026" spans="4:8" x14ac:dyDescent="0.25">
      <c r="D40026" s="28"/>
      <c r="F40026" s="28"/>
      <c r="H40026" s="28"/>
    </row>
    <row r="40027" spans="4:8" x14ac:dyDescent="0.25">
      <c r="D40027" s="28"/>
      <c r="F40027" s="28"/>
      <c r="H40027" s="28"/>
    </row>
    <row r="40028" spans="4:8" x14ac:dyDescent="0.25">
      <c r="D40028" s="28"/>
      <c r="F40028" s="28"/>
      <c r="H40028" s="28"/>
    </row>
    <row r="40029" spans="4:8" x14ac:dyDescent="0.25">
      <c r="D40029" s="28"/>
      <c r="F40029" s="28"/>
      <c r="H40029" s="28"/>
    </row>
    <row r="40030" spans="4:8" x14ac:dyDescent="0.25">
      <c r="D40030" s="28"/>
      <c r="F40030" s="28"/>
      <c r="H40030" s="28"/>
    </row>
    <row r="40031" spans="4:8" x14ac:dyDescent="0.25">
      <c r="D40031" s="28"/>
      <c r="F40031" s="28"/>
      <c r="H40031" s="28"/>
    </row>
    <row r="40032" spans="4:8" x14ac:dyDescent="0.25">
      <c r="D40032" s="28"/>
      <c r="F40032" s="28"/>
      <c r="H40032" s="28"/>
    </row>
    <row r="40033" spans="4:8" x14ac:dyDescent="0.25">
      <c r="D40033" s="28"/>
      <c r="F40033" s="28"/>
      <c r="H40033" s="28"/>
    </row>
    <row r="40034" spans="4:8" x14ac:dyDescent="0.25">
      <c r="D40034" s="28"/>
      <c r="F40034" s="28"/>
      <c r="H40034" s="28"/>
    </row>
    <row r="40035" spans="4:8" x14ac:dyDescent="0.25">
      <c r="D40035" s="28"/>
      <c r="F40035" s="28"/>
      <c r="H40035" s="28"/>
    </row>
    <row r="40036" spans="4:8" x14ac:dyDescent="0.25">
      <c r="D40036" s="28"/>
      <c r="F40036" s="28"/>
      <c r="H40036" s="28"/>
    </row>
    <row r="40037" spans="4:8" x14ac:dyDescent="0.25">
      <c r="D40037" s="28"/>
      <c r="F40037" s="28"/>
      <c r="H40037" s="28"/>
    </row>
    <row r="40038" spans="4:8" x14ac:dyDescent="0.25">
      <c r="D40038" s="28"/>
      <c r="F40038" s="28"/>
      <c r="H40038" s="28"/>
    </row>
    <row r="40039" spans="4:8" x14ac:dyDescent="0.25">
      <c r="D40039" s="28"/>
      <c r="F40039" s="28"/>
      <c r="H40039" s="28"/>
    </row>
    <row r="40040" spans="4:8" x14ac:dyDescent="0.25">
      <c r="D40040" s="28"/>
      <c r="F40040" s="28"/>
      <c r="H40040" s="28"/>
    </row>
    <row r="40041" spans="4:8" x14ac:dyDescent="0.25">
      <c r="D40041" s="28"/>
      <c r="F40041" s="28"/>
      <c r="H40041" s="28"/>
    </row>
    <row r="40042" spans="4:8" x14ac:dyDescent="0.25">
      <c r="D40042" s="28"/>
      <c r="F40042" s="28"/>
      <c r="H40042" s="28"/>
    </row>
    <row r="40043" spans="4:8" x14ac:dyDescent="0.25">
      <c r="D40043" s="28"/>
      <c r="F40043" s="28"/>
      <c r="H40043" s="28"/>
    </row>
    <row r="40044" spans="4:8" x14ac:dyDescent="0.25">
      <c r="D40044" s="28"/>
      <c r="F40044" s="28"/>
      <c r="H40044" s="28"/>
    </row>
    <row r="40045" spans="4:8" x14ac:dyDescent="0.25">
      <c r="D40045" s="28"/>
      <c r="F40045" s="28"/>
      <c r="H40045" s="28"/>
    </row>
    <row r="40046" spans="4:8" x14ac:dyDescent="0.25">
      <c r="D40046" s="28"/>
      <c r="F40046" s="28"/>
      <c r="H40046" s="28"/>
    </row>
    <row r="40047" spans="4:8" x14ac:dyDescent="0.25">
      <c r="D40047" s="28"/>
      <c r="F40047" s="28"/>
      <c r="H40047" s="28"/>
    </row>
    <row r="40048" spans="4:8" x14ac:dyDescent="0.25">
      <c r="D40048" s="28"/>
      <c r="F40048" s="28"/>
      <c r="H40048" s="28"/>
    </row>
    <row r="40049" spans="4:8" x14ac:dyDescent="0.25">
      <c r="D40049" s="28"/>
      <c r="F40049" s="28"/>
      <c r="H40049" s="28"/>
    </row>
    <row r="40050" spans="4:8" x14ac:dyDescent="0.25">
      <c r="D40050" s="28"/>
      <c r="F40050" s="28"/>
      <c r="H40050" s="28"/>
    </row>
    <row r="40051" spans="4:8" x14ac:dyDescent="0.25">
      <c r="D40051" s="28"/>
      <c r="F40051" s="28"/>
      <c r="H40051" s="28"/>
    </row>
    <row r="40052" spans="4:8" x14ac:dyDescent="0.25">
      <c r="D40052" s="28"/>
      <c r="F40052" s="28"/>
      <c r="H40052" s="28"/>
    </row>
    <row r="40053" spans="4:8" x14ac:dyDescent="0.25">
      <c r="D40053" s="28"/>
      <c r="F40053" s="28"/>
      <c r="H40053" s="28"/>
    </row>
    <row r="40054" spans="4:8" x14ac:dyDescent="0.25">
      <c r="D40054" s="28"/>
      <c r="F40054" s="28"/>
      <c r="H40054" s="28"/>
    </row>
    <row r="40055" spans="4:8" x14ac:dyDescent="0.25">
      <c r="D40055" s="28"/>
      <c r="F40055" s="28"/>
      <c r="H40055" s="28"/>
    </row>
    <row r="40056" spans="4:8" x14ac:dyDescent="0.25">
      <c r="D40056" s="28"/>
      <c r="F40056" s="28"/>
      <c r="H40056" s="28"/>
    </row>
    <row r="40057" spans="4:8" x14ac:dyDescent="0.25">
      <c r="D40057" s="28"/>
      <c r="F40057" s="28"/>
      <c r="H40057" s="28"/>
    </row>
    <row r="40058" spans="4:8" x14ac:dyDescent="0.25">
      <c r="D40058" s="28"/>
      <c r="F40058" s="28"/>
      <c r="H40058" s="28"/>
    </row>
    <row r="40059" spans="4:8" x14ac:dyDescent="0.25">
      <c r="D40059" s="28"/>
      <c r="F40059" s="28"/>
      <c r="H40059" s="28"/>
    </row>
    <row r="40060" spans="4:8" x14ac:dyDescent="0.25">
      <c r="D40060" s="28"/>
      <c r="F40060" s="28"/>
      <c r="H40060" s="28"/>
    </row>
    <row r="40061" spans="4:8" x14ac:dyDescent="0.25">
      <c r="D40061" s="28"/>
      <c r="F40061" s="28"/>
      <c r="H40061" s="28"/>
    </row>
    <row r="40062" spans="4:8" x14ac:dyDescent="0.25">
      <c r="D40062" s="28"/>
      <c r="F40062" s="28"/>
      <c r="H40062" s="28"/>
    </row>
    <row r="40063" spans="4:8" x14ac:dyDescent="0.25">
      <c r="D40063" s="28"/>
      <c r="F40063" s="28"/>
      <c r="H40063" s="28"/>
    </row>
    <row r="40064" spans="4:8" x14ac:dyDescent="0.25">
      <c r="D40064" s="28"/>
      <c r="F40064" s="28"/>
      <c r="H40064" s="28"/>
    </row>
    <row r="40065" spans="4:8" x14ac:dyDescent="0.25">
      <c r="D40065" s="28"/>
      <c r="F40065" s="28"/>
      <c r="H40065" s="28"/>
    </row>
    <row r="40066" spans="4:8" x14ac:dyDescent="0.25">
      <c r="D40066" s="28"/>
      <c r="F40066" s="28"/>
      <c r="H40066" s="28"/>
    </row>
    <row r="40067" spans="4:8" x14ac:dyDescent="0.25">
      <c r="D40067" s="28"/>
      <c r="F40067" s="28"/>
      <c r="H40067" s="28"/>
    </row>
    <row r="40068" spans="4:8" x14ac:dyDescent="0.25">
      <c r="D40068" s="28"/>
      <c r="F40068" s="28"/>
      <c r="H40068" s="28"/>
    </row>
    <row r="40069" spans="4:8" x14ac:dyDescent="0.25">
      <c r="D40069" s="28"/>
      <c r="F40069" s="28"/>
      <c r="H40069" s="28"/>
    </row>
    <row r="40070" spans="4:8" x14ac:dyDescent="0.25">
      <c r="D40070" s="28"/>
      <c r="F40070" s="28"/>
      <c r="H40070" s="28"/>
    </row>
    <row r="40071" spans="4:8" x14ac:dyDescent="0.25">
      <c r="D40071" s="28"/>
      <c r="F40071" s="28"/>
      <c r="H40071" s="28"/>
    </row>
    <row r="40072" spans="4:8" x14ac:dyDescent="0.25">
      <c r="D40072" s="28"/>
      <c r="F40072" s="28"/>
      <c r="H40072" s="28"/>
    </row>
    <row r="40073" spans="4:8" x14ac:dyDescent="0.25">
      <c r="D40073" s="28"/>
      <c r="F40073" s="28"/>
      <c r="H40073" s="28"/>
    </row>
    <row r="40074" spans="4:8" x14ac:dyDescent="0.25">
      <c r="D40074" s="28"/>
      <c r="F40074" s="28"/>
      <c r="H40074" s="28"/>
    </row>
    <row r="40075" spans="4:8" x14ac:dyDescent="0.25">
      <c r="D40075" s="28"/>
      <c r="F40075" s="28"/>
      <c r="H40075" s="28"/>
    </row>
    <row r="40076" spans="4:8" x14ac:dyDescent="0.25">
      <c r="D40076" s="28"/>
      <c r="F40076" s="28"/>
      <c r="H40076" s="28"/>
    </row>
    <row r="40077" spans="4:8" x14ac:dyDescent="0.25">
      <c r="D40077" s="28"/>
      <c r="F40077" s="28"/>
      <c r="H40077" s="28"/>
    </row>
    <row r="40078" spans="4:8" x14ac:dyDescent="0.25">
      <c r="D40078" s="28"/>
      <c r="F40078" s="28"/>
      <c r="H40078" s="28"/>
    </row>
    <row r="40079" spans="4:8" x14ac:dyDescent="0.25">
      <c r="D40079" s="28"/>
      <c r="F40079" s="28"/>
      <c r="H40079" s="28"/>
    </row>
    <row r="40080" spans="4:8" x14ac:dyDescent="0.25">
      <c r="D40080" s="28"/>
      <c r="F40080" s="28"/>
      <c r="H40080" s="28"/>
    </row>
    <row r="40081" spans="4:8" x14ac:dyDescent="0.25">
      <c r="D40081" s="28"/>
      <c r="F40081" s="28"/>
      <c r="H40081" s="28"/>
    </row>
    <row r="40082" spans="4:8" x14ac:dyDescent="0.25">
      <c r="D40082" s="28"/>
      <c r="F40082" s="28"/>
      <c r="H40082" s="28"/>
    </row>
    <row r="40083" spans="4:8" x14ac:dyDescent="0.25">
      <c r="D40083" s="28"/>
      <c r="F40083" s="28"/>
      <c r="H40083" s="28"/>
    </row>
    <row r="40084" spans="4:8" x14ac:dyDescent="0.25">
      <c r="D40084" s="28"/>
      <c r="F40084" s="28"/>
      <c r="H40084" s="28"/>
    </row>
    <row r="40085" spans="4:8" x14ac:dyDescent="0.25">
      <c r="D40085" s="28"/>
      <c r="F40085" s="28"/>
      <c r="H40085" s="28"/>
    </row>
    <row r="40086" spans="4:8" x14ac:dyDescent="0.25">
      <c r="D40086" s="28"/>
      <c r="F40086" s="28"/>
      <c r="H40086" s="28"/>
    </row>
    <row r="40087" spans="4:8" x14ac:dyDescent="0.25">
      <c r="D40087" s="28"/>
      <c r="F40087" s="28"/>
      <c r="H40087" s="28"/>
    </row>
    <row r="40088" spans="4:8" x14ac:dyDescent="0.25">
      <c r="D40088" s="28"/>
      <c r="F40088" s="28"/>
      <c r="H40088" s="28"/>
    </row>
    <row r="40089" spans="4:8" x14ac:dyDescent="0.25">
      <c r="D40089" s="28"/>
      <c r="F40089" s="28"/>
      <c r="H40089" s="28"/>
    </row>
    <row r="40090" spans="4:8" x14ac:dyDescent="0.25">
      <c r="D40090" s="28"/>
      <c r="F40090" s="28"/>
      <c r="H40090" s="28"/>
    </row>
    <row r="40091" spans="4:8" x14ac:dyDescent="0.25">
      <c r="D40091" s="28"/>
      <c r="F40091" s="28"/>
      <c r="H40091" s="28"/>
    </row>
    <row r="40092" spans="4:8" x14ac:dyDescent="0.25">
      <c r="D40092" s="28"/>
      <c r="F40092" s="28"/>
      <c r="H40092" s="28"/>
    </row>
    <row r="40093" spans="4:8" x14ac:dyDescent="0.25">
      <c r="D40093" s="28"/>
      <c r="F40093" s="28"/>
      <c r="H40093" s="28"/>
    </row>
    <row r="40094" spans="4:8" x14ac:dyDescent="0.25">
      <c r="D40094" s="28"/>
      <c r="F40094" s="28"/>
      <c r="H40094" s="28"/>
    </row>
    <row r="40095" spans="4:8" x14ac:dyDescent="0.25">
      <c r="D40095" s="28"/>
      <c r="F40095" s="28"/>
      <c r="H40095" s="28"/>
    </row>
    <row r="40096" spans="4:8" x14ac:dyDescent="0.25">
      <c r="D40096" s="28"/>
      <c r="F40096" s="28"/>
      <c r="H40096" s="28"/>
    </row>
    <row r="40097" spans="4:8" x14ac:dyDescent="0.25">
      <c r="D40097" s="28"/>
      <c r="F40097" s="28"/>
      <c r="H40097" s="28"/>
    </row>
    <row r="40098" spans="4:8" x14ac:dyDescent="0.25">
      <c r="D40098" s="28"/>
      <c r="F40098" s="28"/>
      <c r="H40098" s="28"/>
    </row>
    <row r="40099" spans="4:8" x14ac:dyDescent="0.25">
      <c r="D40099" s="28"/>
      <c r="F40099" s="28"/>
      <c r="H40099" s="28"/>
    </row>
    <row r="40100" spans="4:8" x14ac:dyDescent="0.25">
      <c r="D40100" s="28"/>
      <c r="F40100" s="28"/>
      <c r="H40100" s="28"/>
    </row>
    <row r="40101" spans="4:8" x14ac:dyDescent="0.25">
      <c r="D40101" s="28"/>
      <c r="F40101" s="28"/>
      <c r="H40101" s="28"/>
    </row>
    <row r="40102" spans="4:8" x14ac:dyDescent="0.25">
      <c r="D40102" s="28"/>
      <c r="F40102" s="28"/>
      <c r="H40102" s="28"/>
    </row>
    <row r="40103" spans="4:8" x14ac:dyDescent="0.25">
      <c r="D40103" s="28"/>
      <c r="F40103" s="28"/>
      <c r="H40103" s="28"/>
    </row>
    <row r="40104" spans="4:8" x14ac:dyDescent="0.25">
      <c r="D40104" s="28"/>
      <c r="F40104" s="28"/>
      <c r="H40104" s="28"/>
    </row>
    <row r="40105" spans="4:8" x14ac:dyDescent="0.25">
      <c r="D40105" s="28"/>
      <c r="F40105" s="28"/>
      <c r="H40105" s="28"/>
    </row>
    <row r="40106" spans="4:8" x14ac:dyDescent="0.25">
      <c r="D40106" s="28"/>
      <c r="F40106" s="28"/>
      <c r="H40106" s="28"/>
    </row>
    <row r="40107" spans="4:8" x14ac:dyDescent="0.25">
      <c r="D40107" s="28"/>
      <c r="F40107" s="28"/>
      <c r="H40107" s="28"/>
    </row>
    <row r="40108" spans="4:8" x14ac:dyDescent="0.25">
      <c r="D40108" s="28"/>
      <c r="F40108" s="28"/>
      <c r="H40108" s="28"/>
    </row>
    <row r="40109" spans="4:8" x14ac:dyDescent="0.25">
      <c r="D40109" s="28"/>
      <c r="F40109" s="28"/>
      <c r="H40109" s="28"/>
    </row>
    <row r="40110" spans="4:8" x14ac:dyDescent="0.25">
      <c r="D40110" s="28"/>
      <c r="F40110" s="28"/>
      <c r="H40110" s="28"/>
    </row>
    <row r="40111" spans="4:8" x14ac:dyDescent="0.25">
      <c r="D40111" s="28"/>
      <c r="F40111" s="28"/>
      <c r="H40111" s="28"/>
    </row>
    <row r="40112" spans="4:8" x14ac:dyDescent="0.25">
      <c r="D40112" s="28"/>
      <c r="F40112" s="28"/>
      <c r="H40112" s="28"/>
    </row>
    <row r="40113" spans="4:8" x14ac:dyDescent="0.25">
      <c r="D40113" s="28"/>
      <c r="F40113" s="28"/>
      <c r="H40113" s="28"/>
    </row>
    <row r="40114" spans="4:8" x14ac:dyDescent="0.25">
      <c r="D40114" s="28"/>
      <c r="F40114" s="28"/>
      <c r="H40114" s="28"/>
    </row>
    <row r="40115" spans="4:8" x14ac:dyDescent="0.25">
      <c r="D40115" s="28"/>
      <c r="F40115" s="28"/>
      <c r="H40115" s="28"/>
    </row>
    <row r="40116" spans="4:8" x14ac:dyDescent="0.25">
      <c r="D40116" s="28"/>
      <c r="F40116" s="28"/>
      <c r="H40116" s="28"/>
    </row>
    <row r="40117" spans="4:8" x14ac:dyDescent="0.25">
      <c r="D40117" s="28"/>
      <c r="F40117" s="28"/>
      <c r="H40117" s="28"/>
    </row>
    <row r="40118" spans="4:8" x14ac:dyDescent="0.25">
      <c r="D40118" s="28"/>
      <c r="F40118" s="28"/>
      <c r="H40118" s="28"/>
    </row>
    <row r="40119" spans="4:8" x14ac:dyDescent="0.25">
      <c r="D40119" s="28"/>
      <c r="F40119" s="28"/>
      <c r="H40119" s="28"/>
    </row>
    <row r="40120" spans="4:8" x14ac:dyDescent="0.25">
      <c r="D40120" s="28"/>
      <c r="F40120" s="28"/>
      <c r="H40120" s="28"/>
    </row>
    <row r="40121" spans="4:8" x14ac:dyDescent="0.25">
      <c r="D40121" s="28"/>
      <c r="F40121" s="28"/>
      <c r="H40121" s="28"/>
    </row>
    <row r="40122" spans="4:8" x14ac:dyDescent="0.25">
      <c r="D40122" s="28"/>
      <c r="F40122" s="28"/>
      <c r="H40122" s="28"/>
    </row>
    <row r="40123" spans="4:8" x14ac:dyDescent="0.25">
      <c r="D40123" s="28"/>
      <c r="F40123" s="28"/>
      <c r="H40123" s="28"/>
    </row>
    <row r="40124" spans="4:8" x14ac:dyDescent="0.25">
      <c r="D40124" s="28"/>
      <c r="F40124" s="28"/>
      <c r="H40124" s="28"/>
    </row>
    <row r="40125" spans="4:8" x14ac:dyDescent="0.25">
      <c r="D40125" s="28"/>
      <c r="F40125" s="28"/>
      <c r="H40125" s="28"/>
    </row>
    <row r="40126" spans="4:8" x14ac:dyDescent="0.25">
      <c r="D40126" s="28"/>
      <c r="F40126" s="28"/>
      <c r="H40126" s="28"/>
    </row>
    <row r="40127" spans="4:8" x14ac:dyDescent="0.25">
      <c r="D40127" s="28"/>
      <c r="F40127" s="28"/>
      <c r="H40127" s="28"/>
    </row>
    <row r="40128" spans="4:8" x14ac:dyDescent="0.25">
      <c r="D40128" s="28"/>
      <c r="F40128" s="28"/>
      <c r="H40128" s="28"/>
    </row>
    <row r="40129" spans="4:8" x14ac:dyDescent="0.25">
      <c r="D40129" s="28"/>
      <c r="F40129" s="28"/>
      <c r="H40129" s="28"/>
    </row>
    <row r="40130" spans="4:8" x14ac:dyDescent="0.25">
      <c r="D40130" s="28"/>
      <c r="F40130" s="28"/>
      <c r="H40130" s="28"/>
    </row>
    <row r="40131" spans="4:8" x14ac:dyDescent="0.25">
      <c r="D40131" s="28"/>
      <c r="F40131" s="28"/>
      <c r="H40131" s="28"/>
    </row>
    <row r="40132" spans="4:8" x14ac:dyDescent="0.25">
      <c r="D40132" s="28"/>
      <c r="F40132" s="28"/>
      <c r="H40132" s="28"/>
    </row>
    <row r="40133" spans="4:8" x14ac:dyDescent="0.25">
      <c r="D40133" s="28"/>
      <c r="F40133" s="28"/>
      <c r="H40133" s="28"/>
    </row>
    <row r="40134" spans="4:8" x14ac:dyDescent="0.25">
      <c r="D40134" s="28"/>
      <c r="F40134" s="28"/>
      <c r="H40134" s="28"/>
    </row>
    <row r="40135" spans="4:8" x14ac:dyDescent="0.25">
      <c r="D40135" s="28"/>
      <c r="F40135" s="28"/>
      <c r="H40135" s="28"/>
    </row>
    <row r="40136" spans="4:8" x14ac:dyDescent="0.25">
      <c r="D40136" s="28"/>
      <c r="F40136" s="28"/>
      <c r="H40136" s="28"/>
    </row>
    <row r="40137" spans="4:8" x14ac:dyDescent="0.25">
      <c r="D40137" s="28"/>
      <c r="F40137" s="28"/>
      <c r="H40137" s="28"/>
    </row>
    <row r="40138" spans="4:8" x14ac:dyDescent="0.25">
      <c r="D40138" s="28"/>
      <c r="F40138" s="28"/>
      <c r="H40138" s="28"/>
    </row>
    <row r="40139" spans="4:8" x14ac:dyDescent="0.25">
      <c r="D40139" s="28"/>
      <c r="F40139" s="28"/>
      <c r="H40139" s="28"/>
    </row>
    <row r="40140" spans="4:8" x14ac:dyDescent="0.25">
      <c r="D40140" s="28"/>
      <c r="F40140" s="28"/>
      <c r="H40140" s="28"/>
    </row>
    <row r="40141" spans="4:8" x14ac:dyDescent="0.25">
      <c r="D40141" s="28"/>
      <c r="F40141" s="28"/>
      <c r="H40141" s="28"/>
    </row>
    <row r="40142" spans="4:8" x14ac:dyDescent="0.25">
      <c r="D40142" s="28"/>
      <c r="F40142" s="28"/>
      <c r="H40142" s="28"/>
    </row>
    <row r="40143" spans="4:8" x14ac:dyDescent="0.25">
      <c r="D40143" s="28"/>
      <c r="F40143" s="28"/>
      <c r="H40143" s="28"/>
    </row>
    <row r="40144" spans="4:8" x14ac:dyDescent="0.25">
      <c r="D40144" s="28"/>
      <c r="F40144" s="28"/>
      <c r="H40144" s="28"/>
    </row>
    <row r="40145" spans="4:8" x14ac:dyDescent="0.25">
      <c r="D40145" s="28"/>
      <c r="F40145" s="28"/>
      <c r="H40145" s="28"/>
    </row>
    <row r="40146" spans="4:8" x14ac:dyDescent="0.25">
      <c r="D40146" s="28"/>
      <c r="F40146" s="28"/>
      <c r="H40146" s="28"/>
    </row>
    <row r="40147" spans="4:8" x14ac:dyDescent="0.25">
      <c r="D40147" s="28"/>
      <c r="F40147" s="28"/>
      <c r="H40147" s="28"/>
    </row>
    <row r="40148" spans="4:8" x14ac:dyDescent="0.25">
      <c r="D40148" s="28"/>
      <c r="F40148" s="28"/>
      <c r="H40148" s="28"/>
    </row>
    <row r="40149" spans="4:8" x14ac:dyDescent="0.25">
      <c r="D40149" s="28"/>
      <c r="F40149" s="28"/>
      <c r="H40149" s="28"/>
    </row>
    <row r="40150" spans="4:8" x14ac:dyDescent="0.25">
      <c r="D40150" s="28"/>
      <c r="F40150" s="28"/>
      <c r="H40150" s="28"/>
    </row>
    <row r="40151" spans="4:8" x14ac:dyDescent="0.25">
      <c r="D40151" s="28"/>
      <c r="F40151" s="28"/>
      <c r="H40151" s="28"/>
    </row>
    <row r="40152" spans="4:8" x14ac:dyDescent="0.25">
      <c r="D40152" s="28"/>
      <c r="F40152" s="28"/>
      <c r="H40152" s="28"/>
    </row>
    <row r="40153" spans="4:8" x14ac:dyDescent="0.25">
      <c r="D40153" s="28"/>
      <c r="F40153" s="28"/>
      <c r="H40153" s="28"/>
    </row>
    <row r="40154" spans="4:8" x14ac:dyDescent="0.25">
      <c r="D40154" s="28"/>
      <c r="F40154" s="28"/>
      <c r="H40154" s="28"/>
    </row>
    <row r="40155" spans="4:8" x14ac:dyDescent="0.25">
      <c r="D40155" s="28"/>
      <c r="F40155" s="28"/>
      <c r="H40155" s="28"/>
    </row>
    <row r="40156" spans="4:8" x14ac:dyDescent="0.25">
      <c r="D40156" s="28"/>
      <c r="F40156" s="28"/>
      <c r="H40156" s="28"/>
    </row>
    <row r="40157" spans="4:8" x14ac:dyDescent="0.25">
      <c r="D40157" s="28"/>
      <c r="F40157" s="28"/>
      <c r="H40157" s="28"/>
    </row>
    <row r="40158" spans="4:8" x14ac:dyDescent="0.25">
      <c r="D40158" s="28"/>
      <c r="F40158" s="28"/>
      <c r="H40158" s="28"/>
    </row>
    <row r="40159" spans="4:8" x14ac:dyDescent="0.25">
      <c r="D40159" s="28"/>
      <c r="F40159" s="28"/>
      <c r="H40159" s="28"/>
    </row>
    <row r="40160" spans="4:8" x14ac:dyDescent="0.25">
      <c r="D40160" s="28"/>
      <c r="F40160" s="28"/>
      <c r="H40160" s="28"/>
    </row>
    <row r="40161" spans="4:8" x14ac:dyDescent="0.25">
      <c r="D40161" s="28"/>
      <c r="F40161" s="28"/>
      <c r="H40161" s="28"/>
    </row>
    <row r="40162" spans="4:8" x14ac:dyDescent="0.25">
      <c r="D40162" s="28"/>
      <c r="F40162" s="28"/>
      <c r="H40162" s="28"/>
    </row>
    <row r="40163" spans="4:8" x14ac:dyDescent="0.25">
      <c r="D40163" s="28"/>
      <c r="F40163" s="28"/>
      <c r="H40163" s="28"/>
    </row>
    <row r="40164" spans="4:8" x14ac:dyDescent="0.25">
      <c r="D40164" s="28"/>
      <c r="F40164" s="28"/>
      <c r="H40164" s="28"/>
    </row>
    <row r="40165" spans="4:8" x14ac:dyDescent="0.25">
      <c r="D40165" s="28"/>
      <c r="F40165" s="28"/>
      <c r="H40165" s="28"/>
    </row>
    <row r="40166" spans="4:8" x14ac:dyDescent="0.25">
      <c r="D40166" s="28"/>
      <c r="F40166" s="28"/>
      <c r="H40166" s="28"/>
    </row>
    <row r="40167" spans="4:8" x14ac:dyDescent="0.25">
      <c r="D40167" s="28"/>
      <c r="F40167" s="28"/>
      <c r="H40167" s="28"/>
    </row>
    <row r="40168" spans="4:8" x14ac:dyDescent="0.25">
      <c r="D40168" s="28"/>
      <c r="F40168" s="28"/>
      <c r="H40168" s="28"/>
    </row>
    <row r="40169" spans="4:8" x14ac:dyDescent="0.25">
      <c r="D40169" s="28"/>
      <c r="F40169" s="28"/>
      <c r="H40169" s="28"/>
    </row>
    <row r="40170" spans="4:8" x14ac:dyDescent="0.25">
      <c r="D40170" s="28"/>
      <c r="F40170" s="28"/>
      <c r="H40170" s="28"/>
    </row>
    <row r="40171" spans="4:8" x14ac:dyDescent="0.25">
      <c r="D40171" s="28"/>
      <c r="F40171" s="28"/>
      <c r="H40171" s="28"/>
    </row>
    <row r="40172" spans="4:8" x14ac:dyDescent="0.25">
      <c r="D40172" s="28"/>
      <c r="F40172" s="28"/>
      <c r="H40172" s="28"/>
    </row>
    <row r="40173" spans="4:8" x14ac:dyDescent="0.25">
      <c r="D40173" s="28"/>
      <c r="F40173" s="28"/>
      <c r="H40173" s="28"/>
    </row>
    <row r="40174" spans="4:8" x14ac:dyDescent="0.25">
      <c r="D40174" s="28"/>
      <c r="F40174" s="28"/>
      <c r="H40174" s="28"/>
    </row>
    <row r="40175" spans="4:8" x14ac:dyDescent="0.25">
      <c r="D40175" s="28"/>
      <c r="F40175" s="28"/>
      <c r="H40175" s="28"/>
    </row>
    <row r="40176" spans="4:8" x14ac:dyDescent="0.25">
      <c r="D40176" s="28"/>
      <c r="F40176" s="28"/>
      <c r="H40176" s="28"/>
    </row>
    <row r="40177" spans="4:8" x14ac:dyDescent="0.25">
      <c r="D40177" s="28"/>
      <c r="F40177" s="28"/>
      <c r="H40177" s="28"/>
    </row>
    <row r="40178" spans="4:8" x14ac:dyDescent="0.25">
      <c r="D40178" s="28"/>
      <c r="F40178" s="28"/>
      <c r="H40178" s="28"/>
    </row>
    <row r="40179" spans="4:8" x14ac:dyDescent="0.25">
      <c r="D40179" s="28"/>
      <c r="F40179" s="28"/>
      <c r="H40179" s="28"/>
    </row>
    <row r="40180" spans="4:8" x14ac:dyDescent="0.25">
      <c r="D40180" s="28"/>
      <c r="F40180" s="28"/>
      <c r="H40180" s="28"/>
    </row>
    <row r="40181" spans="4:8" x14ac:dyDescent="0.25">
      <c r="D40181" s="28"/>
      <c r="F40181" s="28"/>
      <c r="H40181" s="28"/>
    </row>
    <row r="40182" spans="4:8" x14ac:dyDescent="0.25">
      <c r="D40182" s="28"/>
      <c r="F40182" s="28"/>
      <c r="H40182" s="28"/>
    </row>
    <row r="40183" spans="4:8" x14ac:dyDescent="0.25">
      <c r="D40183" s="28"/>
      <c r="F40183" s="28"/>
      <c r="H40183" s="28"/>
    </row>
    <row r="40184" spans="4:8" x14ac:dyDescent="0.25">
      <c r="D40184" s="28"/>
      <c r="F40184" s="28"/>
      <c r="H40184" s="28"/>
    </row>
    <row r="40185" spans="4:8" x14ac:dyDescent="0.25">
      <c r="D40185" s="28"/>
      <c r="F40185" s="28"/>
      <c r="H40185" s="28"/>
    </row>
    <row r="40186" spans="4:8" x14ac:dyDescent="0.25">
      <c r="D40186" s="28"/>
      <c r="F40186" s="28"/>
      <c r="H40186" s="28"/>
    </row>
    <row r="40187" spans="4:8" x14ac:dyDescent="0.25">
      <c r="D40187" s="28"/>
      <c r="F40187" s="28"/>
      <c r="H40187" s="28"/>
    </row>
    <row r="40188" spans="4:8" x14ac:dyDescent="0.25">
      <c r="D40188" s="28"/>
      <c r="F40188" s="28"/>
      <c r="H40188" s="28"/>
    </row>
    <row r="40189" spans="4:8" x14ac:dyDescent="0.25">
      <c r="D40189" s="28"/>
      <c r="F40189" s="28"/>
      <c r="H40189" s="28"/>
    </row>
    <row r="40190" spans="4:8" x14ac:dyDescent="0.25">
      <c r="D40190" s="28"/>
      <c r="F40190" s="28"/>
      <c r="H40190" s="28"/>
    </row>
    <row r="40191" spans="4:8" x14ac:dyDescent="0.25">
      <c r="D40191" s="28"/>
      <c r="F40191" s="28"/>
      <c r="H40191" s="28"/>
    </row>
    <row r="40192" spans="4:8" x14ac:dyDescent="0.25">
      <c r="D40192" s="28"/>
      <c r="F40192" s="28"/>
      <c r="H40192" s="28"/>
    </row>
    <row r="40193" spans="4:8" x14ac:dyDescent="0.25">
      <c r="D40193" s="28"/>
      <c r="F40193" s="28"/>
      <c r="H40193" s="28"/>
    </row>
    <row r="40194" spans="4:8" x14ac:dyDescent="0.25">
      <c r="D40194" s="28"/>
      <c r="F40194" s="28"/>
      <c r="H40194" s="28"/>
    </row>
    <row r="40195" spans="4:8" x14ac:dyDescent="0.25">
      <c r="D40195" s="28"/>
      <c r="F40195" s="28"/>
      <c r="H40195" s="28"/>
    </row>
    <row r="40196" spans="4:8" x14ac:dyDescent="0.25">
      <c r="D40196" s="28"/>
      <c r="F40196" s="28"/>
      <c r="H40196" s="28"/>
    </row>
    <row r="40197" spans="4:8" x14ac:dyDescent="0.25">
      <c r="D40197" s="28"/>
      <c r="F40197" s="28"/>
      <c r="H40197" s="28"/>
    </row>
    <row r="40198" spans="4:8" x14ac:dyDescent="0.25">
      <c r="D40198" s="28"/>
      <c r="F40198" s="28"/>
      <c r="H40198" s="28"/>
    </row>
    <row r="40199" spans="4:8" x14ac:dyDescent="0.25">
      <c r="D40199" s="28"/>
      <c r="F40199" s="28"/>
      <c r="H40199" s="28"/>
    </row>
    <row r="40200" spans="4:8" x14ac:dyDescent="0.25">
      <c r="D40200" s="28"/>
      <c r="F40200" s="28"/>
      <c r="H40200" s="28"/>
    </row>
    <row r="40201" spans="4:8" x14ac:dyDescent="0.25">
      <c r="D40201" s="28"/>
      <c r="F40201" s="28"/>
      <c r="H40201" s="28"/>
    </row>
    <row r="40202" spans="4:8" x14ac:dyDescent="0.25">
      <c r="D40202" s="28"/>
      <c r="F40202" s="28"/>
      <c r="H40202" s="28"/>
    </row>
    <row r="40203" spans="4:8" x14ac:dyDescent="0.25">
      <c r="D40203" s="28"/>
      <c r="F40203" s="28"/>
      <c r="H40203" s="28"/>
    </row>
    <row r="40204" spans="4:8" x14ac:dyDescent="0.25">
      <c r="D40204" s="28"/>
      <c r="F40204" s="28"/>
      <c r="H40204" s="28"/>
    </row>
    <row r="40205" spans="4:8" x14ac:dyDescent="0.25">
      <c r="D40205" s="28"/>
      <c r="F40205" s="28"/>
      <c r="H40205" s="28"/>
    </row>
    <row r="40206" spans="4:8" x14ac:dyDescent="0.25">
      <c r="D40206" s="28"/>
      <c r="F40206" s="28"/>
      <c r="H40206" s="28"/>
    </row>
    <row r="40207" spans="4:8" x14ac:dyDescent="0.25">
      <c r="D40207" s="28"/>
      <c r="F40207" s="28"/>
      <c r="H40207" s="28"/>
    </row>
    <row r="40208" spans="4:8" x14ac:dyDescent="0.25">
      <c r="D40208" s="28"/>
      <c r="F40208" s="28"/>
      <c r="H40208" s="28"/>
    </row>
    <row r="40209" spans="4:8" x14ac:dyDescent="0.25">
      <c r="D40209" s="28"/>
      <c r="F40209" s="28"/>
      <c r="H40209" s="28"/>
    </row>
    <row r="40210" spans="4:8" x14ac:dyDescent="0.25">
      <c r="D40210" s="28"/>
      <c r="F40210" s="28"/>
      <c r="H40210" s="28"/>
    </row>
    <row r="40211" spans="4:8" x14ac:dyDescent="0.25">
      <c r="D40211" s="28"/>
      <c r="F40211" s="28"/>
      <c r="H40211" s="28"/>
    </row>
    <row r="40212" spans="4:8" x14ac:dyDescent="0.25">
      <c r="D40212" s="28"/>
      <c r="F40212" s="28"/>
      <c r="H40212" s="28"/>
    </row>
    <row r="40213" spans="4:8" x14ac:dyDescent="0.25">
      <c r="D40213" s="28"/>
      <c r="F40213" s="28"/>
      <c r="H40213" s="28"/>
    </row>
    <row r="40214" spans="4:8" x14ac:dyDescent="0.25">
      <c r="D40214" s="28"/>
      <c r="F40214" s="28"/>
      <c r="H40214" s="28"/>
    </row>
    <row r="40215" spans="4:8" x14ac:dyDescent="0.25">
      <c r="D40215" s="28"/>
      <c r="F40215" s="28"/>
      <c r="H40215" s="28"/>
    </row>
    <row r="40216" spans="4:8" x14ac:dyDescent="0.25">
      <c r="D40216" s="28"/>
      <c r="F40216" s="28"/>
      <c r="H40216" s="28"/>
    </row>
    <row r="40217" spans="4:8" x14ac:dyDescent="0.25">
      <c r="D40217" s="28"/>
      <c r="F40217" s="28"/>
      <c r="H40217" s="28"/>
    </row>
    <row r="40218" spans="4:8" x14ac:dyDescent="0.25">
      <c r="D40218" s="28"/>
      <c r="F40218" s="28"/>
      <c r="H40218" s="28"/>
    </row>
    <row r="40219" spans="4:8" x14ac:dyDescent="0.25">
      <c r="D40219" s="28"/>
      <c r="F40219" s="28"/>
      <c r="H40219" s="28"/>
    </row>
    <row r="40220" spans="4:8" x14ac:dyDescent="0.25">
      <c r="D40220" s="28"/>
      <c r="F40220" s="28"/>
      <c r="H40220" s="28"/>
    </row>
    <row r="40221" spans="4:8" x14ac:dyDescent="0.25">
      <c r="D40221" s="28"/>
      <c r="F40221" s="28"/>
      <c r="H40221" s="28"/>
    </row>
    <row r="40222" spans="4:8" x14ac:dyDescent="0.25">
      <c r="D40222" s="28"/>
      <c r="F40222" s="28"/>
      <c r="H40222" s="28"/>
    </row>
    <row r="40223" spans="4:8" x14ac:dyDescent="0.25">
      <c r="D40223" s="28"/>
      <c r="F40223" s="28"/>
      <c r="H40223" s="28"/>
    </row>
    <row r="40224" spans="4:8" x14ac:dyDescent="0.25">
      <c r="D40224" s="28"/>
      <c r="F40224" s="28"/>
      <c r="H40224" s="28"/>
    </row>
    <row r="40225" spans="4:8" x14ac:dyDescent="0.25">
      <c r="D40225" s="28"/>
      <c r="F40225" s="28"/>
      <c r="H40225" s="28"/>
    </row>
    <row r="40226" spans="4:8" x14ac:dyDescent="0.25">
      <c r="D40226" s="28"/>
      <c r="F40226" s="28"/>
      <c r="H40226" s="28"/>
    </row>
    <row r="40227" spans="4:8" x14ac:dyDescent="0.25">
      <c r="D40227" s="28"/>
      <c r="F40227" s="28"/>
      <c r="H40227" s="28"/>
    </row>
    <row r="40228" spans="4:8" x14ac:dyDescent="0.25">
      <c r="D40228" s="28"/>
      <c r="F40228" s="28"/>
      <c r="H40228" s="28"/>
    </row>
    <row r="40229" spans="4:8" x14ac:dyDescent="0.25">
      <c r="D40229" s="28"/>
      <c r="F40229" s="28"/>
      <c r="H40229" s="28"/>
    </row>
    <row r="40230" spans="4:8" x14ac:dyDescent="0.25">
      <c r="D40230" s="28"/>
      <c r="F40230" s="28"/>
      <c r="H40230" s="28"/>
    </row>
    <row r="40231" spans="4:8" x14ac:dyDescent="0.25">
      <c r="D40231" s="28"/>
      <c r="F40231" s="28"/>
      <c r="H40231" s="28"/>
    </row>
    <row r="40232" spans="4:8" x14ac:dyDescent="0.25">
      <c r="D40232" s="28"/>
      <c r="F40232" s="28"/>
      <c r="H40232" s="28"/>
    </row>
    <row r="40233" spans="4:8" x14ac:dyDescent="0.25">
      <c r="D40233" s="28"/>
      <c r="F40233" s="28"/>
      <c r="H40233" s="28"/>
    </row>
    <row r="40234" spans="4:8" x14ac:dyDescent="0.25">
      <c r="D40234" s="28"/>
      <c r="F40234" s="28"/>
      <c r="H40234" s="28"/>
    </row>
    <row r="40235" spans="4:8" x14ac:dyDescent="0.25">
      <c r="D40235" s="28"/>
      <c r="F40235" s="28"/>
      <c r="H40235" s="28"/>
    </row>
    <row r="40236" spans="4:8" x14ac:dyDescent="0.25">
      <c r="D40236" s="28"/>
      <c r="F40236" s="28"/>
      <c r="H40236" s="28"/>
    </row>
    <row r="40237" spans="4:8" x14ac:dyDescent="0.25">
      <c r="D40237" s="28"/>
      <c r="F40237" s="28"/>
      <c r="H40237" s="28"/>
    </row>
    <row r="40238" spans="4:8" x14ac:dyDescent="0.25">
      <c r="D40238" s="28"/>
      <c r="F40238" s="28"/>
      <c r="H40238" s="28"/>
    </row>
    <row r="40239" spans="4:8" x14ac:dyDescent="0.25">
      <c r="D40239" s="28"/>
      <c r="F40239" s="28"/>
      <c r="H40239" s="28"/>
    </row>
    <row r="40240" spans="4:8" x14ac:dyDescent="0.25">
      <c r="D40240" s="28"/>
      <c r="F40240" s="28"/>
      <c r="H40240" s="28"/>
    </row>
    <row r="40241" spans="4:8" x14ac:dyDescent="0.25">
      <c r="D40241" s="28"/>
      <c r="F40241" s="28"/>
      <c r="H40241" s="28"/>
    </row>
    <row r="40242" spans="4:8" x14ac:dyDescent="0.25">
      <c r="D40242" s="28"/>
      <c r="F40242" s="28"/>
      <c r="H40242" s="28"/>
    </row>
    <row r="40243" spans="4:8" x14ac:dyDescent="0.25">
      <c r="D40243" s="28"/>
      <c r="F40243" s="28"/>
      <c r="H40243" s="28"/>
    </row>
    <row r="40244" spans="4:8" x14ac:dyDescent="0.25">
      <c r="D40244" s="28"/>
      <c r="F40244" s="28"/>
      <c r="H40244" s="28"/>
    </row>
    <row r="40245" spans="4:8" x14ac:dyDescent="0.25">
      <c r="D40245" s="28"/>
      <c r="F40245" s="28"/>
      <c r="H40245" s="28"/>
    </row>
    <row r="40246" spans="4:8" x14ac:dyDescent="0.25">
      <c r="D40246" s="28"/>
      <c r="F40246" s="28"/>
      <c r="H40246" s="28"/>
    </row>
    <row r="40247" spans="4:8" x14ac:dyDescent="0.25">
      <c r="D40247" s="28"/>
      <c r="F40247" s="28"/>
      <c r="H40247" s="28"/>
    </row>
    <row r="40248" spans="4:8" x14ac:dyDescent="0.25">
      <c r="D40248" s="28"/>
      <c r="F40248" s="28"/>
      <c r="H40248" s="28"/>
    </row>
    <row r="40249" spans="4:8" x14ac:dyDescent="0.25">
      <c r="D40249" s="28"/>
      <c r="F40249" s="28"/>
      <c r="H40249" s="28"/>
    </row>
    <row r="40250" spans="4:8" x14ac:dyDescent="0.25">
      <c r="D40250" s="28"/>
      <c r="F40250" s="28"/>
      <c r="H40250" s="28"/>
    </row>
    <row r="40251" spans="4:8" x14ac:dyDescent="0.25">
      <c r="D40251" s="28"/>
      <c r="F40251" s="28"/>
      <c r="H40251" s="28"/>
    </row>
    <row r="40252" spans="4:8" x14ac:dyDescent="0.25">
      <c r="D40252" s="28"/>
      <c r="F40252" s="28"/>
      <c r="H40252" s="28"/>
    </row>
    <row r="40253" spans="4:8" x14ac:dyDescent="0.25">
      <c r="D40253" s="28"/>
      <c r="F40253" s="28"/>
      <c r="H40253" s="28"/>
    </row>
    <row r="40254" spans="4:8" x14ac:dyDescent="0.25">
      <c r="D40254" s="28"/>
      <c r="F40254" s="28"/>
      <c r="H40254" s="28"/>
    </row>
    <row r="40255" spans="4:8" x14ac:dyDescent="0.25">
      <c r="D40255" s="28"/>
      <c r="F40255" s="28"/>
      <c r="H40255" s="28"/>
    </row>
    <row r="40256" spans="4:8" x14ac:dyDescent="0.25">
      <c r="D40256" s="28"/>
      <c r="F40256" s="28"/>
      <c r="H40256" s="28"/>
    </row>
    <row r="40257" spans="4:8" x14ac:dyDescent="0.25">
      <c r="D40257" s="28"/>
      <c r="F40257" s="28"/>
      <c r="H40257" s="28"/>
    </row>
    <row r="40258" spans="4:8" x14ac:dyDescent="0.25">
      <c r="D40258" s="28"/>
      <c r="F40258" s="28"/>
      <c r="H40258" s="28"/>
    </row>
    <row r="40259" spans="4:8" x14ac:dyDescent="0.25">
      <c r="D40259" s="28"/>
      <c r="F40259" s="28"/>
      <c r="H40259" s="28"/>
    </row>
    <row r="40260" spans="4:8" x14ac:dyDescent="0.25">
      <c r="D40260" s="28"/>
      <c r="F40260" s="28"/>
      <c r="H40260" s="28"/>
    </row>
    <row r="40261" spans="4:8" x14ac:dyDescent="0.25">
      <c r="D40261" s="28"/>
      <c r="F40261" s="28"/>
      <c r="H40261" s="28"/>
    </row>
    <row r="40262" spans="4:8" x14ac:dyDescent="0.25">
      <c r="D40262" s="28"/>
      <c r="F40262" s="28"/>
      <c r="H40262" s="28"/>
    </row>
    <row r="40263" spans="4:8" x14ac:dyDescent="0.25">
      <c r="D40263" s="28"/>
      <c r="F40263" s="28"/>
      <c r="H40263" s="28"/>
    </row>
    <row r="40264" spans="4:8" x14ac:dyDescent="0.25">
      <c r="D40264" s="28"/>
      <c r="F40264" s="28"/>
      <c r="H40264" s="28"/>
    </row>
    <row r="40265" spans="4:8" x14ac:dyDescent="0.25">
      <c r="D40265" s="28"/>
      <c r="F40265" s="28"/>
      <c r="H40265" s="28"/>
    </row>
    <row r="40266" spans="4:8" x14ac:dyDescent="0.25">
      <c r="D40266" s="28"/>
      <c r="F40266" s="28"/>
      <c r="H40266" s="28"/>
    </row>
    <row r="40267" spans="4:8" x14ac:dyDescent="0.25">
      <c r="D40267" s="28"/>
      <c r="F40267" s="28"/>
      <c r="H40267" s="28"/>
    </row>
    <row r="40268" spans="4:8" x14ac:dyDescent="0.25">
      <c r="D40268" s="28"/>
      <c r="F40268" s="28"/>
      <c r="H40268" s="28"/>
    </row>
    <row r="40269" spans="4:8" x14ac:dyDescent="0.25">
      <c r="D40269" s="28"/>
      <c r="F40269" s="28"/>
      <c r="H40269" s="28"/>
    </row>
    <row r="40270" spans="4:8" x14ac:dyDescent="0.25">
      <c r="D40270" s="28"/>
      <c r="F40270" s="28"/>
      <c r="H40270" s="28"/>
    </row>
    <row r="40271" spans="4:8" x14ac:dyDescent="0.25">
      <c r="D40271" s="28"/>
      <c r="F40271" s="28"/>
      <c r="H40271" s="28"/>
    </row>
    <row r="40272" spans="4:8" x14ac:dyDescent="0.25">
      <c r="D40272" s="28"/>
      <c r="F40272" s="28"/>
      <c r="H40272" s="28"/>
    </row>
    <row r="40273" spans="4:8" x14ac:dyDescent="0.25">
      <c r="D40273" s="28"/>
      <c r="F40273" s="28"/>
      <c r="H40273" s="28"/>
    </row>
    <row r="40274" spans="4:8" x14ac:dyDescent="0.25">
      <c r="D40274" s="28"/>
      <c r="F40274" s="28"/>
      <c r="H40274" s="28"/>
    </row>
    <row r="40275" spans="4:8" x14ac:dyDescent="0.25">
      <c r="D40275" s="28"/>
      <c r="F40275" s="28"/>
      <c r="H40275" s="28"/>
    </row>
    <row r="40276" spans="4:8" x14ac:dyDescent="0.25">
      <c r="D40276" s="28"/>
      <c r="F40276" s="28"/>
      <c r="H40276" s="28"/>
    </row>
    <row r="40277" spans="4:8" x14ac:dyDescent="0.25">
      <c r="D40277" s="28"/>
      <c r="F40277" s="28"/>
      <c r="H40277" s="28"/>
    </row>
    <row r="40278" spans="4:8" x14ac:dyDescent="0.25">
      <c r="D40278" s="28"/>
      <c r="F40278" s="28"/>
      <c r="H40278" s="28"/>
    </row>
    <row r="40279" spans="4:8" x14ac:dyDescent="0.25">
      <c r="D40279" s="28"/>
      <c r="F40279" s="28"/>
      <c r="H40279" s="28"/>
    </row>
    <row r="40280" spans="4:8" x14ac:dyDescent="0.25">
      <c r="D40280" s="28"/>
      <c r="F40280" s="28"/>
      <c r="H40280" s="28"/>
    </row>
    <row r="40281" spans="4:8" x14ac:dyDescent="0.25">
      <c r="D40281" s="28"/>
      <c r="F40281" s="28"/>
      <c r="H40281" s="28"/>
    </row>
    <row r="40282" spans="4:8" x14ac:dyDescent="0.25">
      <c r="D40282" s="28"/>
      <c r="F40282" s="28"/>
      <c r="H40282" s="28"/>
    </row>
    <row r="40283" spans="4:8" x14ac:dyDescent="0.25">
      <c r="D40283" s="28"/>
      <c r="F40283" s="28"/>
      <c r="H40283" s="28"/>
    </row>
    <row r="40284" spans="4:8" x14ac:dyDescent="0.25">
      <c r="D40284" s="28"/>
      <c r="F40284" s="28"/>
      <c r="H40284" s="28"/>
    </row>
    <row r="40285" spans="4:8" x14ac:dyDescent="0.25">
      <c r="D40285" s="28"/>
      <c r="F40285" s="28"/>
      <c r="H40285" s="28"/>
    </row>
    <row r="40286" spans="4:8" x14ac:dyDescent="0.25">
      <c r="D40286" s="28"/>
      <c r="F40286" s="28"/>
      <c r="H40286" s="28"/>
    </row>
    <row r="40287" spans="4:8" x14ac:dyDescent="0.25">
      <c r="D40287" s="28"/>
      <c r="F40287" s="28"/>
      <c r="H40287" s="28"/>
    </row>
    <row r="40288" spans="4:8" x14ac:dyDescent="0.25">
      <c r="D40288" s="28"/>
      <c r="F40288" s="28"/>
      <c r="H40288" s="28"/>
    </row>
    <row r="40289" spans="4:8" x14ac:dyDescent="0.25">
      <c r="D40289" s="28"/>
      <c r="F40289" s="28"/>
      <c r="H40289" s="28"/>
    </row>
    <row r="40290" spans="4:8" x14ac:dyDescent="0.25">
      <c r="D40290" s="28"/>
      <c r="F40290" s="28"/>
      <c r="H40290" s="28"/>
    </row>
    <row r="40291" spans="4:8" x14ac:dyDescent="0.25">
      <c r="D40291" s="28"/>
      <c r="F40291" s="28"/>
      <c r="H40291" s="28"/>
    </row>
    <row r="40292" spans="4:8" x14ac:dyDescent="0.25">
      <c r="D40292" s="28"/>
      <c r="F40292" s="28"/>
      <c r="H40292" s="28"/>
    </row>
    <row r="40293" spans="4:8" x14ac:dyDescent="0.25">
      <c r="D40293" s="28"/>
      <c r="F40293" s="28"/>
      <c r="H40293" s="28"/>
    </row>
    <row r="40294" spans="4:8" x14ac:dyDescent="0.25">
      <c r="D40294" s="28"/>
      <c r="F40294" s="28"/>
      <c r="H40294" s="28"/>
    </row>
    <row r="40295" spans="4:8" x14ac:dyDescent="0.25">
      <c r="D40295" s="28"/>
      <c r="F40295" s="28"/>
      <c r="H40295" s="28"/>
    </row>
    <row r="40296" spans="4:8" x14ac:dyDescent="0.25">
      <c r="D40296" s="28"/>
      <c r="F40296" s="28"/>
      <c r="H40296" s="28"/>
    </row>
    <row r="40297" spans="4:8" x14ac:dyDescent="0.25">
      <c r="D40297" s="28"/>
      <c r="F40297" s="28"/>
      <c r="H40297" s="28"/>
    </row>
    <row r="40298" spans="4:8" x14ac:dyDescent="0.25">
      <c r="D40298" s="28"/>
      <c r="F40298" s="28"/>
      <c r="H40298" s="28"/>
    </row>
    <row r="40299" spans="4:8" x14ac:dyDescent="0.25">
      <c r="D40299" s="28"/>
      <c r="F40299" s="28"/>
      <c r="H40299" s="28"/>
    </row>
    <row r="40300" spans="4:8" x14ac:dyDescent="0.25">
      <c r="D40300" s="28"/>
      <c r="F40300" s="28"/>
      <c r="H40300" s="28"/>
    </row>
    <row r="40301" spans="4:8" x14ac:dyDescent="0.25">
      <c r="D40301" s="28"/>
      <c r="F40301" s="28"/>
      <c r="H40301" s="28"/>
    </row>
    <row r="40302" spans="4:8" x14ac:dyDescent="0.25">
      <c r="D40302" s="28"/>
      <c r="F40302" s="28"/>
      <c r="H40302" s="28"/>
    </row>
    <row r="40303" spans="4:8" x14ac:dyDescent="0.25">
      <c r="D40303" s="28"/>
      <c r="F40303" s="28"/>
      <c r="H40303" s="28"/>
    </row>
    <row r="40304" spans="4:8" x14ac:dyDescent="0.25">
      <c r="D40304" s="28"/>
      <c r="F40304" s="28"/>
      <c r="H40304" s="28"/>
    </row>
    <row r="40305" spans="4:8" x14ac:dyDescent="0.25">
      <c r="D40305" s="28"/>
      <c r="F40305" s="28"/>
      <c r="H40305" s="28"/>
    </row>
    <row r="40306" spans="4:8" x14ac:dyDescent="0.25">
      <c r="D40306" s="28"/>
      <c r="F40306" s="28"/>
      <c r="H40306" s="28"/>
    </row>
    <row r="40307" spans="4:8" x14ac:dyDescent="0.25">
      <c r="D40307" s="28"/>
      <c r="F40307" s="28"/>
      <c r="H40307" s="28"/>
    </row>
    <row r="40308" spans="4:8" x14ac:dyDescent="0.25">
      <c r="D40308" s="28"/>
      <c r="F40308" s="28"/>
      <c r="H40308" s="28"/>
    </row>
    <row r="40309" spans="4:8" x14ac:dyDescent="0.25">
      <c r="D40309" s="28"/>
      <c r="F40309" s="28"/>
      <c r="H40309" s="28"/>
    </row>
    <row r="40310" spans="4:8" x14ac:dyDescent="0.25">
      <c r="D40310" s="28"/>
      <c r="F40310" s="28"/>
      <c r="H40310" s="28"/>
    </row>
    <row r="40311" spans="4:8" x14ac:dyDescent="0.25">
      <c r="D40311" s="28"/>
      <c r="F40311" s="28"/>
      <c r="H40311" s="28"/>
    </row>
    <row r="40312" spans="4:8" x14ac:dyDescent="0.25">
      <c r="D40312" s="28"/>
      <c r="F40312" s="28"/>
      <c r="H40312" s="28"/>
    </row>
    <row r="40313" spans="4:8" x14ac:dyDescent="0.25">
      <c r="D40313" s="28"/>
      <c r="F40313" s="28"/>
      <c r="H40313" s="28"/>
    </row>
    <row r="40314" spans="4:8" x14ac:dyDescent="0.25">
      <c r="D40314" s="28"/>
      <c r="F40314" s="28"/>
      <c r="H40314" s="28"/>
    </row>
    <row r="40315" spans="4:8" x14ac:dyDescent="0.25">
      <c r="D40315" s="28"/>
      <c r="F40315" s="28"/>
      <c r="H40315" s="28"/>
    </row>
    <row r="40316" spans="4:8" x14ac:dyDescent="0.25">
      <c r="D40316" s="28"/>
      <c r="F40316" s="28"/>
      <c r="H40316" s="28"/>
    </row>
    <row r="40317" spans="4:8" x14ac:dyDescent="0.25">
      <c r="D40317" s="28"/>
      <c r="F40317" s="28"/>
      <c r="H40317" s="28"/>
    </row>
    <row r="40318" spans="4:8" x14ac:dyDescent="0.25">
      <c r="D40318" s="28"/>
      <c r="F40318" s="28"/>
      <c r="H40318" s="28"/>
    </row>
    <row r="40319" spans="4:8" x14ac:dyDescent="0.25">
      <c r="D40319" s="28"/>
      <c r="F40319" s="28"/>
      <c r="H40319" s="28"/>
    </row>
    <row r="40320" spans="4:8" x14ac:dyDescent="0.25">
      <c r="D40320" s="28"/>
      <c r="F40320" s="28"/>
      <c r="H40320" s="28"/>
    </row>
    <row r="40321" spans="4:8" x14ac:dyDescent="0.25">
      <c r="D40321" s="28"/>
      <c r="F40321" s="28"/>
      <c r="H40321" s="28"/>
    </row>
    <row r="40322" spans="4:8" x14ac:dyDescent="0.25">
      <c r="D40322" s="28"/>
      <c r="F40322" s="28"/>
      <c r="H40322" s="28"/>
    </row>
    <row r="40323" spans="4:8" x14ac:dyDescent="0.25">
      <c r="D40323" s="28"/>
      <c r="F40323" s="28"/>
      <c r="H40323" s="28"/>
    </row>
    <row r="40324" spans="4:8" x14ac:dyDescent="0.25">
      <c r="D40324" s="28"/>
      <c r="F40324" s="28"/>
      <c r="H40324" s="28"/>
    </row>
    <row r="40325" spans="4:8" x14ac:dyDescent="0.25">
      <c r="D40325" s="28"/>
      <c r="F40325" s="28"/>
      <c r="H40325" s="28"/>
    </row>
    <row r="40326" spans="4:8" x14ac:dyDescent="0.25">
      <c r="D40326" s="28"/>
      <c r="F40326" s="28"/>
      <c r="H40326" s="28"/>
    </row>
    <row r="40327" spans="4:8" x14ac:dyDescent="0.25">
      <c r="D40327" s="28"/>
      <c r="F40327" s="28"/>
      <c r="H40327" s="28"/>
    </row>
    <row r="40328" spans="4:8" x14ac:dyDescent="0.25">
      <c r="D40328" s="28"/>
      <c r="F40328" s="28"/>
      <c r="H40328" s="28"/>
    </row>
    <row r="40329" spans="4:8" x14ac:dyDescent="0.25">
      <c r="D40329" s="28"/>
      <c r="F40329" s="28"/>
      <c r="H40329" s="28"/>
    </row>
    <row r="40330" spans="4:8" x14ac:dyDescent="0.25">
      <c r="D40330" s="28"/>
      <c r="F40330" s="28"/>
      <c r="H40330" s="28"/>
    </row>
    <row r="40331" spans="4:8" x14ac:dyDescent="0.25">
      <c r="D40331" s="28"/>
      <c r="F40331" s="28"/>
      <c r="H40331" s="28"/>
    </row>
    <row r="40332" spans="4:8" x14ac:dyDescent="0.25">
      <c r="D40332" s="28"/>
      <c r="F40332" s="28"/>
      <c r="H40332" s="28"/>
    </row>
    <row r="40333" spans="4:8" x14ac:dyDescent="0.25">
      <c r="D40333" s="28"/>
      <c r="F40333" s="28"/>
      <c r="H40333" s="28"/>
    </row>
    <row r="40334" spans="4:8" x14ac:dyDescent="0.25">
      <c r="D40334" s="28"/>
      <c r="F40334" s="28"/>
      <c r="H40334" s="28"/>
    </row>
    <row r="40335" spans="4:8" x14ac:dyDescent="0.25">
      <c r="D40335" s="28"/>
      <c r="F40335" s="28"/>
      <c r="H40335" s="28"/>
    </row>
    <row r="40336" spans="4:8" x14ac:dyDescent="0.25">
      <c r="D40336" s="28"/>
      <c r="F40336" s="28"/>
      <c r="H40336" s="28"/>
    </row>
    <row r="40337" spans="4:8" x14ac:dyDescent="0.25">
      <c r="D40337" s="28"/>
      <c r="F40337" s="28"/>
      <c r="H40337" s="28"/>
    </row>
    <row r="40338" spans="4:8" x14ac:dyDescent="0.25">
      <c r="D40338" s="28"/>
      <c r="F40338" s="28"/>
      <c r="H40338" s="28"/>
    </row>
    <row r="40339" spans="4:8" x14ac:dyDescent="0.25">
      <c r="D40339" s="28"/>
      <c r="F40339" s="28"/>
      <c r="H40339" s="28"/>
    </row>
    <row r="40340" spans="4:8" x14ac:dyDescent="0.25">
      <c r="D40340" s="28"/>
      <c r="F40340" s="28"/>
      <c r="H40340" s="28"/>
    </row>
    <row r="40341" spans="4:8" x14ac:dyDescent="0.25">
      <c r="D40341" s="28"/>
      <c r="F40341" s="28"/>
      <c r="H40341" s="28"/>
    </row>
    <row r="40342" spans="4:8" x14ac:dyDescent="0.25">
      <c r="D40342" s="28"/>
      <c r="F40342" s="28"/>
      <c r="H40342" s="28"/>
    </row>
    <row r="40343" spans="4:8" x14ac:dyDescent="0.25">
      <c r="D40343" s="28"/>
      <c r="F40343" s="28"/>
      <c r="H40343" s="28"/>
    </row>
    <row r="40344" spans="4:8" x14ac:dyDescent="0.25">
      <c r="D40344" s="28"/>
      <c r="F40344" s="28"/>
      <c r="H40344" s="28"/>
    </row>
    <row r="40345" spans="4:8" x14ac:dyDescent="0.25">
      <c r="D40345" s="28"/>
      <c r="F40345" s="28"/>
      <c r="H40345" s="28"/>
    </row>
    <row r="40346" spans="4:8" x14ac:dyDescent="0.25">
      <c r="D40346" s="28"/>
      <c r="F40346" s="28"/>
      <c r="H40346" s="28"/>
    </row>
    <row r="40347" spans="4:8" x14ac:dyDescent="0.25">
      <c r="D40347" s="28"/>
      <c r="F40347" s="28"/>
      <c r="H40347" s="28"/>
    </row>
    <row r="40348" spans="4:8" x14ac:dyDescent="0.25">
      <c r="D40348" s="28"/>
      <c r="F40348" s="28"/>
      <c r="H40348" s="28"/>
    </row>
    <row r="40349" spans="4:8" x14ac:dyDescent="0.25">
      <c r="D40349" s="28"/>
      <c r="F40349" s="28"/>
      <c r="H40349" s="28"/>
    </row>
    <row r="40350" spans="4:8" x14ac:dyDescent="0.25">
      <c r="D40350" s="28"/>
      <c r="F40350" s="28"/>
      <c r="H40350" s="28"/>
    </row>
    <row r="40351" spans="4:8" x14ac:dyDescent="0.25">
      <c r="D40351" s="28"/>
      <c r="F40351" s="28"/>
      <c r="H40351" s="28"/>
    </row>
    <row r="40352" spans="4:8" x14ac:dyDescent="0.25">
      <c r="D40352" s="28"/>
      <c r="F40352" s="28"/>
      <c r="H40352" s="28"/>
    </row>
    <row r="40353" spans="4:8" x14ac:dyDescent="0.25">
      <c r="D40353" s="28"/>
      <c r="F40353" s="28"/>
      <c r="H40353" s="28"/>
    </row>
    <row r="40354" spans="4:8" x14ac:dyDescent="0.25">
      <c r="D40354" s="28"/>
      <c r="F40354" s="28"/>
      <c r="H40354" s="28"/>
    </row>
    <row r="40355" spans="4:8" x14ac:dyDescent="0.25">
      <c r="D40355" s="28"/>
      <c r="F40355" s="28"/>
      <c r="H40355" s="28"/>
    </row>
    <row r="40356" spans="4:8" x14ac:dyDescent="0.25">
      <c r="D40356" s="28"/>
      <c r="F40356" s="28"/>
      <c r="H40356" s="28"/>
    </row>
    <row r="40357" spans="4:8" x14ac:dyDescent="0.25">
      <c r="D40357" s="28"/>
      <c r="F40357" s="28"/>
      <c r="H40357" s="28"/>
    </row>
    <row r="40358" spans="4:8" x14ac:dyDescent="0.25">
      <c r="D40358" s="28"/>
      <c r="F40358" s="28"/>
      <c r="H40358" s="28"/>
    </row>
    <row r="40359" spans="4:8" x14ac:dyDescent="0.25">
      <c r="D40359" s="28"/>
      <c r="F40359" s="28"/>
      <c r="H40359" s="28"/>
    </row>
    <row r="40360" spans="4:8" x14ac:dyDescent="0.25">
      <c r="D40360" s="28"/>
      <c r="F40360" s="28"/>
      <c r="H40360" s="28"/>
    </row>
    <row r="40361" spans="4:8" x14ac:dyDescent="0.25">
      <c r="D40361" s="28"/>
      <c r="F40361" s="28"/>
      <c r="H40361" s="28"/>
    </row>
    <row r="40362" spans="4:8" x14ac:dyDescent="0.25">
      <c r="D40362" s="28"/>
      <c r="F40362" s="28"/>
      <c r="H40362" s="28"/>
    </row>
    <row r="40363" spans="4:8" x14ac:dyDescent="0.25">
      <c r="D40363" s="28"/>
      <c r="F40363" s="28"/>
      <c r="H40363" s="28"/>
    </row>
    <row r="40364" spans="4:8" x14ac:dyDescent="0.25">
      <c r="D40364" s="28"/>
      <c r="F40364" s="28"/>
      <c r="H40364" s="28"/>
    </row>
    <row r="40365" spans="4:8" x14ac:dyDescent="0.25">
      <c r="D40365" s="28"/>
      <c r="F40365" s="28"/>
      <c r="H40365" s="28"/>
    </row>
    <row r="40366" spans="4:8" x14ac:dyDescent="0.25">
      <c r="D40366" s="28"/>
      <c r="F40366" s="28"/>
      <c r="H40366" s="28"/>
    </row>
    <row r="40367" spans="4:8" x14ac:dyDescent="0.25">
      <c r="D40367" s="28"/>
      <c r="F40367" s="28"/>
      <c r="H40367" s="28"/>
    </row>
    <row r="40368" spans="4:8" x14ac:dyDescent="0.25">
      <c r="D40368" s="28"/>
      <c r="F40368" s="28"/>
      <c r="H40368" s="28"/>
    </row>
    <row r="40369" spans="4:8" x14ac:dyDescent="0.25">
      <c r="D40369" s="28"/>
      <c r="F40369" s="28"/>
      <c r="H40369" s="28"/>
    </row>
    <row r="40370" spans="4:8" x14ac:dyDescent="0.25">
      <c r="D40370" s="28"/>
      <c r="F40370" s="28"/>
      <c r="H40370" s="28"/>
    </row>
    <row r="40371" spans="4:8" x14ac:dyDescent="0.25">
      <c r="D40371" s="28"/>
      <c r="F40371" s="28"/>
      <c r="H40371" s="28"/>
    </row>
    <row r="40372" spans="4:8" x14ac:dyDescent="0.25">
      <c r="D40372" s="28"/>
      <c r="F40372" s="28"/>
      <c r="H40372" s="28"/>
    </row>
    <row r="40373" spans="4:8" x14ac:dyDescent="0.25">
      <c r="D40373" s="28"/>
      <c r="F40373" s="28"/>
      <c r="H40373" s="28"/>
    </row>
    <row r="40374" spans="4:8" x14ac:dyDescent="0.25">
      <c r="D40374" s="28"/>
      <c r="F40374" s="28"/>
      <c r="H40374" s="28"/>
    </row>
    <row r="40375" spans="4:8" x14ac:dyDescent="0.25">
      <c r="D40375" s="28"/>
      <c r="F40375" s="28"/>
      <c r="H40375" s="28"/>
    </row>
    <row r="40376" spans="4:8" x14ac:dyDescent="0.25">
      <c r="D40376" s="28"/>
      <c r="F40376" s="28"/>
      <c r="H40376" s="28"/>
    </row>
    <row r="40377" spans="4:8" x14ac:dyDescent="0.25">
      <c r="D40377" s="28"/>
      <c r="F40377" s="28"/>
      <c r="H40377" s="28"/>
    </row>
    <row r="40378" spans="4:8" x14ac:dyDescent="0.25">
      <c r="D40378" s="28"/>
      <c r="F40378" s="28"/>
      <c r="H40378" s="28"/>
    </row>
    <row r="40379" spans="4:8" x14ac:dyDescent="0.25">
      <c r="D40379" s="28"/>
      <c r="F40379" s="28"/>
      <c r="H40379" s="28"/>
    </row>
    <row r="40380" spans="4:8" x14ac:dyDescent="0.25">
      <c r="D40380" s="28"/>
      <c r="F40380" s="28"/>
      <c r="H40380" s="28"/>
    </row>
    <row r="40381" spans="4:8" x14ac:dyDescent="0.25">
      <c r="D40381" s="28"/>
      <c r="F40381" s="28"/>
      <c r="H40381" s="28"/>
    </row>
    <row r="40382" spans="4:8" x14ac:dyDescent="0.25">
      <c r="D40382" s="28"/>
      <c r="F40382" s="28"/>
      <c r="H40382" s="28"/>
    </row>
    <row r="40383" spans="4:8" x14ac:dyDescent="0.25">
      <c r="D40383" s="28"/>
      <c r="F40383" s="28"/>
      <c r="H40383" s="28"/>
    </row>
    <row r="40384" spans="4:8" x14ac:dyDescent="0.25">
      <c r="D40384" s="28"/>
      <c r="F40384" s="28"/>
      <c r="H40384" s="28"/>
    </row>
    <row r="40385" spans="4:8" x14ac:dyDescent="0.25">
      <c r="D40385" s="28"/>
      <c r="F40385" s="28"/>
      <c r="H40385" s="28"/>
    </row>
    <row r="40386" spans="4:8" x14ac:dyDescent="0.25">
      <c r="D40386" s="28"/>
      <c r="F40386" s="28"/>
      <c r="H40386" s="28"/>
    </row>
    <row r="40387" spans="4:8" x14ac:dyDescent="0.25">
      <c r="D40387" s="28"/>
      <c r="F40387" s="28"/>
      <c r="H40387" s="28"/>
    </row>
    <row r="40388" spans="4:8" x14ac:dyDescent="0.25">
      <c r="D40388" s="28"/>
      <c r="F40388" s="28"/>
      <c r="H40388" s="28"/>
    </row>
    <row r="40389" spans="4:8" x14ac:dyDescent="0.25">
      <c r="D40389" s="28"/>
      <c r="F40389" s="28"/>
      <c r="H40389" s="28"/>
    </row>
    <row r="40390" spans="4:8" x14ac:dyDescent="0.25">
      <c r="D40390" s="28"/>
      <c r="F40390" s="28"/>
      <c r="H40390" s="28"/>
    </row>
    <row r="40391" spans="4:8" x14ac:dyDescent="0.25">
      <c r="D40391" s="28"/>
      <c r="F40391" s="28"/>
      <c r="H40391" s="28"/>
    </row>
    <row r="40392" spans="4:8" x14ac:dyDescent="0.25">
      <c r="D40392" s="28"/>
      <c r="F40392" s="28"/>
      <c r="H40392" s="28"/>
    </row>
    <row r="40393" spans="4:8" x14ac:dyDescent="0.25">
      <c r="D40393" s="28"/>
      <c r="F40393" s="28"/>
      <c r="H40393" s="28"/>
    </row>
    <row r="40394" spans="4:8" x14ac:dyDescent="0.25">
      <c r="D40394" s="28"/>
      <c r="F40394" s="28"/>
      <c r="H40394" s="28"/>
    </row>
    <row r="40395" spans="4:8" x14ac:dyDescent="0.25">
      <c r="D40395" s="28"/>
      <c r="F40395" s="28"/>
      <c r="H40395" s="28"/>
    </row>
    <row r="40396" spans="4:8" x14ac:dyDescent="0.25">
      <c r="D40396" s="28"/>
      <c r="F40396" s="28"/>
      <c r="H40396" s="28"/>
    </row>
    <row r="40397" spans="4:8" x14ac:dyDescent="0.25">
      <c r="D40397" s="28"/>
      <c r="F40397" s="28"/>
      <c r="H40397" s="28"/>
    </row>
    <row r="40398" spans="4:8" x14ac:dyDescent="0.25">
      <c r="D40398" s="28"/>
      <c r="F40398" s="28"/>
      <c r="H40398" s="28"/>
    </row>
    <row r="40399" spans="4:8" x14ac:dyDescent="0.25">
      <c r="D40399" s="28"/>
      <c r="F40399" s="28"/>
      <c r="H40399" s="28"/>
    </row>
    <row r="40400" spans="4:8" x14ac:dyDescent="0.25">
      <c r="D40400" s="28"/>
      <c r="F40400" s="28"/>
      <c r="H40400" s="28"/>
    </row>
    <row r="40401" spans="4:8" x14ac:dyDescent="0.25">
      <c r="D40401" s="28"/>
      <c r="F40401" s="28"/>
      <c r="H40401" s="28"/>
    </row>
    <row r="40402" spans="4:8" x14ac:dyDescent="0.25">
      <c r="D40402" s="28"/>
      <c r="F40402" s="28"/>
      <c r="H40402" s="28"/>
    </row>
    <row r="40403" spans="4:8" x14ac:dyDescent="0.25">
      <c r="D40403" s="28"/>
      <c r="F40403" s="28"/>
      <c r="H40403" s="28"/>
    </row>
    <row r="40404" spans="4:8" x14ac:dyDescent="0.25">
      <c r="D40404" s="28"/>
      <c r="F40404" s="28"/>
      <c r="H40404" s="28"/>
    </row>
    <row r="40405" spans="4:8" x14ac:dyDescent="0.25">
      <c r="D40405" s="28"/>
      <c r="F40405" s="28"/>
      <c r="H40405" s="28"/>
    </row>
    <row r="40406" spans="4:8" x14ac:dyDescent="0.25">
      <c r="D40406" s="28"/>
      <c r="F40406" s="28"/>
      <c r="H40406" s="28"/>
    </row>
    <row r="40407" spans="4:8" x14ac:dyDescent="0.25">
      <c r="D40407" s="28"/>
      <c r="F40407" s="28"/>
      <c r="H40407" s="28"/>
    </row>
    <row r="40408" spans="4:8" x14ac:dyDescent="0.25">
      <c r="D40408" s="28"/>
      <c r="F40408" s="28"/>
      <c r="H40408" s="28"/>
    </row>
    <row r="40409" spans="4:8" x14ac:dyDescent="0.25">
      <c r="D40409" s="28"/>
      <c r="F40409" s="28"/>
      <c r="H40409" s="28"/>
    </row>
    <row r="40410" spans="4:8" x14ac:dyDescent="0.25">
      <c r="D40410" s="28"/>
      <c r="F40410" s="28"/>
      <c r="H40410" s="28"/>
    </row>
    <row r="40411" spans="4:8" x14ac:dyDescent="0.25">
      <c r="D40411" s="28"/>
      <c r="F40411" s="28"/>
      <c r="H40411" s="28"/>
    </row>
    <row r="40412" spans="4:8" x14ac:dyDescent="0.25">
      <c r="D40412" s="28"/>
      <c r="F40412" s="28"/>
      <c r="H40412" s="28"/>
    </row>
    <row r="40413" spans="4:8" x14ac:dyDescent="0.25">
      <c r="D40413" s="28"/>
      <c r="F40413" s="28"/>
      <c r="H40413" s="28"/>
    </row>
    <row r="40414" spans="4:8" x14ac:dyDescent="0.25">
      <c r="D40414" s="28"/>
      <c r="F40414" s="28"/>
      <c r="H40414" s="28"/>
    </row>
    <row r="40415" spans="4:8" x14ac:dyDescent="0.25">
      <c r="D40415" s="28"/>
      <c r="F40415" s="28"/>
      <c r="H40415" s="28"/>
    </row>
    <row r="40416" spans="4:8" x14ac:dyDescent="0.25">
      <c r="D40416" s="28"/>
      <c r="F40416" s="28"/>
      <c r="H40416" s="28"/>
    </row>
    <row r="40417" spans="4:8" x14ac:dyDescent="0.25">
      <c r="D40417" s="28"/>
      <c r="F40417" s="28"/>
      <c r="H40417" s="28"/>
    </row>
    <row r="40418" spans="4:8" x14ac:dyDescent="0.25">
      <c r="D40418" s="28"/>
      <c r="F40418" s="28"/>
      <c r="H40418" s="28"/>
    </row>
    <row r="40419" spans="4:8" x14ac:dyDescent="0.25">
      <c r="D40419" s="28"/>
      <c r="F40419" s="28"/>
      <c r="H40419" s="28"/>
    </row>
    <row r="40420" spans="4:8" x14ac:dyDescent="0.25">
      <c r="D40420" s="28"/>
      <c r="F40420" s="28"/>
      <c r="H40420" s="28"/>
    </row>
    <row r="40421" spans="4:8" x14ac:dyDescent="0.25">
      <c r="D40421" s="28"/>
      <c r="F40421" s="28"/>
      <c r="H40421" s="28"/>
    </row>
    <row r="40422" spans="4:8" x14ac:dyDescent="0.25">
      <c r="D40422" s="28"/>
      <c r="F40422" s="28"/>
      <c r="H40422" s="28"/>
    </row>
    <row r="40423" spans="4:8" x14ac:dyDescent="0.25">
      <c r="D40423" s="28"/>
      <c r="F40423" s="28"/>
      <c r="H40423" s="28"/>
    </row>
    <row r="40424" spans="4:8" x14ac:dyDescent="0.25">
      <c r="D40424" s="28"/>
      <c r="F40424" s="28"/>
      <c r="H40424" s="28"/>
    </row>
    <row r="40425" spans="4:8" x14ac:dyDescent="0.25">
      <c r="D40425" s="28"/>
      <c r="F40425" s="28"/>
      <c r="H40425" s="28"/>
    </row>
    <row r="40426" spans="4:8" x14ac:dyDescent="0.25">
      <c r="D40426" s="28"/>
      <c r="F40426" s="28"/>
      <c r="H40426" s="28"/>
    </row>
    <row r="40427" spans="4:8" x14ac:dyDescent="0.25">
      <c r="D40427" s="28"/>
      <c r="F40427" s="28"/>
      <c r="H40427" s="28"/>
    </row>
    <row r="40428" spans="4:8" x14ac:dyDescent="0.25">
      <c r="D40428" s="28"/>
      <c r="F40428" s="28"/>
      <c r="H40428" s="28"/>
    </row>
    <row r="40429" spans="4:8" x14ac:dyDescent="0.25">
      <c r="D40429" s="28"/>
      <c r="F40429" s="28"/>
      <c r="H40429" s="28"/>
    </row>
    <row r="40430" spans="4:8" x14ac:dyDescent="0.25">
      <c r="D40430" s="28"/>
      <c r="F40430" s="28"/>
      <c r="H40430" s="28"/>
    </row>
    <row r="40431" spans="4:8" x14ac:dyDescent="0.25">
      <c r="D40431" s="28"/>
      <c r="F40431" s="28"/>
      <c r="H40431" s="28"/>
    </row>
    <row r="40432" spans="4:8" x14ac:dyDescent="0.25">
      <c r="D40432" s="28"/>
      <c r="F40432" s="28"/>
      <c r="H40432" s="28"/>
    </row>
    <row r="40433" spans="4:8" x14ac:dyDescent="0.25">
      <c r="D40433" s="28"/>
      <c r="F40433" s="28"/>
      <c r="H40433" s="28"/>
    </row>
    <row r="40434" spans="4:8" x14ac:dyDescent="0.25">
      <c r="D40434" s="28"/>
      <c r="F40434" s="28"/>
      <c r="H40434" s="28"/>
    </row>
    <row r="40435" spans="4:8" x14ac:dyDescent="0.25">
      <c r="D40435" s="28"/>
      <c r="F40435" s="28"/>
      <c r="H40435" s="28"/>
    </row>
    <row r="40436" spans="4:8" x14ac:dyDescent="0.25">
      <c r="D40436" s="28"/>
      <c r="F40436" s="28"/>
      <c r="H40436" s="28"/>
    </row>
    <row r="40437" spans="4:8" x14ac:dyDescent="0.25">
      <c r="D40437" s="28"/>
      <c r="F40437" s="28"/>
      <c r="H40437" s="28"/>
    </row>
    <row r="40438" spans="4:8" x14ac:dyDescent="0.25">
      <c r="D40438" s="28"/>
      <c r="F40438" s="28"/>
      <c r="H40438" s="28"/>
    </row>
    <row r="40439" spans="4:8" x14ac:dyDescent="0.25">
      <c r="D40439" s="28"/>
      <c r="F40439" s="28"/>
      <c r="H40439" s="28"/>
    </row>
    <row r="40440" spans="4:8" x14ac:dyDescent="0.25">
      <c r="D40440" s="28"/>
      <c r="F40440" s="28"/>
      <c r="H40440" s="28"/>
    </row>
    <row r="40441" spans="4:8" x14ac:dyDescent="0.25">
      <c r="D40441" s="28"/>
      <c r="F40441" s="28"/>
      <c r="H40441" s="28"/>
    </row>
    <row r="40442" spans="4:8" x14ac:dyDescent="0.25">
      <c r="D40442" s="28"/>
      <c r="F40442" s="28"/>
      <c r="H40442" s="28"/>
    </row>
    <row r="40443" spans="4:8" x14ac:dyDescent="0.25">
      <c r="D40443" s="28"/>
      <c r="F40443" s="28"/>
      <c r="H40443" s="28"/>
    </row>
    <row r="40444" spans="4:8" x14ac:dyDescent="0.25">
      <c r="D40444" s="28"/>
      <c r="F40444" s="28"/>
      <c r="H40444" s="28"/>
    </row>
    <row r="40445" spans="4:8" x14ac:dyDescent="0.25">
      <c r="D40445" s="28"/>
      <c r="F40445" s="28"/>
      <c r="H40445" s="28"/>
    </row>
    <row r="40446" spans="4:8" x14ac:dyDescent="0.25">
      <c r="D40446" s="28"/>
      <c r="F40446" s="28"/>
      <c r="H40446" s="28"/>
    </row>
    <row r="40447" spans="4:8" x14ac:dyDescent="0.25">
      <c r="D40447" s="28"/>
      <c r="F40447" s="28"/>
      <c r="H40447" s="28"/>
    </row>
    <row r="40448" spans="4:8" x14ac:dyDescent="0.25">
      <c r="D40448" s="28"/>
      <c r="F40448" s="28"/>
      <c r="H40448" s="28"/>
    </row>
    <row r="40449" spans="4:8" x14ac:dyDescent="0.25">
      <c r="D40449" s="28"/>
      <c r="F40449" s="28"/>
      <c r="H40449" s="28"/>
    </row>
    <row r="40450" spans="4:8" x14ac:dyDescent="0.25">
      <c r="D40450" s="28"/>
      <c r="F40450" s="28"/>
      <c r="H40450" s="28"/>
    </row>
    <row r="40451" spans="4:8" x14ac:dyDescent="0.25">
      <c r="D40451" s="28"/>
      <c r="F40451" s="28"/>
      <c r="H40451" s="28"/>
    </row>
    <row r="40452" spans="4:8" x14ac:dyDescent="0.25">
      <c r="D40452" s="28"/>
      <c r="F40452" s="28"/>
      <c r="H40452" s="28"/>
    </row>
    <row r="40453" spans="4:8" x14ac:dyDescent="0.25">
      <c r="D40453" s="28"/>
      <c r="F40453" s="28"/>
      <c r="H40453" s="28"/>
    </row>
    <row r="40454" spans="4:8" x14ac:dyDescent="0.25">
      <c r="D40454" s="28"/>
      <c r="F40454" s="28"/>
      <c r="H40454" s="28"/>
    </row>
    <row r="40455" spans="4:8" x14ac:dyDescent="0.25">
      <c r="D40455" s="28"/>
      <c r="F40455" s="28"/>
      <c r="H40455" s="28"/>
    </row>
    <row r="40456" spans="4:8" x14ac:dyDescent="0.25">
      <c r="D40456" s="28"/>
      <c r="F40456" s="28"/>
      <c r="H40456" s="28"/>
    </row>
    <row r="40457" spans="4:8" x14ac:dyDescent="0.25">
      <c r="D40457" s="28"/>
      <c r="F40457" s="28"/>
      <c r="H40457" s="28"/>
    </row>
    <row r="40458" spans="4:8" x14ac:dyDescent="0.25">
      <c r="D40458" s="28"/>
      <c r="F40458" s="28"/>
      <c r="H40458" s="28"/>
    </row>
    <row r="40459" spans="4:8" x14ac:dyDescent="0.25">
      <c r="D40459" s="28"/>
      <c r="F40459" s="28"/>
      <c r="H40459" s="28"/>
    </row>
    <row r="40460" spans="4:8" x14ac:dyDescent="0.25">
      <c r="D40460" s="28"/>
      <c r="F40460" s="28"/>
      <c r="H40460" s="28"/>
    </row>
    <row r="40461" spans="4:8" x14ac:dyDescent="0.25">
      <c r="D40461" s="28"/>
      <c r="F40461" s="28"/>
      <c r="H40461" s="28"/>
    </row>
    <row r="40462" spans="4:8" x14ac:dyDescent="0.25">
      <c r="D40462" s="28"/>
      <c r="F40462" s="28"/>
      <c r="H40462" s="28"/>
    </row>
    <row r="40463" spans="4:8" x14ac:dyDescent="0.25">
      <c r="D40463" s="28"/>
      <c r="F40463" s="28"/>
      <c r="H40463" s="28"/>
    </row>
    <row r="40464" spans="4:8" x14ac:dyDescent="0.25">
      <c r="D40464" s="28"/>
      <c r="F40464" s="28"/>
      <c r="H40464" s="28"/>
    </row>
    <row r="40465" spans="4:8" x14ac:dyDescent="0.25">
      <c r="D40465" s="28"/>
      <c r="F40465" s="28"/>
      <c r="H40465" s="28"/>
    </row>
    <row r="40466" spans="4:8" x14ac:dyDescent="0.25">
      <c r="D40466" s="28"/>
      <c r="F40466" s="28"/>
      <c r="H40466" s="28"/>
    </row>
    <row r="40467" spans="4:8" x14ac:dyDescent="0.25">
      <c r="D40467" s="28"/>
      <c r="F40467" s="28"/>
      <c r="H40467" s="28"/>
    </row>
    <row r="40468" spans="4:8" x14ac:dyDescent="0.25">
      <c r="D40468" s="28"/>
      <c r="F40468" s="28"/>
      <c r="H40468" s="28"/>
    </row>
    <row r="40469" spans="4:8" x14ac:dyDescent="0.25">
      <c r="D40469" s="28"/>
      <c r="F40469" s="28"/>
      <c r="H40469" s="28"/>
    </row>
    <row r="40470" spans="4:8" x14ac:dyDescent="0.25">
      <c r="D40470" s="28"/>
      <c r="F40470" s="28"/>
      <c r="H40470" s="28"/>
    </row>
    <row r="40471" spans="4:8" x14ac:dyDescent="0.25">
      <c r="D40471" s="28"/>
      <c r="F40471" s="28"/>
      <c r="H40471" s="28"/>
    </row>
    <row r="40472" spans="4:8" x14ac:dyDescent="0.25">
      <c r="D40472" s="28"/>
      <c r="F40472" s="28"/>
      <c r="H40472" s="28"/>
    </row>
    <row r="40473" spans="4:8" x14ac:dyDescent="0.25">
      <c r="D40473" s="28"/>
      <c r="F40473" s="28"/>
      <c r="H40473" s="28"/>
    </row>
    <row r="40474" spans="4:8" x14ac:dyDescent="0.25">
      <c r="D40474" s="28"/>
      <c r="F40474" s="28"/>
      <c r="H40474" s="28"/>
    </row>
    <row r="40475" spans="4:8" x14ac:dyDescent="0.25">
      <c r="D40475" s="28"/>
      <c r="F40475" s="28"/>
      <c r="H40475" s="28"/>
    </row>
    <row r="40476" spans="4:8" x14ac:dyDescent="0.25">
      <c r="D40476" s="28"/>
      <c r="F40476" s="28"/>
      <c r="H40476" s="28"/>
    </row>
    <row r="40477" spans="4:8" x14ac:dyDescent="0.25">
      <c r="D40477" s="28"/>
      <c r="F40477" s="28"/>
      <c r="H40477" s="28"/>
    </row>
    <row r="40478" spans="4:8" x14ac:dyDescent="0.25">
      <c r="D40478" s="28"/>
      <c r="F40478" s="28"/>
      <c r="H40478" s="28"/>
    </row>
    <row r="40479" spans="4:8" x14ac:dyDescent="0.25">
      <c r="D40479" s="28"/>
      <c r="F40479" s="28"/>
      <c r="H40479" s="28"/>
    </row>
    <row r="40480" spans="4:8" x14ac:dyDescent="0.25">
      <c r="D40480" s="28"/>
      <c r="F40480" s="28"/>
      <c r="H40480" s="28"/>
    </row>
    <row r="40481" spans="4:8" x14ac:dyDescent="0.25">
      <c r="D40481" s="28"/>
      <c r="F40481" s="28"/>
      <c r="H40481" s="28"/>
    </row>
    <row r="40482" spans="4:8" x14ac:dyDescent="0.25">
      <c r="D40482" s="28"/>
      <c r="F40482" s="28"/>
      <c r="H40482" s="28"/>
    </row>
    <row r="40483" spans="4:8" x14ac:dyDescent="0.25">
      <c r="D40483" s="28"/>
      <c r="F40483" s="28"/>
      <c r="H40483" s="28"/>
    </row>
    <row r="40484" spans="4:8" x14ac:dyDescent="0.25">
      <c r="D40484" s="28"/>
      <c r="F40484" s="28"/>
      <c r="H40484" s="28"/>
    </row>
    <row r="40485" spans="4:8" x14ac:dyDescent="0.25">
      <c r="D40485" s="28"/>
      <c r="F40485" s="28"/>
      <c r="H40485" s="28"/>
    </row>
    <row r="40486" spans="4:8" x14ac:dyDescent="0.25">
      <c r="D40486" s="28"/>
      <c r="F40486" s="28"/>
      <c r="H40486" s="28"/>
    </row>
    <row r="40487" spans="4:8" x14ac:dyDescent="0.25">
      <c r="D40487" s="28"/>
      <c r="F40487" s="28"/>
      <c r="H40487" s="28"/>
    </row>
    <row r="40488" spans="4:8" x14ac:dyDescent="0.25">
      <c r="D40488" s="28"/>
      <c r="F40488" s="28"/>
      <c r="H40488" s="28"/>
    </row>
    <row r="40489" spans="4:8" x14ac:dyDescent="0.25">
      <c r="D40489" s="28"/>
      <c r="F40489" s="28"/>
      <c r="H40489" s="28"/>
    </row>
    <row r="40490" spans="4:8" x14ac:dyDescent="0.25">
      <c r="D40490" s="28"/>
      <c r="F40490" s="28"/>
      <c r="H40490" s="28"/>
    </row>
    <row r="40491" spans="4:8" x14ac:dyDescent="0.25">
      <c r="D40491" s="28"/>
      <c r="F40491" s="28"/>
      <c r="H40491" s="28"/>
    </row>
    <row r="40492" spans="4:8" x14ac:dyDescent="0.25">
      <c r="D40492" s="28"/>
      <c r="F40492" s="28"/>
      <c r="H40492" s="28"/>
    </row>
    <row r="40493" spans="4:8" x14ac:dyDescent="0.25">
      <c r="D40493" s="28"/>
      <c r="F40493" s="28"/>
      <c r="H40493" s="28"/>
    </row>
    <row r="40494" spans="4:8" x14ac:dyDescent="0.25">
      <c r="D40494" s="28"/>
      <c r="F40494" s="28"/>
      <c r="H40494" s="28"/>
    </row>
    <row r="40495" spans="4:8" x14ac:dyDescent="0.25">
      <c r="D40495" s="28"/>
      <c r="F40495" s="28"/>
      <c r="H40495" s="28"/>
    </row>
    <row r="40496" spans="4:8" x14ac:dyDescent="0.25">
      <c r="D40496" s="28"/>
      <c r="F40496" s="28"/>
      <c r="H40496" s="28"/>
    </row>
    <row r="40497" spans="4:8" x14ac:dyDescent="0.25">
      <c r="D40497" s="28"/>
      <c r="F40497" s="28"/>
      <c r="H40497" s="28"/>
    </row>
    <row r="40498" spans="4:8" x14ac:dyDescent="0.25">
      <c r="D40498" s="28"/>
      <c r="F40498" s="28"/>
      <c r="H40498" s="28"/>
    </row>
    <row r="40499" spans="4:8" x14ac:dyDescent="0.25">
      <c r="D40499" s="28"/>
      <c r="F40499" s="28"/>
      <c r="H40499" s="28"/>
    </row>
    <row r="40500" spans="4:8" x14ac:dyDescent="0.25">
      <c r="D40500" s="28"/>
      <c r="F40500" s="28"/>
      <c r="H40500" s="28"/>
    </row>
    <row r="40501" spans="4:8" x14ac:dyDescent="0.25">
      <c r="D40501" s="28"/>
      <c r="F40501" s="28"/>
      <c r="H40501" s="28"/>
    </row>
    <row r="40502" spans="4:8" x14ac:dyDescent="0.25">
      <c r="D40502" s="28"/>
      <c r="F40502" s="28"/>
      <c r="H40502" s="28"/>
    </row>
    <row r="40503" spans="4:8" x14ac:dyDescent="0.25">
      <c r="D40503" s="28"/>
      <c r="F40503" s="28"/>
      <c r="H40503" s="28"/>
    </row>
    <row r="40504" spans="4:8" x14ac:dyDescent="0.25">
      <c r="D40504" s="28"/>
      <c r="F40504" s="28"/>
      <c r="H40504" s="28"/>
    </row>
    <row r="40505" spans="4:8" x14ac:dyDescent="0.25">
      <c r="D40505" s="28"/>
      <c r="F40505" s="28"/>
      <c r="H40505" s="28"/>
    </row>
    <row r="40506" spans="4:8" x14ac:dyDescent="0.25">
      <c r="D40506" s="28"/>
      <c r="F40506" s="28"/>
      <c r="H40506" s="28"/>
    </row>
    <row r="40507" spans="4:8" x14ac:dyDescent="0.25">
      <c r="D40507" s="28"/>
      <c r="F40507" s="28"/>
      <c r="H40507" s="28"/>
    </row>
    <row r="40508" spans="4:8" x14ac:dyDescent="0.25">
      <c r="D40508" s="28"/>
      <c r="F40508" s="28"/>
      <c r="H40508" s="28"/>
    </row>
    <row r="40509" spans="4:8" x14ac:dyDescent="0.25">
      <c r="D40509" s="28"/>
      <c r="F40509" s="28"/>
      <c r="H40509" s="28"/>
    </row>
    <row r="40510" spans="4:8" x14ac:dyDescent="0.25">
      <c r="D40510" s="28"/>
      <c r="F40510" s="28"/>
      <c r="H40510" s="28"/>
    </row>
    <row r="40511" spans="4:8" x14ac:dyDescent="0.25">
      <c r="D40511" s="28"/>
      <c r="F40511" s="28"/>
      <c r="H40511" s="28"/>
    </row>
    <row r="40512" spans="4:8" x14ac:dyDescent="0.25">
      <c r="D40512" s="28"/>
      <c r="F40512" s="28"/>
      <c r="H40512" s="28"/>
    </row>
    <row r="40513" spans="4:8" x14ac:dyDescent="0.25">
      <c r="D40513" s="28"/>
      <c r="F40513" s="28"/>
      <c r="H40513" s="28"/>
    </row>
    <row r="40514" spans="4:8" x14ac:dyDescent="0.25">
      <c r="D40514" s="28"/>
      <c r="F40514" s="28"/>
      <c r="H40514" s="28"/>
    </row>
    <row r="40515" spans="4:8" x14ac:dyDescent="0.25">
      <c r="D40515" s="28"/>
      <c r="F40515" s="28"/>
      <c r="H40515" s="28"/>
    </row>
    <row r="40516" spans="4:8" x14ac:dyDescent="0.25">
      <c r="D40516" s="28"/>
      <c r="F40516" s="28"/>
      <c r="H40516" s="28"/>
    </row>
    <row r="40517" spans="4:8" x14ac:dyDescent="0.25">
      <c r="D40517" s="28"/>
      <c r="F40517" s="28"/>
      <c r="H40517" s="28"/>
    </row>
    <row r="40518" spans="4:8" x14ac:dyDescent="0.25">
      <c r="D40518" s="28"/>
      <c r="F40518" s="28"/>
      <c r="H40518" s="28"/>
    </row>
    <row r="40519" spans="4:8" x14ac:dyDescent="0.25">
      <c r="D40519" s="28"/>
      <c r="F40519" s="28"/>
      <c r="H40519" s="28"/>
    </row>
    <row r="40520" spans="4:8" x14ac:dyDescent="0.25">
      <c r="D40520" s="28"/>
      <c r="F40520" s="28"/>
      <c r="H40520" s="28"/>
    </row>
    <row r="40521" spans="4:8" x14ac:dyDescent="0.25">
      <c r="D40521" s="28"/>
      <c r="F40521" s="28"/>
      <c r="H40521" s="28"/>
    </row>
    <row r="40522" spans="4:8" x14ac:dyDescent="0.25">
      <c r="D40522" s="28"/>
      <c r="F40522" s="28"/>
      <c r="H40522" s="28"/>
    </row>
    <row r="40523" spans="4:8" x14ac:dyDescent="0.25">
      <c r="D40523" s="28"/>
      <c r="F40523" s="28"/>
      <c r="H40523" s="28"/>
    </row>
    <row r="40524" spans="4:8" x14ac:dyDescent="0.25">
      <c r="D40524" s="28"/>
      <c r="F40524" s="28"/>
      <c r="H40524" s="28"/>
    </row>
    <row r="40525" spans="4:8" x14ac:dyDescent="0.25">
      <c r="D40525" s="28"/>
      <c r="F40525" s="28"/>
      <c r="H40525" s="28"/>
    </row>
    <row r="40526" spans="4:8" x14ac:dyDescent="0.25">
      <c r="D40526" s="28"/>
      <c r="F40526" s="28"/>
      <c r="H40526" s="28"/>
    </row>
    <row r="40527" spans="4:8" x14ac:dyDescent="0.25">
      <c r="D40527" s="28"/>
      <c r="F40527" s="28"/>
      <c r="H40527" s="28"/>
    </row>
    <row r="40528" spans="4:8" x14ac:dyDescent="0.25">
      <c r="D40528" s="28"/>
      <c r="F40528" s="28"/>
      <c r="H40528" s="28"/>
    </row>
    <row r="40529" spans="4:8" x14ac:dyDescent="0.25">
      <c r="D40529" s="28"/>
      <c r="F40529" s="28"/>
      <c r="H40529" s="28"/>
    </row>
    <row r="40530" spans="4:8" x14ac:dyDescent="0.25">
      <c r="D40530" s="28"/>
      <c r="F40530" s="28"/>
      <c r="H40530" s="28"/>
    </row>
    <row r="40531" spans="4:8" x14ac:dyDescent="0.25">
      <c r="D40531" s="28"/>
      <c r="F40531" s="28"/>
      <c r="H40531" s="28"/>
    </row>
    <row r="40532" spans="4:8" x14ac:dyDescent="0.25">
      <c r="D40532" s="28"/>
      <c r="F40532" s="28"/>
      <c r="H40532" s="28"/>
    </row>
    <row r="40533" spans="4:8" x14ac:dyDescent="0.25">
      <c r="D40533" s="28"/>
      <c r="F40533" s="28"/>
      <c r="H40533" s="28"/>
    </row>
    <row r="40534" spans="4:8" x14ac:dyDescent="0.25">
      <c r="D40534" s="28"/>
      <c r="F40534" s="28"/>
      <c r="H40534" s="28"/>
    </row>
    <row r="40535" spans="4:8" x14ac:dyDescent="0.25">
      <c r="D40535" s="28"/>
      <c r="F40535" s="28"/>
      <c r="H40535" s="28"/>
    </row>
    <row r="40536" spans="4:8" x14ac:dyDescent="0.25">
      <c r="D40536" s="28"/>
      <c r="F40536" s="28"/>
      <c r="H40536" s="28"/>
    </row>
    <row r="40537" spans="4:8" x14ac:dyDescent="0.25">
      <c r="D40537" s="28"/>
      <c r="F40537" s="28"/>
      <c r="H40537" s="28"/>
    </row>
    <row r="40538" spans="4:8" x14ac:dyDescent="0.25">
      <c r="D40538" s="28"/>
      <c r="F40538" s="28"/>
      <c r="H40538" s="28"/>
    </row>
    <row r="40539" spans="4:8" x14ac:dyDescent="0.25">
      <c r="D40539" s="28"/>
      <c r="F40539" s="28"/>
      <c r="H40539" s="28"/>
    </row>
    <row r="40540" spans="4:8" x14ac:dyDescent="0.25">
      <c r="D40540" s="28"/>
      <c r="F40540" s="28"/>
      <c r="H40540" s="28"/>
    </row>
    <row r="40541" spans="4:8" x14ac:dyDescent="0.25">
      <c r="D40541" s="28"/>
      <c r="F40541" s="28"/>
      <c r="H40541" s="28"/>
    </row>
    <row r="40542" spans="4:8" x14ac:dyDescent="0.25">
      <c r="D40542" s="28"/>
      <c r="F40542" s="28"/>
      <c r="H40542" s="28"/>
    </row>
    <row r="40543" spans="4:8" x14ac:dyDescent="0.25">
      <c r="D40543" s="28"/>
      <c r="F40543" s="28"/>
      <c r="H40543" s="28"/>
    </row>
    <row r="40544" spans="4:8" x14ac:dyDescent="0.25">
      <c r="D40544" s="28"/>
      <c r="F40544" s="28"/>
      <c r="H40544" s="28"/>
    </row>
    <row r="40545" spans="4:8" x14ac:dyDescent="0.25">
      <c r="D40545" s="28"/>
      <c r="F40545" s="28"/>
      <c r="H40545" s="28"/>
    </row>
    <row r="40546" spans="4:8" x14ac:dyDescent="0.25">
      <c r="D40546" s="28"/>
      <c r="F40546" s="28"/>
      <c r="H40546" s="28"/>
    </row>
    <row r="40547" spans="4:8" x14ac:dyDescent="0.25">
      <c r="D40547" s="28"/>
      <c r="F40547" s="28"/>
      <c r="H40547" s="28"/>
    </row>
    <row r="40548" spans="4:8" x14ac:dyDescent="0.25">
      <c r="D40548" s="28"/>
      <c r="F40548" s="28"/>
      <c r="H40548" s="28"/>
    </row>
    <row r="40549" spans="4:8" x14ac:dyDescent="0.25">
      <c r="D40549" s="28"/>
      <c r="F40549" s="28"/>
      <c r="H40549" s="28"/>
    </row>
    <row r="40550" spans="4:8" x14ac:dyDescent="0.25">
      <c r="D40550" s="28"/>
      <c r="F40550" s="28"/>
      <c r="H40550" s="28"/>
    </row>
    <row r="40551" spans="4:8" x14ac:dyDescent="0.25">
      <c r="D40551" s="28"/>
      <c r="F40551" s="28"/>
      <c r="H40551" s="28"/>
    </row>
    <row r="40552" spans="4:8" x14ac:dyDescent="0.25">
      <c r="D40552" s="28"/>
      <c r="F40552" s="28"/>
      <c r="H40552" s="28"/>
    </row>
    <row r="40553" spans="4:8" x14ac:dyDescent="0.25">
      <c r="D40553" s="28"/>
      <c r="F40553" s="28"/>
      <c r="H40553" s="28"/>
    </row>
    <row r="40554" spans="4:8" x14ac:dyDescent="0.25">
      <c r="D40554" s="28"/>
      <c r="F40554" s="28"/>
      <c r="H40554" s="28"/>
    </row>
    <row r="40555" spans="4:8" x14ac:dyDescent="0.25">
      <c r="D40555" s="28"/>
      <c r="F40555" s="28"/>
      <c r="H40555" s="28"/>
    </row>
    <row r="40556" spans="4:8" x14ac:dyDescent="0.25">
      <c r="D40556" s="28"/>
      <c r="F40556" s="28"/>
      <c r="H40556" s="28"/>
    </row>
    <row r="40557" spans="4:8" x14ac:dyDescent="0.25">
      <c r="D40557" s="28"/>
      <c r="F40557" s="28"/>
      <c r="H40557" s="28"/>
    </row>
    <row r="40558" spans="4:8" x14ac:dyDescent="0.25">
      <c r="D40558" s="28"/>
      <c r="F40558" s="28"/>
      <c r="H40558" s="28"/>
    </row>
    <row r="40559" spans="4:8" x14ac:dyDescent="0.25">
      <c r="D40559" s="28"/>
      <c r="F40559" s="28"/>
      <c r="H40559" s="28"/>
    </row>
    <row r="40560" spans="4:8" x14ac:dyDescent="0.25">
      <c r="D40560" s="28"/>
      <c r="F40560" s="28"/>
      <c r="H40560" s="28"/>
    </row>
    <row r="40561" spans="4:8" x14ac:dyDescent="0.25">
      <c r="D40561" s="28"/>
      <c r="F40561" s="28"/>
      <c r="H40561" s="28"/>
    </row>
    <row r="40562" spans="4:8" x14ac:dyDescent="0.25">
      <c r="D40562" s="28"/>
      <c r="F40562" s="28"/>
      <c r="H40562" s="28"/>
    </row>
    <row r="40563" spans="4:8" x14ac:dyDescent="0.25">
      <c r="D40563" s="28"/>
      <c r="F40563" s="28"/>
      <c r="H40563" s="28"/>
    </row>
    <row r="40564" spans="4:8" x14ac:dyDescent="0.25">
      <c r="D40564" s="28"/>
      <c r="F40564" s="28"/>
      <c r="H40564" s="28"/>
    </row>
    <row r="40565" spans="4:8" x14ac:dyDescent="0.25">
      <c r="D40565" s="28"/>
      <c r="F40565" s="28"/>
      <c r="H40565" s="28"/>
    </row>
    <row r="40566" spans="4:8" x14ac:dyDescent="0.25">
      <c r="D40566" s="28"/>
      <c r="F40566" s="28"/>
      <c r="H40566" s="28"/>
    </row>
    <row r="40567" spans="4:8" x14ac:dyDescent="0.25">
      <c r="D40567" s="28"/>
      <c r="F40567" s="28"/>
      <c r="H40567" s="28"/>
    </row>
    <row r="40568" spans="4:8" x14ac:dyDescent="0.25">
      <c r="D40568" s="28"/>
      <c r="F40568" s="28"/>
      <c r="H40568" s="28"/>
    </row>
    <row r="40569" spans="4:8" x14ac:dyDescent="0.25">
      <c r="D40569" s="28"/>
      <c r="F40569" s="28"/>
      <c r="H40569" s="28"/>
    </row>
    <row r="40570" spans="4:8" x14ac:dyDescent="0.25">
      <c r="D40570" s="28"/>
      <c r="F40570" s="28"/>
      <c r="H40570" s="28"/>
    </row>
    <row r="40571" spans="4:8" x14ac:dyDescent="0.25">
      <c r="D40571" s="28"/>
      <c r="F40571" s="28"/>
      <c r="H40571" s="28"/>
    </row>
    <row r="40572" spans="4:8" x14ac:dyDescent="0.25">
      <c r="D40572" s="28"/>
      <c r="F40572" s="28"/>
      <c r="H40572" s="28"/>
    </row>
    <row r="40573" spans="4:8" x14ac:dyDescent="0.25">
      <c r="D40573" s="28"/>
      <c r="F40573" s="28"/>
      <c r="H40573" s="28"/>
    </row>
    <row r="40574" spans="4:8" x14ac:dyDescent="0.25">
      <c r="D40574" s="28"/>
      <c r="F40574" s="28"/>
      <c r="H40574" s="28"/>
    </row>
    <row r="40575" spans="4:8" x14ac:dyDescent="0.25">
      <c r="D40575" s="28"/>
      <c r="F40575" s="28"/>
      <c r="H40575" s="28"/>
    </row>
    <row r="40576" spans="4:8" x14ac:dyDescent="0.25">
      <c r="D40576" s="28"/>
      <c r="F40576" s="28"/>
      <c r="H40576" s="28"/>
    </row>
    <row r="40577" spans="4:8" x14ac:dyDescent="0.25">
      <c r="D40577" s="28"/>
      <c r="F40577" s="28"/>
      <c r="H40577" s="28"/>
    </row>
    <row r="40578" spans="4:8" x14ac:dyDescent="0.25">
      <c r="D40578" s="28"/>
      <c r="F40578" s="28"/>
      <c r="H40578" s="28"/>
    </row>
    <row r="40579" spans="4:8" x14ac:dyDescent="0.25">
      <c r="D40579" s="28"/>
      <c r="F40579" s="28"/>
      <c r="H40579" s="28"/>
    </row>
    <row r="40580" spans="4:8" x14ac:dyDescent="0.25">
      <c r="D40580" s="28"/>
      <c r="F40580" s="28"/>
      <c r="H40580" s="28"/>
    </row>
    <row r="40581" spans="4:8" x14ac:dyDescent="0.25">
      <c r="D40581" s="28"/>
      <c r="F40581" s="28"/>
      <c r="H40581" s="28"/>
    </row>
    <row r="40582" spans="4:8" x14ac:dyDescent="0.25">
      <c r="D40582" s="28"/>
      <c r="F40582" s="28"/>
      <c r="H40582" s="28"/>
    </row>
    <row r="40583" spans="4:8" x14ac:dyDescent="0.25">
      <c r="D40583" s="28"/>
      <c r="F40583" s="28"/>
      <c r="H40583" s="28"/>
    </row>
    <row r="40584" spans="4:8" x14ac:dyDescent="0.25">
      <c r="D40584" s="28"/>
      <c r="F40584" s="28"/>
      <c r="H40584" s="28"/>
    </row>
    <row r="40585" spans="4:8" x14ac:dyDescent="0.25">
      <c r="D40585" s="28"/>
      <c r="F40585" s="28"/>
      <c r="H40585" s="28"/>
    </row>
    <row r="40586" spans="4:8" x14ac:dyDescent="0.25">
      <c r="D40586" s="28"/>
      <c r="F40586" s="28"/>
      <c r="H40586" s="28"/>
    </row>
    <row r="40587" spans="4:8" x14ac:dyDescent="0.25">
      <c r="D40587" s="28"/>
      <c r="F40587" s="28"/>
      <c r="H40587" s="28"/>
    </row>
    <row r="40588" spans="4:8" x14ac:dyDescent="0.25">
      <c r="D40588" s="28"/>
      <c r="F40588" s="28"/>
      <c r="H40588" s="28"/>
    </row>
    <row r="40589" spans="4:8" x14ac:dyDescent="0.25">
      <c r="D40589" s="28"/>
      <c r="F40589" s="28"/>
      <c r="H40589" s="28"/>
    </row>
    <row r="40590" spans="4:8" x14ac:dyDescent="0.25">
      <c r="D40590" s="28"/>
      <c r="F40590" s="28"/>
      <c r="H40590" s="28"/>
    </row>
    <row r="40591" spans="4:8" x14ac:dyDescent="0.25">
      <c r="D40591" s="28"/>
      <c r="F40591" s="28"/>
      <c r="H40591" s="28"/>
    </row>
    <row r="40592" spans="4:8" x14ac:dyDescent="0.25">
      <c r="D40592" s="28"/>
      <c r="F40592" s="28"/>
      <c r="H40592" s="28"/>
    </row>
    <row r="40593" spans="4:8" x14ac:dyDescent="0.25">
      <c r="D40593" s="28"/>
      <c r="F40593" s="28"/>
      <c r="H40593" s="28"/>
    </row>
    <row r="40594" spans="4:8" x14ac:dyDescent="0.25">
      <c r="D40594" s="28"/>
      <c r="F40594" s="28"/>
      <c r="H40594" s="28"/>
    </row>
    <row r="40595" spans="4:8" x14ac:dyDescent="0.25">
      <c r="D40595" s="28"/>
      <c r="F40595" s="28"/>
      <c r="H40595" s="28"/>
    </row>
    <row r="40596" spans="4:8" x14ac:dyDescent="0.25">
      <c r="D40596" s="28"/>
      <c r="F40596" s="28"/>
      <c r="H40596" s="28"/>
    </row>
    <row r="40597" spans="4:8" x14ac:dyDescent="0.25">
      <c r="D40597" s="28"/>
      <c r="F40597" s="28"/>
      <c r="H40597" s="28"/>
    </row>
    <row r="40598" spans="4:8" x14ac:dyDescent="0.25">
      <c r="D40598" s="28"/>
      <c r="F40598" s="28"/>
      <c r="H40598" s="28"/>
    </row>
    <row r="40599" spans="4:8" x14ac:dyDescent="0.25">
      <c r="D40599" s="28"/>
      <c r="F40599" s="28"/>
      <c r="H40599" s="28"/>
    </row>
    <row r="40600" spans="4:8" x14ac:dyDescent="0.25">
      <c r="D40600" s="28"/>
      <c r="F40600" s="28"/>
      <c r="H40600" s="28"/>
    </row>
    <row r="40601" spans="4:8" x14ac:dyDescent="0.25">
      <c r="D40601" s="28"/>
      <c r="F40601" s="28"/>
      <c r="H40601" s="28"/>
    </row>
    <row r="40602" spans="4:8" x14ac:dyDescent="0.25">
      <c r="D40602" s="28"/>
      <c r="F40602" s="28"/>
      <c r="H40602" s="28"/>
    </row>
    <row r="40603" spans="4:8" x14ac:dyDescent="0.25">
      <c r="D40603" s="28"/>
      <c r="F40603" s="28"/>
      <c r="H40603" s="28"/>
    </row>
    <row r="40604" spans="4:8" x14ac:dyDescent="0.25">
      <c r="D40604" s="28"/>
      <c r="F40604" s="28"/>
      <c r="H40604" s="28"/>
    </row>
    <row r="40605" spans="4:8" x14ac:dyDescent="0.25">
      <c r="D40605" s="28"/>
      <c r="F40605" s="28"/>
      <c r="H40605" s="28"/>
    </row>
    <row r="40606" spans="4:8" x14ac:dyDescent="0.25">
      <c r="D40606" s="28"/>
      <c r="F40606" s="28"/>
      <c r="H40606" s="28"/>
    </row>
    <row r="40607" spans="4:8" x14ac:dyDescent="0.25">
      <c r="D40607" s="28"/>
      <c r="F40607" s="28"/>
      <c r="H40607" s="28"/>
    </row>
    <row r="40608" spans="4:8" x14ac:dyDescent="0.25">
      <c r="D40608" s="28"/>
      <c r="F40608" s="28"/>
      <c r="H40608" s="28"/>
    </row>
    <row r="40609" spans="4:8" x14ac:dyDescent="0.25">
      <c r="D40609" s="28"/>
      <c r="F40609" s="28"/>
      <c r="H40609" s="28"/>
    </row>
    <row r="40610" spans="4:8" x14ac:dyDescent="0.25">
      <c r="D40610" s="28"/>
      <c r="F40610" s="28"/>
      <c r="H40610" s="28"/>
    </row>
    <row r="40611" spans="4:8" x14ac:dyDescent="0.25">
      <c r="D40611" s="28"/>
      <c r="F40611" s="28"/>
      <c r="H40611" s="28"/>
    </row>
    <row r="40612" spans="4:8" x14ac:dyDescent="0.25">
      <c r="D40612" s="28"/>
      <c r="F40612" s="28"/>
      <c r="H40612" s="28"/>
    </row>
    <row r="40613" spans="4:8" x14ac:dyDescent="0.25">
      <c r="D40613" s="28"/>
      <c r="F40613" s="28"/>
      <c r="H40613" s="28"/>
    </row>
    <row r="40614" spans="4:8" x14ac:dyDescent="0.25">
      <c r="D40614" s="28"/>
      <c r="F40614" s="28"/>
      <c r="H40614" s="28"/>
    </row>
    <row r="40615" spans="4:8" x14ac:dyDescent="0.25">
      <c r="D40615" s="28"/>
      <c r="F40615" s="28"/>
      <c r="H40615" s="28"/>
    </row>
    <row r="40616" spans="4:8" x14ac:dyDescent="0.25">
      <c r="D40616" s="28"/>
      <c r="F40616" s="28"/>
      <c r="H40616" s="28"/>
    </row>
    <row r="40617" spans="4:8" x14ac:dyDescent="0.25">
      <c r="D40617" s="28"/>
      <c r="F40617" s="28"/>
      <c r="H40617" s="28"/>
    </row>
    <row r="40618" spans="4:8" x14ac:dyDescent="0.25">
      <c r="D40618" s="28"/>
      <c r="F40618" s="28"/>
      <c r="H40618" s="28"/>
    </row>
    <row r="40619" spans="4:8" x14ac:dyDescent="0.25">
      <c r="D40619" s="28"/>
      <c r="F40619" s="28"/>
      <c r="H40619" s="28"/>
    </row>
    <row r="40620" spans="4:8" x14ac:dyDescent="0.25">
      <c r="D40620" s="28"/>
      <c r="F40620" s="28"/>
      <c r="H40620" s="28"/>
    </row>
    <row r="40621" spans="4:8" x14ac:dyDescent="0.25">
      <c r="D40621" s="28"/>
      <c r="F40621" s="28"/>
      <c r="H40621" s="28"/>
    </row>
    <row r="40622" spans="4:8" x14ac:dyDescent="0.25">
      <c r="D40622" s="28"/>
      <c r="F40622" s="28"/>
      <c r="H40622" s="28"/>
    </row>
    <row r="40623" spans="4:8" x14ac:dyDescent="0.25">
      <c r="D40623" s="28"/>
      <c r="F40623" s="28"/>
      <c r="H40623" s="28"/>
    </row>
    <row r="40624" spans="4:8" x14ac:dyDescent="0.25">
      <c r="D40624" s="28"/>
      <c r="F40624" s="28"/>
      <c r="H40624" s="28"/>
    </row>
    <row r="40625" spans="4:8" x14ac:dyDescent="0.25">
      <c r="D40625" s="28"/>
      <c r="F40625" s="28"/>
      <c r="H40625" s="28"/>
    </row>
    <row r="40626" spans="4:8" x14ac:dyDescent="0.25">
      <c r="D40626" s="28"/>
      <c r="F40626" s="28"/>
      <c r="H40626" s="28"/>
    </row>
    <row r="40627" spans="4:8" x14ac:dyDescent="0.25">
      <c r="D40627" s="28"/>
      <c r="F40627" s="28"/>
      <c r="H40627" s="28"/>
    </row>
    <row r="40628" spans="4:8" x14ac:dyDescent="0.25">
      <c r="D40628" s="28"/>
      <c r="F40628" s="28"/>
      <c r="H40628" s="28"/>
    </row>
    <row r="40629" spans="4:8" x14ac:dyDescent="0.25">
      <c r="D40629" s="28"/>
      <c r="F40629" s="28"/>
      <c r="H40629" s="28"/>
    </row>
    <row r="40630" spans="4:8" x14ac:dyDescent="0.25">
      <c r="D40630" s="28"/>
      <c r="F40630" s="28"/>
      <c r="H40630" s="28"/>
    </row>
    <row r="40631" spans="4:8" x14ac:dyDescent="0.25">
      <c r="D40631" s="28"/>
      <c r="F40631" s="28"/>
      <c r="H40631" s="28"/>
    </row>
    <row r="40632" spans="4:8" x14ac:dyDescent="0.25">
      <c r="D40632" s="28"/>
      <c r="F40632" s="28"/>
      <c r="H40632" s="28"/>
    </row>
    <row r="40633" spans="4:8" x14ac:dyDescent="0.25">
      <c r="D40633" s="28"/>
      <c r="F40633" s="28"/>
      <c r="H40633" s="28"/>
    </row>
    <row r="40634" spans="4:8" x14ac:dyDescent="0.25">
      <c r="D40634" s="28"/>
      <c r="F40634" s="28"/>
      <c r="H40634" s="28"/>
    </row>
    <row r="40635" spans="4:8" x14ac:dyDescent="0.25">
      <c r="D40635" s="28"/>
      <c r="F40635" s="28"/>
      <c r="H40635" s="28"/>
    </row>
    <row r="40636" spans="4:8" x14ac:dyDescent="0.25">
      <c r="D40636" s="28"/>
      <c r="F40636" s="28"/>
      <c r="H40636" s="28"/>
    </row>
    <row r="40637" spans="4:8" x14ac:dyDescent="0.25">
      <c r="D40637" s="28"/>
      <c r="F40637" s="28"/>
      <c r="H40637" s="28"/>
    </row>
    <row r="40638" spans="4:8" x14ac:dyDescent="0.25">
      <c r="D40638" s="28"/>
      <c r="F40638" s="28"/>
      <c r="H40638" s="28"/>
    </row>
    <row r="40639" spans="4:8" x14ac:dyDescent="0.25">
      <c r="D40639" s="28"/>
      <c r="F40639" s="28"/>
      <c r="H40639" s="28"/>
    </row>
    <row r="40640" spans="4:8" x14ac:dyDescent="0.25">
      <c r="D40640" s="28"/>
      <c r="F40640" s="28"/>
      <c r="H40640" s="28"/>
    </row>
    <row r="40641" spans="4:8" x14ac:dyDescent="0.25">
      <c r="D40641" s="28"/>
      <c r="F40641" s="28"/>
      <c r="H40641" s="28"/>
    </row>
    <row r="40642" spans="4:8" x14ac:dyDescent="0.25">
      <c r="D40642" s="28"/>
      <c r="F40642" s="28"/>
      <c r="H40642" s="28"/>
    </row>
    <row r="40643" spans="4:8" x14ac:dyDescent="0.25">
      <c r="D40643" s="28"/>
      <c r="F40643" s="28"/>
      <c r="H40643" s="28"/>
    </row>
    <row r="40644" spans="4:8" x14ac:dyDescent="0.25">
      <c r="D40644" s="28"/>
      <c r="F40644" s="28"/>
      <c r="H40644" s="28"/>
    </row>
    <row r="40645" spans="4:8" x14ac:dyDescent="0.25">
      <c r="D40645" s="28"/>
      <c r="F40645" s="28"/>
      <c r="H40645" s="28"/>
    </row>
    <row r="40646" spans="4:8" x14ac:dyDescent="0.25">
      <c r="D40646" s="28"/>
      <c r="F40646" s="28"/>
      <c r="H40646" s="28"/>
    </row>
    <row r="40647" spans="4:8" x14ac:dyDescent="0.25">
      <c r="D40647" s="28"/>
      <c r="F40647" s="28"/>
      <c r="H40647" s="28"/>
    </row>
    <row r="40648" spans="4:8" x14ac:dyDescent="0.25">
      <c r="D40648" s="28"/>
      <c r="F40648" s="28"/>
      <c r="H40648" s="28"/>
    </row>
    <row r="40649" spans="4:8" x14ac:dyDescent="0.25">
      <c r="D40649" s="28"/>
      <c r="F40649" s="28"/>
      <c r="H40649" s="28"/>
    </row>
    <row r="40650" spans="4:8" x14ac:dyDescent="0.25">
      <c r="D40650" s="28"/>
      <c r="F40650" s="28"/>
      <c r="H40650" s="28"/>
    </row>
    <row r="40651" spans="4:8" x14ac:dyDescent="0.25">
      <c r="D40651" s="28"/>
      <c r="F40651" s="28"/>
      <c r="H40651" s="28"/>
    </row>
    <row r="40652" spans="4:8" x14ac:dyDescent="0.25">
      <c r="D40652" s="28"/>
      <c r="F40652" s="28"/>
      <c r="H40652" s="28"/>
    </row>
    <row r="40653" spans="4:8" x14ac:dyDescent="0.25">
      <c r="D40653" s="28"/>
      <c r="F40653" s="28"/>
      <c r="H40653" s="28"/>
    </row>
    <row r="40654" spans="4:8" x14ac:dyDescent="0.25">
      <c r="D40654" s="28"/>
      <c r="F40654" s="28"/>
      <c r="H40654" s="28"/>
    </row>
    <row r="40655" spans="4:8" x14ac:dyDescent="0.25">
      <c r="D40655" s="28"/>
      <c r="F40655" s="28"/>
      <c r="H40655" s="28"/>
    </row>
    <row r="40656" spans="4:8" x14ac:dyDescent="0.25">
      <c r="D40656" s="28"/>
      <c r="F40656" s="28"/>
      <c r="H40656" s="28"/>
    </row>
    <row r="40657" spans="4:8" x14ac:dyDescent="0.25">
      <c r="D40657" s="28"/>
      <c r="F40657" s="28"/>
      <c r="H40657" s="28"/>
    </row>
    <row r="40658" spans="4:8" x14ac:dyDescent="0.25">
      <c r="D40658" s="28"/>
      <c r="F40658" s="28"/>
      <c r="H40658" s="28"/>
    </row>
    <row r="40659" spans="4:8" x14ac:dyDescent="0.25">
      <c r="D40659" s="28"/>
      <c r="F40659" s="28"/>
      <c r="H40659" s="28"/>
    </row>
    <row r="40660" spans="4:8" x14ac:dyDescent="0.25">
      <c r="D40660" s="28"/>
      <c r="F40660" s="28"/>
      <c r="H40660" s="28"/>
    </row>
    <row r="40661" spans="4:8" x14ac:dyDescent="0.25">
      <c r="D40661" s="28"/>
      <c r="F40661" s="28"/>
      <c r="H40661" s="28"/>
    </row>
    <row r="40662" spans="4:8" x14ac:dyDescent="0.25">
      <c r="D40662" s="28"/>
      <c r="F40662" s="28"/>
      <c r="H40662" s="28"/>
    </row>
    <row r="40663" spans="4:8" x14ac:dyDescent="0.25">
      <c r="D40663" s="28"/>
      <c r="F40663" s="28"/>
      <c r="H40663" s="28"/>
    </row>
    <row r="40664" spans="4:8" x14ac:dyDescent="0.25">
      <c r="D40664" s="28"/>
      <c r="F40664" s="28"/>
      <c r="H40664" s="28"/>
    </row>
    <row r="40665" spans="4:8" x14ac:dyDescent="0.25">
      <c r="D40665" s="28"/>
      <c r="F40665" s="28"/>
      <c r="H40665" s="28"/>
    </row>
    <row r="40666" spans="4:8" x14ac:dyDescent="0.25">
      <c r="D40666" s="28"/>
      <c r="F40666" s="28"/>
      <c r="H40666" s="28"/>
    </row>
    <row r="40667" spans="4:8" x14ac:dyDescent="0.25">
      <c r="D40667" s="28"/>
      <c r="F40667" s="28"/>
      <c r="H40667" s="28"/>
    </row>
    <row r="40668" spans="4:8" x14ac:dyDescent="0.25">
      <c r="D40668" s="28"/>
      <c r="F40668" s="28"/>
      <c r="H40668" s="28"/>
    </row>
    <row r="40669" spans="4:8" x14ac:dyDescent="0.25">
      <c r="D40669" s="28"/>
      <c r="F40669" s="28"/>
      <c r="H40669" s="28"/>
    </row>
    <row r="40670" spans="4:8" x14ac:dyDescent="0.25">
      <c r="D40670" s="28"/>
      <c r="F40670" s="28"/>
      <c r="H40670" s="28"/>
    </row>
    <row r="40671" spans="4:8" x14ac:dyDescent="0.25">
      <c r="D40671" s="28"/>
      <c r="F40671" s="28"/>
      <c r="H40671" s="28"/>
    </row>
    <row r="40672" spans="4:8" x14ac:dyDescent="0.25">
      <c r="D40672" s="28"/>
      <c r="F40672" s="28"/>
      <c r="H40672" s="28"/>
    </row>
    <row r="40673" spans="4:8" x14ac:dyDescent="0.25">
      <c r="D40673" s="28"/>
      <c r="F40673" s="28"/>
      <c r="H40673" s="28"/>
    </row>
    <row r="40674" spans="4:8" x14ac:dyDescent="0.25">
      <c r="D40674" s="28"/>
      <c r="F40674" s="28"/>
      <c r="H40674" s="28"/>
    </row>
    <row r="40675" spans="4:8" x14ac:dyDescent="0.25">
      <c r="D40675" s="28"/>
      <c r="F40675" s="28"/>
      <c r="H40675" s="28"/>
    </row>
    <row r="40676" spans="4:8" x14ac:dyDescent="0.25">
      <c r="D40676" s="28"/>
      <c r="F40676" s="28"/>
      <c r="H40676" s="28"/>
    </row>
    <row r="40677" spans="4:8" x14ac:dyDescent="0.25">
      <c r="D40677" s="28"/>
      <c r="F40677" s="28"/>
      <c r="H40677" s="28"/>
    </row>
    <row r="40678" spans="4:8" x14ac:dyDescent="0.25">
      <c r="D40678" s="28"/>
      <c r="F40678" s="28"/>
      <c r="H40678" s="28"/>
    </row>
    <row r="40679" spans="4:8" x14ac:dyDescent="0.25">
      <c r="D40679" s="28"/>
      <c r="F40679" s="28"/>
      <c r="H40679" s="28"/>
    </row>
    <row r="40680" spans="4:8" x14ac:dyDescent="0.25">
      <c r="D40680" s="28"/>
      <c r="F40680" s="28"/>
      <c r="H40680" s="28"/>
    </row>
    <row r="40681" spans="4:8" x14ac:dyDescent="0.25">
      <c r="D40681" s="28"/>
      <c r="F40681" s="28"/>
      <c r="H40681" s="28"/>
    </row>
    <row r="40682" spans="4:8" x14ac:dyDescent="0.25">
      <c r="D40682" s="28"/>
      <c r="F40682" s="28"/>
      <c r="H40682" s="28"/>
    </row>
    <row r="40683" spans="4:8" x14ac:dyDescent="0.25">
      <c r="D40683" s="28"/>
      <c r="F40683" s="28"/>
      <c r="H40683" s="28"/>
    </row>
    <row r="40684" spans="4:8" x14ac:dyDescent="0.25">
      <c r="D40684" s="28"/>
      <c r="F40684" s="28"/>
      <c r="H40684" s="28"/>
    </row>
    <row r="40685" spans="4:8" x14ac:dyDescent="0.25">
      <c r="D40685" s="28"/>
      <c r="F40685" s="28"/>
      <c r="H40685" s="28"/>
    </row>
    <row r="40686" spans="4:8" x14ac:dyDescent="0.25">
      <c r="D40686" s="28"/>
      <c r="F40686" s="28"/>
      <c r="H40686" s="28"/>
    </row>
    <row r="40687" spans="4:8" x14ac:dyDescent="0.25">
      <c r="D40687" s="28"/>
      <c r="F40687" s="28"/>
      <c r="H40687" s="28"/>
    </row>
    <row r="40688" spans="4:8" x14ac:dyDescent="0.25">
      <c r="D40688" s="28"/>
      <c r="F40688" s="28"/>
      <c r="H40688" s="28"/>
    </row>
    <row r="40689" spans="4:8" x14ac:dyDescent="0.25">
      <c r="D40689" s="28"/>
      <c r="F40689" s="28"/>
      <c r="H40689" s="28"/>
    </row>
    <row r="40690" spans="4:8" x14ac:dyDescent="0.25">
      <c r="D40690" s="28"/>
      <c r="F40690" s="28"/>
      <c r="H40690" s="28"/>
    </row>
    <row r="40691" spans="4:8" x14ac:dyDescent="0.25">
      <c r="D40691" s="28"/>
      <c r="F40691" s="28"/>
      <c r="H40691" s="28"/>
    </row>
    <row r="40692" spans="4:8" x14ac:dyDescent="0.25">
      <c r="D40692" s="28"/>
      <c r="F40692" s="28"/>
      <c r="H40692" s="28"/>
    </row>
    <row r="40693" spans="4:8" x14ac:dyDescent="0.25">
      <c r="D40693" s="28"/>
      <c r="F40693" s="28"/>
      <c r="H40693" s="28"/>
    </row>
    <row r="40694" spans="4:8" x14ac:dyDescent="0.25">
      <c r="D40694" s="28"/>
      <c r="F40694" s="28"/>
      <c r="H40694" s="28"/>
    </row>
    <row r="40695" spans="4:8" x14ac:dyDescent="0.25">
      <c r="D40695" s="28"/>
      <c r="F40695" s="28"/>
      <c r="H40695" s="28"/>
    </row>
    <row r="40696" spans="4:8" x14ac:dyDescent="0.25">
      <c r="D40696" s="28"/>
      <c r="F40696" s="28"/>
      <c r="H40696" s="28"/>
    </row>
    <row r="40697" spans="4:8" x14ac:dyDescent="0.25">
      <c r="D40697" s="28"/>
      <c r="F40697" s="28"/>
      <c r="H40697" s="28"/>
    </row>
    <row r="40698" spans="4:8" x14ac:dyDescent="0.25">
      <c r="D40698" s="28"/>
      <c r="F40698" s="28"/>
      <c r="H40698" s="28"/>
    </row>
    <row r="40699" spans="4:8" x14ac:dyDescent="0.25">
      <c r="D40699" s="28"/>
      <c r="F40699" s="28"/>
      <c r="H40699" s="28"/>
    </row>
    <row r="40700" spans="4:8" x14ac:dyDescent="0.25">
      <c r="D40700" s="28"/>
      <c r="F40700" s="28"/>
      <c r="H40700" s="28"/>
    </row>
    <row r="40701" spans="4:8" x14ac:dyDescent="0.25">
      <c r="D40701" s="28"/>
      <c r="F40701" s="28"/>
      <c r="H40701" s="28"/>
    </row>
    <row r="40702" spans="4:8" x14ac:dyDescent="0.25">
      <c r="D40702" s="28"/>
      <c r="F40702" s="28"/>
      <c r="H40702" s="28"/>
    </row>
    <row r="40703" spans="4:8" x14ac:dyDescent="0.25">
      <c r="D40703" s="28"/>
      <c r="F40703" s="28"/>
      <c r="H40703" s="28"/>
    </row>
    <row r="40704" spans="4:8" x14ac:dyDescent="0.25">
      <c r="D40704" s="28"/>
      <c r="F40704" s="28"/>
      <c r="H40704" s="28"/>
    </row>
    <row r="40705" spans="4:8" x14ac:dyDescent="0.25">
      <c r="D40705" s="28"/>
      <c r="F40705" s="28"/>
      <c r="H40705" s="28"/>
    </row>
    <row r="40706" spans="4:8" x14ac:dyDescent="0.25">
      <c r="D40706" s="28"/>
      <c r="F40706" s="28"/>
      <c r="H40706" s="28"/>
    </row>
    <row r="40707" spans="4:8" x14ac:dyDescent="0.25">
      <c r="D40707" s="28"/>
      <c r="F40707" s="28"/>
      <c r="H40707" s="28"/>
    </row>
    <row r="40708" spans="4:8" x14ac:dyDescent="0.25">
      <c r="D40708" s="28"/>
      <c r="F40708" s="28"/>
      <c r="H40708" s="28"/>
    </row>
    <row r="40709" spans="4:8" x14ac:dyDescent="0.25">
      <c r="D40709" s="28"/>
      <c r="F40709" s="28"/>
      <c r="H40709" s="28"/>
    </row>
    <row r="40710" spans="4:8" x14ac:dyDescent="0.25">
      <c r="D40710" s="28"/>
      <c r="F40710" s="28"/>
      <c r="H40710" s="28"/>
    </row>
    <row r="40711" spans="4:8" x14ac:dyDescent="0.25">
      <c r="D40711" s="28"/>
      <c r="F40711" s="28"/>
      <c r="H40711" s="28"/>
    </row>
    <row r="40712" spans="4:8" x14ac:dyDescent="0.25">
      <c r="D40712" s="28"/>
      <c r="F40712" s="28"/>
      <c r="H40712" s="28"/>
    </row>
    <row r="40713" spans="4:8" x14ac:dyDescent="0.25">
      <c r="D40713" s="28"/>
      <c r="F40713" s="28"/>
      <c r="H40713" s="28"/>
    </row>
    <row r="40714" spans="4:8" x14ac:dyDescent="0.25">
      <c r="D40714" s="28"/>
      <c r="F40714" s="28"/>
      <c r="H40714" s="28"/>
    </row>
    <row r="40715" spans="4:8" x14ac:dyDescent="0.25">
      <c r="D40715" s="28"/>
      <c r="F40715" s="28"/>
      <c r="H40715" s="28"/>
    </row>
    <row r="40716" spans="4:8" x14ac:dyDescent="0.25">
      <c r="D40716" s="28"/>
      <c r="F40716" s="28"/>
      <c r="H40716" s="28"/>
    </row>
    <row r="40717" spans="4:8" x14ac:dyDescent="0.25">
      <c r="D40717" s="28"/>
      <c r="F40717" s="28"/>
      <c r="H40717" s="28"/>
    </row>
    <row r="40718" spans="4:8" x14ac:dyDescent="0.25">
      <c r="D40718" s="28"/>
      <c r="F40718" s="28"/>
      <c r="H40718" s="28"/>
    </row>
    <row r="40719" spans="4:8" x14ac:dyDescent="0.25">
      <c r="D40719" s="28"/>
      <c r="F40719" s="28"/>
      <c r="H40719" s="28"/>
    </row>
    <row r="40720" spans="4:8" x14ac:dyDescent="0.25">
      <c r="D40720" s="28"/>
      <c r="F40720" s="28"/>
      <c r="H40720" s="28"/>
    </row>
    <row r="40721" spans="4:8" x14ac:dyDescent="0.25">
      <c r="D40721" s="28"/>
      <c r="F40721" s="28"/>
      <c r="H40721" s="28"/>
    </row>
    <row r="40722" spans="4:8" x14ac:dyDescent="0.25">
      <c r="D40722" s="28"/>
      <c r="F40722" s="28"/>
      <c r="H40722" s="28"/>
    </row>
    <row r="40723" spans="4:8" x14ac:dyDescent="0.25">
      <c r="D40723" s="28"/>
      <c r="F40723" s="28"/>
      <c r="H40723" s="28"/>
    </row>
    <row r="40724" spans="4:8" x14ac:dyDescent="0.25">
      <c r="D40724" s="28"/>
      <c r="F40724" s="28"/>
      <c r="H40724" s="28"/>
    </row>
    <row r="40725" spans="4:8" x14ac:dyDescent="0.25">
      <c r="D40725" s="28"/>
      <c r="F40725" s="28"/>
      <c r="H40725" s="28"/>
    </row>
    <row r="40726" spans="4:8" x14ac:dyDescent="0.25">
      <c r="D40726" s="28"/>
      <c r="F40726" s="28"/>
      <c r="H40726" s="28"/>
    </row>
    <row r="40727" spans="4:8" x14ac:dyDescent="0.25">
      <c r="D40727" s="28"/>
      <c r="F40727" s="28"/>
      <c r="H40727" s="28"/>
    </row>
    <row r="40728" spans="4:8" x14ac:dyDescent="0.25">
      <c r="D40728" s="28"/>
      <c r="F40728" s="28"/>
      <c r="H40728" s="28"/>
    </row>
    <row r="40729" spans="4:8" x14ac:dyDescent="0.25">
      <c r="D40729" s="28"/>
      <c r="F40729" s="28"/>
      <c r="H40729" s="28"/>
    </row>
    <row r="40730" spans="4:8" x14ac:dyDescent="0.25">
      <c r="D40730" s="28"/>
      <c r="F40730" s="28"/>
      <c r="H40730" s="28"/>
    </row>
    <row r="40731" spans="4:8" x14ac:dyDescent="0.25">
      <c r="D40731" s="28"/>
      <c r="F40731" s="28"/>
      <c r="H40731" s="28"/>
    </row>
    <row r="40732" spans="4:8" x14ac:dyDescent="0.25">
      <c r="D40732" s="28"/>
      <c r="F40732" s="28"/>
      <c r="H40732" s="28"/>
    </row>
    <row r="40733" spans="4:8" x14ac:dyDescent="0.25">
      <c r="D40733" s="28"/>
      <c r="F40733" s="28"/>
      <c r="H40733" s="28"/>
    </row>
    <row r="40734" spans="4:8" x14ac:dyDescent="0.25">
      <c r="D40734" s="28"/>
      <c r="F40734" s="28"/>
      <c r="H40734" s="28"/>
    </row>
    <row r="40735" spans="4:8" x14ac:dyDescent="0.25">
      <c r="D40735" s="28"/>
      <c r="F40735" s="28"/>
      <c r="H40735" s="28"/>
    </row>
    <row r="40736" spans="4:8" x14ac:dyDescent="0.25">
      <c r="D40736" s="28"/>
      <c r="F40736" s="28"/>
      <c r="H40736" s="28"/>
    </row>
    <row r="40737" spans="4:8" x14ac:dyDescent="0.25">
      <c r="D40737" s="28"/>
      <c r="F40737" s="28"/>
      <c r="H40737" s="28"/>
    </row>
    <row r="40738" spans="4:8" x14ac:dyDescent="0.25">
      <c r="D40738" s="28"/>
      <c r="F40738" s="28"/>
      <c r="H40738" s="28"/>
    </row>
    <row r="40739" spans="4:8" x14ac:dyDescent="0.25">
      <c r="D40739" s="28"/>
      <c r="F40739" s="28"/>
      <c r="H40739" s="28"/>
    </row>
    <row r="40740" spans="4:8" x14ac:dyDescent="0.25">
      <c r="D40740" s="28"/>
      <c r="F40740" s="28"/>
      <c r="H40740" s="28"/>
    </row>
    <row r="40741" spans="4:8" x14ac:dyDescent="0.25">
      <c r="D40741" s="28"/>
      <c r="F40741" s="28"/>
      <c r="H40741" s="28"/>
    </row>
    <row r="40742" spans="4:8" x14ac:dyDescent="0.25">
      <c r="D40742" s="28"/>
      <c r="F40742" s="28"/>
      <c r="H40742" s="28"/>
    </row>
    <row r="40743" spans="4:8" x14ac:dyDescent="0.25">
      <c r="D40743" s="28"/>
      <c r="F40743" s="28"/>
      <c r="H40743" s="28"/>
    </row>
    <row r="40744" spans="4:8" x14ac:dyDescent="0.25">
      <c r="D40744" s="28"/>
      <c r="F40744" s="28"/>
      <c r="H40744" s="28"/>
    </row>
    <row r="40745" spans="4:8" x14ac:dyDescent="0.25">
      <c r="D40745" s="28"/>
      <c r="F40745" s="28"/>
      <c r="H40745" s="28"/>
    </row>
    <row r="40746" spans="4:8" x14ac:dyDescent="0.25">
      <c r="D40746" s="28"/>
      <c r="F40746" s="28"/>
      <c r="H40746" s="28"/>
    </row>
    <row r="40747" spans="4:8" x14ac:dyDescent="0.25">
      <c r="D40747" s="28"/>
      <c r="F40747" s="28"/>
      <c r="H40747" s="28"/>
    </row>
    <row r="40748" spans="4:8" x14ac:dyDescent="0.25">
      <c r="D40748" s="28"/>
      <c r="F40748" s="28"/>
      <c r="H40748" s="28"/>
    </row>
    <row r="40749" spans="4:8" x14ac:dyDescent="0.25">
      <c r="D40749" s="28"/>
      <c r="F40749" s="28"/>
      <c r="H40749" s="28"/>
    </row>
    <row r="40750" spans="4:8" x14ac:dyDescent="0.25">
      <c r="D40750" s="28"/>
      <c r="F40750" s="28"/>
      <c r="H40750" s="28"/>
    </row>
    <row r="40751" spans="4:8" x14ac:dyDescent="0.25">
      <c r="D40751" s="28"/>
      <c r="F40751" s="28"/>
      <c r="H40751" s="28"/>
    </row>
    <row r="40752" spans="4:8" x14ac:dyDescent="0.25">
      <c r="D40752" s="28"/>
      <c r="F40752" s="28"/>
      <c r="H40752" s="28"/>
    </row>
    <row r="40753" spans="4:8" x14ac:dyDescent="0.25">
      <c r="D40753" s="28"/>
      <c r="F40753" s="28"/>
      <c r="H40753" s="28"/>
    </row>
    <row r="40754" spans="4:8" x14ac:dyDescent="0.25">
      <c r="D40754" s="28"/>
      <c r="F40754" s="28"/>
      <c r="H40754" s="28"/>
    </row>
    <row r="40755" spans="4:8" x14ac:dyDescent="0.25">
      <c r="D40755" s="28"/>
      <c r="F40755" s="28"/>
      <c r="H40755" s="28"/>
    </row>
    <row r="40756" spans="4:8" x14ac:dyDescent="0.25">
      <c r="D40756" s="28"/>
      <c r="F40756" s="28"/>
      <c r="H40756" s="28"/>
    </row>
    <row r="40757" spans="4:8" x14ac:dyDescent="0.25">
      <c r="D40757" s="28"/>
      <c r="F40757" s="28"/>
      <c r="H40757" s="28"/>
    </row>
    <row r="40758" spans="4:8" x14ac:dyDescent="0.25">
      <c r="D40758" s="28"/>
      <c r="F40758" s="28"/>
      <c r="H40758" s="28"/>
    </row>
    <row r="40759" spans="4:8" x14ac:dyDescent="0.25">
      <c r="D40759" s="28"/>
      <c r="F40759" s="28"/>
      <c r="H40759" s="28"/>
    </row>
    <row r="40760" spans="4:8" x14ac:dyDescent="0.25">
      <c r="D40760" s="28"/>
      <c r="F40760" s="28"/>
      <c r="H40760" s="28"/>
    </row>
    <row r="40761" spans="4:8" x14ac:dyDescent="0.25">
      <c r="D40761" s="28"/>
      <c r="F40761" s="28"/>
      <c r="H40761" s="28"/>
    </row>
    <row r="40762" spans="4:8" x14ac:dyDescent="0.25">
      <c r="D40762" s="28"/>
      <c r="F40762" s="28"/>
      <c r="H40762" s="28"/>
    </row>
    <row r="40763" spans="4:8" x14ac:dyDescent="0.25">
      <c r="D40763" s="28"/>
      <c r="F40763" s="28"/>
      <c r="H40763" s="28"/>
    </row>
    <row r="40764" spans="4:8" x14ac:dyDescent="0.25">
      <c r="D40764" s="28"/>
      <c r="F40764" s="28"/>
      <c r="H40764" s="28"/>
    </row>
    <row r="40765" spans="4:8" x14ac:dyDescent="0.25">
      <c r="D40765" s="28"/>
      <c r="F40765" s="28"/>
      <c r="H40765" s="28"/>
    </row>
    <row r="40766" spans="4:8" x14ac:dyDescent="0.25">
      <c r="D40766" s="28"/>
      <c r="F40766" s="28"/>
      <c r="H40766" s="28"/>
    </row>
    <row r="40767" spans="4:8" x14ac:dyDescent="0.25">
      <c r="D40767" s="28"/>
      <c r="F40767" s="28"/>
      <c r="H40767" s="28"/>
    </row>
    <row r="40768" spans="4:8" x14ac:dyDescent="0.25">
      <c r="D40768" s="28"/>
      <c r="F40768" s="28"/>
      <c r="H40768" s="28"/>
    </row>
    <row r="40769" spans="4:8" x14ac:dyDescent="0.25">
      <c r="D40769" s="28"/>
      <c r="F40769" s="28"/>
      <c r="H40769" s="28"/>
    </row>
    <row r="40770" spans="4:8" x14ac:dyDescent="0.25">
      <c r="D40770" s="28"/>
      <c r="F40770" s="28"/>
      <c r="H40770" s="28"/>
    </row>
    <row r="40771" spans="4:8" x14ac:dyDescent="0.25">
      <c r="D40771" s="28"/>
      <c r="F40771" s="28"/>
      <c r="H40771" s="28"/>
    </row>
    <row r="40772" spans="4:8" x14ac:dyDescent="0.25">
      <c r="D40772" s="28"/>
      <c r="F40772" s="28"/>
      <c r="H40772" s="28"/>
    </row>
    <row r="40773" spans="4:8" x14ac:dyDescent="0.25">
      <c r="D40773" s="28"/>
      <c r="F40773" s="28"/>
      <c r="H40773" s="28"/>
    </row>
    <row r="40774" spans="4:8" x14ac:dyDescent="0.25">
      <c r="D40774" s="28"/>
      <c r="F40774" s="28"/>
      <c r="H40774" s="28"/>
    </row>
    <row r="40775" spans="4:8" x14ac:dyDescent="0.25">
      <c r="D40775" s="28"/>
      <c r="F40775" s="28"/>
      <c r="H40775" s="28"/>
    </row>
    <row r="40776" spans="4:8" x14ac:dyDescent="0.25">
      <c r="D40776" s="28"/>
      <c r="F40776" s="28"/>
      <c r="H40776" s="28"/>
    </row>
    <row r="40777" spans="4:8" x14ac:dyDescent="0.25">
      <c r="D40777" s="28"/>
      <c r="F40777" s="28"/>
      <c r="H40777" s="28"/>
    </row>
    <row r="40778" spans="4:8" x14ac:dyDescent="0.25">
      <c r="D40778" s="28"/>
      <c r="F40778" s="28"/>
      <c r="H40778" s="28"/>
    </row>
    <row r="40779" spans="4:8" x14ac:dyDescent="0.25">
      <c r="D40779" s="28"/>
      <c r="F40779" s="28"/>
      <c r="H40779" s="28"/>
    </row>
    <row r="40780" spans="4:8" x14ac:dyDescent="0.25">
      <c r="D40780" s="28"/>
      <c r="F40780" s="28"/>
      <c r="H40780" s="28"/>
    </row>
    <row r="40781" spans="4:8" x14ac:dyDescent="0.25">
      <c r="D40781" s="28"/>
      <c r="F40781" s="28"/>
      <c r="H40781" s="28"/>
    </row>
    <row r="40782" spans="4:8" x14ac:dyDescent="0.25">
      <c r="D40782" s="28"/>
      <c r="F40782" s="28"/>
      <c r="H40782" s="28"/>
    </row>
    <row r="40783" spans="4:8" x14ac:dyDescent="0.25">
      <c r="D40783" s="28"/>
      <c r="F40783" s="28"/>
      <c r="H40783" s="28"/>
    </row>
    <row r="40784" spans="4:8" x14ac:dyDescent="0.25">
      <c r="D40784" s="28"/>
      <c r="F40784" s="28"/>
      <c r="H40784" s="28"/>
    </row>
    <row r="40785" spans="4:8" x14ac:dyDescent="0.25">
      <c r="D40785" s="28"/>
      <c r="F40785" s="28"/>
      <c r="H40785" s="28"/>
    </row>
    <row r="40786" spans="4:8" x14ac:dyDescent="0.25">
      <c r="D40786" s="28"/>
      <c r="F40786" s="28"/>
      <c r="H40786" s="28"/>
    </row>
    <row r="40787" spans="4:8" x14ac:dyDescent="0.25">
      <c r="D40787" s="28"/>
      <c r="F40787" s="28"/>
      <c r="H40787" s="28"/>
    </row>
    <row r="40788" spans="4:8" x14ac:dyDescent="0.25">
      <c r="D40788" s="28"/>
      <c r="F40788" s="28"/>
      <c r="H40788" s="28"/>
    </row>
    <row r="40789" spans="4:8" x14ac:dyDescent="0.25">
      <c r="D40789" s="28"/>
      <c r="F40789" s="28"/>
      <c r="H40789" s="28"/>
    </row>
    <row r="40790" spans="4:8" x14ac:dyDescent="0.25">
      <c r="D40790" s="28"/>
      <c r="F40790" s="28"/>
      <c r="H40790" s="28"/>
    </row>
    <row r="40791" spans="4:8" x14ac:dyDescent="0.25">
      <c r="D40791" s="28"/>
      <c r="F40791" s="28"/>
      <c r="H40791" s="28"/>
    </row>
    <row r="40792" spans="4:8" x14ac:dyDescent="0.25">
      <c r="D40792" s="28"/>
      <c r="F40792" s="28"/>
      <c r="H40792" s="28"/>
    </row>
    <row r="40793" spans="4:8" x14ac:dyDescent="0.25">
      <c r="D40793" s="28"/>
      <c r="F40793" s="28"/>
      <c r="H40793" s="28"/>
    </row>
    <row r="40794" spans="4:8" x14ac:dyDescent="0.25">
      <c r="D40794" s="28"/>
      <c r="F40794" s="28"/>
      <c r="H40794" s="28"/>
    </row>
    <row r="40795" spans="4:8" x14ac:dyDescent="0.25">
      <c r="D40795" s="28"/>
      <c r="F40795" s="28"/>
      <c r="H40795" s="28"/>
    </row>
    <row r="40796" spans="4:8" x14ac:dyDescent="0.25">
      <c r="D40796" s="28"/>
      <c r="F40796" s="28"/>
      <c r="H40796" s="28"/>
    </row>
    <row r="40797" spans="4:8" x14ac:dyDescent="0.25">
      <c r="D40797" s="28"/>
      <c r="F40797" s="28"/>
      <c r="H40797" s="28"/>
    </row>
    <row r="40798" spans="4:8" x14ac:dyDescent="0.25">
      <c r="D40798" s="28"/>
      <c r="F40798" s="28"/>
      <c r="H40798" s="28"/>
    </row>
    <row r="40799" spans="4:8" x14ac:dyDescent="0.25">
      <c r="D40799" s="28"/>
      <c r="F40799" s="28"/>
      <c r="H40799" s="28"/>
    </row>
    <row r="40800" spans="4:8" x14ac:dyDescent="0.25">
      <c r="D40800" s="28"/>
      <c r="F40800" s="28"/>
      <c r="H40800" s="28"/>
    </row>
    <row r="40801" spans="4:8" x14ac:dyDescent="0.25">
      <c r="D40801" s="28"/>
      <c r="F40801" s="28"/>
      <c r="H40801" s="28"/>
    </row>
    <row r="40802" spans="4:8" x14ac:dyDescent="0.25">
      <c r="D40802" s="28"/>
      <c r="F40802" s="28"/>
      <c r="H40802" s="28"/>
    </row>
    <row r="40803" spans="4:8" x14ac:dyDescent="0.25">
      <c r="D40803" s="28"/>
      <c r="F40803" s="28"/>
      <c r="H40803" s="28"/>
    </row>
    <row r="40804" spans="4:8" x14ac:dyDescent="0.25">
      <c r="D40804" s="28"/>
      <c r="F40804" s="28"/>
      <c r="H40804" s="28"/>
    </row>
    <row r="40805" spans="4:8" x14ac:dyDescent="0.25">
      <c r="D40805" s="28"/>
      <c r="F40805" s="28"/>
      <c r="H40805" s="28"/>
    </row>
    <row r="40806" spans="4:8" x14ac:dyDescent="0.25">
      <c r="D40806" s="28"/>
      <c r="F40806" s="28"/>
      <c r="H40806" s="28"/>
    </row>
    <row r="40807" spans="4:8" x14ac:dyDescent="0.25">
      <c r="D40807" s="28"/>
      <c r="F40807" s="28"/>
      <c r="H40807" s="28"/>
    </row>
    <row r="40808" spans="4:8" x14ac:dyDescent="0.25">
      <c r="D40808" s="28"/>
      <c r="F40808" s="28"/>
      <c r="H40808" s="28"/>
    </row>
    <row r="40809" spans="4:8" x14ac:dyDescent="0.25">
      <c r="D40809" s="28"/>
      <c r="F40809" s="28"/>
      <c r="H40809" s="28"/>
    </row>
    <row r="40810" spans="4:8" x14ac:dyDescent="0.25">
      <c r="D40810" s="28"/>
      <c r="F40810" s="28"/>
      <c r="H40810" s="28"/>
    </row>
    <row r="40811" spans="4:8" x14ac:dyDescent="0.25">
      <c r="D40811" s="28"/>
      <c r="F40811" s="28"/>
      <c r="H40811" s="28"/>
    </row>
    <row r="40812" spans="4:8" x14ac:dyDescent="0.25">
      <c r="D40812" s="28"/>
      <c r="F40812" s="28"/>
      <c r="H40812" s="28"/>
    </row>
    <row r="40813" spans="4:8" x14ac:dyDescent="0.25">
      <c r="D40813" s="28"/>
      <c r="F40813" s="28"/>
      <c r="H40813" s="28"/>
    </row>
    <row r="40814" spans="4:8" x14ac:dyDescent="0.25">
      <c r="D40814" s="28"/>
      <c r="F40814" s="28"/>
      <c r="H40814" s="28"/>
    </row>
    <row r="40815" spans="4:8" x14ac:dyDescent="0.25">
      <c r="D40815" s="28"/>
      <c r="F40815" s="28"/>
      <c r="H40815" s="28"/>
    </row>
    <row r="40816" spans="4:8" x14ac:dyDescent="0.25">
      <c r="D40816" s="28"/>
      <c r="F40816" s="28"/>
      <c r="H40816" s="28"/>
    </row>
    <row r="40817" spans="4:8" x14ac:dyDescent="0.25">
      <c r="D40817" s="28"/>
      <c r="F40817" s="28"/>
      <c r="H40817" s="28"/>
    </row>
    <row r="40818" spans="4:8" x14ac:dyDescent="0.25">
      <c r="D40818" s="28"/>
      <c r="F40818" s="28"/>
      <c r="H40818" s="28"/>
    </row>
    <row r="40819" spans="4:8" x14ac:dyDescent="0.25">
      <c r="D40819" s="28"/>
      <c r="F40819" s="28"/>
      <c r="H40819" s="28"/>
    </row>
    <row r="40820" spans="4:8" x14ac:dyDescent="0.25">
      <c r="D40820" s="28"/>
      <c r="F40820" s="28"/>
      <c r="H40820" s="28"/>
    </row>
    <row r="40821" spans="4:8" x14ac:dyDescent="0.25">
      <c r="D40821" s="28"/>
      <c r="F40821" s="28"/>
      <c r="H40821" s="28"/>
    </row>
    <row r="40822" spans="4:8" x14ac:dyDescent="0.25">
      <c r="D40822" s="28"/>
      <c r="F40822" s="28"/>
      <c r="H40822" s="28"/>
    </row>
    <row r="40823" spans="4:8" x14ac:dyDescent="0.25">
      <c r="D40823" s="28"/>
      <c r="F40823" s="28"/>
      <c r="H40823" s="28"/>
    </row>
    <row r="40824" spans="4:8" x14ac:dyDescent="0.25">
      <c r="D40824" s="28"/>
      <c r="F40824" s="28"/>
      <c r="H40824" s="28"/>
    </row>
    <row r="40825" spans="4:8" x14ac:dyDescent="0.25">
      <c r="D40825" s="28"/>
      <c r="F40825" s="28"/>
      <c r="H40825" s="28"/>
    </row>
    <row r="40826" spans="4:8" x14ac:dyDescent="0.25">
      <c r="D40826" s="28"/>
      <c r="F40826" s="28"/>
      <c r="H40826" s="28"/>
    </row>
    <row r="40827" spans="4:8" x14ac:dyDescent="0.25">
      <c r="D40827" s="28"/>
      <c r="F40827" s="28"/>
      <c r="H40827" s="28"/>
    </row>
    <row r="40828" spans="4:8" x14ac:dyDescent="0.25">
      <c r="D40828" s="28"/>
      <c r="F40828" s="28"/>
      <c r="H40828" s="28"/>
    </row>
    <row r="40829" spans="4:8" x14ac:dyDescent="0.25">
      <c r="D40829" s="28"/>
      <c r="F40829" s="28"/>
      <c r="H40829" s="28"/>
    </row>
    <row r="40830" spans="4:8" x14ac:dyDescent="0.25">
      <c r="D40830" s="28"/>
      <c r="F40830" s="28"/>
      <c r="H40830" s="28"/>
    </row>
    <row r="40831" spans="4:8" x14ac:dyDescent="0.25">
      <c r="D40831" s="28"/>
      <c r="F40831" s="28"/>
      <c r="H40831" s="28"/>
    </row>
    <row r="40832" spans="4:8" x14ac:dyDescent="0.25">
      <c r="D40832" s="28"/>
      <c r="F40832" s="28"/>
      <c r="H40832" s="28"/>
    </row>
    <row r="40833" spans="4:8" x14ac:dyDescent="0.25">
      <c r="D40833" s="28"/>
      <c r="F40833" s="28"/>
      <c r="H40833" s="28"/>
    </row>
    <row r="40834" spans="4:8" x14ac:dyDescent="0.25">
      <c r="D40834" s="28"/>
      <c r="F40834" s="28"/>
      <c r="H40834" s="28"/>
    </row>
    <row r="40835" spans="4:8" x14ac:dyDescent="0.25">
      <c r="D40835" s="28"/>
      <c r="F40835" s="28"/>
      <c r="H40835" s="28"/>
    </row>
    <row r="40836" spans="4:8" x14ac:dyDescent="0.25">
      <c r="D40836" s="28"/>
      <c r="F40836" s="28"/>
      <c r="H40836" s="28"/>
    </row>
    <row r="40837" spans="4:8" x14ac:dyDescent="0.25">
      <c r="D40837" s="28"/>
      <c r="F40837" s="28"/>
      <c r="H40837" s="28"/>
    </row>
    <row r="40838" spans="4:8" x14ac:dyDescent="0.25">
      <c r="D40838" s="28"/>
      <c r="F40838" s="28"/>
      <c r="H40838" s="28"/>
    </row>
    <row r="40839" spans="4:8" x14ac:dyDescent="0.25">
      <c r="D40839" s="28"/>
      <c r="F40839" s="28"/>
      <c r="H40839" s="28"/>
    </row>
    <row r="40840" spans="4:8" x14ac:dyDescent="0.25">
      <c r="D40840" s="28"/>
      <c r="F40840" s="28"/>
      <c r="H40840" s="28"/>
    </row>
    <row r="40841" spans="4:8" x14ac:dyDescent="0.25">
      <c r="D40841" s="28"/>
      <c r="F40841" s="28"/>
      <c r="H40841" s="28"/>
    </row>
    <row r="40842" spans="4:8" x14ac:dyDescent="0.25">
      <c r="D40842" s="28"/>
      <c r="F40842" s="28"/>
      <c r="H40842" s="28"/>
    </row>
    <row r="40843" spans="4:8" x14ac:dyDescent="0.25">
      <c r="D40843" s="28"/>
      <c r="F40843" s="28"/>
      <c r="H40843" s="28"/>
    </row>
    <row r="40844" spans="4:8" x14ac:dyDescent="0.25">
      <c r="D40844" s="28"/>
      <c r="F40844" s="28"/>
      <c r="H40844" s="28"/>
    </row>
    <row r="40845" spans="4:8" x14ac:dyDescent="0.25">
      <c r="D40845" s="28"/>
      <c r="F40845" s="28"/>
      <c r="H40845" s="28"/>
    </row>
    <row r="40846" spans="4:8" x14ac:dyDescent="0.25">
      <c r="D40846" s="28"/>
      <c r="F40846" s="28"/>
      <c r="H40846" s="28"/>
    </row>
    <row r="40847" spans="4:8" x14ac:dyDescent="0.25">
      <c r="D40847" s="28"/>
      <c r="F40847" s="28"/>
      <c r="H40847" s="28"/>
    </row>
    <row r="40848" spans="4:8" x14ac:dyDescent="0.25">
      <c r="D40848" s="28"/>
      <c r="F40848" s="28"/>
      <c r="H40848" s="28"/>
    </row>
    <row r="40849" spans="4:8" x14ac:dyDescent="0.25">
      <c r="D40849" s="28"/>
      <c r="F40849" s="28"/>
      <c r="H40849" s="28"/>
    </row>
    <row r="40850" spans="4:8" x14ac:dyDescent="0.25">
      <c r="D40850" s="28"/>
      <c r="F40850" s="28"/>
      <c r="H40850" s="28"/>
    </row>
    <row r="40851" spans="4:8" x14ac:dyDescent="0.25">
      <c r="D40851" s="28"/>
      <c r="F40851" s="28"/>
      <c r="H40851" s="28"/>
    </row>
    <row r="40852" spans="4:8" x14ac:dyDescent="0.25">
      <c r="D40852" s="28"/>
      <c r="F40852" s="28"/>
      <c r="H40852" s="28"/>
    </row>
    <row r="40853" spans="4:8" x14ac:dyDescent="0.25">
      <c r="D40853" s="28"/>
      <c r="F40853" s="28"/>
      <c r="H40853" s="28"/>
    </row>
    <row r="40854" spans="4:8" x14ac:dyDescent="0.25">
      <c r="D40854" s="28"/>
      <c r="F40854" s="28"/>
      <c r="H40854" s="28"/>
    </row>
    <row r="40855" spans="4:8" x14ac:dyDescent="0.25">
      <c r="D40855" s="28"/>
      <c r="F40855" s="28"/>
      <c r="H40855" s="28"/>
    </row>
    <row r="40856" spans="4:8" x14ac:dyDescent="0.25">
      <c r="D40856" s="28"/>
      <c r="F40856" s="28"/>
      <c r="H40856" s="28"/>
    </row>
    <row r="40857" spans="4:8" x14ac:dyDescent="0.25">
      <c r="D40857" s="28"/>
      <c r="F40857" s="28"/>
      <c r="H40857" s="28"/>
    </row>
    <row r="40858" spans="4:8" x14ac:dyDescent="0.25">
      <c r="D40858" s="28"/>
      <c r="F40858" s="28"/>
      <c r="H40858" s="28"/>
    </row>
    <row r="40859" spans="4:8" x14ac:dyDescent="0.25">
      <c r="D40859" s="28"/>
      <c r="F40859" s="28"/>
      <c r="H40859" s="28"/>
    </row>
    <row r="40860" spans="4:8" x14ac:dyDescent="0.25">
      <c r="D40860" s="28"/>
      <c r="F40860" s="28"/>
      <c r="H40860" s="28"/>
    </row>
    <row r="40861" spans="4:8" x14ac:dyDescent="0.25">
      <c r="D40861" s="28"/>
      <c r="F40861" s="28"/>
      <c r="H40861" s="28"/>
    </row>
    <row r="40862" spans="4:8" x14ac:dyDescent="0.25">
      <c r="D40862" s="28"/>
      <c r="F40862" s="28"/>
      <c r="H40862" s="28"/>
    </row>
    <row r="40863" spans="4:8" x14ac:dyDescent="0.25">
      <c r="D40863" s="28"/>
      <c r="F40863" s="28"/>
      <c r="H40863" s="28"/>
    </row>
    <row r="40864" spans="4:8" x14ac:dyDescent="0.25">
      <c r="D40864" s="28"/>
      <c r="F40864" s="28"/>
      <c r="H40864" s="28"/>
    </row>
    <row r="40865" spans="4:8" x14ac:dyDescent="0.25">
      <c r="D40865" s="28"/>
      <c r="F40865" s="28"/>
      <c r="H40865" s="28"/>
    </row>
    <row r="40866" spans="4:8" x14ac:dyDescent="0.25">
      <c r="D40866" s="28"/>
      <c r="F40866" s="28"/>
      <c r="H40866" s="28"/>
    </row>
    <row r="40867" spans="4:8" x14ac:dyDescent="0.25">
      <c r="D40867" s="28"/>
      <c r="F40867" s="28"/>
      <c r="H40867" s="28"/>
    </row>
    <row r="40868" spans="4:8" x14ac:dyDescent="0.25">
      <c r="D40868" s="28"/>
      <c r="F40868" s="28"/>
      <c r="H40868" s="28"/>
    </row>
    <row r="40869" spans="4:8" x14ac:dyDescent="0.25">
      <c r="D40869" s="28"/>
      <c r="F40869" s="28"/>
      <c r="H40869" s="28"/>
    </row>
    <row r="40870" spans="4:8" x14ac:dyDescent="0.25">
      <c r="D40870" s="28"/>
      <c r="F40870" s="28"/>
      <c r="H40870" s="28"/>
    </row>
    <row r="40871" spans="4:8" x14ac:dyDescent="0.25">
      <c r="D40871" s="28"/>
      <c r="F40871" s="28"/>
      <c r="H40871" s="28"/>
    </row>
    <row r="40872" spans="4:8" x14ac:dyDescent="0.25">
      <c r="D40872" s="28"/>
      <c r="F40872" s="28"/>
      <c r="H40872" s="28"/>
    </row>
    <row r="40873" spans="4:8" x14ac:dyDescent="0.25">
      <c r="D40873" s="28"/>
      <c r="F40873" s="28"/>
      <c r="H40873" s="28"/>
    </row>
    <row r="40874" spans="4:8" x14ac:dyDescent="0.25">
      <c r="D40874" s="28"/>
      <c r="F40874" s="28"/>
      <c r="H40874" s="28"/>
    </row>
    <row r="40875" spans="4:8" x14ac:dyDescent="0.25">
      <c r="D40875" s="28"/>
      <c r="F40875" s="28"/>
      <c r="H40875" s="28"/>
    </row>
    <row r="40876" spans="4:8" x14ac:dyDescent="0.25">
      <c r="D40876" s="28"/>
      <c r="F40876" s="28"/>
      <c r="H40876" s="28"/>
    </row>
    <row r="40877" spans="4:8" x14ac:dyDescent="0.25">
      <c r="D40877" s="28"/>
      <c r="F40877" s="28"/>
      <c r="H40877" s="28"/>
    </row>
    <row r="40878" spans="4:8" x14ac:dyDescent="0.25">
      <c r="D40878" s="28"/>
      <c r="F40878" s="28"/>
      <c r="H40878" s="28"/>
    </row>
    <row r="40879" spans="4:8" x14ac:dyDescent="0.25">
      <c r="D40879" s="28"/>
      <c r="F40879" s="28"/>
      <c r="H40879" s="28"/>
    </row>
    <row r="40880" spans="4:8" x14ac:dyDescent="0.25">
      <c r="D40880" s="28"/>
      <c r="F40880" s="28"/>
      <c r="H40880" s="28"/>
    </row>
    <row r="40881" spans="4:8" x14ac:dyDescent="0.25">
      <c r="D40881" s="28"/>
      <c r="F40881" s="28"/>
      <c r="H40881" s="28"/>
    </row>
    <row r="40882" spans="4:8" x14ac:dyDescent="0.25">
      <c r="D40882" s="28"/>
      <c r="F40882" s="28"/>
      <c r="H40882" s="28"/>
    </row>
    <row r="40883" spans="4:8" x14ac:dyDescent="0.25">
      <c r="D40883" s="28"/>
      <c r="F40883" s="28"/>
      <c r="H40883" s="28"/>
    </row>
    <row r="40884" spans="4:8" x14ac:dyDescent="0.25">
      <c r="D40884" s="28"/>
      <c r="F40884" s="28"/>
      <c r="H40884" s="28"/>
    </row>
    <row r="40885" spans="4:8" x14ac:dyDescent="0.25">
      <c r="D40885" s="28"/>
      <c r="F40885" s="28"/>
      <c r="H40885" s="28"/>
    </row>
    <row r="40886" spans="4:8" x14ac:dyDescent="0.25">
      <c r="D40886" s="28"/>
      <c r="F40886" s="28"/>
      <c r="H40886" s="28"/>
    </row>
    <row r="40887" spans="4:8" x14ac:dyDescent="0.25">
      <c r="D40887" s="28"/>
      <c r="F40887" s="28"/>
      <c r="H40887" s="28"/>
    </row>
    <row r="40888" spans="4:8" x14ac:dyDescent="0.25">
      <c r="D40888" s="28"/>
      <c r="F40888" s="28"/>
      <c r="H40888" s="28"/>
    </row>
    <row r="40889" spans="4:8" x14ac:dyDescent="0.25">
      <c r="D40889" s="28"/>
      <c r="F40889" s="28"/>
      <c r="H40889" s="28"/>
    </row>
    <row r="40890" spans="4:8" x14ac:dyDescent="0.25">
      <c r="D40890" s="28"/>
      <c r="F40890" s="28"/>
      <c r="H40890" s="28"/>
    </row>
    <row r="40891" spans="4:8" x14ac:dyDescent="0.25">
      <c r="D40891" s="28"/>
      <c r="F40891" s="28"/>
      <c r="H40891" s="28"/>
    </row>
    <row r="40892" spans="4:8" x14ac:dyDescent="0.25">
      <c r="D40892" s="28"/>
      <c r="F40892" s="28"/>
      <c r="H40892" s="28"/>
    </row>
    <row r="40893" spans="4:8" x14ac:dyDescent="0.25">
      <c r="D40893" s="28"/>
      <c r="F40893" s="28"/>
      <c r="H40893" s="28"/>
    </row>
    <row r="40894" spans="4:8" x14ac:dyDescent="0.25">
      <c r="D40894" s="28"/>
      <c r="F40894" s="28"/>
      <c r="H40894" s="28"/>
    </row>
    <row r="40895" spans="4:8" x14ac:dyDescent="0.25">
      <c r="D40895" s="28"/>
      <c r="F40895" s="28"/>
      <c r="H40895" s="28"/>
    </row>
    <row r="40896" spans="4:8" x14ac:dyDescent="0.25">
      <c r="D40896" s="28"/>
      <c r="F40896" s="28"/>
      <c r="H40896" s="28"/>
    </row>
    <row r="40897" spans="4:8" x14ac:dyDescent="0.25">
      <c r="D40897" s="28"/>
      <c r="F40897" s="28"/>
      <c r="H40897" s="28"/>
    </row>
    <row r="40898" spans="4:8" x14ac:dyDescent="0.25">
      <c r="D40898" s="28"/>
      <c r="F40898" s="28"/>
      <c r="H40898" s="28"/>
    </row>
    <row r="40899" spans="4:8" x14ac:dyDescent="0.25">
      <c r="D40899" s="28"/>
      <c r="F40899" s="28"/>
      <c r="H40899" s="28"/>
    </row>
    <row r="40900" spans="4:8" x14ac:dyDescent="0.25">
      <c r="D40900" s="28"/>
      <c r="F40900" s="28"/>
      <c r="H40900" s="28"/>
    </row>
    <row r="40901" spans="4:8" x14ac:dyDescent="0.25">
      <c r="D40901" s="28"/>
      <c r="F40901" s="28"/>
      <c r="H40901" s="28"/>
    </row>
    <row r="40902" spans="4:8" x14ac:dyDescent="0.25">
      <c r="D40902" s="28"/>
      <c r="F40902" s="28"/>
      <c r="H40902" s="28"/>
    </row>
    <row r="40903" spans="4:8" x14ac:dyDescent="0.25">
      <c r="D40903" s="28"/>
      <c r="F40903" s="28"/>
      <c r="H40903" s="28"/>
    </row>
    <row r="40904" spans="4:8" x14ac:dyDescent="0.25">
      <c r="D40904" s="28"/>
      <c r="F40904" s="28"/>
      <c r="H40904" s="28"/>
    </row>
    <row r="40905" spans="4:8" x14ac:dyDescent="0.25">
      <c r="D40905" s="28"/>
      <c r="F40905" s="28"/>
      <c r="H40905" s="28"/>
    </row>
    <row r="40906" spans="4:8" x14ac:dyDescent="0.25">
      <c r="D40906" s="28"/>
      <c r="F40906" s="28"/>
      <c r="H40906" s="28"/>
    </row>
    <row r="40907" spans="4:8" x14ac:dyDescent="0.25">
      <c r="D40907" s="28"/>
      <c r="F40907" s="28"/>
      <c r="H40907" s="28"/>
    </row>
    <row r="40908" spans="4:8" x14ac:dyDescent="0.25">
      <c r="D40908" s="28"/>
      <c r="F40908" s="28"/>
      <c r="H40908" s="28"/>
    </row>
    <row r="40909" spans="4:8" x14ac:dyDescent="0.25">
      <c r="D40909" s="28"/>
      <c r="F40909" s="28"/>
      <c r="H40909" s="28"/>
    </row>
    <row r="40910" spans="4:8" x14ac:dyDescent="0.25">
      <c r="D40910" s="28"/>
      <c r="F40910" s="28"/>
      <c r="H40910" s="28"/>
    </row>
    <row r="40911" spans="4:8" x14ac:dyDescent="0.25">
      <c r="D40911" s="28"/>
      <c r="F40911" s="28"/>
      <c r="H40911" s="28"/>
    </row>
    <row r="40912" spans="4:8" x14ac:dyDescent="0.25">
      <c r="D40912" s="28"/>
      <c r="F40912" s="28"/>
      <c r="H40912" s="28"/>
    </row>
    <row r="40913" spans="4:8" x14ac:dyDescent="0.25">
      <c r="D40913" s="28"/>
      <c r="F40913" s="28"/>
      <c r="H40913" s="28"/>
    </row>
    <row r="40914" spans="4:8" x14ac:dyDescent="0.25">
      <c r="D40914" s="28"/>
      <c r="F40914" s="28"/>
      <c r="H40914" s="28"/>
    </row>
    <row r="40915" spans="4:8" x14ac:dyDescent="0.25">
      <c r="D40915" s="28"/>
      <c r="F40915" s="28"/>
      <c r="H40915" s="28"/>
    </row>
    <row r="40916" spans="4:8" x14ac:dyDescent="0.25">
      <c r="D40916" s="28"/>
      <c r="F40916" s="28"/>
      <c r="H40916" s="28"/>
    </row>
    <row r="40917" spans="4:8" x14ac:dyDescent="0.25">
      <c r="D40917" s="28"/>
      <c r="F40917" s="28"/>
      <c r="H40917" s="28"/>
    </row>
    <row r="40918" spans="4:8" x14ac:dyDescent="0.25">
      <c r="D40918" s="28"/>
      <c r="F40918" s="28"/>
      <c r="H40918" s="28"/>
    </row>
    <row r="40919" spans="4:8" x14ac:dyDescent="0.25">
      <c r="D40919" s="28"/>
      <c r="F40919" s="28"/>
      <c r="H40919" s="28"/>
    </row>
    <row r="40920" spans="4:8" x14ac:dyDescent="0.25">
      <c r="D40920" s="28"/>
      <c r="F40920" s="28"/>
      <c r="H40920" s="28"/>
    </row>
    <row r="40921" spans="4:8" x14ac:dyDescent="0.25">
      <c r="D40921" s="28"/>
      <c r="F40921" s="28"/>
      <c r="H40921" s="28"/>
    </row>
    <row r="40922" spans="4:8" x14ac:dyDescent="0.25">
      <c r="D40922" s="28"/>
      <c r="F40922" s="28"/>
      <c r="H40922" s="28"/>
    </row>
    <row r="40923" spans="4:8" x14ac:dyDescent="0.25">
      <c r="D40923" s="28"/>
      <c r="F40923" s="28"/>
      <c r="H40923" s="28"/>
    </row>
    <row r="40924" spans="4:8" x14ac:dyDescent="0.25">
      <c r="D40924" s="28"/>
      <c r="F40924" s="28"/>
      <c r="H40924" s="28"/>
    </row>
    <row r="40925" spans="4:8" x14ac:dyDescent="0.25">
      <c r="D40925" s="28"/>
      <c r="F40925" s="28"/>
      <c r="H40925" s="28"/>
    </row>
    <row r="40926" spans="4:8" x14ac:dyDescent="0.25">
      <c r="D40926" s="28"/>
      <c r="F40926" s="28"/>
      <c r="H40926" s="28"/>
    </row>
    <row r="40927" spans="4:8" x14ac:dyDescent="0.25">
      <c r="D40927" s="28"/>
      <c r="F40927" s="28"/>
      <c r="H40927" s="28"/>
    </row>
    <row r="40928" spans="4:8" x14ac:dyDescent="0.25">
      <c r="D40928" s="28"/>
      <c r="F40928" s="28"/>
      <c r="H40928" s="28"/>
    </row>
    <row r="40929" spans="4:8" x14ac:dyDescent="0.25">
      <c r="D40929" s="28"/>
      <c r="F40929" s="28"/>
      <c r="H40929" s="28"/>
    </row>
    <row r="40930" spans="4:8" x14ac:dyDescent="0.25">
      <c r="D40930" s="28"/>
      <c r="F40930" s="28"/>
      <c r="H40930" s="28"/>
    </row>
    <row r="40931" spans="4:8" x14ac:dyDescent="0.25">
      <c r="D40931" s="28"/>
      <c r="F40931" s="28"/>
      <c r="H40931" s="28"/>
    </row>
    <row r="40932" spans="4:8" x14ac:dyDescent="0.25">
      <c r="D40932" s="28"/>
      <c r="F40932" s="28"/>
      <c r="H40932" s="28"/>
    </row>
    <row r="40933" spans="4:8" x14ac:dyDescent="0.25">
      <c r="D40933" s="28"/>
      <c r="F40933" s="28"/>
      <c r="H40933" s="28"/>
    </row>
    <row r="40934" spans="4:8" x14ac:dyDescent="0.25">
      <c r="D40934" s="28"/>
      <c r="F40934" s="28"/>
      <c r="H40934" s="28"/>
    </row>
    <row r="40935" spans="4:8" x14ac:dyDescent="0.25">
      <c r="D40935" s="28"/>
      <c r="F40935" s="28"/>
      <c r="H40935" s="28"/>
    </row>
    <row r="40936" spans="4:8" x14ac:dyDescent="0.25">
      <c r="D40936" s="28"/>
      <c r="F40936" s="28"/>
      <c r="H40936" s="28"/>
    </row>
    <row r="40937" spans="4:8" x14ac:dyDescent="0.25">
      <c r="D40937" s="28"/>
      <c r="F40937" s="28"/>
      <c r="H40937" s="28"/>
    </row>
    <row r="40938" spans="4:8" x14ac:dyDescent="0.25">
      <c r="D40938" s="28"/>
      <c r="F40938" s="28"/>
      <c r="H40938" s="28"/>
    </row>
    <row r="40939" spans="4:8" x14ac:dyDescent="0.25">
      <c r="D40939" s="28"/>
      <c r="F40939" s="28"/>
      <c r="H40939" s="28"/>
    </row>
    <row r="40940" spans="4:8" x14ac:dyDescent="0.25">
      <c r="D40940" s="28"/>
      <c r="F40940" s="28"/>
      <c r="H40940" s="28"/>
    </row>
    <row r="40941" spans="4:8" x14ac:dyDescent="0.25">
      <c r="D40941" s="28"/>
      <c r="F40941" s="28"/>
      <c r="H40941" s="28"/>
    </row>
    <row r="40942" spans="4:8" x14ac:dyDescent="0.25">
      <c r="D40942" s="28"/>
      <c r="F40942" s="28"/>
      <c r="H40942" s="28"/>
    </row>
    <row r="40943" spans="4:8" x14ac:dyDescent="0.25">
      <c r="D40943" s="28"/>
      <c r="F40943" s="28"/>
      <c r="H40943" s="28"/>
    </row>
    <row r="40944" spans="4:8" x14ac:dyDescent="0.25">
      <c r="D40944" s="28"/>
      <c r="F40944" s="28"/>
      <c r="H40944" s="28"/>
    </row>
    <row r="40945" spans="4:8" x14ac:dyDescent="0.25">
      <c r="D40945" s="28"/>
      <c r="F40945" s="28"/>
      <c r="H40945" s="28"/>
    </row>
    <row r="40946" spans="4:8" x14ac:dyDescent="0.25">
      <c r="D40946" s="28"/>
      <c r="F40946" s="28"/>
      <c r="H40946" s="28"/>
    </row>
    <row r="40947" spans="4:8" x14ac:dyDescent="0.25">
      <c r="D40947" s="28"/>
      <c r="F40947" s="28"/>
      <c r="H40947" s="28"/>
    </row>
    <row r="40948" spans="4:8" x14ac:dyDescent="0.25">
      <c r="D40948" s="28"/>
      <c r="F40948" s="28"/>
      <c r="H40948" s="28"/>
    </row>
    <row r="40949" spans="4:8" x14ac:dyDescent="0.25">
      <c r="D40949" s="28"/>
      <c r="F40949" s="28"/>
      <c r="H40949" s="28"/>
    </row>
    <row r="40950" spans="4:8" x14ac:dyDescent="0.25">
      <c r="D40950" s="28"/>
      <c r="F40950" s="28"/>
      <c r="H40950" s="28"/>
    </row>
    <row r="40951" spans="4:8" x14ac:dyDescent="0.25">
      <c r="D40951" s="28"/>
      <c r="F40951" s="28"/>
      <c r="H40951" s="28"/>
    </row>
    <row r="40952" spans="4:8" x14ac:dyDescent="0.25">
      <c r="D40952" s="28"/>
      <c r="F40952" s="28"/>
      <c r="H40952" s="28"/>
    </row>
    <row r="40953" spans="4:8" x14ac:dyDescent="0.25">
      <c r="D40953" s="28"/>
      <c r="F40953" s="28"/>
      <c r="H40953" s="28"/>
    </row>
    <row r="40954" spans="4:8" x14ac:dyDescent="0.25">
      <c r="D40954" s="28"/>
      <c r="F40954" s="28"/>
      <c r="H40954" s="28"/>
    </row>
    <row r="40955" spans="4:8" x14ac:dyDescent="0.25">
      <c r="D40955" s="28"/>
      <c r="F40955" s="28"/>
      <c r="H40955" s="28"/>
    </row>
    <row r="40956" spans="4:8" x14ac:dyDescent="0.25">
      <c r="D40956" s="28"/>
      <c r="F40956" s="28"/>
      <c r="H40956" s="28"/>
    </row>
    <row r="40957" spans="4:8" x14ac:dyDescent="0.25">
      <c r="D40957" s="28"/>
      <c r="F40957" s="28"/>
      <c r="H40957" s="28"/>
    </row>
    <row r="40958" spans="4:8" x14ac:dyDescent="0.25">
      <c r="D40958" s="28"/>
      <c r="F40958" s="28"/>
      <c r="H40958" s="28"/>
    </row>
    <row r="40959" spans="4:8" x14ac:dyDescent="0.25">
      <c r="D40959" s="28"/>
      <c r="F40959" s="28"/>
      <c r="H40959" s="28"/>
    </row>
    <row r="40960" spans="4:8" x14ac:dyDescent="0.25">
      <c r="D40960" s="28"/>
      <c r="F40960" s="28"/>
      <c r="H40960" s="28"/>
    </row>
    <row r="40961" spans="4:8" x14ac:dyDescent="0.25">
      <c r="D40961" s="28"/>
      <c r="F40961" s="28"/>
      <c r="H40961" s="28"/>
    </row>
    <row r="40962" spans="4:8" x14ac:dyDescent="0.25">
      <c r="D40962" s="28"/>
      <c r="F40962" s="28"/>
      <c r="H40962" s="28"/>
    </row>
    <row r="40963" spans="4:8" x14ac:dyDescent="0.25">
      <c r="D40963" s="28"/>
      <c r="F40963" s="28"/>
      <c r="H40963" s="28"/>
    </row>
    <row r="40964" spans="4:8" x14ac:dyDescent="0.25">
      <c r="D40964" s="28"/>
      <c r="F40964" s="28"/>
      <c r="H40964" s="28"/>
    </row>
    <row r="40965" spans="4:8" x14ac:dyDescent="0.25">
      <c r="D40965" s="28"/>
      <c r="F40965" s="28"/>
      <c r="H40965" s="28"/>
    </row>
    <row r="40966" spans="4:8" x14ac:dyDescent="0.25">
      <c r="D40966" s="28"/>
      <c r="F40966" s="28"/>
      <c r="H40966" s="28"/>
    </row>
    <row r="40967" spans="4:8" x14ac:dyDescent="0.25">
      <c r="D40967" s="28"/>
      <c r="F40967" s="28"/>
      <c r="H40967" s="28"/>
    </row>
    <row r="40968" spans="4:8" x14ac:dyDescent="0.25">
      <c r="D40968" s="28"/>
      <c r="F40968" s="28"/>
      <c r="H40968" s="28"/>
    </row>
    <row r="40969" spans="4:8" x14ac:dyDescent="0.25">
      <c r="D40969" s="28"/>
      <c r="F40969" s="28"/>
      <c r="H40969" s="28"/>
    </row>
    <row r="40970" spans="4:8" x14ac:dyDescent="0.25">
      <c r="D40970" s="28"/>
      <c r="F40970" s="28"/>
      <c r="H40970" s="28"/>
    </row>
    <row r="40971" spans="4:8" x14ac:dyDescent="0.25">
      <c r="D40971" s="28"/>
      <c r="F40971" s="28"/>
      <c r="H40971" s="28"/>
    </row>
    <row r="40972" spans="4:8" x14ac:dyDescent="0.25">
      <c r="D40972" s="28"/>
      <c r="F40972" s="28"/>
      <c r="H40972" s="28"/>
    </row>
    <row r="40973" spans="4:8" x14ac:dyDescent="0.25">
      <c r="D40973" s="28"/>
      <c r="F40973" s="28"/>
      <c r="H40973" s="28"/>
    </row>
    <row r="40974" spans="4:8" x14ac:dyDescent="0.25">
      <c r="D40974" s="28"/>
      <c r="F40974" s="28"/>
      <c r="H40974" s="28"/>
    </row>
    <row r="40975" spans="4:8" x14ac:dyDescent="0.25">
      <c r="D40975" s="28"/>
      <c r="F40975" s="28"/>
      <c r="H40975" s="28"/>
    </row>
    <row r="40976" spans="4:8" x14ac:dyDescent="0.25">
      <c r="D40976" s="28"/>
      <c r="F40976" s="28"/>
      <c r="H40976" s="28"/>
    </row>
    <row r="40977" spans="4:8" x14ac:dyDescent="0.25">
      <c r="D40977" s="28"/>
      <c r="F40977" s="28"/>
      <c r="H40977" s="28"/>
    </row>
    <row r="40978" spans="4:8" x14ac:dyDescent="0.25">
      <c r="D40978" s="28"/>
      <c r="F40978" s="28"/>
      <c r="H40978" s="28"/>
    </row>
    <row r="40979" spans="4:8" x14ac:dyDescent="0.25">
      <c r="D40979" s="28"/>
      <c r="F40979" s="28"/>
      <c r="H40979" s="28"/>
    </row>
    <row r="40980" spans="4:8" x14ac:dyDescent="0.25">
      <c r="D40980" s="28"/>
      <c r="F40980" s="28"/>
      <c r="H40980" s="28"/>
    </row>
    <row r="40981" spans="4:8" x14ac:dyDescent="0.25">
      <c r="D40981" s="28"/>
      <c r="F40981" s="28"/>
      <c r="H40981" s="28"/>
    </row>
    <row r="40982" spans="4:8" x14ac:dyDescent="0.25">
      <c r="D40982" s="28"/>
      <c r="F40982" s="28"/>
      <c r="H40982" s="28"/>
    </row>
    <row r="40983" spans="4:8" x14ac:dyDescent="0.25">
      <c r="D40983" s="28"/>
      <c r="F40983" s="28"/>
      <c r="H40983" s="28"/>
    </row>
    <row r="40984" spans="4:8" x14ac:dyDescent="0.25">
      <c r="D40984" s="28"/>
      <c r="F40984" s="28"/>
      <c r="H40984" s="28"/>
    </row>
    <row r="40985" spans="4:8" x14ac:dyDescent="0.25">
      <c r="D40985" s="28"/>
      <c r="F40985" s="28"/>
      <c r="H40985" s="28"/>
    </row>
    <row r="40986" spans="4:8" x14ac:dyDescent="0.25">
      <c r="D40986" s="28"/>
      <c r="F40986" s="28"/>
      <c r="H40986" s="28"/>
    </row>
    <row r="40987" spans="4:8" x14ac:dyDescent="0.25">
      <c r="D40987" s="28"/>
      <c r="F40987" s="28"/>
      <c r="H40987" s="28"/>
    </row>
    <row r="40988" spans="4:8" x14ac:dyDescent="0.25">
      <c r="D40988" s="28"/>
      <c r="F40988" s="28"/>
      <c r="H40988" s="28"/>
    </row>
    <row r="40989" spans="4:8" x14ac:dyDescent="0.25">
      <c r="D40989" s="28"/>
      <c r="F40989" s="28"/>
      <c r="H40989" s="28"/>
    </row>
    <row r="40990" spans="4:8" x14ac:dyDescent="0.25">
      <c r="D40990" s="28"/>
      <c r="F40990" s="28"/>
      <c r="H40990" s="28"/>
    </row>
    <row r="40991" spans="4:8" x14ac:dyDescent="0.25">
      <c r="D40991" s="28"/>
      <c r="F40991" s="28"/>
      <c r="H40991" s="28"/>
    </row>
    <row r="40992" spans="4:8" x14ac:dyDescent="0.25">
      <c r="D40992" s="28"/>
      <c r="F40992" s="28"/>
      <c r="H40992" s="28"/>
    </row>
    <row r="40993" spans="4:8" x14ac:dyDescent="0.25">
      <c r="D40993" s="28"/>
      <c r="F40993" s="28"/>
      <c r="H40993" s="28"/>
    </row>
    <row r="40994" spans="4:8" x14ac:dyDescent="0.25">
      <c r="D40994" s="28"/>
      <c r="F40994" s="28"/>
      <c r="H40994" s="28"/>
    </row>
    <row r="40995" spans="4:8" x14ac:dyDescent="0.25">
      <c r="D40995" s="28"/>
      <c r="F40995" s="28"/>
      <c r="H40995" s="28"/>
    </row>
    <row r="40996" spans="4:8" x14ac:dyDescent="0.25">
      <c r="D40996" s="28"/>
      <c r="F40996" s="28"/>
      <c r="H40996" s="28"/>
    </row>
    <row r="40997" spans="4:8" x14ac:dyDescent="0.25">
      <c r="D40997" s="28"/>
      <c r="F40997" s="28"/>
      <c r="H40997" s="28"/>
    </row>
    <row r="40998" spans="4:8" x14ac:dyDescent="0.25">
      <c r="D40998" s="28"/>
      <c r="F40998" s="28"/>
      <c r="H40998" s="28"/>
    </row>
    <row r="40999" spans="4:8" x14ac:dyDescent="0.25">
      <c r="D40999" s="28"/>
      <c r="F40999" s="28"/>
      <c r="H40999" s="28"/>
    </row>
    <row r="41000" spans="4:8" x14ac:dyDescent="0.25">
      <c r="D41000" s="28"/>
      <c r="F41000" s="28"/>
      <c r="H41000" s="28"/>
    </row>
    <row r="41001" spans="4:8" x14ac:dyDescent="0.25">
      <c r="D41001" s="28"/>
      <c r="F41001" s="28"/>
      <c r="H41001" s="28"/>
    </row>
    <row r="41002" spans="4:8" x14ac:dyDescent="0.25">
      <c r="D41002" s="28"/>
      <c r="F41002" s="28"/>
      <c r="H41002" s="28"/>
    </row>
    <row r="41003" spans="4:8" x14ac:dyDescent="0.25">
      <c r="D41003" s="28"/>
      <c r="F41003" s="28"/>
      <c r="H41003" s="28"/>
    </row>
    <row r="41004" spans="4:8" x14ac:dyDescent="0.25">
      <c r="D41004" s="28"/>
      <c r="F41004" s="28"/>
      <c r="H41004" s="28"/>
    </row>
    <row r="41005" spans="4:8" x14ac:dyDescent="0.25">
      <c r="D41005" s="28"/>
      <c r="F41005" s="28"/>
      <c r="H41005" s="28"/>
    </row>
    <row r="41006" spans="4:8" x14ac:dyDescent="0.25">
      <c r="D41006" s="28"/>
      <c r="F41006" s="28"/>
      <c r="H41006" s="28"/>
    </row>
    <row r="41007" spans="4:8" x14ac:dyDescent="0.25">
      <c r="D41007" s="28"/>
      <c r="F41007" s="28"/>
      <c r="H41007" s="28"/>
    </row>
    <row r="41008" spans="4:8" x14ac:dyDescent="0.25">
      <c r="D41008" s="28"/>
      <c r="F41008" s="28"/>
      <c r="H41008" s="28"/>
    </row>
    <row r="41009" spans="4:8" x14ac:dyDescent="0.25">
      <c r="D41009" s="28"/>
      <c r="F41009" s="28"/>
      <c r="H41009" s="28"/>
    </row>
    <row r="41010" spans="4:8" x14ac:dyDescent="0.25">
      <c r="D41010" s="28"/>
      <c r="F41010" s="28"/>
      <c r="H41010" s="28"/>
    </row>
    <row r="41011" spans="4:8" x14ac:dyDescent="0.25">
      <c r="D41011" s="28"/>
      <c r="F41011" s="28"/>
      <c r="H41011" s="28"/>
    </row>
    <row r="41012" spans="4:8" x14ac:dyDescent="0.25">
      <c r="D41012" s="28"/>
      <c r="F41012" s="28"/>
      <c r="H41012" s="28"/>
    </row>
    <row r="41013" spans="4:8" x14ac:dyDescent="0.25">
      <c r="D41013" s="28"/>
      <c r="F41013" s="28"/>
      <c r="H41013" s="28"/>
    </row>
    <row r="41014" spans="4:8" x14ac:dyDescent="0.25">
      <c r="D41014" s="28"/>
      <c r="F41014" s="28"/>
      <c r="H41014" s="28"/>
    </row>
    <row r="41015" spans="4:8" x14ac:dyDescent="0.25">
      <c r="D41015" s="28"/>
      <c r="F41015" s="28"/>
      <c r="H41015" s="28"/>
    </row>
    <row r="41016" spans="4:8" x14ac:dyDescent="0.25">
      <c r="D41016" s="28"/>
      <c r="F41016" s="28"/>
      <c r="H41016" s="28"/>
    </row>
    <row r="41017" spans="4:8" x14ac:dyDescent="0.25">
      <c r="D41017" s="28"/>
      <c r="F41017" s="28"/>
      <c r="H41017" s="28"/>
    </row>
    <row r="41018" spans="4:8" x14ac:dyDescent="0.25">
      <c r="D41018" s="28"/>
      <c r="F41018" s="28"/>
      <c r="H41018" s="28"/>
    </row>
    <row r="41019" spans="4:8" x14ac:dyDescent="0.25">
      <c r="D41019" s="28"/>
      <c r="F41019" s="28"/>
      <c r="H41019" s="28"/>
    </row>
    <row r="41020" spans="4:8" x14ac:dyDescent="0.25">
      <c r="D41020" s="28"/>
      <c r="F41020" s="28"/>
      <c r="H41020" s="28"/>
    </row>
    <row r="41021" spans="4:8" x14ac:dyDescent="0.25">
      <c r="D41021" s="28"/>
      <c r="F41021" s="28"/>
      <c r="H41021" s="28"/>
    </row>
    <row r="41022" spans="4:8" x14ac:dyDescent="0.25">
      <c r="D41022" s="28"/>
      <c r="F41022" s="28"/>
      <c r="H41022" s="28"/>
    </row>
    <row r="41023" spans="4:8" x14ac:dyDescent="0.25">
      <c r="D41023" s="28"/>
      <c r="F41023" s="28"/>
      <c r="H41023" s="28"/>
    </row>
    <row r="41024" spans="4:8" x14ac:dyDescent="0.25">
      <c r="D41024" s="28"/>
      <c r="F41024" s="28"/>
      <c r="H41024" s="28"/>
    </row>
    <row r="41025" spans="4:8" x14ac:dyDescent="0.25">
      <c r="D41025" s="28"/>
      <c r="F41025" s="28"/>
      <c r="H41025" s="28"/>
    </row>
    <row r="41026" spans="4:8" x14ac:dyDescent="0.25">
      <c r="D41026" s="28"/>
      <c r="F41026" s="28"/>
      <c r="H41026" s="28"/>
    </row>
    <row r="41027" spans="4:8" x14ac:dyDescent="0.25">
      <c r="D41027" s="28"/>
      <c r="F41027" s="28"/>
      <c r="H41027" s="28"/>
    </row>
    <row r="41028" spans="4:8" x14ac:dyDescent="0.25">
      <c r="D41028" s="28"/>
      <c r="F41028" s="28"/>
      <c r="H41028" s="28"/>
    </row>
    <row r="41029" spans="4:8" x14ac:dyDescent="0.25">
      <c r="D41029" s="28"/>
      <c r="F41029" s="28"/>
      <c r="H41029" s="28"/>
    </row>
    <row r="41030" spans="4:8" x14ac:dyDescent="0.25">
      <c r="D41030" s="28"/>
      <c r="F41030" s="28"/>
      <c r="H41030" s="28"/>
    </row>
    <row r="41031" spans="4:8" x14ac:dyDescent="0.25">
      <c r="D41031" s="28"/>
      <c r="F41031" s="28"/>
      <c r="H41031" s="28"/>
    </row>
    <row r="41032" spans="4:8" x14ac:dyDescent="0.25">
      <c r="D41032" s="28"/>
      <c r="F41032" s="28"/>
      <c r="H41032" s="28"/>
    </row>
    <row r="41033" spans="4:8" x14ac:dyDescent="0.25">
      <c r="D41033" s="28"/>
      <c r="F41033" s="28"/>
      <c r="H41033" s="28"/>
    </row>
    <row r="41034" spans="4:8" x14ac:dyDescent="0.25">
      <c r="D41034" s="28"/>
      <c r="F41034" s="28"/>
      <c r="H41034" s="28"/>
    </row>
    <row r="41035" spans="4:8" x14ac:dyDescent="0.25">
      <c r="D41035" s="28"/>
      <c r="F41035" s="28"/>
      <c r="H41035" s="28"/>
    </row>
    <row r="41036" spans="4:8" x14ac:dyDescent="0.25">
      <c r="D41036" s="28"/>
      <c r="F41036" s="28"/>
      <c r="H41036" s="28"/>
    </row>
    <row r="41037" spans="4:8" x14ac:dyDescent="0.25">
      <c r="D41037" s="28"/>
      <c r="F41037" s="28"/>
      <c r="H41037" s="28"/>
    </row>
    <row r="41038" spans="4:8" x14ac:dyDescent="0.25">
      <c r="D41038" s="28"/>
      <c r="F41038" s="28"/>
      <c r="H41038" s="28"/>
    </row>
    <row r="41039" spans="4:8" x14ac:dyDescent="0.25">
      <c r="D41039" s="28"/>
      <c r="F41039" s="28"/>
      <c r="H41039" s="28"/>
    </row>
    <row r="41040" spans="4:8" x14ac:dyDescent="0.25">
      <c r="D41040" s="28"/>
      <c r="F41040" s="28"/>
      <c r="H41040" s="28"/>
    </row>
    <row r="41041" spans="4:8" x14ac:dyDescent="0.25">
      <c r="D41041" s="28"/>
      <c r="F41041" s="28"/>
      <c r="H41041" s="28"/>
    </row>
    <row r="41042" spans="4:8" x14ac:dyDescent="0.25">
      <c r="D41042" s="28"/>
      <c r="F41042" s="28"/>
      <c r="H41042" s="28"/>
    </row>
    <row r="41043" spans="4:8" x14ac:dyDescent="0.25">
      <c r="D41043" s="28"/>
      <c r="F41043" s="28"/>
      <c r="H41043" s="28"/>
    </row>
    <row r="41044" spans="4:8" x14ac:dyDescent="0.25">
      <c r="D41044" s="28"/>
      <c r="F41044" s="28"/>
      <c r="H41044" s="28"/>
    </row>
    <row r="41045" spans="4:8" x14ac:dyDescent="0.25">
      <c r="D41045" s="28"/>
      <c r="F41045" s="28"/>
      <c r="H41045" s="28"/>
    </row>
    <row r="41046" spans="4:8" x14ac:dyDescent="0.25">
      <c r="D41046" s="28"/>
      <c r="F41046" s="28"/>
      <c r="H41046" s="28"/>
    </row>
    <row r="41047" spans="4:8" x14ac:dyDescent="0.25">
      <c r="D41047" s="28"/>
      <c r="F41047" s="28"/>
      <c r="H41047" s="28"/>
    </row>
    <row r="41048" spans="4:8" x14ac:dyDescent="0.25">
      <c r="D41048" s="28"/>
      <c r="F41048" s="28"/>
      <c r="H41048" s="28"/>
    </row>
    <row r="41049" spans="4:8" x14ac:dyDescent="0.25">
      <c r="D41049" s="28"/>
      <c r="F41049" s="28"/>
      <c r="H41049" s="28"/>
    </row>
    <row r="41050" spans="4:8" x14ac:dyDescent="0.25">
      <c r="D41050" s="28"/>
      <c r="F41050" s="28"/>
      <c r="H41050" s="28"/>
    </row>
    <row r="41051" spans="4:8" x14ac:dyDescent="0.25">
      <c r="D41051" s="28"/>
      <c r="F41051" s="28"/>
      <c r="H41051" s="28"/>
    </row>
    <row r="41052" spans="4:8" x14ac:dyDescent="0.25">
      <c r="D41052" s="28"/>
      <c r="F41052" s="28"/>
      <c r="H41052" s="28"/>
    </row>
    <row r="41053" spans="4:8" x14ac:dyDescent="0.25">
      <c r="D41053" s="28"/>
      <c r="F41053" s="28"/>
      <c r="H41053" s="28"/>
    </row>
    <row r="41054" spans="4:8" x14ac:dyDescent="0.25">
      <c r="D41054" s="28"/>
      <c r="F41054" s="28"/>
      <c r="H41054" s="28"/>
    </row>
    <row r="41055" spans="4:8" x14ac:dyDescent="0.25">
      <c r="D41055" s="28"/>
      <c r="F41055" s="28"/>
      <c r="H41055" s="28"/>
    </row>
    <row r="41056" spans="4:8" x14ac:dyDescent="0.25">
      <c r="D41056" s="28"/>
      <c r="F41056" s="28"/>
      <c r="H41056" s="28"/>
    </row>
    <row r="41057" spans="4:8" x14ac:dyDescent="0.25">
      <c r="D41057" s="28"/>
      <c r="F41057" s="28"/>
      <c r="H41057" s="28"/>
    </row>
    <row r="41058" spans="4:8" x14ac:dyDescent="0.25">
      <c r="D41058" s="28"/>
      <c r="F41058" s="28"/>
      <c r="H41058" s="28"/>
    </row>
    <row r="41059" spans="4:8" x14ac:dyDescent="0.25">
      <c r="D41059" s="28"/>
      <c r="F41059" s="28"/>
      <c r="H41059" s="28"/>
    </row>
    <row r="41060" spans="4:8" x14ac:dyDescent="0.25">
      <c r="D41060" s="28"/>
      <c r="F41060" s="28"/>
      <c r="H41060" s="28"/>
    </row>
    <row r="41061" spans="4:8" x14ac:dyDescent="0.25">
      <c r="D41061" s="28"/>
      <c r="F41061" s="28"/>
      <c r="H41061" s="28"/>
    </row>
    <row r="41062" spans="4:8" x14ac:dyDescent="0.25">
      <c r="D41062" s="28"/>
      <c r="F41062" s="28"/>
      <c r="H41062" s="28"/>
    </row>
    <row r="41063" spans="4:8" x14ac:dyDescent="0.25">
      <c r="D41063" s="28"/>
      <c r="F41063" s="28"/>
      <c r="H41063" s="28"/>
    </row>
    <row r="41064" spans="4:8" x14ac:dyDescent="0.25">
      <c r="D41064" s="28"/>
      <c r="F41064" s="28"/>
      <c r="H41064" s="28"/>
    </row>
    <row r="41065" spans="4:8" x14ac:dyDescent="0.25">
      <c r="D41065" s="28"/>
      <c r="F41065" s="28"/>
      <c r="H41065" s="28"/>
    </row>
    <row r="41066" spans="4:8" x14ac:dyDescent="0.25">
      <c r="D41066" s="28"/>
      <c r="F41066" s="28"/>
      <c r="H41066" s="28"/>
    </row>
    <row r="41067" spans="4:8" x14ac:dyDescent="0.25">
      <c r="D41067" s="28"/>
      <c r="F41067" s="28"/>
      <c r="H41067" s="28"/>
    </row>
    <row r="41068" spans="4:8" x14ac:dyDescent="0.25">
      <c r="D41068" s="28"/>
      <c r="F41068" s="28"/>
      <c r="H41068" s="28"/>
    </row>
    <row r="41069" spans="4:8" x14ac:dyDescent="0.25">
      <c r="D41069" s="28"/>
      <c r="F41069" s="28"/>
      <c r="H41069" s="28"/>
    </row>
    <row r="41070" spans="4:8" x14ac:dyDescent="0.25">
      <c r="D41070" s="28"/>
      <c r="F41070" s="28"/>
      <c r="H41070" s="28"/>
    </row>
    <row r="41071" spans="4:8" x14ac:dyDescent="0.25">
      <c r="D41071" s="28"/>
      <c r="F41071" s="28"/>
      <c r="H41071" s="28"/>
    </row>
    <row r="41072" spans="4:8" x14ac:dyDescent="0.25">
      <c r="D41072" s="28"/>
      <c r="F41072" s="28"/>
      <c r="H41072" s="28"/>
    </row>
    <row r="41073" spans="4:8" x14ac:dyDescent="0.25">
      <c r="D41073" s="28"/>
      <c r="F41073" s="28"/>
      <c r="H41073" s="28"/>
    </row>
    <row r="41074" spans="4:8" x14ac:dyDescent="0.25">
      <c r="D41074" s="28"/>
      <c r="F41074" s="28"/>
      <c r="H41074" s="28"/>
    </row>
    <row r="41075" spans="4:8" x14ac:dyDescent="0.25">
      <c r="D41075" s="28"/>
      <c r="F41075" s="28"/>
      <c r="H41075" s="28"/>
    </row>
    <row r="41076" spans="4:8" x14ac:dyDescent="0.25">
      <c r="D41076" s="28"/>
      <c r="F41076" s="28"/>
      <c r="H41076" s="28"/>
    </row>
    <row r="41077" spans="4:8" x14ac:dyDescent="0.25">
      <c r="D41077" s="28"/>
      <c r="F41077" s="28"/>
      <c r="H41077" s="28"/>
    </row>
    <row r="41078" spans="4:8" x14ac:dyDescent="0.25">
      <c r="D41078" s="28"/>
      <c r="F41078" s="28"/>
      <c r="H41078" s="28"/>
    </row>
    <row r="41079" spans="4:8" x14ac:dyDescent="0.25">
      <c r="D41079" s="28"/>
      <c r="F41079" s="28"/>
      <c r="H41079" s="28"/>
    </row>
    <row r="41080" spans="4:8" x14ac:dyDescent="0.25">
      <c r="D41080" s="28"/>
      <c r="F41080" s="28"/>
      <c r="H41080" s="28"/>
    </row>
    <row r="41081" spans="4:8" x14ac:dyDescent="0.25">
      <c r="D41081" s="28"/>
      <c r="F41081" s="28"/>
      <c r="H41081" s="28"/>
    </row>
    <row r="41082" spans="4:8" x14ac:dyDescent="0.25">
      <c r="D41082" s="28"/>
      <c r="F41082" s="28"/>
      <c r="H41082" s="28"/>
    </row>
    <row r="41083" spans="4:8" x14ac:dyDescent="0.25">
      <c r="D41083" s="28"/>
      <c r="F41083" s="28"/>
      <c r="H41083" s="28"/>
    </row>
    <row r="41084" spans="4:8" x14ac:dyDescent="0.25">
      <c r="D41084" s="28"/>
      <c r="F41084" s="28"/>
      <c r="H41084" s="28"/>
    </row>
    <row r="41085" spans="4:8" x14ac:dyDescent="0.25">
      <c r="D41085" s="28"/>
      <c r="F41085" s="28"/>
      <c r="H41085" s="28"/>
    </row>
    <row r="41086" spans="4:8" x14ac:dyDescent="0.25">
      <c r="D41086" s="28"/>
      <c r="F41086" s="28"/>
      <c r="H41086" s="28"/>
    </row>
    <row r="41087" spans="4:8" x14ac:dyDescent="0.25">
      <c r="D41087" s="28"/>
      <c r="F41087" s="28"/>
      <c r="H41087" s="28"/>
    </row>
    <row r="41088" spans="4:8" x14ac:dyDescent="0.25">
      <c r="D41088" s="28"/>
      <c r="F41088" s="28"/>
      <c r="H41088" s="28"/>
    </row>
    <row r="41089" spans="4:8" x14ac:dyDescent="0.25">
      <c r="D41089" s="28"/>
      <c r="F41089" s="28"/>
      <c r="H41089" s="28"/>
    </row>
    <row r="41090" spans="4:8" x14ac:dyDescent="0.25">
      <c r="D41090" s="28"/>
      <c r="F41090" s="28"/>
      <c r="H41090" s="28"/>
    </row>
    <row r="41091" spans="4:8" x14ac:dyDescent="0.25">
      <c r="D41091" s="28"/>
      <c r="F41091" s="28"/>
      <c r="H41091" s="28"/>
    </row>
    <row r="41092" spans="4:8" x14ac:dyDescent="0.25">
      <c r="D41092" s="28"/>
      <c r="F41092" s="28"/>
      <c r="H41092" s="28"/>
    </row>
    <row r="41093" spans="4:8" x14ac:dyDescent="0.25">
      <c r="D41093" s="28"/>
      <c r="F41093" s="28"/>
      <c r="H41093" s="28"/>
    </row>
    <row r="41094" spans="4:8" x14ac:dyDescent="0.25">
      <c r="D41094" s="28"/>
      <c r="F41094" s="28"/>
      <c r="H41094" s="28"/>
    </row>
    <row r="41095" spans="4:8" x14ac:dyDescent="0.25">
      <c r="D41095" s="28"/>
      <c r="F41095" s="28"/>
      <c r="H41095" s="28"/>
    </row>
    <row r="41096" spans="4:8" x14ac:dyDescent="0.25">
      <c r="D41096" s="28"/>
      <c r="F41096" s="28"/>
      <c r="H41096" s="28"/>
    </row>
    <row r="41097" spans="4:8" x14ac:dyDescent="0.25">
      <c r="D41097" s="28"/>
      <c r="F41097" s="28"/>
      <c r="H41097" s="28"/>
    </row>
    <row r="41098" spans="4:8" x14ac:dyDescent="0.25">
      <c r="D41098" s="28"/>
      <c r="F41098" s="28"/>
      <c r="H41098" s="28"/>
    </row>
    <row r="41099" spans="4:8" x14ac:dyDescent="0.25">
      <c r="D41099" s="28"/>
      <c r="F41099" s="28"/>
      <c r="H41099" s="28"/>
    </row>
    <row r="41100" spans="4:8" x14ac:dyDescent="0.25">
      <c r="D41100" s="28"/>
      <c r="F41100" s="28"/>
      <c r="H41100" s="28"/>
    </row>
    <row r="41101" spans="4:8" x14ac:dyDescent="0.25">
      <c r="D41101" s="28"/>
      <c r="F41101" s="28"/>
      <c r="H41101" s="28"/>
    </row>
    <row r="41102" spans="4:8" x14ac:dyDescent="0.25">
      <c r="D41102" s="28"/>
      <c r="F41102" s="28"/>
      <c r="H41102" s="28"/>
    </row>
    <row r="41103" spans="4:8" x14ac:dyDescent="0.25">
      <c r="D41103" s="28"/>
      <c r="F41103" s="28"/>
      <c r="H41103" s="28"/>
    </row>
    <row r="41104" spans="4:8" x14ac:dyDescent="0.25">
      <c r="D41104" s="28"/>
      <c r="F41104" s="28"/>
      <c r="H41104" s="28"/>
    </row>
    <row r="41105" spans="4:8" x14ac:dyDescent="0.25">
      <c r="D41105" s="28"/>
      <c r="F41105" s="28"/>
      <c r="H41105" s="28"/>
    </row>
    <row r="41106" spans="4:8" x14ac:dyDescent="0.25">
      <c r="D41106" s="28"/>
      <c r="F41106" s="28"/>
      <c r="H41106" s="28"/>
    </row>
    <row r="41107" spans="4:8" x14ac:dyDescent="0.25">
      <c r="D41107" s="28"/>
      <c r="F41107" s="28"/>
      <c r="H41107" s="28"/>
    </row>
    <row r="41108" spans="4:8" x14ac:dyDescent="0.25">
      <c r="D41108" s="28"/>
      <c r="F41108" s="28"/>
      <c r="H41108" s="28"/>
    </row>
    <row r="41109" spans="4:8" x14ac:dyDescent="0.25">
      <c r="D41109" s="28"/>
      <c r="F41109" s="28"/>
      <c r="H41109" s="28"/>
    </row>
    <row r="41110" spans="4:8" x14ac:dyDescent="0.25">
      <c r="D41110" s="28"/>
      <c r="F41110" s="28"/>
      <c r="H41110" s="28"/>
    </row>
    <row r="41111" spans="4:8" x14ac:dyDescent="0.25">
      <c r="D41111" s="28"/>
      <c r="F41111" s="28"/>
      <c r="H41111" s="28"/>
    </row>
    <row r="41112" spans="4:8" x14ac:dyDescent="0.25">
      <c r="D41112" s="28"/>
      <c r="F41112" s="28"/>
      <c r="H41112" s="28"/>
    </row>
    <row r="41113" spans="4:8" x14ac:dyDescent="0.25">
      <c r="D41113" s="28"/>
      <c r="F41113" s="28"/>
      <c r="H41113" s="28"/>
    </row>
    <row r="41114" spans="4:8" x14ac:dyDescent="0.25">
      <c r="D41114" s="28"/>
      <c r="F41114" s="28"/>
      <c r="H41114" s="28"/>
    </row>
    <row r="41115" spans="4:8" x14ac:dyDescent="0.25">
      <c r="D41115" s="28"/>
      <c r="F41115" s="28"/>
      <c r="H41115" s="28"/>
    </row>
    <row r="41116" spans="4:8" x14ac:dyDescent="0.25">
      <c r="D41116" s="28"/>
      <c r="F41116" s="28"/>
      <c r="H41116" s="28"/>
    </row>
    <row r="41117" spans="4:8" x14ac:dyDescent="0.25">
      <c r="D41117" s="28"/>
      <c r="F41117" s="28"/>
      <c r="H41117" s="28"/>
    </row>
    <row r="41118" spans="4:8" x14ac:dyDescent="0.25">
      <c r="D41118" s="28"/>
      <c r="F41118" s="28"/>
      <c r="H41118" s="28"/>
    </row>
    <row r="41119" spans="4:8" x14ac:dyDescent="0.25">
      <c r="D41119" s="28"/>
      <c r="F41119" s="28"/>
      <c r="H41119" s="28"/>
    </row>
    <row r="41120" spans="4:8" x14ac:dyDescent="0.25">
      <c r="D41120" s="28"/>
      <c r="F41120" s="28"/>
      <c r="H41120" s="28"/>
    </row>
    <row r="41121" spans="4:8" x14ac:dyDescent="0.25">
      <c r="D41121" s="28"/>
      <c r="F41121" s="28"/>
      <c r="H41121" s="28"/>
    </row>
    <row r="41122" spans="4:8" x14ac:dyDescent="0.25">
      <c r="D41122" s="28"/>
      <c r="F41122" s="28"/>
      <c r="H41122" s="28"/>
    </row>
    <row r="41123" spans="4:8" x14ac:dyDescent="0.25">
      <c r="D41123" s="28"/>
      <c r="F41123" s="28"/>
      <c r="H41123" s="28"/>
    </row>
    <row r="41124" spans="4:8" x14ac:dyDescent="0.25">
      <c r="D41124" s="28"/>
      <c r="F41124" s="28"/>
      <c r="H41124" s="28"/>
    </row>
    <row r="41125" spans="4:8" x14ac:dyDescent="0.25">
      <c r="D41125" s="28"/>
      <c r="F41125" s="28"/>
      <c r="H41125" s="28"/>
    </row>
    <row r="41126" spans="4:8" x14ac:dyDescent="0.25">
      <c r="D41126" s="28"/>
      <c r="F41126" s="28"/>
      <c r="H41126" s="28"/>
    </row>
    <row r="41127" spans="4:8" x14ac:dyDescent="0.25">
      <c r="D41127" s="28"/>
      <c r="F41127" s="28"/>
      <c r="H41127" s="28"/>
    </row>
    <row r="41128" spans="4:8" x14ac:dyDescent="0.25">
      <c r="D41128" s="28"/>
      <c r="F41128" s="28"/>
      <c r="H41128" s="28"/>
    </row>
    <row r="41129" spans="4:8" x14ac:dyDescent="0.25">
      <c r="D41129" s="28"/>
      <c r="F41129" s="28"/>
      <c r="H41129" s="28"/>
    </row>
    <row r="41130" spans="4:8" x14ac:dyDescent="0.25">
      <c r="D41130" s="28"/>
      <c r="F41130" s="28"/>
      <c r="H41130" s="28"/>
    </row>
    <row r="41131" spans="4:8" x14ac:dyDescent="0.25">
      <c r="D41131" s="28"/>
      <c r="F41131" s="28"/>
      <c r="H41131" s="28"/>
    </row>
    <row r="41132" spans="4:8" x14ac:dyDescent="0.25">
      <c r="D41132" s="28"/>
      <c r="F41132" s="28"/>
      <c r="H41132" s="28"/>
    </row>
    <row r="41133" spans="4:8" x14ac:dyDescent="0.25">
      <c r="D41133" s="28"/>
      <c r="F41133" s="28"/>
      <c r="H41133" s="28"/>
    </row>
    <row r="41134" spans="4:8" x14ac:dyDescent="0.25">
      <c r="D41134" s="28"/>
      <c r="F41134" s="28"/>
      <c r="H41134" s="28"/>
    </row>
    <row r="41135" spans="4:8" x14ac:dyDescent="0.25">
      <c r="D41135" s="28"/>
      <c r="F41135" s="28"/>
      <c r="H41135" s="28"/>
    </row>
    <row r="41136" spans="4:8" x14ac:dyDescent="0.25">
      <c r="D41136" s="28"/>
      <c r="F41136" s="28"/>
      <c r="H41136" s="28"/>
    </row>
    <row r="41137" spans="4:8" x14ac:dyDescent="0.25">
      <c r="D41137" s="28"/>
      <c r="F41137" s="28"/>
      <c r="H41137" s="28"/>
    </row>
    <row r="41138" spans="4:8" x14ac:dyDescent="0.25">
      <c r="D41138" s="28"/>
      <c r="F41138" s="28"/>
      <c r="H41138" s="28"/>
    </row>
    <row r="41139" spans="4:8" x14ac:dyDescent="0.25">
      <c r="D41139" s="28"/>
      <c r="F41139" s="28"/>
      <c r="H41139" s="28"/>
    </row>
    <row r="41140" spans="4:8" x14ac:dyDescent="0.25">
      <c r="D41140" s="28"/>
      <c r="F41140" s="28"/>
      <c r="H41140" s="28"/>
    </row>
    <row r="41141" spans="4:8" x14ac:dyDescent="0.25">
      <c r="D41141" s="28"/>
      <c r="F41141" s="28"/>
      <c r="H41141" s="28"/>
    </row>
    <row r="41142" spans="4:8" x14ac:dyDescent="0.25">
      <c r="D41142" s="28"/>
      <c r="F41142" s="28"/>
      <c r="H41142" s="28"/>
    </row>
    <row r="41143" spans="4:8" x14ac:dyDescent="0.25">
      <c r="D41143" s="28"/>
      <c r="F41143" s="28"/>
      <c r="H41143" s="28"/>
    </row>
    <row r="41144" spans="4:8" x14ac:dyDescent="0.25">
      <c r="D41144" s="28"/>
      <c r="F41144" s="28"/>
      <c r="H41144" s="28"/>
    </row>
    <row r="41145" spans="4:8" x14ac:dyDescent="0.25">
      <c r="D41145" s="28"/>
      <c r="F41145" s="28"/>
      <c r="H41145" s="28"/>
    </row>
    <row r="41146" spans="4:8" x14ac:dyDescent="0.25">
      <c r="D41146" s="28"/>
      <c r="F41146" s="28"/>
      <c r="H41146" s="28"/>
    </row>
    <row r="41147" spans="4:8" x14ac:dyDescent="0.25">
      <c r="D41147" s="28"/>
      <c r="F41147" s="28"/>
      <c r="H41147" s="28"/>
    </row>
    <row r="41148" spans="4:8" x14ac:dyDescent="0.25">
      <c r="D41148" s="28"/>
      <c r="F41148" s="28"/>
      <c r="H41148" s="28"/>
    </row>
    <row r="41149" spans="4:8" x14ac:dyDescent="0.25">
      <c r="D41149" s="28"/>
      <c r="F41149" s="28"/>
      <c r="H41149" s="28"/>
    </row>
    <row r="41150" spans="4:8" x14ac:dyDescent="0.25">
      <c r="D41150" s="28"/>
      <c r="F41150" s="28"/>
      <c r="H41150" s="28"/>
    </row>
    <row r="41151" spans="4:8" x14ac:dyDescent="0.25">
      <c r="D41151" s="28"/>
      <c r="F41151" s="28"/>
      <c r="H41151" s="28"/>
    </row>
    <row r="41152" spans="4:8" x14ac:dyDescent="0.25">
      <c r="D41152" s="28"/>
      <c r="F41152" s="28"/>
      <c r="H41152" s="28"/>
    </row>
    <row r="41153" spans="4:8" x14ac:dyDescent="0.25">
      <c r="D41153" s="28"/>
      <c r="F41153" s="28"/>
      <c r="H41153" s="28"/>
    </row>
    <row r="41154" spans="4:8" x14ac:dyDescent="0.25">
      <c r="D41154" s="28"/>
      <c r="F41154" s="28"/>
      <c r="H41154" s="28"/>
    </row>
    <row r="41155" spans="4:8" x14ac:dyDescent="0.25">
      <c r="D41155" s="28"/>
      <c r="F41155" s="28"/>
      <c r="H41155" s="28"/>
    </row>
    <row r="41156" spans="4:8" x14ac:dyDescent="0.25">
      <c r="D41156" s="28"/>
      <c r="F41156" s="28"/>
      <c r="H41156" s="28"/>
    </row>
    <row r="41157" spans="4:8" x14ac:dyDescent="0.25">
      <c r="D41157" s="28"/>
      <c r="F41157" s="28"/>
      <c r="H41157" s="28"/>
    </row>
    <row r="41158" spans="4:8" x14ac:dyDescent="0.25">
      <c r="D41158" s="28"/>
      <c r="F41158" s="28"/>
      <c r="H41158" s="28"/>
    </row>
    <row r="41159" spans="4:8" x14ac:dyDescent="0.25">
      <c r="D41159" s="28"/>
      <c r="F41159" s="28"/>
      <c r="H41159" s="28"/>
    </row>
    <row r="41160" spans="4:8" x14ac:dyDescent="0.25">
      <c r="D41160" s="28"/>
      <c r="F41160" s="28"/>
      <c r="H41160" s="28"/>
    </row>
    <row r="41161" spans="4:8" x14ac:dyDescent="0.25">
      <c r="D41161" s="28"/>
      <c r="F41161" s="28"/>
      <c r="H41161" s="28"/>
    </row>
    <row r="41162" spans="4:8" x14ac:dyDescent="0.25">
      <c r="D41162" s="28"/>
      <c r="F41162" s="28"/>
      <c r="H41162" s="28"/>
    </row>
    <row r="41163" spans="4:8" x14ac:dyDescent="0.25">
      <c r="D41163" s="28"/>
      <c r="F41163" s="28"/>
      <c r="H41163" s="28"/>
    </row>
    <row r="41164" spans="4:8" x14ac:dyDescent="0.25">
      <c r="D41164" s="28"/>
      <c r="F41164" s="28"/>
      <c r="H41164" s="28"/>
    </row>
    <row r="41165" spans="4:8" x14ac:dyDescent="0.25">
      <c r="D41165" s="28"/>
      <c r="F41165" s="28"/>
      <c r="H41165" s="28"/>
    </row>
    <row r="41166" spans="4:8" x14ac:dyDescent="0.25">
      <c r="D41166" s="28"/>
      <c r="F41166" s="28"/>
      <c r="H41166" s="28"/>
    </row>
    <row r="41167" spans="4:8" x14ac:dyDescent="0.25">
      <c r="D41167" s="28"/>
      <c r="F41167" s="28"/>
      <c r="H41167" s="28"/>
    </row>
    <row r="41168" spans="4:8" x14ac:dyDescent="0.25">
      <c r="D41168" s="28"/>
      <c r="F41168" s="28"/>
      <c r="H41168" s="28"/>
    </row>
    <row r="41169" spans="4:8" x14ac:dyDescent="0.25">
      <c r="D41169" s="28"/>
      <c r="F41169" s="28"/>
      <c r="H41169" s="28"/>
    </row>
    <row r="41170" spans="4:8" x14ac:dyDescent="0.25">
      <c r="D41170" s="28"/>
      <c r="F41170" s="28"/>
      <c r="H41170" s="28"/>
    </row>
    <row r="41171" spans="4:8" x14ac:dyDescent="0.25">
      <c r="D41171" s="28"/>
      <c r="F41171" s="28"/>
      <c r="H41171" s="28"/>
    </row>
    <row r="41172" spans="4:8" x14ac:dyDescent="0.25">
      <c r="D41172" s="28"/>
      <c r="F41172" s="28"/>
      <c r="H41172" s="28"/>
    </row>
    <row r="41173" spans="4:8" x14ac:dyDescent="0.25">
      <c r="D41173" s="28"/>
      <c r="F41173" s="28"/>
      <c r="H41173" s="28"/>
    </row>
    <row r="41174" spans="4:8" x14ac:dyDescent="0.25">
      <c r="D41174" s="28"/>
      <c r="F41174" s="28"/>
      <c r="H41174" s="28"/>
    </row>
    <row r="41175" spans="4:8" x14ac:dyDescent="0.25">
      <c r="D41175" s="28"/>
      <c r="F41175" s="28"/>
      <c r="H41175" s="28"/>
    </row>
    <row r="41176" spans="4:8" x14ac:dyDescent="0.25">
      <c r="D41176" s="28"/>
      <c r="F41176" s="28"/>
      <c r="H41176" s="28"/>
    </row>
    <row r="41177" spans="4:8" x14ac:dyDescent="0.25">
      <c r="D41177" s="28"/>
      <c r="F41177" s="28"/>
      <c r="H41177" s="28"/>
    </row>
    <row r="41178" spans="4:8" x14ac:dyDescent="0.25">
      <c r="D41178" s="28"/>
      <c r="F41178" s="28"/>
      <c r="H41178" s="28"/>
    </row>
    <row r="41179" spans="4:8" x14ac:dyDescent="0.25">
      <c r="D41179" s="28"/>
      <c r="F41179" s="28"/>
      <c r="H41179" s="28"/>
    </row>
    <row r="41180" spans="4:8" x14ac:dyDescent="0.25">
      <c r="D41180" s="28"/>
      <c r="F41180" s="28"/>
      <c r="H41180" s="28"/>
    </row>
    <row r="41181" spans="4:8" x14ac:dyDescent="0.25">
      <c r="D41181" s="28"/>
      <c r="F41181" s="28"/>
      <c r="H41181" s="28"/>
    </row>
    <row r="41182" spans="4:8" x14ac:dyDescent="0.25">
      <c r="D41182" s="28"/>
      <c r="F41182" s="28"/>
      <c r="H41182" s="28"/>
    </row>
    <row r="41183" spans="4:8" x14ac:dyDescent="0.25">
      <c r="D41183" s="28"/>
      <c r="F41183" s="28"/>
      <c r="H41183" s="28"/>
    </row>
    <row r="41184" spans="4:8" x14ac:dyDescent="0.25">
      <c r="D41184" s="28"/>
      <c r="F41184" s="28"/>
      <c r="H41184" s="28"/>
    </row>
    <row r="41185" spans="4:8" x14ac:dyDescent="0.25">
      <c r="D41185" s="28"/>
      <c r="F41185" s="28"/>
      <c r="H41185" s="28"/>
    </row>
    <row r="41186" spans="4:8" x14ac:dyDescent="0.25">
      <c r="D41186" s="28"/>
      <c r="F41186" s="28"/>
      <c r="H41186" s="28"/>
    </row>
    <row r="41187" spans="4:8" x14ac:dyDescent="0.25">
      <c r="D41187" s="28"/>
      <c r="F41187" s="28"/>
      <c r="H41187" s="28"/>
    </row>
    <row r="41188" spans="4:8" x14ac:dyDescent="0.25">
      <c r="D41188" s="28"/>
      <c r="F41188" s="28"/>
      <c r="H41188" s="28"/>
    </row>
    <row r="41189" spans="4:8" x14ac:dyDescent="0.25">
      <c r="D41189" s="28"/>
      <c r="F41189" s="28"/>
      <c r="H41189" s="28"/>
    </row>
    <row r="41190" spans="4:8" x14ac:dyDescent="0.25">
      <c r="D41190" s="28"/>
      <c r="F41190" s="28"/>
      <c r="H41190" s="28"/>
    </row>
    <row r="41191" spans="4:8" x14ac:dyDescent="0.25">
      <c r="D41191" s="28"/>
      <c r="F41191" s="28"/>
      <c r="H41191" s="28"/>
    </row>
    <row r="41192" spans="4:8" x14ac:dyDescent="0.25">
      <c r="D41192" s="28"/>
      <c r="F41192" s="28"/>
      <c r="H41192" s="28"/>
    </row>
    <row r="41193" spans="4:8" x14ac:dyDescent="0.25">
      <c r="D41193" s="28"/>
      <c r="F41193" s="28"/>
      <c r="H41193" s="28"/>
    </row>
    <row r="41194" spans="4:8" x14ac:dyDescent="0.25">
      <c r="D41194" s="28"/>
      <c r="F41194" s="28"/>
      <c r="H41194" s="28"/>
    </row>
    <row r="41195" spans="4:8" x14ac:dyDescent="0.25">
      <c r="D41195" s="28"/>
      <c r="F41195" s="28"/>
      <c r="H41195" s="28"/>
    </row>
    <row r="41196" spans="4:8" x14ac:dyDescent="0.25">
      <c r="D41196" s="28"/>
      <c r="F41196" s="28"/>
      <c r="H41196" s="28"/>
    </row>
    <row r="41197" spans="4:8" x14ac:dyDescent="0.25">
      <c r="D41197" s="28"/>
      <c r="F41197" s="28"/>
      <c r="H41197" s="28"/>
    </row>
    <row r="41198" spans="4:8" x14ac:dyDescent="0.25">
      <c r="D41198" s="28"/>
      <c r="F41198" s="28"/>
      <c r="H41198" s="28"/>
    </row>
    <row r="41199" spans="4:8" x14ac:dyDescent="0.25">
      <c r="D41199" s="28"/>
      <c r="F41199" s="28"/>
      <c r="H41199" s="28"/>
    </row>
    <row r="41200" spans="4:8" x14ac:dyDescent="0.25">
      <c r="D41200" s="28"/>
      <c r="F41200" s="28"/>
      <c r="H41200" s="28"/>
    </row>
    <row r="41201" spans="4:8" x14ac:dyDescent="0.25">
      <c r="D41201" s="28"/>
      <c r="F41201" s="28"/>
      <c r="H41201" s="28"/>
    </row>
    <row r="41202" spans="4:8" x14ac:dyDescent="0.25">
      <c r="D41202" s="28"/>
      <c r="F41202" s="28"/>
      <c r="H41202" s="28"/>
    </row>
    <row r="41203" spans="4:8" x14ac:dyDescent="0.25">
      <c r="D41203" s="28"/>
      <c r="F41203" s="28"/>
      <c r="H41203" s="28"/>
    </row>
    <row r="41204" spans="4:8" x14ac:dyDescent="0.25">
      <c r="D41204" s="28"/>
      <c r="F41204" s="28"/>
      <c r="H41204" s="28"/>
    </row>
    <row r="41205" spans="4:8" x14ac:dyDescent="0.25">
      <c r="D41205" s="28"/>
      <c r="F41205" s="28"/>
      <c r="H41205" s="28"/>
    </row>
    <row r="41206" spans="4:8" x14ac:dyDescent="0.25">
      <c r="D41206" s="28"/>
      <c r="F41206" s="28"/>
      <c r="H41206" s="28"/>
    </row>
    <row r="41207" spans="4:8" x14ac:dyDescent="0.25">
      <c r="D41207" s="28"/>
      <c r="F41207" s="28"/>
      <c r="H41207" s="28"/>
    </row>
    <row r="41208" spans="4:8" x14ac:dyDescent="0.25">
      <c r="D41208" s="28"/>
      <c r="F41208" s="28"/>
      <c r="H41208" s="28"/>
    </row>
    <row r="41209" spans="4:8" x14ac:dyDescent="0.25">
      <c r="D41209" s="28"/>
      <c r="F41209" s="28"/>
      <c r="H41209" s="28"/>
    </row>
    <row r="41210" spans="4:8" x14ac:dyDescent="0.25">
      <c r="D41210" s="28"/>
      <c r="F41210" s="28"/>
      <c r="H41210" s="28"/>
    </row>
    <row r="41211" spans="4:8" x14ac:dyDescent="0.25">
      <c r="D41211" s="28"/>
      <c r="F41211" s="28"/>
      <c r="H41211" s="28"/>
    </row>
    <row r="41212" spans="4:8" x14ac:dyDescent="0.25">
      <c r="D41212" s="28"/>
      <c r="F41212" s="28"/>
      <c r="H41212" s="28"/>
    </row>
    <row r="41213" spans="4:8" x14ac:dyDescent="0.25">
      <c r="D41213" s="28"/>
      <c r="F41213" s="28"/>
      <c r="H41213" s="28"/>
    </row>
    <row r="41214" spans="4:8" x14ac:dyDescent="0.25">
      <c r="D41214" s="28"/>
      <c r="F41214" s="28"/>
      <c r="H41214" s="28"/>
    </row>
    <row r="41215" spans="4:8" x14ac:dyDescent="0.25">
      <c r="D41215" s="28"/>
      <c r="F41215" s="28"/>
      <c r="H41215" s="28"/>
    </row>
    <row r="41216" spans="4:8" x14ac:dyDescent="0.25">
      <c r="D41216" s="28"/>
      <c r="F41216" s="28"/>
      <c r="H41216" s="28"/>
    </row>
    <row r="41217" spans="4:8" x14ac:dyDescent="0.25">
      <c r="D41217" s="28"/>
      <c r="F41217" s="28"/>
      <c r="H41217" s="28"/>
    </row>
    <row r="41218" spans="4:8" x14ac:dyDescent="0.25">
      <c r="D41218" s="28"/>
      <c r="F41218" s="28"/>
      <c r="H41218" s="28"/>
    </row>
    <row r="41219" spans="4:8" x14ac:dyDescent="0.25">
      <c r="D41219" s="28"/>
      <c r="F41219" s="28"/>
      <c r="H41219" s="28"/>
    </row>
    <row r="41220" spans="4:8" x14ac:dyDescent="0.25">
      <c r="D41220" s="28"/>
      <c r="F41220" s="28"/>
      <c r="H41220" s="28"/>
    </row>
    <row r="41221" spans="4:8" x14ac:dyDescent="0.25">
      <c r="D41221" s="28"/>
      <c r="F41221" s="28"/>
      <c r="H41221" s="28"/>
    </row>
    <row r="41222" spans="4:8" x14ac:dyDescent="0.25">
      <c r="D41222" s="28"/>
      <c r="F41222" s="28"/>
      <c r="H41222" s="28"/>
    </row>
    <row r="41223" spans="4:8" x14ac:dyDescent="0.25">
      <c r="D41223" s="28"/>
      <c r="F41223" s="28"/>
      <c r="H41223" s="28"/>
    </row>
    <row r="41224" spans="4:8" x14ac:dyDescent="0.25">
      <c r="D41224" s="28"/>
      <c r="F41224" s="28"/>
      <c r="H41224" s="28"/>
    </row>
    <row r="41225" spans="4:8" x14ac:dyDescent="0.25">
      <c r="D41225" s="28"/>
      <c r="F41225" s="28"/>
      <c r="H41225" s="28"/>
    </row>
    <row r="41226" spans="4:8" x14ac:dyDescent="0.25">
      <c r="D41226" s="28"/>
      <c r="F41226" s="28"/>
      <c r="H41226" s="28"/>
    </row>
    <row r="41227" spans="4:8" x14ac:dyDescent="0.25">
      <c r="D41227" s="28"/>
      <c r="F41227" s="28"/>
      <c r="H41227" s="28"/>
    </row>
    <row r="41228" spans="4:8" x14ac:dyDescent="0.25">
      <c r="D41228" s="28"/>
      <c r="F41228" s="28"/>
      <c r="H41228" s="28"/>
    </row>
    <row r="41229" spans="4:8" x14ac:dyDescent="0.25">
      <c r="D41229" s="28"/>
      <c r="F41229" s="28"/>
      <c r="H41229" s="28"/>
    </row>
    <row r="41230" spans="4:8" x14ac:dyDescent="0.25">
      <c r="D41230" s="28"/>
      <c r="F41230" s="28"/>
      <c r="H41230" s="28"/>
    </row>
    <row r="41231" spans="4:8" x14ac:dyDescent="0.25">
      <c r="D41231" s="28"/>
      <c r="F41231" s="28"/>
      <c r="H41231" s="28"/>
    </row>
    <row r="41232" spans="4:8" x14ac:dyDescent="0.25">
      <c r="D41232" s="28"/>
      <c r="F41232" s="28"/>
      <c r="H41232" s="28"/>
    </row>
    <row r="41233" spans="4:8" x14ac:dyDescent="0.25">
      <c r="D41233" s="28"/>
      <c r="F41233" s="28"/>
      <c r="H41233" s="28"/>
    </row>
    <row r="41234" spans="4:8" x14ac:dyDescent="0.25">
      <c r="D41234" s="28"/>
      <c r="F41234" s="28"/>
      <c r="H41234" s="28"/>
    </row>
    <row r="41235" spans="4:8" x14ac:dyDescent="0.25">
      <c r="D41235" s="28"/>
      <c r="F41235" s="28"/>
      <c r="H41235" s="28"/>
    </row>
    <row r="41236" spans="4:8" x14ac:dyDescent="0.25">
      <c r="D41236" s="28"/>
      <c r="F41236" s="28"/>
      <c r="H41236" s="28"/>
    </row>
    <row r="41237" spans="4:8" x14ac:dyDescent="0.25">
      <c r="D41237" s="28"/>
      <c r="F41237" s="28"/>
      <c r="H41237" s="28"/>
    </row>
    <row r="41238" spans="4:8" x14ac:dyDescent="0.25">
      <c r="D41238" s="28"/>
      <c r="F41238" s="28"/>
      <c r="H41238" s="28"/>
    </row>
    <row r="41239" spans="4:8" x14ac:dyDescent="0.25">
      <c r="D41239" s="28"/>
      <c r="F41239" s="28"/>
      <c r="H41239" s="28"/>
    </row>
    <row r="41240" spans="4:8" x14ac:dyDescent="0.25">
      <c r="D41240" s="28"/>
      <c r="F41240" s="28"/>
      <c r="H41240" s="28"/>
    </row>
    <row r="41241" spans="4:8" x14ac:dyDescent="0.25">
      <c r="D41241" s="28"/>
      <c r="F41241" s="28"/>
      <c r="H41241" s="28"/>
    </row>
    <row r="41242" spans="4:8" x14ac:dyDescent="0.25">
      <c r="D41242" s="28"/>
      <c r="F41242" s="28"/>
      <c r="H41242" s="28"/>
    </row>
    <row r="41243" spans="4:8" x14ac:dyDescent="0.25">
      <c r="D41243" s="28"/>
      <c r="F41243" s="28"/>
      <c r="H41243" s="28"/>
    </row>
    <row r="41244" spans="4:8" x14ac:dyDescent="0.25">
      <c r="D41244" s="28"/>
      <c r="F41244" s="28"/>
      <c r="H41244" s="28"/>
    </row>
    <row r="41245" spans="4:8" x14ac:dyDescent="0.25">
      <c r="D41245" s="28"/>
      <c r="F41245" s="28"/>
      <c r="H41245" s="28"/>
    </row>
    <row r="41246" spans="4:8" x14ac:dyDescent="0.25">
      <c r="D41246" s="28"/>
      <c r="F41246" s="28"/>
      <c r="H41246" s="28"/>
    </row>
    <row r="41247" spans="4:8" x14ac:dyDescent="0.25">
      <c r="D41247" s="28"/>
      <c r="F41247" s="28"/>
      <c r="H41247" s="28"/>
    </row>
    <row r="41248" spans="4:8" x14ac:dyDescent="0.25">
      <c r="D41248" s="28"/>
      <c r="F41248" s="28"/>
      <c r="H41248" s="28"/>
    </row>
    <row r="41249" spans="4:8" x14ac:dyDescent="0.25">
      <c r="D41249" s="28"/>
      <c r="F41249" s="28"/>
      <c r="H41249" s="28"/>
    </row>
    <row r="41250" spans="4:8" x14ac:dyDescent="0.25">
      <c r="D41250" s="28"/>
      <c r="F41250" s="28"/>
      <c r="H41250" s="28"/>
    </row>
    <row r="41251" spans="4:8" x14ac:dyDescent="0.25">
      <c r="D41251" s="28"/>
      <c r="F41251" s="28"/>
      <c r="H41251" s="28"/>
    </row>
    <row r="41252" spans="4:8" x14ac:dyDescent="0.25">
      <c r="D41252" s="28"/>
      <c r="F41252" s="28"/>
      <c r="H41252" s="28"/>
    </row>
    <row r="41253" spans="4:8" x14ac:dyDescent="0.25">
      <c r="D41253" s="28"/>
      <c r="F41253" s="28"/>
      <c r="H41253" s="28"/>
    </row>
    <row r="41254" spans="4:8" x14ac:dyDescent="0.25">
      <c r="D41254" s="28"/>
      <c r="F41254" s="28"/>
      <c r="H41254" s="28"/>
    </row>
    <row r="41255" spans="4:8" x14ac:dyDescent="0.25">
      <c r="D41255" s="28"/>
      <c r="F41255" s="28"/>
      <c r="H41255" s="28"/>
    </row>
    <row r="41256" spans="4:8" x14ac:dyDescent="0.25">
      <c r="D41256" s="28"/>
      <c r="F41256" s="28"/>
      <c r="H41256" s="28"/>
    </row>
    <row r="41257" spans="4:8" x14ac:dyDescent="0.25">
      <c r="D41257" s="28"/>
      <c r="F41257" s="28"/>
      <c r="H41257" s="28"/>
    </row>
    <row r="41258" spans="4:8" x14ac:dyDescent="0.25">
      <c r="D41258" s="28"/>
      <c r="F41258" s="28"/>
      <c r="H41258" s="28"/>
    </row>
    <row r="41259" spans="4:8" x14ac:dyDescent="0.25">
      <c r="D41259" s="28"/>
      <c r="F41259" s="28"/>
      <c r="H41259" s="28"/>
    </row>
    <row r="41260" spans="4:8" x14ac:dyDescent="0.25">
      <c r="D41260" s="28"/>
      <c r="F41260" s="28"/>
      <c r="H41260" s="28"/>
    </row>
    <row r="41261" spans="4:8" x14ac:dyDescent="0.25">
      <c r="D41261" s="28"/>
      <c r="F41261" s="28"/>
      <c r="H41261" s="28"/>
    </row>
    <row r="41262" spans="4:8" x14ac:dyDescent="0.25">
      <c r="D41262" s="28"/>
      <c r="F41262" s="28"/>
      <c r="H41262" s="28"/>
    </row>
    <row r="41263" spans="4:8" x14ac:dyDescent="0.25">
      <c r="D41263" s="28"/>
      <c r="F41263" s="28"/>
      <c r="H41263" s="28"/>
    </row>
    <row r="41264" spans="4:8" x14ac:dyDescent="0.25">
      <c r="D41264" s="28"/>
      <c r="F41264" s="28"/>
      <c r="H41264" s="28"/>
    </row>
    <row r="41265" spans="4:8" x14ac:dyDescent="0.25">
      <c r="D41265" s="28"/>
      <c r="F41265" s="28"/>
      <c r="H41265" s="28"/>
    </row>
    <row r="41266" spans="4:8" x14ac:dyDescent="0.25">
      <c r="D41266" s="28"/>
      <c r="F41266" s="28"/>
      <c r="H41266" s="28"/>
    </row>
    <row r="41267" spans="4:8" x14ac:dyDescent="0.25">
      <c r="D41267" s="28"/>
      <c r="F41267" s="28"/>
      <c r="H41267" s="28"/>
    </row>
    <row r="41268" spans="4:8" x14ac:dyDescent="0.25">
      <c r="D41268" s="28"/>
      <c r="F41268" s="28"/>
      <c r="H41268" s="28"/>
    </row>
    <row r="41269" spans="4:8" x14ac:dyDescent="0.25">
      <c r="D41269" s="28"/>
      <c r="F41269" s="28"/>
      <c r="H41269" s="28"/>
    </row>
    <row r="41270" spans="4:8" x14ac:dyDescent="0.25">
      <c r="D41270" s="28"/>
      <c r="F41270" s="28"/>
      <c r="H41270" s="28"/>
    </row>
    <row r="41271" spans="4:8" x14ac:dyDescent="0.25">
      <c r="D41271" s="28"/>
      <c r="F41271" s="28"/>
      <c r="H41271" s="28"/>
    </row>
    <row r="41272" spans="4:8" x14ac:dyDescent="0.25">
      <c r="D41272" s="28"/>
      <c r="F41272" s="28"/>
      <c r="H41272" s="28"/>
    </row>
    <row r="41273" spans="4:8" x14ac:dyDescent="0.25">
      <c r="D41273" s="28"/>
      <c r="F41273" s="28"/>
      <c r="H41273" s="28"/>
    </row>
    <row r="41274" spans="4:8" x14ac:dyDescent="0.25">
      <c r="D41274" s="28"/>
      <c r="F41274" s="28"/>
      <c r="H41274" s="28"/>
    </row>
    <row r="41275" spans="4:8" x14ac:dyDescent="0.25">
      <c r="D41275" s="28"/>
      <c r="F41275" s="28"/>
      <c r="H41275" s="28"/>
    </row>
    <row r="41276" spans="4:8" x14ac:dyDescent="0.25">
      <c r="D41276" s="28"/>
      <c r="F41276" s="28"/>
      <c r="H41276" s="28"/>
    </row>
    <row r="41277" spans="4:8" x14ac:dyDescent="0.25">
      <c r="D41277" s="28"/>
      <c r="F41277" s="28"/>
      <c r="H41277" s="28"/>
    </row>
    <row r="41278" spans="4:8" x14ac:dyDescent="0.25">
      <c r="D41278" s="28"/>
      <c r="F41278" s="28"/>
      <c r="H41278" s="28"/>
    </row>
    <row r="41279" spans="4:8" x14ac:dyDescent="0.25">
      <c r="D41279" s="28"/>
      <c r="F41279" s="28"/>
      <c r="H41279" s="28"/>
    </row>
    <row r="41280" spans="4:8" x14ac:dyDescent="0.25">
      <c r="D41280" s="28"/>
      <c r="F41280" s="28"/>
      <c r="H41280" s="28"/>
    </row>
    <row r="41281" spans="4:8" x14ac:dyDescent="0.25">
      <c r="D41281" s="28"/>
      <c r="F41281" s="28"/>
      <c r="H41281" s="28"/>
    </row>
    <row r="41282" spans="4:8" x14ac:dyDescent="0.25">
      <c r="D41282" s="28"/>
      <c r="F41282" s="28"/>
      <c r="H41282" s="28"/>
    </row>
    <row r="41283" spans="4:8" x14ac:dyDescent="0.25">
      <c r="D41283" s="28"/>
      <c r="F41283" s="28"/>
      <c r="H41283" s="28"/>
    </row>
    <row r="41284" spans="4:8" x14ac:dyDescent="0.25">
      <c r="D41284" s="28"/>
      <c r="F41284" s="28"/>
      <c r="H41284" s="28"/>
    </row>
    <row r="41285" spans="4:8" x14ac:dyDescent="0.25">
      <c r="D41285" s="28"/>
      <c r="F41285" s="28"/>
      <c r="H41285" s="28"/>
    </row>
    <row r="41286" spans="4:8" x14ac:dyDescent="0.25">
      <c r="D41286" s="28"/>
      <c r="F41286" s="28"/>
      <c r="H41286" s="28"/>
    </row>
    <row r="41287" spans="4:8" x14ac:dyDescent="0.25">
      <c r="D41287" s="28"/>
      <c r="F41287" s="28"/>
      <c r="H41287" s="28"/>
    </row>
    <row r="41288" spans="4:8" x14ac:dyDescent="0.25">
      <c r="D41288" s="28"/>
      <c r="F41288" s="28"/>
      <c r="H41288" s="28"/>
    </row>
    <row r="41289" spans="4:8" x14ac:dyDescent="0.25">
      <c r="D41289" s="28"/>
      <c r="F41289" s="28"/>
      <c r="H41289" s="28"/>
    </row>
    <row r="41290" spans="4:8" x14ac:dyDescent="0.25">
      <c r="D41290" s="28"/>
      <c r="F41290" s="28"/>
      <c r="H41290" s="28"/>
    </row>
    <row r="41291" spans="4:8" x14ac:dyDescent="0.25">
      <c r="D41291" s="28"/>
      <c r="F41291" s="28"/>
      <c r="H41291" s="28"/>
    </row>
    <row r="41292" spans="4:8" x14ac:dyDescent="0.25">
      <c r="D41292" s="28"/>
      <c r="F41292" s="28"/>
      <c r="H41292" s="28"/>
    </row>
    <row r="41293" spans="4:8" x14ac:dyDescent="0.25">
      <c r="D41293" s="28"/>
      <c r="F41293" s="28"/>
      <c r="H41293" s="28"/>
    </row>
    <row r="41294" spans="4:8" x14ac:dyDescent="0.25">
      <c r="D41294" s="28"/>
      <c r="F41294" s="28"/>
      <c r="H41294" s="28"/>
    </row>
    <row r="41295" spans="4:8" x14ac:dyDescent="0.25">
      <c r="D41295" s="28"/>
      <c r="F41295" s="28"/>
      <c r="H41295" s="28"/>
    </row>
    <row r="41296" spans="4:8" x14ac:dyDescent="0.25">
      <c r="D41296" s="28"/>
      <c r="F41296" s="28"/>
      <c r="H41296" s="28"/>
    </row>
    <row r="41297" spans="4:8" x14ac:dyDescent="0.25">
      <c r="D41297" s="28"/>
      <c r="F41297" s="28"/>
      <c r="H41297" s="28"/>
    </row>
    <row r="41298" spans="4:8" x14ac:dyDescent="0.25">
      <c r="D41298" s="28"/>
      <c r="F41298" s="28"/>
      <c r="H41298" s="28"/>
    </row>
    <row r="41299" spans="4:8" x14ac:dyDescent="0.25">
      <c r="D41299" s="28"/>
      <c r="F41299" s="28"/>
      <c r="H41299" s="28"/>
    </row>
    <row r="41300" spans="4:8" x14ac:dyDescent="0.25">
      <c r="D41300" s="28"/>
      <c r="F41300" s="28"/>
      <c r="H41300" s="28"/>
    </row>
    <row r="41301" spans="4:8" x14ac:dyDescent="0.25">
      <c r="D41301" s="28"/>
      <c r="F41301" s="28"/>
      <c r="H41301" s="28"/>
    </row>
    <row r="41302" spans="4:8" x14ac:dyDescent="0.25">
      <c r="D41302" s="28"/>
      <c r="F41302" s="28"/>
      <c r="H41302" s="28"/>
    </row>
    <row r="41303" spans="4:8" x14ac:dyDescent="0.25">
      <c r="D41303" s="28"/>
      <c r="F41303" s="28"/>
      <c r="H41303" s="28"/>
    </row>
    <row r="41304" spans="4:8" x14ac:dyDescent="0.25">
      <c r="D41304" s="28"/>
      <c r="F41304" s="28"/>
      <c r="H41304" s="28"/>
    </row>
    <row r="41305" spans="4:8" x14ac:dyDescent="0.25">
      <c r="D41305" s="28"/>
      <c r="F41305" s="28"/>
      <c r="H41305" s="28"/>
    </row>
    <row r="41306" spans="4:8" x14ac:dyDescent="0.25">
      <c r="D41306" s="28"/>
      <c r="F41306" s="28"/>
      <c r="H41306" s="28"/>
    </row>
    <row r="41307" spans="4:8" x14ac:dyDescent="0.25">
      <c r="D41307" s="28"/>
      <c r="F41307" s="28"/>
      <c r="H41307" s="28"/>
    </row>
    <row r="41308" spans="4:8" x14ac:dyDescent="0.25">
      <c r="D41308" s="28"/>
      <c r="F41308" s="28"/>
      <c r="H41308" s="28"/>
    </row>
    <row r="41309" spans="4:8" x14ac:dyDescent="0.25">
      <c r="D41309" s="28"/>
      <c r="F41309" s="28"/>
      <c r="H41309" s="28"/>
    </row>
    <row r="41310" spans="4:8" x14ac:dyDescent="0.25">
      <c r="D41310" s="28"/>
      <c r="F41310" s="28"/>
      <c r="H41310" s="28"/>
    </row>
    <row r="41311" spans="4:8" x14ac:dyDescent="0.25">
      <c r="D41311" s="28"/>
      <c r="F41311" s="28"/>
      <c r="H41311" s="28"/>
    </row>
    <row r="41312" spans="4:8" x14ac:dyDescent="0.25">
      <c r="D41312" s="28"/>
      <c r="F41312" s="28"/>
      <c r="H41312" s="28"/>
    </row>
    <row r="41313" spans="4:8" x14ac:dyDescent="0.25">
      <c r="D41313" s="28"/>
      <c r="F41313" s="28"/>
      <c r="H41313" s="28"/>
    </row>
    <row r="41314" spans="4:8" x14ac:dyDescent="0.25">
      <c r="D41314" s="28"/>
      <c r="F41314" s="28"/>
      <c r="H41314" s="28"/>
    </row>
    <row r="41315" spans="4:8" x14ac:dyDescent="0.25">
      <c r="D41315" s="28"/>
      <c r="F41315" s="28"/>
      <c r="H41315" s="28"/>
    </row>
    <row r="41316" spans="4:8" x14ac:dyDescent="0.25">
      <c r="D41316" s="28"/>
      <c r="F41316" s="28"/>
      <c r="H41316" s="28"/>
    </row>
    <row r="41317" spans="4:8" x14ac:dyDescent="0.25">
      <c r="D41317" s="28"/>
      <c r="F41317" s="28"/>
      <c r="H41317" s="28"/>
    </row>
    <row r="41318" spans="4:8" x14ac:dyDescent="0.25">
      <c r="D41318" s="28"/>
      <c r="F41318" s="28"/>
      <c r="H41318" s="28"/>
    </row>
    <row r="41319" spans="4:8" x14ac:dyDescent="0.25">
      <c r="D41319" s="28"/>
      <c r="F41319" s="28"/>
      <c r="H41319" s="28"/>
    </row>
    <row r="41320" spans="4:8" x14ac:dyDescent="0.25">
      <c r="D41320" s="28"/>
      <c r="F41320" s="28"/>
      <c r="H41320" s="28"/>
    </row>
    <row r="41321" spans="4:8" x14ac:dyDescent="0.25">
      <c r="D41321" s="28"/>
      <c r="F41321" s="28"/>
      <c r="H41321" s="28"/>
    </row>
    <row r="41322" spans="4:8" x14ac:dyDescent="0.25">
      <c r="D41322" s="28"/>
      <c r="F41322" s="28"/>
      <c r="H41322" s="28"/>
    </row>
    <row r="41323" spans="4:8" x14ac:dyDescent="0.25">
      <c r="D41323" s="28"/>
      <c r="F41323" s="28"/>
      <c r="H41323" s="28"/>
    </row>
    <row r="41324" spans="4:8" x14ac:dyDescent="0.25">
      <c r="D41324" s="28"/>
      <c r="F41324" s="28"/>
      <c r="H41324" s="28"/>
    </row>
    <row r="41325" spans="4:8" x14ac:dyDescent="0.25">
      <c r="D41325" s="28"/>
      <c r="F41325" s="28"/>
      <c r="H41325" s="28"/>
    </row>
    <row r="41326" spans="4:8" x14ac:dyDescent="0.25">
      <c r="D41326" s="28"/>
      <c r="F41326" s="28"/>
      <c r="H41326" s="28"/>
    </row>
    <row r="41327" spans="4:8" x14ac:dyDescent="0.25">
      <c r="D41327" s="28"/>
      <c r="F41327" s="28"/>
      <c r="H41327" s="28"/>
    </row>
    <row r="41328" spans="4:8" x14ac:dyDescent="0.25">
      <c r="D41328" s="28"/>
      <c r="F41328" s="28"/>
      <c r="H41328" s="28"/>
    </row>
    <row r="41329" spans="4:8" x14ac:dyDescent="0.25">
      <c r="D41329" s="28"/>
      <c r="F41329" s="28"/>
      <c r="H41329" s="28"/>
    </row>
    <row r="41330" spans="4:8" x14ac:dyDescent="0.25">
      <c r="D41330" s="28"/>
      <c r="F41330" s="28"/>
      <c r="H41330" s="28"/>
    </row>
    <row r="41331" spans="4:8" x14ac:dyDescent="0.25">
      <c r="D41331" s="28"/>
      <c r="F41331" s="28"/>
      <c r="H41331" s="28"/>
    </row>
    <row r="41332" spans="4:8" x14ac:dyDescent="0.25">
      <c r="D41332" s="28"/>
      <c r="F41332" s="28"/>
      <c r="H41332" s="28"/>
    </row>
    <row r="41333" spans="4:8" x14ac:dyDescent="0.25">
      <c r="D41333" s="28"/>
      <c r="F41333" s="28"/>
      <c r="H41333" s="28"/>
    </row>
    <row r="41334" spans="4:8" x14ac:dyDescent="0.25">
      <c r="D41334" s="28"/>
      <c r="F41334" s="28"/>
      <c r="H41334" s="28"/>
    </row>
    <row r="41335" spans="4:8" x14ac:dyDescent="0.25">
      <c r="D41335" s="28"/>
      <c r="F41335" s="28"/>
      <c r="H41335" s="28"/>
    </row>
    <row r="41336" spans="4:8" x14ac:dyDescent="0.25">
      <c r="D41336" s="28"/>
      <c r="F41336" s="28"/>
      <c r="H41336" s="28"/>
    </row>
    <row r="41337" spans="4:8" x14ac:dyDescent="0.25">
      <c r="D41337" s="28"/>
      <c r="F41337" s="28"/>
      <c r="H41337" s="28"/>
    </row>
    <row r="41338" spans="4:8" x14ac:dyDescent="0.25">
      <c r="D41338" s="28"/>
      <c r="F41338" s="28"/>
      <c r="H41338" s="28"/>
    </row>
    <row r="41339" spans="4:8" x14ac:dyDescent="0.25">
      <c r="D41339" s="28"/>
      <c r="F41339" s="28"/>
      <c r="H41339" s="28"/>
    </row>
    <row r="41340" spans="4:8" x14ac:dyDescent="0.25">
      <c r="D41340" s="28"/>
      <c r="F41340" s="28"/>
      <c r="H41340" s="28"/>
    </row>
    <row r="41341" spans="4:8" x14ac:dyDescent="0.25">
      <c r="D41341" s="28"/>
      <c r="F41341" s="28"/>
      <c r="H41341" s="28"/>
    </row>
    <row r="41342" spans="4:8" x14ac:dyDescent="0.25">
      <c r="D41342" s="28"/>
      <c r="F41342" s="28"/>
      <c r="H41342" s="28"/>
    </row>
    <row r="41343" spans="4:8" x14ac:dyDescent="0.25">
      <c r="D41343" s="28"/>
      <c r="F41343" s="28"/>
      <c r="H41343" s="28"/>
    </row>
    <row r="41344" spans="4:8" x14ac:dyDescent="0.25">
      <c r="D41344" s="28"/>
      <c r="F41344" s="28"/>
      <c r="H41344" s="28"/>
    </row>
    <row r="41345" spans="4:8" x14ac:dyDescent="0.25">
      <c r="D41345" s="28"/>
      <c r="F41345" s="28"/>
      <c r="H41345" s="28"/>
    </row>
    <row r="41346" spans="4:8" x14ac:dyDescent="0.25">
      <c r="D41346" s="28"/>
      <c r="F41346" s="28"/>
      <c r="H41346" s="28"/>
    </row>
    <row r="41347" spans="4:8" x14ac:dyDescent="0.25">
      <c r="D41347" s="28"/>
      <c r="F41347" s="28"/>
      <c r="H41347" s="28"/>
    </row>
    <row r="41348" spans="4:8" x14ac:dyDescent="0.25">
      <c r="D41348" s="28"/>
      <c r="F41348" s="28"/>
      <c r="H41348" s="28"/>
    </row>
    <row r="41349" spans="4:8" x14ac:dyDescent="0.25">
      <c r="D41349" s="28"/>
      <c r="F41349" s="28"/>
      <c r="H41349" s="28"/>
    </row>
    <row r="41350" spans="4:8" x14ac:dyDescent="0.25">
      <c r="D41350" s="28"/>
      <c r="F41350" s="28"/>
      <c r="H41350" s="28"/>
    </row>
    <row r="41351" spans="4:8" x14ac:dyDescent="0.25">
      <c r="D41351" s="28"/>
      <c r="F41351" s="28"/>
      <c r="H41351" s="28"/>
    </row>
    <row r="41352" spans="4:8" x14ac:dyDescent="0.25">
      <c r="D41352" s="28"/>
      <c r="F41352" s="28"/>
      <c r="H41352" s="28"/>
    </row>
    <row r="41353" spans="4:8" x14ac:dyDescent="0.25">
      <c r="D41353" s="28"/>
      <c r="F41353" s="28"/>
      <c r="H41353" s="28"/>
    </row>
    <row r="41354" spans="4:8" x14ac:dyDescent="0.25">
      <c r="D41354" s="28"/>
      <c r="F41354" s="28"/>
      <c r="H41354" s="28"/>
    </row>
    <row r="41355" spans="4:8" x14ac:dyDescent="0.25">
      <c r="D41355" s="28"/>
      <c r="F41355" s="28"/>
      <c r="H41355" s="28"/>
    </row>
    <row r="41356" spans="4:8" x14ac:dyDescent="0.25">
      <c r="D41356" s="28"/>
      <c r="F41356" s="28"/>
      <c r="H41356" s="28"/>
    </row>
    <row r="41357" spans="4:8" x14ac:dyDescent="0.25">
      <c r="D41357" s="28"/>
      <c r="F41357" s="28"/>
      <c r="H41357" s="28"/>
    </row>
    <row r="41358" spans="4:8" x14ac:dyDescent="0.25">
      <c r="D41358" s="28"/>
      <c r="F41358" s="28"/>
      <c r="H41358" s="28"/>
    </row>
    <row r="41359" spans="4:8" x14ac:dyDescent="0.25">
      <c r="D41359" s="28"/>
      <c r="F41359" s="28"/>
      <c r="H41359" s="28"/>
    </row>
    <row r="41360" spans="4:8" x14ac:dyDescent="0.25">
      <c r="D41360" s="28"/>
      <c r="F41360" s="28"/>
      <c r="H41360" s="28"/>
    </row>
    <row r="41361" spans="4:8" x14ac:dyDescent="0.25">
      <c r="D41361" s="28"/>
      <c r="F41361" s="28"/>
      <c r="H41361" s="28"/>
    </row>
    <row r="41362" spans="4:8" x14ac:dyDescent="0.25">
      <c r="D41362" s="28"/>
      <c r="F41362" s="28"/>
      <c r="H41362" s="28"/>
    </row>
    <row r="41363" spans="4:8" x14ac:dyDescent="0.25">
      <c r="D41363" s="28"/>
      <c r="F41363" s="28"/>
      <c r="H41363" s="28"/>
    </row>
    <row r="41364" spans="4:8" x14ac:dyDescent="0.25">
      <c r="D41364" s="28"/>
      <c r="F41364" s="28"/>
      <c r="H41364" s="28"/>
    </row>
    <row r="41365" spans="4:8" x14ac:dyDescent="0.25">
      <c r="D41365" s="28"/>
      <c r="F41365" s="28"/>
      <c r="H41365" s="28"/>
    </row>
    <row r="41366" spans="4:8" x14ac:dyDescent="0.25">
      <c r="D41366" s="28"/>
      <c r="F41366" s="28"/>
      <c r="H41366" s="28"/>
    </row>
    <row r="41367" spans="4:8" x14ac:dyDescent="0.25">
      <c r="D41367" s="28"/>
      <c r="F41367" s="28"/>
      <c r="H41367" s="28"/>
    </row>
    <row r="41368" spans="4:8" x14ac:dyDescent="0.25">
      <c r="D41368" s="28"/>
      <c r="F41368" s="28"/>
      <c r="H41368" s="28"/>
    </row>
    <row r="41369" spans="4:8" x14ac:dyDescent="0.25">
      <c r="D41369" s="28"/>
      <c r="F41369" s="28"/>
      <c r="H41369" s="28"/>
    </row>
    <row r="41370" spans="4:8" x14ac:dyDescent="0.25">
      <c r="D41370" s="28"/>
      <c r="F41370" s="28"/>
      <c r="H41370" s="28"/>
    </row>
    <row r="41371" spans="4:8" x14ac:dyDescent="0.25">
      <c r="D41371" s="28"/>
      <c r="F41371" s="28"/>
      <c r="H41371" s="28"/>
    </row>
    <row r="41372" spans="4:8" x14ac:dyDescent="0.25">
      <c r="D41372" s="28"/>
      <c r="F41372" s="28"/>
      <c r="H41372" s="28"/>
    </row>
    <row r="41373" spans="4:8" x14ac:dyDescent="0.25">
      <c r="D41373" s="28"/>
      <c r="F41373" s="28"/>
      <c r="H41373" s="28"/>
    </row>
    <row r="41374" spans="4:8" x14ac:dyDescent="0.25">
      <c r="D41374" s="28"/>
      <c r="F41374" s="28"/>
      <c r="H41374" s="28"/>
    </row>
    <row r="41375" spans="4:8" x14ac:dyDescent="0.25">
      <c r="D41375" s="28"/>
      <c r="F41375" s="28"/>
      <c r="H41375" s="28"/>
    </row>
    <row r="41376" spans="4:8" x14ac:dyDescent="0.25">
      <c r="D41376" s="28"/>
      <c r="F41376" s="28"/>
      <c r="H41376" s="28"/>
    </row>
    <row r="41377" spans="4:8" x14ac:dyDescent="0.25">
      <c r="D41377" s="28"/>
      <c r="F41377" s="28"/>
      <c r="H41377" s="28"/>
    </row>
    <row r="41378" spans="4:8" x14ac:dyDescent="0.25">
      <c r="D41378" s="28"/>
      <c r="F41378" s="28"/>
      <c r="H41378" s="28"/>
    </row>
    <row r="41379" spans="4:8" x14ac:dyDescent="0.25">
      <c r="D41379" s="28"/>
      <c r="F41379" s="28"/>
      <c r="H41379" s="28"/>
    </row>
    <row r="41380" spans="4:8" x14ac:dyDescent="0.25">
      <c r="D41380" s="28"/>
      <c r="F41380" s="28"/>
      <c r="H41380" s="28"/>
    </row>
    <row r="41381" spans="4:8" x14ac:dyDescent="0.25">
      <c r="D41381" s="28"/>
      <c r="F41381" s="28"/>
      <c r="H41381" s="28"/>
    </row>
    <row r="41382" spans="4:8" x14ac:dyDescent="0.25">
      <c r="D41382" s="28"/>
      <c r="F41382" s="28"/>
      <c r="H41382" s="28"/>
    </row>
    <row r="41383" spans="4:8" x14ac:dyDescent="0.25">
      <c r="D41383" s="28"/>
      <c r="F41383" s="28"/>
      <c r="H41383" s="28"/>
    </row>
    <row r="41384" spans="4:8" x14ac:dyDescent="0.25">
      <c r="D41384" s="28"/>
      <c r="F41384" s="28"/>
      <c r="H41384" s="28"/>
    </row>
    <row r="41385" spans="4:8" x14ac:dyDescent="0.25">
      <c r="D41385" s="28"/>
      <c r="F41385" s="28"/>
      <c r="H41385" s="28"/>
    </row>
    <row r="41386" spans="4:8" x14ac:dyDescent="0.25">
      <c r="D41386" s="28"/>
      <c r="F41386" s="28"/>
      <c r="H41386" s="28"/>
    </row>
    <row r="41387" spans="4:8" x14ac:dyDescent="0.25">
      <c r="D41387" s="28"/>
      <c r="F41387" s="28"/>
      <c r="H41387" s="28"/>
    </row>
    <row r="41388" spans="4:8" x14ac:dyDescent="0.25">
      <c r="D41388" s="28"/>
      <c r="F41388" s="28"/>
      <c r="H41388" s="28"/>
    </row>
    <row r="41389" spans="4:8" x14ac:dyDescent="0.25">
      <c r="D41389" s="28"/>
      <c r="F41389" s="28"/>
      <c r="H41389" s="28"/>
    </row>
    <row r="41390" spans="4:8" x14ac:dyDescent="0.25">
      <c r="D41390" s="28"/>
      <c r="F41390" s="28"/>
      <c r="H41390" s="28"/>
    </row>
    <row r="41391" spans="4:8" x14ac:dyDescent="0.25">
      <c r="D41391" s="28"/>
      <c r="F41391" s="28"/>
      <c r="H41391" s="28"/>
    </row>
    <row r="41392" spans="4:8" x14ac:dyDescent="0.25">
      <c r="D41392" s="28"/>
      <c r="F41392" s="28"/>
      <c r="H41392" s="28"/>
    </row>
    <row r="41393" spans="4:8" x14ac:dyDescent="0.25">
      <c r="D41393" s="28"/>
      <c r="F41393" s="28"/>
      <c r="H41393" s="28"/>
    </row>
    <row r="41394" spans="4:8" x14ac:dyDescent="0.25">
      <c r="D41394" s="28"/>
      <c r="F41394" s="28"/>
      <c r="H41394" s="28"/>
    </row>
    <row r="41395" spans="4:8" x14ac:dyDescent="0.25">
      <c r="D41395" s="28"/>
      <c r="F41395" s="28"/>
      <c r="H41395" s="28"/>
    </row>
    <row r="41396" spans="4:8" x14ac:dyDescent="0.25">
      <c r="D41396" s="28"/>
      <c r="F41396" s="28"/>
      <c r="H41396" s="28"/>
    </row>
    <row r="41397" spans="4:8" x14ac:dyDescent="0.25">
      <c r="D41397" s="28"/>
      <c r="F41397" s="28"/>
      <c r="H41397" s="28"/>
    </row>
    <row r="41398" spans="4:8" x14ac:dyDescent="0.25">
      <c r="D41398" s="28"/>
      <c r="F41398" s="28"/>
      <c r="H41398" s="28"/>
    </row>
    <row r="41399" spans="4:8" x14ac:dyDescent="0.25">
      <c r="D41399" s="28"/>
      <c r="F41399" s="28"/>
      <c r="H41399" s="28"/>
    </row>
    <row r="41400" spans="4:8" x14ac:dyDescent="0.25">
      <c r="D41400" s="28"/>
      <c r="F41400" s="28"/>
      <c r="H41400" s="28"/>
    </row>
    <row r="41401" spans="4:8" x14ac:dyDescent="0.25">
      <c r="D41401" s="28"/>
      <c r="F41401" s="28"/>
      <c r="H41401" s="28"/>
    </row>
    <row r="41402" spans="4:8" x14ac:dyDescent="0.25">
      <c r="D41402" s="28"/>
      <c r="F41402" s="28"/>
      <c r="H41402" s="28"/>
    </row>
    <row r="41403" spans="4:8" x14ac:dyDescent="0.25">
      <c r="D41403" s="28"/>
      <c r="F41403" s="28"/>
      <c r="H41403" s="28"/>
    </row>
    <row r="41404" spans="4:8" x14ac:dyDescent="0.25">
      <c r="D41404" s="28"/>
      <c r="F41404" s="28"/>
      <c r="H41404" s="28"/>
    </row>
    <row r="41405" spans="4:8" x14ac:dyDescent="0.25">
      <c r="D41405" s="28"/>
      <c r="F41405" s="28"/>
      <c r="H41405" s="28"/>
    </row>
    <row r="41406" spans="4:8" x14ac:dyDescent="0.25">
      <c r="D41406" s="28"/>
      <c r="F41406" s="28"/>
      <c r="H41406" s="28"/>
    </row>
    <row r="41407" spans="4:8" x14ac:dyDescent="0.25">
      <c r="D41407" s="28"/>
      <c r="F41407" s="28"/>
      <c r="H41407" s="28"/>
    </row>
    <row r="41408" spans="4:8" x14ac:dyDescent="0.25">
      <c r="D41408" s="28"/>
      <c r="F41408" s="28"/>
      <c r="H41408" s="28"/>
    </row>
    <row r="41409" spans="4:8" x14ac:dyDescent="0.25">
      <c r="D41409" s="28"/>
      <c r="F41409" s="28"/>
      <c r="H41409" s="28"/>
    </row>
    <row r="41410" spans="4:8" x14ac:dyDescent="0.25">
      <c r="D41410" s="28"/>
      <c r="F41410" s="28"/>
      <c r="H41410" s="28"/>
    </row>
    <row r="41411" spans="4:8" x14ac:dyDescent="0.25">
      <c r="D41411" s="28"/>
      <c r="F41411" s="28"/>
      <c r="H41411" s="28"/>
    </row>
    <row r="41412" spans="4:8" x14ac:dyDescent="0.25">
      <c r="D41412" s="28"/>
      <c r="F41412" s="28"/>
      <c r="H41412" s="28"/>
    </row>
    <row r="41413" spans="4:8" x14ac:dyDescent="0.25">
      <c r="D41413" s="28"/>
      <c r="F41413" s="28"/>
      <c r="H41413" s="28"/>
    </row>
    <row r="41414" spans="4:8" x14ac:dyDescent="0.25">
      <c r="D41414" s="28"/>
      <c r="F41414" s="28"/>
      <c r="H41414" s="28"/>
    </row>
    <row r="41415" spans="4:8" x14ac:dyDescent="0.25">
      <c r="D41415" s="28"/>
      <c r="F41415" s="28"/>
      <c r="H41415" s="28"/>
    </row>
    <row r="41416" spans="4:8" x14ac:dyDescent="0.25">
      <c r="D41416" s="28"/>
      <c r="F41416" s="28"/>
      <c r="H41416" s="28"/>
    </row>
    <row r="41417" spans="4:8" x14ac:dyDescent="0.25">
      <c r="D41417" s="28"/>
      <c r="F41417" s="28"/>
      <c r="H41417" s="28"/>
    </row>
    <row r="41418" spans="4:8" x14ac:dyDescent="0.25">
      <c r="D41418" s="28"/>
      <c r="F41418" s="28"/>
      <c r="H41418" s="28"/>
    </row>
    <row r="41419" spans="4:8" x14ac:dyDescent="0.25">
      <c r="D41419" s="28"/>
      <c r="F41419" s="28"/>
      <c r="H41419" s="28"/>
    </row>
    <row r="41420" spans="4:8" x14ac:dyDescent="0.25">
      <c r="D41420" s="28"/>
      <c r="F41420" s="28"/>
      <c r="H41420" s="28"/>
    </row>
    <row r="41421" spans="4:8" x14ac:dyDescent="0.25">
      <c r="D41421" s="28"/>
      <c r="F41421" s="28"/>
      <c r="H41421" s="28"/>
    </row>
    <row r="41422" spans="4:8" x14ac:dyDescent="0.25">
      <c r="D41422" s="28"/>
      <c r="F41422" s="28"/>
      <c r="H41422" s="28"/>
    </row>
    <row r="41423" spans="4:8" x14ac:dyDescent="0.25">
      <c r="D41423" s="28"/>
      <c r="F41423" s="28"/>
      <c r="H41423" s="28"/>
    </row>
    <row r="41424" spans="4:8" x14ac:dyDescent="0.25">
      <c r="D41424" s="28"/>
      <c r="F41424" s="28"/>
      <c r="H41424" s="28"/>
    </row>
    <row r="41425" spans="4:8" x14ac:dyDescent="0.25">
      <c r="D41425" s="28"/>
      <c r="F41425" s="28"/>
      <c r="H41425" s="28"/>
    </row>
    <row r="41426" spans="4:8" x14ac:dyDescent="0.25">
      <c r="D41426" s="28"/>
      <c r="F41426" s="28"/>
      <c r="H41426" s="28"/>
    </row>
    <row r="41427" spans="4:8" x14ac:dyDescent="0.25">
      <c r="D41427" s="28"/>
      <c r="F41427" s="28"/>
      <c r="H41427" s="28"/>
    </row>
    <row r="41428" spans="4:8" x14ac:dyDescent="0.25">
      <c r="D41428" s="28"/>
      <c r="F41428" s="28"/>
      <c r="H41428" s="28"/>
    </row>
    <row r="41429" spans="4:8" x14ac:dyDescent="0.25">
      <c r="D41429" s="28"/>
      <c r="F41429" s="28"/>
      <c r="H41429" s="28"/>
    </row>
    <row r="41430" spans="4:8" x14ac:dyDescent="0.25">
      <c r="D41430" s="28"/>
      <c r="F41430" s="28"/>
      <c r="H41430" s="28"/>
    </row>
    <row r="41431" spans="4:8" x14ac:dyDescent="0.25">
      <c r="D41431" s="28"/>
      <c r="F41431" s="28"/>
      <c r="H41431" s="28"/>
    </row>
    <row r="41432" spans="4:8" x14ac:dyDescent="0.25">
      <c r="D41432" s="28"/>
      <c r="F41432" s="28"/>
      <c r="H41432" s="28"/>
    </row>
    <row r="41433" spans="4:8" x14ac:dyDescent="0.25">
      <c r="D41433" s="28"/>
      <c r="F41433" s="28"/>
      <c r="H41433" s="28"/>
    </row>
    <row r="41434" spans="4:8" x14ac:dyDescent="0.25">
      <c r="D41434" s="28"/>
      <c r="F41434" s="28"/>
      <c r="H41434" s="28"/>
    </row>
    <row r="41435" spans="4:8" x14ac:dyDescent="0.25">
      <c r="D41435" s="28"/>
      <c r="F41435" s="28"/>
      <c r="H41435" s="28"/>
    </row>
    <row r="41436" spans="4:8" x14ac:dyDescent="0.25">
      <c r="D41436" s="28"/>
      <c r="F41436" s="28"/>
      <c r="H41436" s="28"/>
    </row>
    <row r="41437" spans="4:8" x14ac:dyDescent="0.25">
      <c r="D41437" s="28"/>
      <c r="F41437" s="28"/>
      <c r="H41437" s="28"/>
    </row>
    <row r="41438" spans="4:8" x14ac:dyDescent="0.25">
      <c r="D41438" s="28"/>
      <c r="F41438" s="28"/>
      <c r="H41438" s="28"/>
    </row>
    <row r="41439" spans="4:8" x14ac:dyDescent="0.25">
      <c r="D41439" s="28"/>
      <c r="F41439" s="28"/>
      <c r="H41439" s="28"/>
    </row>
    <row r="41440" spans="4:8" x14ac:dyDescent="0.25">
      <c r="D41440" s="28"/>
      <c r="F41440" s="28"/>
      <c r="H41440" s="28"/>
    </row>
    <row r="41441" spans="4:8" x14ac:dyDescent="0.25">
      <c r="D41441" s="28"/>
      <c r="F41441" s="28"/>
      <c r="H41441" s="28"/>
    </row>
    <row r="41442" spans="4:8" x14ac:dyDescent="0.25">
      <c r="D41442" s="28"/>
      <c r="F41442" s="28"/>
      <c r="H41442" s="28"/>
    </row>
    <row r="41443" spans="4:8" x14ac:dyDescent="0.25">
      <c r="D41443" s="28"/>
      <c r="F41443" s="28"/>
      <c r="H41443" s="28"/>
    </row>
    <row r="41444" spans="4:8" x14ac:dyDescent="0.25">
      <c r="D41444" s="28"/>
      <c r="F41444" s="28"/>
      <c r="H41444" s="28"/>
    </row>
    <row r="41445" spans="4:8" x14ac:dyDescent="0.25">
      <c r="D41445" s="28"/>
      <c r="F41445" s="28"/>
      <c r="H41445" s="28"/>
    </row>
    <row r="41446" spans="4:8" x14ac:dyDescent="0.25">
      <c r="D41446" s="28"/>
      <c r="F41446" s="28"/>
      <c r="H41446" s="28"/>
    </row>
    <row r="41447" spans="4:8" x14ac:dyDescent="0.25">
      <c r="D41447" s="28"/>
      <c r="F41447" s="28"/>
      <c r="H41447" s="28"/>
    </row>
    <row r="41448" spans="4:8" x14ac:dyDescent="0.25">
      <c r="D41448" s="28"/>
      <c r="F41448" s="28"/>
      <c r="H41448" s="28"/>
    </row>
    <row r="41449" spans="4:8" x14ac:dyDescent="0.25">
      <c r="D41449" s="28"/>
      <c r="F41449" s="28"/>
      <c r="H41449" s="28"/>
    </row>
    <row r="41450" spans="4:8" x14ac:dyDescent="0.25">
      <c r="D41450" s="28"/>
      <c r="F41450" s="28"/>
      <c r="H41450" s="28"/>
    </row>
    <row r="41451" spans="4:8" x14ac:dyDescent="0.25">
      <c r="D41451" s="28"/>
      <c r="F41451" s="28"/>
      <c r="H41451" s="28"/>
    </row>
    <row r="41452" spans="4:8" x14ac:dyDescent="0.25">
      <c r="D41452" s="28"/>
      <c r="F41452" s="28"/>
      <c r="H41452" s="28"/>
    </row>
    <row r="41453" spans="4:8" x14ac:dyDescent="0.25">
      <c r="D41453" s="28"/>
      <c r="F41453" s="28"/>
      <c r="H41453" s="28"/>
    </row>
    <row r="41454" spans="4:8" x14ac:dyDescent="0.25">
      <c r="D41454" s="28"/>
      <c r="F41454" s="28"/>
      <c r="H41454" s="28"/>
    </row>
    <row r="41455" spans="4:8" x14ac:dyDescent="0.25">
      <c r="D41455" s="28"/>
      <c r="F41455" s="28"/>
      <c r="H41455" s="28"/>
    </row>
    <row r="41456" spans="4:8" x14ac:dyDescent="0.25">
      <c r="D41456" s="28"/>
      <c r="F41456" s="28"/>
      <c r="H41456" s="28"/>
    </row>
    <row r="41457" spans="4:8" x14ac:dyDescent="0.25">
      <c r="D41457" s="28"/>
      <c r="F41457" s="28"/>
      <c r="H41457" s="28"/>
    </row>
    <row r="41458" spans="4:8" x14ac:dyDescent="0.25">
      <c r="D41458" s="28"/>
      <c r="F41458" s="28"/>
      <c r="H41458" s="28"/>
    </row>
    <row r="41459" spans="4:8" x14ac:dyDescent="0.25">
      <c r="D41459" s="28"/>
      <c r="F41459" s="28"/>
      <c r="H41459" s="28"/>
    </row>
    <row r="41460" spans="4:8" x14ac:dyDescent="0.25">
      <c r="D41460" s="28"/>
      <c r="F41460" s="28"/>
      <c r="H41460" s="28"/>
    </row>
    <row r="41461" spans="4:8" x14ac:dyDescent="0.25">
      <c r="D41461" s="28"/>
      <c r="F41461" s="28"/>
      <c r="H41461" s="28"/>
    </row>
    <row r="41462" spans="4:8" x14ac:dyDescent="0.25">
      <c r="D41462" s="28"/>
      <c r="F41462" s="28"/>
      <c r="H41462" s="28"/>
    </row>
    <row r="41463" spans="4:8" x14ac:dyDescent="0.25">
      <c r="D41463" s="28"/>
      <c r="F41463" s="28"/>
      <c r="H41463" s="28"/>
    </row>
    <row r="41464" spans="4:8" x14ac:dyDescent="0.25">
      <c r="D41464" s="28"/>
      <c r="F41464" s="28"/>
      <c r="H41464" s="28"/>
    </row>
    <row r="41465" spans="4:8" x14ac:dyDescent="0.25">
      <c r="D41465" s="28"/>
      <c r="F41465" s="28"/>
      <c r="H41465" s="28"/>
    </row>
    <row r="41466" spans="4:8" x14ac:dyDescent="0.25">
      <c r="D41466" s="28"/>
      <c r="F41466" s="28"/>
      <c r="H41466" s="28"/>
    </row>
    <row r="41467" spans="4:8" x14ac:dyDescent="0.25">
      <c r="D41467" s="28"/>
      <c r="F41467" s="28"/>
      <c r="H41467" s="28"/>
    </row>
    <row r="41468" spans="4:8" x14ac:dyDescent="0.25">
      <c r="D41468" s="28"/>
      <c r="F41468" s="28"/>
      <c r="H41468" s="28"/>
    </row>
    <row r="41469" spans="4:8" x14ac:dyDescent="0.25">
      <c r="D41469" s="28"/>
      <c r="F41469" s="28"/>
      <c r="H41469" s="28"/>
    </row>
    <row r="41470" spans="4:8" x14ac:dyDescent="0.25">
      <c r="D41470" s="28"/>
      <c r="F41470" s="28"/>
      <c r="H41470" s="28"/>
    </row>
    <row r="41471" spans="4:8" x14ac:dyDescent="0.25">
      <c r="D41471" s="28"/>
      <c r="F41471" s="28"/>
      <c r="H41471" s="28"/>
    </row>
    <row r="41472" spans="4:8" x14ac:dyDescent="0.25">
      <c r="D41472" s="28"/>
      <c r="F41472" s="28"/>
      <c r="H41472" s="28"/>
    </row>
    <row r="41473" spans="4:8" x14ac:dyDescent="0.25">
      <c r="D41473" s="28"/>
      <c r="F41473" s="28"/>
      <c r="H41473" s="28"/>
    </row>
    <row r="41474" spans="4:8" x14ac:dyDescent="0.25">
      <c r="D41474" s="28"/>
      <c r="F41474" s="28"/>
      <c r="H41474" s="28"/>
    </row>
    <row r="41475" spans="4:8" x14ac:dyDescent="0.25">
      <c r="D41475" s="28"/>
      <c r="F41475" s="28"/>
      <c r="H41475" s="28"/>
    </row>
    <row r="41476" spans="4:8" x14ac:dyDescent="0.25">
      <c r="D41476" s="28"/>
      <c r="F41476" s="28"/>
      <c r="H41476" s="28"/>
    </row>
    <row r="41477" spans="4:8" x14ac:dyDescent="0.25">
      <c r="D41477" s="28"/>
      <c r="F41477" s="28"/>
      <c r="H41477" s="28"/>
    </row>
    <row r="41478" spans="4:8" x14ac:dyDescent="0.25">
      <c r="D41478" s="28"/>
      <c r="F41478" s="28"/>
      <c r="H41478" s="28"/>
    </row>
    <row r="41479" spans="4:8" x14ac:dyDescent="0.25">
      <c r="D41479" s="28"/>
      <c r="F41479" s="28"/>
      <c r="H41479" s="28"/>
    </row>
    <row r="41480" spans="4:8" x14ac:dyDescent="0.25">
      <c r="D41480" s="28"/>
      <c r="F41480" s="28"/>
      <c r="H41480" s="28"/>
    </row>
    <row r="41481" spans="4:8" x14ac:dyDescent="0.25">
      <c r="D41481" s="28"/>
      <c r="F41481" s="28"/>
      <c r="H41481" s="28"/>
    </row>
    <row r="41482" spans="4:8" x14ac:dyDescent="0.25">
      <c r="D41482" s="28"/>
      <c r="F41482" s="28"/>
      <c r="H41482" s="28"/>
    </row>
    <row r="41483" spans="4:8" x14ac:dyDescent="0.25">
      <c r="D41483" s="28"/>
      <c r="F41483" s="28"/>
      <c r="H41483" s="28"/>
    </row>
    <row r="41484" spans="4:8" x14ac:dyDescent="0.25">
      <c r="D41484" s="28"/>
      <c r="F41484" s="28"/>
      <c r="H41484" s="28"/>
    </row>
    <row r="41485" spans="4:8" x14ac:dyDescent="0.25">
      <c r="D41485" s="28"/>
      <c r="F41485" s="28"/>
      <c r="H41485" s="28"/>
    </row>
    <row r="41486" spans="4:8" x14ac:dyDescent="0.25">
      <c r="D41486" s="28"/>
      <c r="F41486" s="28"/>
      <c r="H41486" s="28"/>
    </row>
    <row r="41487" spans="4:8" x14ac:dyDescent="0.25">
      <c r="D41487" s="28"/>
      <c r="F41487" s="28"/>
      <c r="H41487" s="28"/>
    </row>
    <row r="41488" spans="4:8" x14ac:dyDescent="0.25">
      <c r="D41488" s="28"/>
      <c r="F41488" s="28"/>
      <c r="H41488" s="28"/>
    </row>
    <row r="41489" spans="4:8" x14ac:dyDescent="0.25">
      <c r="D41489" s="28"/>
      <c r="F41489" s="28"/>
      <c r="H41489" s="28"/>
    </row>
    <row r="41490" spans="4:8" x14ac:dyDescent="0.25">
      <c r="D41490" s="28"/>
      <c r="F41490" s="28"/>
      <c r="H41490" s="28"/>
    </row>
    <row r="41491" spans="4:8" x14ac:dyDescent="0.25">
      <c r="D41491" s="28"/>
      <c r="F41491" s="28"/>
      <c r="H41491" s="28"/>
    </row>
    <row r="41492" spans="4:8" x14ac:dyDescent="0.25">
      <c r="D41492" s="28"/>
      <c r="F41492" s="28"/>
      <c r="H41492" s="28"/>
    </row>
    <row r="41493" spans="4:8" x14ac:dyDescent="0.25">
      <c r="D41493" s="28"/>
      <c r="F41493" s="28"/>
      <c r="H41493" s="28"/>
    </row>
    <row r="41494" spans="4:8" x14ac:dyDescent="0.25">
      <c r="D41494" s="28"/>
      <c r="F41494" s="28"/>
      <c r="H41494" s="28"/>
    </row>
    <row r="41495" spans="4:8" x14ac:dyDescent="0.25">
      <c r="D41495" s="28"/>
      <c r="F41495" s="28"/>
      <c r="H41495" s="28"/>
    </row>
    <row r="41496" spans="4:8" x14ac:dyDescent="0.25">
      <c r="D41496" s="28"/>
      <c r="F41496" s="28"/>
      <c r="H41496" s="28"/>
    </row>
    <row r="41497" spans="4:8" x14ac:dyDescent="0.25">
      <c r="D41497" s="28"/>
      <c r="F41497" s="28"/>
      <c r="H41497" s="28"/>
    </row>
    <row r="41498" spans="4:8" x14ac:dyDescent="0.25">
      <c r="D41498" s="28"/>
      <c r="F41498" s="28"/>
      <c r="H41498" s="28"/>
    </row>
    <row r="41499" spans="4:8" x14ac:dyDescent="0.25">
      <c r="D41499" s="28"/>
      <c r="F41499" s="28"/>
      <c r="H41499" s="28"/>
    </row>
    <row r="41500" spans="4:8" x14ac:dyDescent="0.25">
      <c r="D41500" s="28"/>
      <c r="F41500" s="28"/>
      <c r="H41500" s="28"/>
    </row>
    <row r="41501" spans="4:8" x14ac:dyDescent="0.25">
      <c r="D41501" s="28"/>
      <c r="F41501" s="28"/>
      <c r="H41501" s="28"/>
    </row>
    <row r="41502" spans="4:8" x14ac:dyDescent="0.25">
      <c r="D41502" s="28"/>
      <c r="F41502" s="28"/>
      <c r="H41502" s="28"/>
    </row>
    <row r="41503" spans="4:8" x14ac:dyDescent="0.25">
      <c r="D41503" s="28"/>
      <c r="F41503" s="28"/>
      <c r="H41503" s="28"/>
    </row>
    <row r="41504" spans="4:8" x14ac:dyDescent="0.25">
      <c r="D41504" s="28"/>
      <c r="F41504" s="28"/>
      <c r="H41504" s="28"/>
    </row>
    <row r="41505" spans="4:8" x14ac:dyDescent="0.25">
      <c r="D41505" s="28"/>
      <c r="F41505" s="28"/>
      <c r="H41505" s="28"/>
    </row>
    <row r="41506" spans="4:8" x14ac:dyDescent="0.25">
      <c r="D41506" s="28"/>
      <c r="F41506" s="28"/>
      <c r="H41506" s="28"/>
    </row>
    <row r="41507" spans="4:8" x14ac:dyDescent="0.25">
      <c r="D41507" s="28"/>
      <c r="F41507" s="28"/>
      <c r="H41507" s="28"/>
    </row>
    <row r="41508" spans="4:8" x14ac:dyDescent="0.25">
      <c r="D41508" s="28"/>
      <c r="F41508" s="28"/>
      <c r="H41508" s="28"/>
    </row>
    <row r="41509" spans="4:8" x14ac:dyDescent="0.25">
      <c r="D41509" s="28"/>
      <c r="F41509" s="28"/>
      <c r="H41509" s="28"/>
    </row>
    <row r="41510" spans="4:8" x14ac:dyDescent="0.25">
      <c r="D41510" s="28"/>
      <c r="F41510" s="28"/>
      <c r="H41510" s="28"/>
    </row>
    <row r="41511" spans="4:8" x14ac:dyDescent="0.25">
      <c r="D41511" s="28"/>
      <c r="F41511" s="28"/>
      <c r="H41511" s="28"/>
    </row>
    <row r="41512" spans="4:8" x14ac:dyDescent="0.25">
      <c r="D41512" s="28"/>
      <c r="F41512" s="28"/>
      <c r="H41512" s="28"/>
    </row>
    <row r="41513" spans="4:8" x14ac:dyDescent="0.25">
      <c r="D41513" s="28"/>
      <c r="F41513" s="28"/>
      <c r="H41513" s="28"/>
    </row>
    <row r="41514" spans="4:8" x14ac:dyDescent="0.25">
      <c r="D41514" s="28"/>
      <c r="F41514" s="28"/>
      <c r="H41514" s="28"/>
    </row>
    <row r="41515" spans="4:8" x14ac:dyDescent="0.25">
      <c r="D41515" s="28"/>
      <c r="F41515" s="28"/>
      <c r="H41515" s="28"/>
    </row>
    <row r="41516" spans="4:8" x14ac:dyDescent="0.25">
      <c r="D41516" s="28"/>
      <c r="F41516" s="28"/>
      <c r="H41516" s="28"/>
    </row>
    <row r="41517" spans="4:8" x14ac:dyDescent="0.25">
      <c r="D41517" s="28"/>
      <c r="F41517" s="28"/>
      <c r="H41517" s="28"/>
    </row>
    <row r="41518" spans="4:8" x14ac:dyDescent="0.25">
      <c r="D41518" s="28"/>
      <c r="F41518" s="28"/>
      <c r="H41518" s="28"/>
    </row>
    <row r="41519" spans="4:8" x14ac:dyDescent="0.25">
      <c r="D41519" s="28"/>
      <c r="F41519" s="28"/>
      <c r="H41519" s="28"/>
    </row>
    <row r="41520" spans="4:8" x14ac:dyDescent="0.25">
      <c r="D41520" s="28"/>
      <c r="F41520" s="28"/>
      <c r="H41520" s="28"/>
    </row>
    <row r="41521" spans="4:8" x14ac:dyDescent="0.25">
      <c r="D41521" s="28"/>
      <c r="F41521" s="28"/>
      <c r="H41521" s="28"/>
    </row>
    <row r="41522" spans="4:8" x14ac:dyDescent="0.25">
      <c r="D41522" s="28"/>
      <c r="F41522" s="28"/>
      <c r="H41522" s="28"/>
    </row>
    <row r="41523" spans="4:8" x14ac:dyDescent="0.25">
      <c r="D41523" s="28"/>
      <c r="F41523" s="28"/>
      <c r="H41523" s="28"/>
    </row>
    <row r="41524" spans="4:8" x14ac:dyDescent="0.25">
      <c r="D41524" s="28"/>
      <c r="F41524" s="28"/>
      <c r="H41524" s="28"/>
    </row>
    <row r="41525" spans="4:8" x14ac:dyDescent="0.25">
      <c r="D41525" s="28"/>
      <c r="F41525" s="28"/>
      <c r="H41525" s="28"/>
    </row>
    <row r="41526" spans="4:8" x14ac:dyDescent="0.25">
      <c r="D41526" s="28"/>
      <c r="F41526" s="28"/>
      <c r="H41526" s="28"/>
    </row>
    <row r="41527" spans="4:8" x14ac:dyDescent="0.25">
      <c r="D41527" s="28"/>
      <c r="F41527" s="28"/>
      <c r="H41527" s="28"/>
    </row>
    <row r="41528" spans="4:8" x14ac:dyDescent="0.25">
      <c r="D41528" s="28"/>
      <c r="F41528" s="28"/>
      <c r="H41528" s="28"/>
    </row>
    <row r="41529" spans="4:8" x14ac:dyDescent="0.25">
      <c r="D41529" s="28"/>
      <c r="F41529" s="28"/>
      <c r="H41529" s="28"/>
    </row>
    <row r="41530" spans="4:8" x14ac:dyDescent="0.25">
      <c r="D41530" s="28"/>
      <c r="F41530" s="28"/>
      <c r="H41530" s="28"/>
    </row>
    <row r="41531" spans="4:8" x14ac:dyDescent="0.25">
      <c r="D41531" s="28"/>
      <c r="F41531" s="28"/>
      <c r="H41531" s="28"/>
    </row>
    <row r="41532" spans="4:8" x14ac:dyDescent="0.25">
      <c r="D41532" s="28"/>
      <c r="F41532" s="28"/>
      <c r="H41532" s="28"/>
    </row>
    <row r="41533" spans="4:8" x14ac:dyDescent="0.25">
      <c r="D41533" s="28"/>
      <c r="F41533" s="28"/>
      <c r="H41533" s="28"/>
    </row>
    <row r="41534" spans="4:8" x14ac:dyDescent="0.25">
      <c r="D41534" s="28"/>
      <c r="F41534" s="28"/>
      <c r="H41534" s="28"/>
    </row>
    <row r="41535" spans="4:8" x14ac:dyDescent="0.25">
      <c r="D41535" s="28"/>
      <c r="F41535" s="28"/>
      <c r="H41535" s="28"/>
    </row>
    <row r="41536" spans="4:8" x14ac:dyDescent="0.25">
      <c r="D41536" s="28"/>
      <c r="F41536" s="28"/>
      <c r="H41536" s="28"/>
    </row>
    <row r="41537" spans="4:8" x14ac:dyDescent="0.25">
      <c r="D41537" s="28"/>
      <c r="F41537" s="28"/>
      <c r="H41537" s="28"/>
    </row>
    <row r="41538" spans="4:8" x14ac:dyDescent="0.25">
      <c r="D41538" s="28"/>
      <c r="F41538" s="28"/>
      <c r="H41538" s="28"/>
    </row>
    <row r="41539" spans="4:8" x14ac:dyDescent="0.25">
      <c r="D41539" s="28"/>
      <c r="F41539" s="28"/>
      <c r="H41539" s="28"/>
    </row>
    <row r="41540" spans="4:8" x14ac:dyDescent="0.25">
      <c r="D41540" s="28"/>
      <c r="F41540" s="28"/>
      <c r="H41540" s="28"/>
    </row>
    <row r="41541" spans="4:8" x14ac:dyDescent="0.25">
      <c r="D41541" s="28"/>
      <c r="F41541" s="28"/>
      <c r="H41541" s="28"/>
    </row>
    <row r="41542" spans="4:8" x14ac:dyDescent="0.25">
      <c r="D41542" s="28"/>
      <c r="F41542" s="28"/>
      <c r="H41542" s="28"/>
    </row>
    <row r="41543" spans="4:8" x14ac:dyDescent="0.25">
      <c r="D41543" s="28"/>
      <c r="F41543" s="28"/>
      <c r="H41543" s="28"/>
    </row>
    <row r="41544" spans="4:8" x14ac:dyDescent="0.25">
      <c r="D41544" s="28"/>
      <c r="F41544" s="28"/>
      <c r="H41544" s="28"/>
    </row>
    <row r="41545" spans="4:8" x14ac:dyDescent="0.25">
      <c r="D41545" s="28"/>
      <c r="F41545" s="28"/>
      <c r="H41545" s="28"/>
    </row>
    <row r="41546" spans="4:8" x14ac:dyDescent="0.25">
      <c r="D41546" s="28"/>
      <c r="F41546" s="28"/>
      <c r="H41546" s="28"/>
    </row>
    <row r="41547" spans="4:8" x14ac:dyDescent="0.25">
      <c r="D41547" s="28"/>
      <c r="F41547" s="28"/>
      <c r="H41547" s="28"/>
    </row>
    <row r="41548" spans="4:8" x14ac:dyDescent="0.25">
      <c r="D41548" s="28"/>
      <c r="F41548" s="28"/>
      <c r="H41548" s="28"/>
    </row>
    <row r="41549" spans="4:8" x14ac:dyDescent="0.25">
      <c r="D41549" s="28"/>
      <c r="F41549" s="28"/>
      <c r="H41549" s="28"/>
    </row>
    <row r="41550" spans="4:8" x14ac:dyDescent="0.25">
      <c r="D41550" s="28"/>
      <c r="F41550" s="28"/>
      <c r="H41550" s="28"/>
    </row>
    <row r="41551" spans="4:8" x14ac:dyDescent="0.25">
      <c r="D41551" s="28"/>
      <c r="F41551" s="28"/>
      <c r="H41551" s="28"/>
    </row>
    <row r="41552" spans="4:8" x14ac:dyDescent="0.25">
      <c r="D41552" s="28"/>
      <c r="F41552" s="28"/>
      <c r="H41552" s="28"/>
    </row>
    <row r="41553" spans="4:8" x14ac:dyDescent="0.25">
      <c r="D41553" s="28"/>
      <c r="F41553" s="28"/>
      <c r="H41553" s="28"/>
    </row>
    <row r="41554" spans="4:8" x14ac:dyDescent="0.25">
      <c r="D41554" s="28"/>
      <c r="F41554" s="28"/>
      <c r="H41554" s="28"/>
    </row>
    <row r="41555" spans="4:8" x14ac:dyDescent="0.25">
      <c r="D41555" s="28"/>
      <c r="F41555" s="28"/>
      <c r="H41555" s="28"/>
    </row>
    <row r="41556" spans="4:8" x14ac:dyDescent="0.25">
      <c r="D41556" s="28"/>
      <c r="F41556" s="28"/>
      <c r="H41556" s="28"/>
    </row>
    <row r="41557" spans="4:8" x14ac:dyDescent="0.25">
      <c r="D41557" s="28"/>
      <c r="F41557" s="28"/>
      <c r="H41557" s="28"/>
    </row>
    <row r="41558" spans="4:8" x14ac:dyDescent="0.25">
      <c r="D41558" s="28"/>
      <c r="F41558" s="28"/>
      <c r="H41558" s="28"/>
    </row>
    <row r="41559" spans="4:8" x14ac:dyDescent="0.25">
      <c r="D41559" s="28"/>
      <c r="F41559" s="28"/>
      <c r="H41559" s="28"/>
    </row>
    <row r="41560" spans="4:8" x14ac:dyDescent="0.25">
      <c r="D41560" s="28"/>
      <c r="F41560" s="28"/>
      <c r="H41560" s="28"/>
    </row>
    <row r="41561" spans="4:8" x14ac:dyDescent="0.25">
      <c r="D41561" s="28"/>
      <c r="F41561" s="28"/>
      <c r="H41561" s="28"/>
    </row>
    <row r="41562" spans="4:8" x14ac:dyDescent="0.25">
      <c r="D41562" s="28"/>
      <c r="F41562" s="28"/>
      <c r="H41562" s="28"/>
    </row>
    <row r="41563" spans="4:8" x14ac:dyDescent="0.25">
      <c r="D41563" s="28"/>
      <c r="F41563" s="28"/>
      <c r="H41563" s="28"/>
    </row>
    <row r="41564" spans="4:8" x14ac:dyDescent="0.25">
      <c r="D41564" s="28"/>
      <c r="F41564" s="28"/>
      <c r="H41564" s="28"/>
    </row>
    <row r="41565" spans="4:8" x14ac:dyDescent="0.25">
      <c r="D41565" s="28"/>
      <c r="F41565" s="28"/>
      <c r="H41565" s="28"/>
    </row>
    <row r="41566" spans="4:8" x14ac:dyDescent="0.25">
      <c r="D41566" s="28"/>
      <c r="F41566" s="28"/>
      <c r="H41566" s="28"/>
    </row>
    <row r="41567" spans="4:8" x14ac:dyDescent="0.25">
      <c r="D41567" s="28"/>
      <c r="F41567" s="28"/>
      <c r="H41567" s="28"/>
    </row>
    <row r="41568" spans="4:8" x14ac:dyDescent="0.25">
      <c r="D41568" s="28"/>
      <c r="F41568" s="28"/>
      <c r="H41568" s="28"/>
    </row>
    <row r="41569" spans="4:8" x14ac:dyDescent="0.25">
      <c r="D41569" s="28"/>
      <c r="F41569" s="28"/>
      <c r="H41569" s="28"/>
    </row>
    <row r="41570" spans="4:8" x14ac:dyDescent="0.25">
      <c r="D41570" s="28"/>
      <c r="F41570" s="28"/>
      <c r="H41570" s="28"/>
    </row>
    <row r="41571" spans="4:8" x14ac:dyDescent="0.25">
      <c r="D41571" s="28"/>
      <c r="F41571" s="28"/>
      <c r="H41571" s="28"/>
    </row>
    <row r="41572" spans="4:8" x14ac:dyDescent="0.25">
      <c r="D41572" s="28"/>
      <c r="F41572" s="28"/>
      <c r="H41572" s="28"/>
    </row>
    <row r="41573" spans="4:8" x14ac:dyDescent="0.25">
      <c r="D41573" s="28"/>
      <c r="F41573" s="28"/>
      <c r="H41573" s="28"/>
    </row>
    <row r="41574" spans="4:8" x14ac:dyDescent="0.25">
      <c r="D41574" s="28"/>
      <c r="F41574" s="28"/>
      <c r="H41574" s="28"/>
    </row>
    <row r="41575" spans="4:8" x14ac:dyDescent="0.25">
      <c r="D41575" s="28"/>
      <c r="F41575" s="28"/>
      <c r="H41575" s="28"/>
    </row>
    <row r="41576" spans="4:8" x14ac:dyDescent="0.25">
      <c r="D41576" s="28"/>
      <c r="F41576" s="28"/>
      <c r="H41576" s="28"/>
    </row>
    <row r="41577" spans="4:8" x14ac:dyDescent="0.25">
      <c r="D41577" s="28"/>
      <c r="F41577" s="28"/>
      <c r="H41577" s="28"/>
    </row>
    <row r="41578" spans="4:8" x14ac:dyDescent="0.25">
      <c r="D41578" s="28"/>
      <c r="F41578" s="28"/>
      <c r="H41578" s="28"/>
    </row>
    <row r="41579" spans="4:8" x14ac:dyDescent="0.25">
      <c r="D41579" s="28"/>
      <c r="F41579" s="28"/>
      <c r="H41579" s="28"/>
    </row>
    <row r="41580" spans="4:8" x14ac:dyDescent="0.25">
      <c r="D41580" s="28"/>
      <c r="F41580" s="28"/>
      <c r="H41580" s="28"/>
    </row>
    <row r="41581" spans="4:8" x14ac:dyDescent="0.25">
      <c r="D41581" s="28"/>
      <c r="F41581" s="28"/>
      <c r="H41581" s="28"/>
    </row>
    <row r="41582" spans="4:8" x14ac:dyDescent="0.25">
      <c r="D41582" s="28"/>
      <c r="F41582" s="28"/>
      <c r="H41582" s="28"/>
    </row>
    <row r="41583" spans="4:8" x14ac:dyDescent="0.25">
      <c r="D41583" s="28"/>
      <c r="F41583" s="28"/>
      <c r="H41583" s="28"/>
    </row>
    <row r="41584" spans="4:8" x14ac:dyDescent="0.25">
      <c r="D41584" s="28"/>
      <c r="F41584" s="28"/>
      <c r="H41584" s="28"/>
    </row>
    <row r="41585" spans="4:8" x14ac:dyDescent="0.25">
      <c r="D41585" s="28"/>
      <c r="F41585" s="28"/>
      <c r="H41585" s="28"/>
    </row>
    <row r="41586" spans="4:8" x14ac:dyDescent="0.25">
      <c r="D41586" s="28"/>
      <c r="F41586" s="28"/>
      <c r="H41586" s="28"/>
    </row>
    <row r="41587" spans="4:8" x14ac:dyDescent="0.25">
      <c r="D41587" s="28"/>
      <c r="F41587" s="28"/>
      <c r="H41587" s="28"/>
    </row>
    <row r="41588" spans="4:8" x14ac:dyDescent="0.25">
      <c r="D41588" s="28"/>
      <c r="F41588" s="28"/>
      <c r="H41588" s="28"/>
    </row>
    <row r="41589" spans="4:8" x14ac:dyDescent="0.25">
      <c r="D41589" s="28"/>
      <c r="F41589" s="28"/>
      <c r="H41589" s="28"/>
    </row>
    <row r="41590" spans="4:8" x14ac:dyDescent="0.25">
      <c r="D41590" s="28"/>
      <c r="F41590" s="28"/>
      <c r="H41590" s="28"/>
    </row>
    <row r="41591" spans="4:8" x14ac:dyDescent="0.25">
      <c r="D41591" s="28"/>
      <c r="F41591" s="28"/>
      <c r="H41591" s="28"/>
    </row>
    <row r="41592" spans="4:8" x14ac:dyDescent="0.25">
      <c r="D41592" s="28"/>
      <c r="F41592" s="28"/>
      <c r="H41592" s="28"/>
    </row>
    <row r="41593" spans="4:8" x14ac:dyDescent="0.25">
      <c r="D41593" s="28"/>
      <c r="F41593" s="28"/>
      <c r="H41593" s="28"/>
    </row>
    <row r="41594" spans="4:8" x14ac:dyDescent="0.25">
      <c r="D41594" s="28"/>
      <c r="F41594" s="28"/>
      <c r="H41594" s="28"/>
    </row>
    <row r="41595" spans="4:8" x14ac:dyDescent="0.25">
      <c r="D41595" s="28"/>
      <c r="F41595" s="28"/>
      <c r="H41595" s="28"/>
    </row>
    <row r="41596" spans="4:8" x14ac:dyDescent="0.25">
      <c r="D41596" s="28"/>
      <c r="F41596" s="28"/>
      <c r="H41596" s="28"/>
    </row>
    <row r="41597" spans="4:8" x14ac:dyDescent="0.25">
      <c r="D41597" s="28"/>
      <c r="F41597" s="28"/>
      <c r="H41597" s="28"/>
    </row>
    <row r="41598" spans="4:8" x14ac:dyDescent="0.25">
      <c r="D41598" s="28"/>
      <c r="F41598" s="28"/>
      <c r="H41598" s="28"/>
    </row>
    <row r="41599" spans="4:8" x14ac:dyDescent="0.25">
      <c r="D41599" s="28"/>
      <c r="F41599" s="28"/>
      <c r="H41599" s="28"/>
    </row>
    <row r="41600" spans="4:8" x14ac:dyDescent="0.25">
      <c r="D41600" s="28"/>
      <c r="F41600" s="28"/>
      <c r="H41600" s="28"/>
    </row>
    <row r="41601" spans="4:8" x14ac:dyDescent="0.25">
      <c r="D41601" s="28"/>
      <c r="F41601" s="28"/>
      <c r="H41601" s="28"/>
    </row>
    <row r="41602" spans="4:8" x14ac:dyDescent="0.25">
      <c r="D41602" s="28"/>
      <c r="F41602" s="28"/>
      <c r="H41602" s="28"/>
    </row>
    <row r="41603" spans="4:8" x14ac:dyDescent="0.25">
      <c r="D41603" s="28"/>
      <c r="F41603" s="28"/>
      <c r="H41603" s="28"/>
    </row>
    <row r="41604" spans="4:8" x14ac:dyDescent="0.25">
      <c r="D41604" s="28"/>
      <c r="F41604" s="28"/>
      <c r="H41604" s="28"/>
    </row>
    <row r="41605" spans="4:8" x14ac:dyDescent="0.25">
      <c r="D41605" s="28"/>
      <c r="F41605" s="28"/>
      <c r="H41605" s="28"/>
    </row>
    <row r="41606" spans="4:8" x14ac:dyDescent="0.25">
      <c r="D41606" s="28"/>
      <c r="F41606" s="28"/>
      <c r="H41606" s="28"/>
    </row>
    <row r="41607" spans="4:8" x14ac:dyDescent="0.25">
      <c r="D41607" s="28"/>
      <c r="F41607" s="28"/>
      <c r="H41607" s="28"/>
    </row>
    <row r="41608" spans="4:8" x14ac:dyDescent="0.25">
      <c r="D41608" s="28"/>
      <c r="F41608" s="28"/>
      <c r="H41608" s="28"/>
    </row>
    <row r="41609" spans="4:8" x14ac:dyDescent="0.25">
      <c r="D41609" s="28"/>
      <c r="F41609" s="28"/>
      <c r="H41609" s="28"/>
    </row>
    <row r="41610" spans="4:8" x14ac:dyDescent="0.25">
      <c r="D41610" s="28"/>
      <c r="F41610" s="28"/>
      <c r="H41610" s="28"/>
    </row>
    <row r="41611" spans="4:8" x14ac:dyDescent="0.25">
      <c r="D41611" s="28"/>
      <c r="F41611" s="28"/>
      <c r="H41611" s="28"/>
    </row>
    <row r="41612" spans="4:8" x14ac:dyDescent="0.25">
      <c r="D41612" s="28"/>
      <c r="F41612" s="28"/>
      <c r="H41612" s="28"/>
    </row>
    <row r="41613" spans="4:8" x14ac:dyDescent="0.25">
      <c r="D41613" s="28"/>
      <c r="F41613" s="28"/>
      <c r="H41613" s="28"/>
    </row>
    <row r="41614" spans="4:8" x14ac:dyDescent="0.25">
      <c r="D41614" s="28"/>
      <c r="F41614" s="28"/>
      <c r="H41614" s="28"/>
    </row>
    <row r="41615" spans="4:8" x14ac:dyDescent="0.25">
      <c r="D41615" s="28"/>
      <c r="F41615" s="28"/>
      <c r="H41615" s="28"/>
    </row>
    <row r="41616" spans="4:8" x14ac:dyDescent="0.25">
      <c r="D41616" s="28"/>
      <c r="F41616" s="28"/>
      <c r="H41616" s="28"/>
    </row>
    <row r="41617" spans="4:8" x14ac:dyDescent="0.25">
      <c r="D41617" s="28"/>
      <c r="F41617" s="28"/>
      <c r="H41617" s="28"/>
    </row>
    <row r="41618" spans="4:8" x14ac:dyDescent="0.25">
      <c r="D41618" s="28"/>
      <c r="F41618" s="28"/>
      <c r="H41618" s="28"/>
    </row>
    <row r="41619" spans="4:8" x14ac:dyDescent="0.25">
      <c r="D41619" s="28"/>
      <c r="F41619" s="28"/>
      <c r="H41619" s="28"/>
    </row>
    <row r="41620" spans="4:8" x14ac:dyDescent="0.25">
      <c r="D41620" s="28"/>
      <c r="F41620" s="28"/>
      <c r="H41620" s="28"/>
    </row>
    <row r="41621" spans="4:8" x14ac:dyDescent="0.25">
      <c r="D41621" s="28"/>
      <c r="F41621" s="28"/>
      <c r="H41621" s="28"/>
    </row>
    <row r="41622" spans="4:8" x14ac:dyDescent="0.25">
      <c r="D41622" s="28"/>
      <c r="F41622" s="28"/>
      <c r="H41622" s="28"/>
    </row>
    <row r="41623" spans="4:8" x14ac:dyDescent="0.25">
      <c r="D41623" s="28"/>
      <c r="F41623" s="28"/>
      <c r="H41623" s="28"/>
    </row>
    <row r="41624" spans="4:8" x14ac:dyDescent="0.25">
      <c r="D41624" s="28"/>
      <c r="F41624" s="28"/>
      <c r="H41624" s="28"/>
    </row>
    <row r="41625" spans="4:8" x14ac:dyDescent="0.25">
      <c r="D41625" s="28"/>
      <c r="F41625" s="28"/>
      <c r="H41625" s="28"/>
    </row>
    <row r="41626" spans="4:8" x14ac:dyDescent="0.25">
      <c r="D41626" s="28"/>
      <c r="F41626" s="28"/>
      <c r="H41626" s="28"/>
    </row>
    <row r="41627" spans="4:8" x14ac:dyDescent="0.25">
      <c r="D41627" s="28"/>
      <c r="F41627" s="28"/>
      <c r="H41627" s="28"/>
    </row>
    <row r="41628" spans="4:8" x14ac:dyDescent="0.25">
      <c r="D41628" s="28"/>
      <c r="F41628" s="28"/>
      <c r="H41628" s="28"/>
    </row>
    <row r="41629" spans="4:8" x14ac:dyDescent="0.25">
      <c r="D41629" s="28"/>
      <c r="F41629" s="28"/>
      <c r="H41629" s="28"/>
    </row>
    <row r="41630" spans="4:8" x14ac:dyDescent="0.25">
      <c r="D41630" s="28"/>
      <c r="F41630" s="28"/>
      <c r="H41630" s="28"/>
    </row>
    <row r="41631" spans="4:8" x14ac:dyDescent="0.25">
      <c r="D41631" s="28"/>
      <c r="F41631" s="28"/>
      <c r="H41631" s="28"/>
    </row>
    <row r="41632" spans="4:8" x14ac:dyDescent="0.25">
      <c r="D41632" s="28"/>
      <c r="F41632" s="28"/>
      <c r="H41632" s="28"/>
    </row>
    <row r="41633" spans="4:8" x14ac:dyDescent="0.25">
      <c r="D41633" s="28"/>
      <c r="F41633" s="28"/>
      <c r="H41633" s="28"/>
    </row>
    <row r="41634" spans="4:8" x14ac:dyDescent="0.25">
      <c r="D41634" s="28"/>
      <c r="F41634" s="28"/>
      <c r="H41634" s="28"/>
    </row>
    <row r="41635" spans="4:8" x14ac:dyDescent="0.25">
      <c r="D41635" s="28"/>
      <c r="F41635" s="28"/>
      <c r="H41635" s="28"/>
    </row>
    <row r="41636" spans="4:8" x14ac:dyDescent="0.25">
      <c r="D41636" s="28"/>
      <c r="F41636" s="28"/>
      <c r="H41636" s="28"/>
    </row>
    <row r="41637" spans="4:8" x14ac:dyDescent="0.25">
      <c r="D41637" s="28"/>
      <c r="F41637" s="28"/>
      <c r="H41637" s="28"/>
    </row>
    <row r="41638" spans="4:8" x14ac:dyDescent="0.25">
      <c r="D41638" s="28"/>
      <c r="F41638" s="28"/>
      <c r="H41638" s="28"/>
    </row>
    <row r="41639" spans="4:8" x14ac:dyDescent="0.25">
      <c r="D41639" s="28"/>
      <c r="F41639" s="28"/>
      <c r="H41639" s="28"/>
    </row>
    <row r="41640" spans="4:8" x14ac:dyDescent="0.25">
      <c r="D41640" s="28"/>
      <c r="F41640" s="28"/>
      <c r="H41640" s="28"/>
    </row>
    <row r="41641" spans="4:8" x14ac:dyDescent="0.25">
      <c r="D41641" s="28"/>
      <c r="F41641" s="28"/>
      <c r="H41641" s="28"/>
    </row>
    <row r="41642" spans="4:8" x14ac:dyDescent="0.25">
      <c r="D41642" s="28"/>
      <c r="F41642" s="28"/>
      <c r="H41642" s="28"/>
    </row>
    <row r="41643" spans="4:8" x14ac:dyDescent="0.25">
      <c r="D41643" s="28"/>
      <c r="F41643" s="28"/>
      <c r="H41643" s="28"/>
    </row>
    <row r="41644" spans="4:8" x14ac:dyDescent="0.25">
      <c r="D41644" s="28"/>
      <c r="F41644" s="28"/>
      <c r="H41644" s="28"/>
    </row>
    <row r="41645" spans="4:8" x14ac:dyDescent="0.25">
      <c r="D41645" s="28"/>
      <c r="F41645" s="28"/>
      <c r="H41645" s="28"/>
    </row>
    <row r="41646" spans="4:8" x14ac:dyDescent="0.25">
      <c r="D41646" s="28"/>
      <c r="F41646" s="28"/>
      <c r="H41646" s="28"/>
    </row>
    <row r="41647" spans="4:8" x14ac:dyDescent="0.25">
      <c r="D41647" s="28"/>
      <c r="F41647" s="28"/>
      <c r="H41647" s="28"/>
    </row>
    <row r="41648" spans="4:8" x14ac:dyDescent="0.25">
      <c r="D41648" s="28"/>
      <c r="F41648" s="28"/>
      <c r="H41648" s="28"/>
    </row>
    <row r="41649" spans="4:8" x14ac:dyDescent="0.25">
      <c r="D41649" s="28"/>
      <c r="F41649" s="28"/>
      <c r="H41649" s="28"/>
    </row>
    <row r="41650" spans="4:8" x14ac:dyDescent="0.25">
      <c r="D41650" s="28"/>
      <c r="F41650" s="28"/>
      <c r="H41650" s="28"/>
    </row>
    <row r="41651" spans="4:8" x14ac:dyDescent="0.25">
      <c r="D41651" s="28"/>
      <c r="F41651" s="28"/>
      <c r="H41651" s="28"/>
    </row>
    <row r="41652" spans="4:8" x14ac:dyDescent="0.25">
      <c r="D41652" s="28"/>
      <c r="F41652" s="28"/>
      <c r="H41652" s="28"/>
    </row>
    <row r="41653" spans="4:8" x14ac:dyDescent="0.25">
      <c r="D41653" s="28"/>
      <c r="F41653" s="28"/>
      <c r="H41653" s="28"/>
    </row>
    <row r="41654" spans="4:8" x14ac:dyDescent="0.25">
      <c r="D41654" s="28"/>
      <c r="F41654" s="28"/>
      <c r="H41654" s="28"/>
    </row>
    <row r="41655" spans="4:8" x14ac:dyDescent="0.25">
      <c r="D41655" s="28"/>
      <c r="F41655" s="28"/>
      <c r="H41655" s="28"/>
    </row>
    <row r="41656" spans="4:8" x14ac:dyDescent="0.25">
      <c r="D41656" s="28"/>
      <c r="F41656" s="28"/>
      <c r="H41656" s="28"/>
    </row>
    <row r="41657" spans="4:8" x14ac:dyDescent="0.25">
      <c r="D41657" s="28"/>
      <c r="F41657" s="28"/>
      <c r="H41657" s="28"/>
    </row>
    <row r="41658" spans="4:8" x14ac:dyDescent="0.25">
      <c r="D41658" s="28"/>
      <c r="F41658" s="28"/>
      <c r="H41658" s="28"/>
    </row>
    <row r="41659" spans="4:8" x14ac:dyDescent="0.25">
      <c r="D41659" s="28"/>
      <c r="F41659" s="28"/>
      <c r="H41659" s="28"/>
    </row>
    <row r="41660" spans="4:8" x14ac:dyDescent="0.25">
      <c r="D41660" s="28"/>
      <c r="F41660" s="28"/>
      <c r="H41660" s="28"/>
    </row>
    <row r="41661" spans="4:8" x14ac:dyDescent="0.25">
      <c r="D41661" s="28"/>
      <c r="F41661" s="28"/>
      <c r="H41661" s="28"/>
    </row>
    <row r="41662" spans="4:8" x14ac:dyDescent="0.25">
      <c r="D41662" s="28"/>
      <c r="F41662" s="28"/>
      <c r="H41662" s="28"/>
    </row>
    <row r="41663" spans="4:8" x14ac:dyDescent="0.25">
      <c r="D41663" s="28"/>
      <c r="F41663" s="28"/>
      <c r="H41663" s="28"/>
    </row>
    <row r="41664" spans="4:8" x14ac:dyDescent="0.25">
      <c r="D41664" s="28"/>
      <c r="F41664" s="28"/>
      <c r="H41664" s="28"/>
    </row>
    <row r="41665" spans="4:8" x14ac:dyDescent="0.25">
      <c r="D41665" s="28"/>
      <c r="F41665" s="28"/>
      <c r="H41665" s="28"/>
    </row>
    <row r="41666" spans="4:8" x14ac:dyDescent="0.25">
      <c r="D41666" s="28"/>
      <c r="F41666" s="28"/>
      <c r="H41666" s="28"/>
    </row>
    <row r="41667" spans="4:8" x14ac:dyDescent="0.25">
      <c r="D41667" s="28"/>
      <c r="F41667" s="28"/>
      <c r="H41667" s="28"/>
    </row>
    <row r="41668" spans="4:8" x14ac:dyDescent="0.25">
      <c r="D41668" s="28"/>
      <c r="F41668" s="28"/>
      <c r="H41668" s="28"/>
    </row>
    <row r="41669" spans="4:8" x14ac:dyDescent="0.25">
      <c r="D41669" s="28"/>
      <c r="F41669" s="28"/>
      <c r="H41669" s="28"/>
    </row>
    <row r="41670" spans="4:8" x14ac:dyDescent="0.25">
      <c r="D41670" s="28"/>
      <c r="F41670" s="28"/>
      <c r="H41670" s="28"/>
    </row>
    <row r="41671" spans="4:8" x14ac:dyDescent="0.25">
      <c r="D41671" s="28"/>
      <c r="F41671" s="28"/>
      <c r="H41671" s="28"/>
    </row>
    <row r="41672" spans="4:8" x14ac:dyDescent="0.25">
      <c r="D41672" s="28"/>
      <c r="F41672" s="28"/>
      <c r="H41672" s="28"/>
    </row>
    <row r="41673" spans="4:8" x14ac:dyDescent="0.25">
      <c r="D41673" s="28"/>
      <c r="F41673" s="28"/>
      <c r="H41673" s="28"/>
    </row>
    <row r="41674" spans="4:8" x14ac:dyDescent="0.25">
      <c r="D41674" s="28"/>
      <c r="F41674" s="28"/>
      <c r="H41674" s="28"/>
    </row>
    <row r="41675" spans="4:8" x14ac:dyDescent="0.25">
      <c r="D41675" s="28"/>
      <c r="F41675" s="28"/>
      <c r="H41675" s="28"/>
    </row>
    <row r="41676" spans="4:8" x14ac:dyDescent="0.25">
      <c r="D41676" s="28"/>
      <c r="F41676" s="28"/>
      <c r="H41676" s="28"/>
    </row>
    <row r="41677" spans="4:8" x14ac:dyDescent="0.25">
      <c r="D41677" s="28"/>
      <c r="F41677" s="28"/>
      <c r="H41677" s="28"/>
    </row>
    <row r="41678" spans="4:8" x14ac:dyDescent="0.25">
      <c r="D41678" s="28"/>
      <c r="F41678" s="28"/>
      <c r="H41678" s="28"/>
    </row>
    <row r="41679" spans="4:8" x14ac:dyDescent="0.25">
      <c r="D41679" s="28"/>
      <c r="F41679" s="28"/>
      <c r="H41679" s="28"/>
    </row>
    <row r="41680" spans="4:8" x14ac:dyDescent="0.25">
      <c r="D41680" s="28"/>
      <c r="F41680" s="28"/>
      <c r="H41680" s="28"/>
    </row>
    <row r="41681" spans="4:8" x14ac:dyDescent="0.25">
      <c r="D41681" s="28"/>
      <c r="F41681" s="28"/>
      <c r="H41681" s="28"/>
    </row>
    <row r="41682" spans="4:8" x14ac:dyDescent="0.25">
      <c r="D41682" s="28"/>
      <c r="F41682" s="28"/>
      <c r="H41682" s="28"/>
    </row>
    <row r="41683" spans="4:8" x14ac:dyDescent="0.25">
      <c r="D41683" s="28"/>
      <c r="F41683" s="28"/>
      <c r="H41683" s="28"/>
    </row>
    <row r="41684" spans="4:8" x14ac:dyDescent="0.25">
      <c r="D41684" s="28"/>
      <c r="F41684" s="28"/>
      <c r="H41684" s="28"/>
    </row>
    <row r="41685" spans="4:8" x14ac:dyDescent="0.25">
      <c r="D41685" s="28"/>
      <c r="F41685" s="28"/>
      <c r="H41685" s="28"/>
    </row>
    <row r="41686" spans="4:8" x14ac:dyDescent="0.25">
      <c r="D41686" s="28"/>
      <c r="F41686" s="28"/>
      <c r="H41686" s="28"/>
    </row>
    <row r="41687" spans="4:8" x14ac:dyDescent="0.25">
      <c r="D41687" s="28"/>
      <c r="F41687" s="28"/>
      <c r="H41687" s="28"/>
    </row>
    <row r="41688" spans="4:8" x14ac:dyDescent="0.25">
      <c r="D41688" s="28"/>
      <c r="F41688" s="28"/>
      <c r="H41688" s="28"/>
    </row>
    <row r="41689" spans="4:8" x14ac:dyDescent="0.25">
      <c r="D41689" s="28"/>
      <c r="F41689" s="28"/>
      <c r="H41689" s="28"/>
    </row>
    <row r="41690" spans="4:8" x14ac:dyDescent="0.25">
      <c r="D41690" s="28"/>
      <c r="F41690" s="28"/>
      <c r="H41690" s="28"/>
    </row>
    <row r="41691" spans="4:8" x14ac:dyDescent="0.25">
      <c r="D41691" s="28"/>
      <c r="F41691" s="28"/>
      <c r="H41691" s="28"/>
    </row>
    <row r="41692" spans="4:8" x14ac:dyDescent="0.25">
      <c r="D41692" s="28"/>
      <c r="F41692" s="28"/>
      <c r="H41692" s="28"/>
    </row>
    <row r="41693" spans="4:8" x14ac:dyDescent="0.25">
      <c r="D41693" s="28"/>
      <c r="F41693" s="28"/>
      <c r="H41693" s="28"/>
    </row>
    <row r="41694" spans="4:8" x14ac:dyDescent="0.25">
      <c r="D41694" s="28"/>
      <c r="F41694" s="28"/>
      <c r="H41694" s="28"/>
    </row>
    <row r="41695" spans="4:8" x14ac:dyDescent="0.25">
      <c r="D41695" s="28"/>
      <c r="F41695" s="28"/>
      <c r="H41695" s="28"/>
    </row>
    <row r="41696" spans="4:8" x14ac:dyDescent="0.25">
      <c r="D41696" s="28"/>
      <c r="F41696" s="28"/>
      <c r="H41696" s="28"/>
    </row>
    <row r="41697" spans="4:8" x14ac:dyDescent="0.25">
      <c r="D41697" s="28"/>
      <c r="F41697" s="28"/>
      <c r="H41697" s="28"/>
    </row>
    <row r="41698" spans="4:8" x14ac:dyDescent="0.25">
      <c r="D41698" s="28"/>
      <c r="F41698" s="28"/>
      <c r="H41698" s="28"/>
    </row>
    <row r="41699" spans="4:8" x14ac:dyDescent="0.25">
      <c r="D41699" s="28"/>
      <c r="F41699" s="28"/>
      <c r="H41699" s="28"/>
    </row>
    <row r="41700" spans="4:8" x14ac:dyDescent="0.25">
      <c r="D41700" s="28"/>
      <c r="F41700" s="28"/>
      <c r="H41700" s="28"/>
    </row>
    <row r="41701" spans="4:8" x14ac:dyDescent="0.25">
      <c r="D41701" s="28"/>
      <c r="F41701" s="28"/>
      <c r="H41701" s="28"/>
    </row>
    <row r="41702" spans="4:8" x14ac:dyDescent="0.25">
      <c r="D41702" s="28"/>
      <c r="F41702" s="28"/>
      <c r="H41702" s="28"/>
    </row>
    <row r="41703" spans="4:8" x14ac:dyDescent="0.25">
      <c r="D41703" s="28"/>
      <c r="F41703" s="28"/>
      <c r="H41703" s="28"/>
    </row>
    <row r="41704" spans="4:8" x14ac:dyDescent="0.25">
      <c r="D41704" s="28"/>
      <c r="F41704" s="28"/>
      <c r="H41704" s="28"/>
    </row>
    <row r="41705" spans="4:8" x14ac:dyDescent="0.25">
      <c r="D41705" s="28"/>
      <c r="F41705" s="28"/>
      <c r="H41705" s="28"/>
    </row>
    <row r="41706" spans="4:8" x14ac:dyDescent="0.25">
      <c r="D41706" s="28"/>
      <c r="F41706" s="28"/>
      <c r="H41706" s="28"/>
    </row>
    <row r="41707" spans="4:8" x14ac:dyDescent="0.25">
      <c r="D41707" s="28"/>
      <c r="F41707" s="28"/>
      <c r="H41707" s="28"/>
    </row>
    <row r="41708" spans="4:8" x14ac:dyDescent="0.25">
      <c r="D41708" s="28"/>
      <c r="F41708" s="28"/>
      <c r="H41708" s="28"/>
    </row>
    <row r="41709" spans="4:8" x14ac:dyDescent="0.25">
      <c r="D41709" s="28"/>
      <c r="F41709" s="28"/>
      <c r="H41709" s="28"/>
    </row>
    <row r="41710" spans="4:8" x14ac:dyDescent="0.25">
      <c r="D41710" s="28"/>
      <c r="F41710" s="28"/>
      <c r="H41710" s="28"/>
    </row>
    <row r="41711" spans="4:8" x14ac:dyDescent="0.25">
      <c r="D41711" s="28"/>
      <c r="F41711" s="28"/>
      <c r="H41711" s="28"/>
    </row>
    <row r="41712" spans="4:8" x14ac:dyDescent="0.25">
      <c r="D41712" s="28"/>
      <c r="F41712" s="28"/>
      <c r="H41712" s="28"/>
    </row>
    <row r="41713" spans="4:8" x14ac:dyDescent="0.25">
      <c r="D41713" s="28"/>
      <c r="F41713" s="28"/>
      <c r="H41713" s="28"/>
    </row>
    <row r="41714" spans="4:8" x14ac:dyDescent="0.25">
      <c r="D41714" s="28"/>
      <c r="F41714" s="28"/>
      <c r="H41714" s="28"/>
    </row>
    <row r="41715" spans="4:8" x14ac:dyDescent="0.25">
      <c r="D41715" s="28"/>
      <c r="F41715" s="28"/>
      <c r="H41715" s="28"/>
    </row>
    <row r="41716" spans="4:8" x14ac:dyDescent="0.25">
      <c r="D41716" s="28"/>
      <c r="F41716" s="28"/>
      <c r="H41716" s="28"/>
    </row>
    <row r="41717" spans="4:8" x14ac:dyDescent="0.25">
      <c r="D41717" s="28"/>
      <c r="F41717" s="28"/>
      <c r="H41717" s="28"/>
    </row>
    <row r="41718" spans="4:8" x14ac:dyDescent="0.25">
      <c r="D41718" s="28"/>
      <c r="F41718" s="28"/>
      <c r="H41718" s="28"/>
    </row>
    <row r="41719" spans="4:8" x14ac:dyDescent="0.25">
      <c r="D41719" s="28"/>
      <c r="F41719" s="28"/>
      <c r="H41719" s="28"/>
    </row>
    <row r="41720" spans="4:8" x14ac:dyDescent="0.25">
      <c r="D41720" s="28"/>
      <c r="F41720" s="28"/>
      <c r="H41720" s="28"/>
    </row>
    <row r="41721" spans="4:8" x14ac:dyDescent="0.25">
      <c r="D41721" s="28"/>
      <c r="F41721" s="28"/>
      <c r="H41721" s="28"/>
    </row>
    <row r="41722" spans="4:8" x14ac:dyDescent="0.25">
      <c r="D41722" s="28"/>
      <c r="F41722" s="28"/>
      <c r="H41722" s="28"/>
    </row>
    <row r="41723" spans="4:8" x14ac:dyDescent="0.25">
      <c r="D41723" s="28"/>
      <c r="F41723" s="28"/>
      <c r="H41723" s="28"/>
    </row>
    <row r="41724" spans="4:8" x14ac:dyDescent="0.25">
      <c r="D41724" s="28"/>
      <c r="F41724" s="28"/>
      <c r="H41724" s="28"/>
    </row>
    <row r="41725" spans="4:8" x14ac:dyDescent="0.25">
      <c r="D41725" s="28"/>
      <c r="F41725" s="28"/>
      <c r="H41725" s="28"/>
    </row>
    <row r="41726" spans="4:8" x14ac:dyDescent="0.25">
      <c r="D41726" s="28"/>
      <c r="F41726" s="28"/>
      <c r="H41726" s="28"/>
    </row>
    <row r="41727" spans="4:8" x14ac:dyDescent="0.25">
      <c r="D41727" s="28"/>
      <c r="F41727" s="28"/>
      <c r="H41727" s="28"/>
    </row>
    <row r="41728" spans="4:8" x14ac:dyDescent="0.25">
      <c r="D41728" s="28"/>
      <c r="F41728" s="28"/>
      <c r="H41728" s="28"/>
    </row>
    <row r="41729" spans="4:8" x14ac:dyDescent="0.25">
      <c r="D41729" s="28"/>
      <c r="F41729" s="28"/>
      <c r="H41729" s="28"/>
    </row>
    <row r="41730" spans="4:8" x14ac:dyDescent="0.25">
      <c r="D41730" s="28"/>
      <c r="F41730" s="28"/>
      <c r="H41730" s="28"/>
    </row>
    <row r="41731" spans="4:8" x14ac:dyDescent="0.25">
      <c r="D41731" s="28"/>
      <c r="F41731" s="28"/>
      <c r="H41731" s="28"/>
    </row>
    <row r="41732" spans="4:8" x14ac:dyDescent="0.25">
      <c r="D41732" s="28"/>
      <c r="F41732" s="28"/>
      <c r="H41732" s="28"/>
    </row>
    <row r="41733" spans="4:8" x14ac:dyDescent="0.25">
      <c r="D41733" s="28"/>
      <c r="F41733" s="28"/>
      <c r="H41733" s="28"/>
    </row>
    <row r="41734" spans="4:8" x14ac:dyDescent="0.25">
      <c r="D41734" s="28"/>
      <c r="F41734" s="28"/>
      <c r="H41734" s="28"/>
    </row>
    <row r="41735" spans="4:8" x14ac:dyDescent="0.25">
      <c r="D41735" s="28"/>
      <c r="F41735" s="28"/>
      <c r="H41735" s="28"/>
    </row>
    <row r="41736" spans="4:8" x14ac:dyDescent="0.25">
      <c r="D41736" s="28"/>
      <c r="F41736" s="28"/>
      <c r="H41736" s="28"/>
    </row>
    <row r="41737" spans="4:8" x14ac:dyDescent="0.25">
      <c r="D41737" s="28"/>
      <c r="F41737" s="28"/>
      <c r="H41737" s="28"/>
    </row>
    <row r="41738" spans="4:8" x14ac:dyDescent="0.25">
      <c r="D41738" s="28"/>
      <c r="F41738" s="28"/>
      <c r="H41738" s="28"/>
    </row>
    <row r="41739" spans="4:8" x14ac:dyDescent="0.25">
      <c r="D41739" s="28"/>
      <c r="F41739" s="28"/>
      <c r="H41739" s="28"/>
    </row>
    <row r="41740" spans="4:8" x14ac:dyDescent="0.25">
      <c r="D41740" s="28"/>
      <c r="F41740" s="28"/>
      <c r="H41740" s="28"/>
    </row>
    <row r="41741" spans="4:8" x14ac:dyDescent="0.25">
      <c r="D41741" s="28"/>
      <c r="F41741" s="28"/>
      <c r="H41741" s="28"/>
    </row>
    <row r="41742" spans="4:8" x14ac:dyDescent="0.25">
      <c r="D41742" s="28"/>
      <c r="F41742" s="28"/>
      <c r="H41742" s="28"/>
    </row>
    <row r="41743" spans="4:8" x14ac:dyDescent="0.25">
      <c r="D41743" s="28"/>
      <c r="F41743" s="28"/>
      <c r="H41743" s="28"/>
    </row>
    <row r="41744" spans="4:8" x14ac:dyDescent="0.25">
      <c r="D41744" s="28"/>
      <c r="F41744" s="28"/>
      <c r="H41744" s="28"/>
    </row>
    <row r="41745" spans="4:8" x14ac:dyDescent="0.25">
      <c r="D41745" s="28"/>
      <c r="F41745" s="28"/>
      <c r="H41745" s="28"/>
    </row>
    <row r="41746" spans="4:8" x14ac:dyDescent="0.25">
      <c r="D41746" s="28"/>
      <c r="F41746" s="28"/>
      <c r="H41746" s="28"/>
    </row>
    <row r="41747" spans="4:8" x14ac:dyDescent="0.25">
      <c r="D41747" s="28"/>
      <c r="F41747" s="28"/>
      <c r="H41747" s="28"/>
    </row>
    <row r="41748" spans="4:8" x14ac:dyDescent="0.25">
      <c r="D41748" s="28"/>
      <c r="F41748" s="28"/>
      <c r="H41748" s="28"/>
    </row>
    <row r="41749" spans="4:8" x14ac:dyDescent="0.25">
      <c r="D41749" s="28"/>
      <c r="F41749" s="28"/>
      <c r="H41749" s="28"/>
    </row>
    <row r="41750" spans="4:8" x14ac:dyDescent="0.25">
      <c r="D41750" s="28"/>
      <c r="F41750" s="28"/>
      <c r="H41750" s="28"/>
    </row>
    <row r="41751" spans="4:8" x14ac:dyDescent="0.25">
      <c r="D41751" s="28"/>
      <c r="F41751" s="28"/>
      <c r="H41751" s="28"/>
    </row>
    <row r="41752" spans="4:8" x14ac:dyDescent="0.25">
      <c r="D41752" s="28"/>
      <c r="F41752" s="28"/>
      <c r="H41752" s="28"/>
    </row>
    <row r="41753" spans="4:8" x14ac:dyDescent="0.25">
      <c r="D41753" s="28"/>
      <c r="F41753" s="28"/>
      <c r="H41753" s="28"/>
    </row>
    <row r="41754" spans="4:8" x14ac:dyDescent="0.25">
      <c r="D41754" s="28"/>
      <c r="F41754" s="28"/>
      <c r="H41754" s="28"/>
    </row>
    <row r="41755" spans="4:8" x14ac:dyDescent="0.25">
      <c r="D41755" s="28"/>
      <c r="F41755" s="28"/>
      <c r="H41755" s="28"/>
    </row>
    <row r="41756" spans="4:8" x14ac:dyDescent="0.25">
      <c r="D41756" s="28"/>
      <c r="F41756" s="28"/>
      <c r="H41756" s="28"/>
    </row>
    <row r="41757" spans="4:8" x14ac:dyDescent="0.25">
      <c r="D41757" s="28"/>
      <c r="F41757" s="28"/>
      <c r="H41757" s="28"/>
    </row>
    <row r="41758" spans="4:8" x14ac:dyDescent="0.25">
      <c r="D41758" s="28"/>
      <c r="F41758" s="28"/>
      <c r="H41758" s="28"/>
    </row>
    <row r="41759" spans="4:8" x14ac:dyDescent="0.25">
      <c r="D41759" s="28"/>
      <c r="F41759" s="28"/>
      <c r="H41759" s="28"/>
    </row>
    <row r="41760" spans="4:8" x14ac:dyDescent="0.25">
      <c r="D41760" s="28"/>
      <c r="F41760" s="28"/>
      <c r="H41760" s="28"/>
    </row>
    <row r="41761" spans="4:8" x14ac:dyDescent="0.25">
      <c r="D41761" s="28"/>
      <c r="F41761" s="28"/>
      <c r="H41761" s="28"/>
    </row>
    <row r="41762" spans="4:8" x14ac:dyDescent="0.25">
      <c r="D41762" s="28"/>
      <c r="F41762" s="28"/>
      <c r="H41762" s="28"/>
    </row>
    <row r="41763" spans="4:8" x14ac:dyDescent="0.25">
      <c r="D41763" s="28"/>
      <c r="F41763" s="28"/>
      <c r="H41763" s="28"/>
    </row>
    <row r="41764" spans="4:8" x14ac:dyDescent="0.25">
      <c r="D41764" s="28"/>
      <c r="F41764" s="28"/>
      <c r="H41764" s="28"/>
    </row>
    <row r="41765" spans="4:8" x14ac:dyDescent="0.25">
      <c r="D41765" s="28"/>
      <c r="F41765" s="28"/>
      <c r="H41765" s="28"/>
    </row>
    <row r="41766" spans="4:8" x14ac:dyDescent="0.25">
      <c r="D41766" s="28"/>
      <c r="F41766" s="28"/>
      <c r="H41766" s="28"/>
    </row>
    <row r="41767" spans="4:8" x14ac:dyDescent="0.25">
      <c r="D41767" s="28"/>
      <c r="F41767" s="28"/>
      <c r="H41767" s="28"/>
    </row>
    <row r="41768" spans="4:8" x14ac:dyDescent="0.25">
      <c r="D41768" s="28"/>
      <c r="F41768" s="28"/>
      <c r="H41768" s="28"/>
    </row>
    <row r="41769" spans="4:8" x14ac:dyDescent="0.25">
      <c r="D41769" s="28"/>
      <c r="F41769" s="28"/>
      <c r="H41769" s="28"/>
    </row>
    <row r="41770" spans="4:8" x14ac:dyDescent="0.25">
      <c r="D41770" s="28"/>
      <c r="F41770" s="28"/>
      <c r="H41770" s="28"/>
    </row>
    <row r="41771" spans="4:8" x14ac:dyDescent="0.25">
      <c r="D41771" s="28"/>
      <c r="F41771" s="28"/>
      <c r="H41771" s="28"/>
    </row>
    <row r="41772" spans="4:8" x14ac:dyDescent="0.25">
      <c r="D41772" s="28"/>
      <c r="F41772" s="28"/>
      <c r="H41772" s="28"/>
    </row>
    <row r="41773" spans="4:8" x14ac:dyDescent="0.25">
      <c r="D41773" s="28"/>
      <c r="F41773" s="28"/>
      <c r="H41773" s="28"/>
    </row>
    <row r="41774" spans="4:8" x14ac:dyDescent="0.25">
      <c r="D41774" s="28"/>
      <c r="F41774" s="28"/>
      <c r="H41774" s="28"/>
    </row>
    <row r="41775" spans="4:8" x14ac:dyDescent="0.25">
      <c r="D41775" s="28"/>
      <c r="F41775" s="28"/>
      <c r="H41775" s="28"/>
    </row>
    <row r="41776" spans="4:8" x14ac:dyDescent="0.25">
      <c r="D41776" s="28"/>
      <c r="F41776" s="28"/>
      <c r="H41776" s="28"/>
    </row>
    <row r="41777" spans="4:8" x14ac:dyDescent="0.25">
      <c r="D41777" s="28"/>
      <c r="F41777" s="28"/>
      <c r="H41777" s="28"/>
    </row>
    <row r="41778" spans="4:8" x14ac:dyDescent="0.25">
      <c r="D41778" s="28"/>
      <c r="F41778" s="28"/>
      <c r="H41778" s="28"/>
    </row>
    <row r="41779" spans="4:8" x14ac:dyDescent="0.25">
      <c r="D41779" s="28"/>
      <c r="F41779" s="28"/>
      <c r="H41779" s="28"/>
    </row>
    <row r="41780" spans="4:8" x14ac:dyDescent="0.25">
      <c r="D41780" s="28"/>
      <c r="F41780" s="28"/>
      <c r="H41780" s="28"/>
    </row>
    <row r="41781" spans="4:8" x14ac:dyDescent="0.25">
      <c r="D41781" s="28"/>
      <c r="F41781" s="28"/>
      <c r="H41781" s="28"/>
    </row>
    <row r="41782" spans="4:8" x14ac:dyDescent="0.25">
      <c r="D41782" s="28"/>
      <c r="F41782" s="28"/>
      <c r="H41782" s="28"/>
    </row>
    <row r="41783" spans="4:8" x14ac:dyDescent="0.25">
      <c r="D41783" s="28"/>
      <c r="F41783" s="28"/>
      <c r="H41783" s="28"/>
    </row>
    <row r="41784" spans="4:8" x14ac:dyDescent="0.25">
      <c r="D41784" s="28"/>
      <c r="F41784" s="28"/>
      <c r="H41784" s="28"/>
    </row>
    <row r="41785" spans="4:8" x14ac:dyDescent="0.25">
      <c r="D41785" s="28"/>
      <c r="F41785" s="28"/>
      <c r="H41785" s="28"/>
    </row>
    <row r="41786" spans="4:8" x14ac:dyDescent="0.25">
      <c r="D41786" s="28"/>
      <c r="F41786" s="28"/>
      <c r="H41786" s="28"/>
    </row>
    <row r="41787" spans="4:8" x14ac:dyDescent="0.25">
      <c r="D41787" s="28"/>
      <c r="F41787" s="28"/>
      <c r="H41787" s="28"/>
    </row>
    <row r="41788" spans="4:8" x14ac:dyDescent="0.25">
      <c r="D41788" s="28"/>
      <c r="F41788" s="28"/>
      <c r="H41788" s="28"/>
    </row>
    <row r="41789" spans="4:8" x14ac:dyDescent="0.25">
      <c r="D41789" s="28"/>
      <c r="F41789" s="28"/>
      <c r="H41789" s="28"/>
    </row>
    <row r="41790" spans="4:8" x14ac:dyDescent="0.25">
      <c r="D41790" s="28"/>
      <c r="F41790" s="28"/>
      <c r="H41790" s="28"/>
    </row>
    <row r="41791" spans="4:8" x14ac:dyDescent="0.25">
      <c r="D41791" s="28"/>
      <c r="F41791" s="28"/>
      <c r="H41791" s="28"/>
    </row>
    <row r="41792" spans="4:8" x14ac:dyDescent="0.25">
      <c r="D41792" s="28"/>
      <c r="F41792" s="28"/>
      <c r="H41792" s="28"/>
    </row>
    <row r="41793" spans="4:8" x14ac:dyDescent="0.25">
      <c r="D41793" s="28"/>
      <c r="F41793" s="28"/>
      <c r="H41793" s="28"/>
    </row>
    <row r="41794" spans="4:8" x14ac:dyDescent="0.25">
      <c r="D41794" s="28"/>
      <c r="F41794" s="28"/>
      <c r="H41794" s="28"/>
    </row>
    <row r="41795" spans="4:8" x14ac:dyDescent="0.25">
      <c r="D41795" s="28"/>
      <c r="F41795" s="28"/>
      <c r="H41795" s="28"/>
    </row>
    <row r="41796" spans="4:8" x14ac:dyDescent="0.25">
      <c r="D41796" s="28"/>
      <c r="F41796" s="28"/>
      <c r="H41796" s="28"/>
    </row>
    <row r="41797" spans="4:8" x14ac:dyDescent="0.25">
      <c r="D41797" s="28"/>
      <c r="F41797" s="28"/>
      <c r="H41797" s="28"/>
    </row>
    <row r="41798" spans="4:8" x14ac:dyDescent="0.25">
      <c r="D41798" s="28"/>
      <c r="F41798" s="28"/>
      <c r="H41798" s="28"/>
    </row>
    <row r="41799" spans="4:8" x14ac:dyDescent="0.25">
      <c r="D41799" s="28"/>
      <c r="F41799" s="28"/>
      <c r="H41799" s="28"/>
    </row>
    <row r="41800" spans="4:8" x14ac:dyDescent="0.25">
      <c r="D41800" s="28"/>
      <c r="F41800" s="28"/>
      <c r="H41800" s="28"/>
    </row>
    <row r="41801" spans="4:8" x14ac:dyDescent="0.25">
      <c r="D41801" s="28"/>
      <c r="F41801" s="28"/>
      <c r="H41801" s="28"/>
    </row>
    <row r="41802" spans="4:8" x14ac:dyDescent="0.25">
      <c r="D41802" s="28"/>
      <c r="F41802" s="28"/>
      <c r="H41802" s="28"/>
    </row>
    <row r="41803" spans="4:8" x14ac:dyDescent="0.25">
      <c r="D41803" s="28"/>
      <c r="F41803" s="28"/>
      <c r="H41803" s="28"/>
    </row>
    <row r="41804" spans="4:8" x14ac:dyDescent="0.25">
      <c r="D41804" s="28"/>
      <c r="F41804" s="28"/>
      <c r="H41804" s="28"/>
    </row>
    <row r="41805" spans="4:8" x14ac:dyDescent="0.25">
      <c r="D41805" s="28"/>
      <c r="F41805" s="28"/>
      <c r="H41805" s="28"/>
    </row>
    <row r="41806" spans="4:8" x14ac:dyDescent="0.25">
      <c r="D41806" s="28"/>
      <c r="F41806" s="28"/>
      <c r="H41806" s="28"/>
    </row>
    <row r="41807" spans="4:8" x14ac:dyDescent="0.25">
      <c r="D41807" s="28"/>
      <c r="F41807" s="28"/>
      <c r="H41807" s="28"/>
    </row>
    <row r="41808" spans="4:8" x14ac:dyDescent="0.25">
      <c r="D41808" s="28"/>
      <c r="F41808" s="28"/>
      <c r="H41808" s="28"/>
    </row>
    <row r="41809" spans="4:8" x14ac:dyDescent="0.25">
      <c r="D41809" s="28"/>
      <c r="F41809" s="28"/>
      <c r="H41809" s="28"/>
    </row>
    <row r="41810" spans="4:8" x14ac:dyDescent="0.25">
      <c r="D41810" s="28"/>
      <c r="F41810" s="28"/>
      <c r="H41810" s="28"/>
    </row>
    <row r="41811" spans="4:8" x14ac:dyDescent="0.25">
      <c r="D41811" s="28"/>
      <c r="F41811" s="28"/>
      <c r="H41811" s="28"/>
    </row>
    <row r="41812" spans="4:8" x14ac:dyDescent="0.25">
      <c r="D41812" s="28"/>
      <c r="F41812" s="28"/>
      <c r="H41812" s="28"/>
    </row>
    <row r="41813" spans="4:8" x14ac:dyDescent="0.25">
      <c r="D41813" s="28"/>
      <c r="F41813" s="28"/>
      <c r="H41813" s="28"/>
    </row>
    <row r="41814" spans="4:8" x14ac:dyDescent="0.25">
      <c r="D41814" s="28"/>
      <c r="F41814" s="28"/>
      <c r="H41814" s="28"/>
    </row>
    <row r="41815" spans="4:8" x14ac:dyDescent="0.25">
      <c r="D41815" s="28"/>
      <c r="F41815" s="28"/>
      <c r="H41815" s="28"/>
    </row>
    <row r="41816" spans="4:8" x14ac:dyDescent="0.25">
      <c r="D41816" s="28"/>
      <c r="F41816" s="28"/>
      <c r="H41816" s="28"/>
    </row>
    <row r="41817" spans="4:8" x14ac:dyDescent="0.25">
      <c r="D41817" s="28"/>
      <c r="F41817" s="28"/>
      <c r="H41817" s="28"/>
    </row>
    <row r="41818" spans="4:8" x14ac:dyDescent="0.25">
      <c r="D41818" s="28"/>
      <c r="F41818" s="28"/>
      <c r="H41818" s="28"/>
    </row>
    <row r="41819" spans="4:8" x14ac:dyDescent="0.25">
      <c r="D41819" s="28"/>
      <c r="F41819" s="28"/>
      <c r="H41819" s="28"/>
    </row>
    <row r="41820" spans="4:8" x14ac:dyDescent="0.25">
      <c r="D41820" s="28"/>
      <c r="F41820" s="28"/>
      <c r="H41820" s="28"/>
    </row>
    <row r="41821" spans="4:8" x14ac:dyDescent="0.25">
      <c r="D41821" s="28"/>
      <c r="F41821" s="28"/>
      <c r="H41821" s="28"/>
    </row>
    <row r="41822" spans="4:8" x14ac:dyDescent="0.25">
      <c r="D41822" s="28"/>
      <c r="F41822" s="28"/>
      <c r="H41822" s="28"/>
    </row>
    <row r="41823" spans="4:8" x14ac:dyDescent="0.25">
      <c r="D41823" s="28"/>
      <c r="F41823" s="28"/>
      <c r="H41823" s="28"/>
    </row>
    <row r="41824" spans="4:8" x14ac:dyDescent="0.25">
      <c r="D41824" s="28"/>
      <c r="F41824" s="28"/>
      <c r="H41824" s="28"/>
    </row>
    <row r="41825" spans="4:8" x14ac:dyDescent="0.25">
      <c r="D41825" s="28"/>
      <c r="F41825" s="28"/>
      <c r="H41825" s="28"/>
    </row>
    <row r="41826" spans="4:8" x14ac:dyDescent="0.25">
      <c r="D41826" s="28"/>
      <c r="F41826" s="28"/>
      <c r="H41826" s="28"/>
    </row>
    <row r="41827" spans="4:8" x14ac:dyDescent="0.25">
      <c r="D41827" s="28"/>
      <c r="F41827" s="28"/>
      <c r="H41827" s="28"/>
    </row>
    <row r="41828" spans="4:8" x14ac:dyDescent="0.25">
      <c r="D41828" s="28"/>
      <c r="F41828" s="28"/>
      <c r="H41828" s="28"/>
    </row>
    <row r="41829" spans="4:8" x14ac:dyDescent="0.25">
      <c r="D41829" s="28"/>
      <c r="F41829" s="28"/>
      <c r="H41829" s="28"/>
    </row>
    <row r="41830" spans="4:8" x14ac:dyDescent="0.25">
      <c r="D41830" s="28"/>
      <c r="F41830" s="28"/>
      <c r="H41830" s="28"/>
    </row>
    <row r="41831" spans="4:8" x14ac:dyDescent="0.25">
      <c r="D41831" s="28"/>
      <c r="F41831" s="28"/>
      <c r="H41831" s="28"/>
    </row>
    <row r="41832" spans="4:8" x14ac:dyDescent="0.25">
      <c r="D41832" s="28"/>
      <c r="F41832" s="28"/>
      <c r="H41832" s="28"/>
    </row>
    <row r="41833" spans="4:8" x14ac:dyDescent="0.25">
      <c r="D41833" s="28"/>
      <c r="F41833" s="28"/>
      <c r="H41833" s="28"/>
    </row>
    <row r="41834" spans="4:8" x14ac:dyDescent="0.25">
      <c r="D41834" s="28"/>
      <c r="F41834" s="28"/>
      <c r="H41834" s="28"/>
    </row>
    <row r="41835" spans="4:8" x14ac:dyDescent="0.25">
      <c r="D41835" s="28"/>
      <c r="F41835" s="28"/>
      <c r="H41835" s="28"/>
    </row>
    <row r="41836" spans="4:8" x14ac:dyDescent="0.25">
      <c r="D41836" s="28"/>
      <c r="F41836" s="28"/>
      <c r="H41836" s="28"/>
    </row>
    <row r="41837" spans="4:8" x14ac:dyDescent="0.25">
      <c r="D41837" s="28"/>
      <c r="F41837" s="28"/>
      <c r="H41837" s="28"/>
    </row>
    <row r="41838" spans="4:8" x14ac:dyDescent="0.25">
      <c r="D41838" s="28"/>
      <c r="F41838" s="28"/>
      <c r="H41838" s="28"/>
    </row>
    <row r="41839" spans="4:8" x14ac:dyDescent="0.25">
      <c r="D41839" s="28"/>
      <c r="F41839" s="28"/>
      <c r="H41839" s="28"/>
    </row>
    <row r="41840" spans="4:8" x14ac:dyDescent="0.25">
      <c r="D41840" s="28"/>
      <c r="F41840" s="28"/>
      <c r="H41840" s="28"/>
    </row>
    <row r="41841" spans="4:8" x14ac:dyDescent="0.25">
      <c r="D41841" s="28"/>
      <c r="F41841" s="28"/>
      <c r="H41841" s="28"/>
    </row>
    <row r="41842" spans="4:8" x14ac:dyDescent="0.25">
      <c r="D41842" s="28"/>
      <c r="F41842" s="28"/>
      <c r="H41842" s="28"/>
    </row>
    <row r="41843" spans="4:8" x14ac:dyDescent="0.25">
      <c r="D41843" s="28"/>
      <c r="F41843" s="28"/>
      <c r="H41843" s="28"/>
    </row>
    <row r="41844" spans="4:8" x14ac:dyDescent="0.25">
      <c r="D41844" s="28"/>
      <c r="F41844" s="28"/>
      <c r="H41844" s="28"/>
    </row>
    <row r="41845" spans="4:8" x14ac:dyDescent="0.25">
      <c r="D41845" s="28"/>
      <c r="F41845" s="28"/>
      <c r="H41845" s="28"/>
    </row>
    <row r="41846" spans="4:8" x14ac:dyDescent="0.25">
      <c r="D41846" s="28"/>
      <c r="F41846" s="28"/>
      <c r="H41846" s="28"/>
    </row>
    <row r="41847" spans="4:8" x14ac:dyDescent="0.25">
      <c r="D41847" s="28"/>
      <c r="F41847" s="28"/>
      <c r="H41847" s="28"/>
    </row>
    <row r="41848" spans="4:8" x14ac:dyDescent="0.25">
      <c r="D41848" s="28"/>
      <c r="F41848" s="28"/>
      <c r="H41848" s="28"/>
    </row>
    <row r="41849" spans="4:8" x14ac:dyDescent="0.25">
      <c r="D41849" s="28"/>
      <c r="F41849" s="28"/>
      <c r="H41849" s="28"/>
    </row>
    <row r="41850" spans="4:8" x14ac:dyDescent="0.25">
      <c r="D41850" s="28"/>
      <c r="F41850" s="28"/>
      <c r="H41850" s="28"/>
    </row>
    <row r="41851" spans="4:8" x14ac:dyDescent="0.25">
      <c r="D41851" s="28"/>
      <c r="F41851" s="28"/>
      <c r="H41851" s="28"/>
    </row>
    <row r="41852" spans="4:8" x14ac:dyDescent="0.25">
      <c r="D41852" s="28"/>
      <c r="F41852" s="28"/>
      <c r="H41852" s="28"/>
    </row>
    <row r="41853" spans="4:8" x14ac:dyDescent="0.25">
      <c r="D41853" s="28"/>
      <c r="F41853" s="28"/>
      <c r="H41853" s="28"/>
    </row>
    <row r="41854" spans="4:8" x14ac:dyDescent="0.25">
      <c r="D41854" s="28"/>
      <c r="F41854" s="28"/>
      <c r="H41854" s="28"/>
    </row>
    <row r="41855" spans="4:8" x14ac:dyDescent="0.25">
      <c r="D41855" s="28"/>
      <c r="F41855" s="28"/>
      <c r="H41855" s="28"/>
    </row>
    <row r="41856" spans="4:8" x14ac:dyDescent="0.25">
      <c r="D41856" s="28"/>
      <c r="F41856" s="28"/>
      <c r="H41856" s="28"/>
    </row>
    <row r="41857" spans="4:8" x14ac:dyDescent="0.25">
      <c r="D41857" s="28"/>
      <c r="F41857" s="28"/>
      <c r="H41857" s="28"/>
    </row>
    <row r="41858" spans="4:8" x14ac:dyDescent="0.25">
      <c r="D41858" s="28"/>
      <c r="F41858" s="28"/>
      <c r="H41858" s="28"/>
    </row>
    <row r="41859" spans="4:8" x14ac:dyDescent="0.25">
      <c r="D41859" s="28"/>
      <c r="F41859" s="28"/>
      <c r="H41859" s="28"/>
    </row>
    <row r="41860" spans="4:8" x14ac:dyDescent="0.25">
      <c r="D41860" s="28"/>
      <c r="F41860" s="28"/>
      <c r="H41860" s="28"/>
    </row>
    <row r="41861" spans="4:8" x14ac:dyDescent="0.25">
      <c r="D41861" s="28"/>
      <c r="F41861" s="28"/>
      <c r="H41861" s="28"/>
    </row>
    <row r="41862" spans="4:8" x14ac:dyDescent="0.25">
      <c r="D41862" s="28"/>
      <c r="F41862" s="28"/>
      <c r="H41862" s="28"/>
    </row>
    <row r="41863" spans="4:8" x14ac:dyDescent="0.25">
      <c r="D41863" s="28"/>
      <c r="F41863" s="28"/>
      <c r="H41863" s="28"/>
    </row>
    <row r="41864" spans="4:8" x14ac:dyDescent="0.25">
      <c r="D41864" s="28"/>
      <c r="F41864" s="28"/>
      <c r="H41864" s="28"/>
    </row>
    <row r="41865" spans="4:8" x14ac:dyDescent="0.25">
      <c r="D41865" s="28"/>
      <c r="F41865" s="28"/>
      <c r="H41865" s="28"/>
    </row>
    <row r="41866" spans="4:8" x14ac:dyDescent="0.25">
      <c r="D41866" s="28"/>
      <c r="F41866" s="28"/>
      <c r="H41866" s="28"/>
    </row>
    <row r="41867" spans="4:8" x14ac:dyDescent="0.25">
      <c r="D41867" s="28"/>
      <c r="F41867" s="28"/>
      <c r="H41867" s="28"/>
    </row>
    <row r="41868" spans="4:8" x14ac:dyDescent="0.25">
      <c r="D41868" s="28"/>
      <c r="F41868" s="28"/>
      <c r="H41868" s="28"/>
    </row>
    <row r="41869" spans="4:8" x14ac:dyDescent="0.25">
      <c r="D41869" s="28"/>
      <c r="F41869" s="28"/>
      <c r="H41869" s="28"/>
    </row>
    <row r="41870" spans="4:8" x14ac:dyDescent="0.25">
      <c r="D41870" s="28"/>
      <c r="F41870" s="28"/>
      <c r="H41870" s="28"/>
    </row>
    <row r="41871" spans="4:8" x14ac:dyDescent="0.25">
      <c r="D41871" s="28"/>
      <c r="F41871" s="28"/>
      <c r="H41871" s="28"/>
    </row>
    <row r="41872" spans="4:8" x14ac:dyDescent="0.25">
      <c r="D41872" s="28"/>
      <c r="F41872" s="28"/>
      <c r="H41872" s="28"/>
    </row>
    <row r="41873" spans="4:8" x14ac:dyDescent="0.25">
      <c r="D41873" s="28"/>
      <c r="F41873" s="28"/>
      <c r="H41873" s="28"/>
    </row>
    <row r="41874" spans="4:8" x14ac:dyDescent="0.25">
      <c r="D41874" s="28"/>
      <c r="F41874" s="28"/>
      <c r="H41874" s="28"/>
    </row>
    <row r="41875" spans="4:8" x14ac:dyDescent="0.25">
      <c r="D41875" s="28"/>
      <c r="F41875" s="28"/>
      <c r="H41875" s="28"/>
    </row>
    <row r="41876" spans="4:8" x14ac:dyDescent="0.25">
      <c r="D41876" s="28"/>
      <c r="F41876" s="28"/>
      <c r="H41876" s="28"/>
    </row>
    <row r="41877" spans="4:8" x14ac:dyDescent="0.25">
      <c r="D41877" s="28"/>
      <c r="F41877" s="28"/>
      <c r="H41877" s="28"/>
    </row>
    <row r="41878" spans="4:8" x14ac:dyDescent="0.25">
      <c r="D41878" s="28"/>
      <c r="F41878" s="28"/>
      <c r="H41878" s="28"/>
    </row>
    <row r="41879" spans="4:8" x14ac:dyDescent="0.25">
      <c r="D41879" s="28"/>
      <c r="F41879" s="28"/>
      <c r="H41879" s="28"/>
    </row>
    <row r="41880" spans="4:8" x14ac:dyDescent="0.25">
      <c r="D41880" s="28"/>
      <c r="F41880" s="28"/>
      <c r="H41880" s="28"/>
    </row>
    <row r="41881" spans="4:8" x14ac:dyDescent="0.25">
      <c r="D41881" s="28"/>
      <c r="F41881" s="28"/>
      <c r="H41881" s="28"/>
    </row>
    <row r="41882" spans="4:8" x14ac:dyDescent="0.25">
      <c r="D41882" s="28"/>
      <c r="F41882" s="28"/>
      <c r="H41882" s="28"/>
    </row>
    <row r="41883" spans="4:8" x14ac:dyDescent="0.25">
      <c r="D41883" s="28"/>
      <c r="F41883" s="28"/>
      <c r="H41883" s="28"/>
    </row>
    <row r="41884" spans="4:8" x14ac:dyDescent="0.25">
      <c r="D41884" s="28"/>
      <c r="F41884" s="28"/>
      <c r="H41884" s="28"/>
    </row>
    <row r="41885" spans="4:8" x14ac:dyDescent="0.25">
      <c r="D41885" s="28"/>
      <c r="F41885" s="28"/>
      <c r="H41885" s="28"/>
    </row>
    <row r="41886" spans="4:8" x14ac:dyDescent="0.25">
      <c r="D41886" s="28"/>
      <c r="F41886" s="28"/>
      <c r="H41886" s="28"/>
    </row>
    <row r="41887" spans="4:8" x14ac:dyDescent="0.25">
      <c r="D41887" s="28"/>
      <c r="F41887" s="28"/>
      <c r="H41887" s="28"/>
    </row>
    <row r="41888" spans="4:8" x14ac:dyDescent="0.25">
      <c r="D41888" s="28"/>
      <c r="F41888" s="28"/>
      <c r="H41888" s="28"/>
    </row>
    <row r="41889" spans="4:8" x14ac:dyDescent="0.25">
      <c r="D41889" s="28"/>
      <c r="F41889" s="28"/>
      <c r="H41889" s="28"/>
    </row>
    <row r="41890" spans="4:8" x14ac:dyDescent="0.25">
      <c r="D41890" s="28"/>
      <c r="F41890" s="28"/>
      <c r="H41890" s="28"/>
    </row>
    <row r="41891" spans="4:8" x14ac:dyDescent="0.25">
      <c r="D41891" s="28"/>
      <c r="F41891" s="28"/>
      <c r="H41891" s="28"/>
    </row>
    <row r="41892" spans="4:8" x14ac:dyDescent="0.25">
      <c r="D41892" s="28"/>
      <c r="F41892" s="28"/>
      <c r="H41892" s="28"/>
    </row>
    <row r="41893" spans="4:8" x14ac:dyDescent="0.25">
      <c r="D41893" s="28"/>
      <c r="F41893" s="28"/>
      <c r="H41893" s="28"/>
    </row>
    <row r="41894" spans="4:8" x14ac:dyDescent="0.25">
      <c r="D41894" s="28"/>
      <c r="F41894" s="28"/>
      <c r="H41894" s="28"/>
    </row>
    <row r="41895" spans="4:8" x14ac:dyDescent="0.25">
      <c r="D41895" s="28"/>
      <c r="F41895" s="28"/>
      <c r="H41895" s="28"/>
    </row>
    <row r="41896" spans="4:8" x14ac:dyDescent="0.25">
      <c r="D41896" s="28"/>
      <c r="F41896" s="28"/>
      <c r="H41896" s="28"/>
    </row>
    <row r="41897" spans="4:8" x14ac:dyDescent="0.25">
      <c r="D41897" s="28"/>
      <c r="F41897" s="28"/>
      <c r="H41897" s="28"/>
    </row>
    <row r="41898" spans="4:8" x14ac:dyDescent="0.25">
      <c r="D41898" s="28"/>
      <c r="F41898" s="28"/>
      <c r="H41898" s="28"/>
    </row>
    <row r="41899" spans="4:8" x14ac:dyDescent="0.25">
      <c r="D41899" s="28"/>
      <c r="F41899" s="28"/>
      <c r="H41899" s="28"/>
    </row>
    <row r="41900" spans="4:8" x14ac:dyDescent="0.25">
      <c r="D41900" s="28"/>
      <c r="F41900" s="28"/>
      <c r="H41900" s="28"/>
    </row>
    <row r="41901" spans="4:8" x14ac:dyDescent="0.25">
      <c r="D41901" s="28"/>
      <c r="F41901" s="28"/>
      <c r="H41901" s="28"/>
    </row>
    <row r="41902" spans="4:8" x14ac:dyDescent="0.25">
      <c r="D41902" s="28"/>
      <c r="F41902" s="28"/>
      <c r="H41902" s="28"/>
    </row>
    <row r="41903" spans="4:8" x14ac:dyDescent="0.25">
      <c r="D41903" s="28"/>
      <c r="F41903" s="28"/>
      <c r="H41903" s="28"/>
    </row>
    <row r="41904" spans="4:8" x14ac:dyDescent="0.25">
      <c r="D41904" s="28"/>
      <c r="F41904" s="28"/>
      <c r="H41904" s="28"/>
    </row>
    <row r="41905" spans="4:8" x14ac:dyDescent="0.25">
      <c r="D41905" s="28"/>
      <c r="F41905" s="28"/>
      <c r="H41905" s="28"/>
    </row>
    <row r="41906" spans="4:8" x14ac:dyDescent="0.25">
      <c r="D41906" s="28"/>
      <c r="F41906" s="28"/>
      <c r="H41906" s="28"/>
    </row>
    <row r="41907" spans="4:8" x14ac:dyDescent="0.25">
      <c r="D41907" s="28"/>
      <c r="F41907" s="28"/>
      <c r="H41907" s="28"/>
    </row>
    <row r="41908" spans="4:8" x14ac:dyDescent="0.25">
      <c r="D41908" s="28"/>
      <c r="F41908" s="28"/>
      <c r="H41908" s="28"/>
    </row>
    <row r="41909" spans="4:8" x14ac:dyDescent="0.25">
      <c r="D41909" s="28"/>
      <c r="F41909" s="28"/>
      <c r="H41909" s="28"/>
    </row>
    <row r="41910" spans="4:8" x14ac:dyDescent="0.25">
      <c r="D41910" s="28"/>
      <c r="F41910" s="28"/>
      <c r="H41910" s="28"/>
    </row>
    <row r="41911" spans="4:8" x14ac:dyDescent="0.25">
      <c r="D41911" s="28"/>
      <c r="F41911" s="28"/>
      <c r="H41911" s="28"/>
    </row>
    <row r="41912" spans="4:8" x14ac:dyDescent="0.25">
      <c r="D41912" s="28"/>
      <c r="F41912" s="28"/>
      <c r="H41912" s="28"/>
    </row>
    <row r="41913" spans="4:8" x14ac:dyDescent="0.25">
      <c r="D41913" s="28"/>
      <c r="F41913" s="28"/>
      <c r="H41913" s="28"/>
    </row>
    <row r="41914" spans="4:8" x14ac:dyDescent="0.25">
      <c r="D41914" s="28"/>
      <c r="F41914" s="28"/>
      <c r="H41914" s="28"/>
    </row>
    <row r="41915" spans="4:8" x14ac:dyDescent="0.25">
      <c r="D41915" s="28"/>
      <c r="F41915" s="28"/>
      <c r="H41915" s="28"/>
    </row>
    <row r="41916" spans="4:8" x14ac:dyDescent="0.25">
      <c r="D41916" s="28"/>
      <c r="F41916" s="28"/>
      <c r="H41916" s="28"/>
    </row>
    <row r="41917" spans="4:8" x14ac:dyDescent="0.25">
      <c r="D41917" s="28"/>
      <c r="F41917" s="28"/>
      <c r="H41917" s="28"/>
    </row>
    <row r="41918" spans="4:8" x14ac:dyDescent="0.25">
      <c r="D41918" s="28"/>
      <c r="F41918" s="28"/>
      <c r="H41918" s="28"/>
    </row>
    <row r="41919" spans="4:8" x14ac:dyDescent="0.25">
      <c r="D41919" s="28"/>
      <c r="F41919" s="28"/>
      <c r="H41919" s="28"/>
    </row>
    <row r="41920" spans="4:8" x14ac:dyDescent="0.25">
      <c r="D41920" s="28"/>
      <c r="F41920" s="28"/>
      <c r="H41920" s="28"/>
    </row>
    <row r="41921" spans="4:8" x14ac:dyDescent="0.25">
      <c r="D41921" s="28"/>
      <c r="F41921" s="28"/>
      <c r="H41921" s="28"/>
    </row>
    <row r="41922" spans="4:8" x14ac:dyDescent="0.25">
      <c r="D41922" s="28"/>
      <c r="F41922" s="28"/>
      <c r="H41922" s="28"/>
    </row>
    <row r="41923" spans="4:8" x14ac:dyDescent="0.25">
      <c r="D41923" s="28"/>
      <c r="F41923" s="28"/>
      <c r="H41923" s="28"/>
    </row>
    <row r="41924" spans="4:8" x14ac:dyDescent="0.25">
      <c r="D41924" s="28"/>
      <c r="F41924" s="28"/>
      <c r="H41924" s="28"/>
    </row>
    <row r="41925" spans="4:8" x14ac:dyDescent="0.25">
      <c r="D41925" s="28"/>
      <c r="F41925" s="28"/>
      <c r="H41925" s="28"/>
    </row>
    <row r="41926" spans="4:8" x14ac:dyDescent="0.25">
      <c r="D41926" s="28"/>
      <c r="F41926" s="28"/>
      <c r="H41926" s="28"/>
    </row>
    <row r="41927" spans="4:8" x14ac:dyDescent="0.25">
      <c r="D41927" s="28"/>
      <c r="F41927" s="28"/>
      <c r="H41927" s="28"/>
    </row>
    <row r="41928" spans="4:8" x14ac:dyDescent="0.25">
      <c r="D41928" s="28"/>
      <c r="F41928" s="28"/>
      <c r="H41928" s="28"/>
    </row>
    <row r="41929" spans="4:8" x14ac:dyDescent="0.25">
      <c r="D41929" s="28"/>
      <c r="F41929" s="28"/>
      <c r="H41929" s="28"/>
    </row>
    <row r="41930" spans="4:8" x14ac:dyDescent="0.25">
      <c r="D41930" s="28"/>
      <c r="F41930" s="28"/>
      <c r="H41930" s="28"/>
    </row>
    <row r="41931" spans="4:8" x14ac:dyDescent="0.25">
      <c r="D41931" s="28"/>
      <c r="F41931" s="28"/>
      <c r="H41931" s="28"/>
    </row>
    <row r="41932" spans="4:8" x14ac:dyDescent="0.25">
      <c r="D41932" s="28"/>
      <c r="F41932" s="28"/>
      <c r="H41932" s="28"/>
    </row>
    <row r="41933" spans="4:8" x14ac:dyDescent="0.25">
      <c r="D41933" s="28"/>
      <c r="F41933" s="28"/>
      <c r="H41933" s="28"/>
    </row>
    <row r="41934" spans="4:8" x14ac:dyDescent="0.25">
      <c r="D41934" s="28"/>
      <c r="F41934" s="28"/>
      <c r="H41934" s="28"/>
    </row>
    <row r="41935" spans="4:8" x14ac:dyDescent="0.25">
      <c r="D41935" s="28"/>
      <c r="F41935" s="28"/>
      <c r="H41935" s="28"/>
    </row>
    <row r="41936" spans="4:8" x14ac:dyDescent="0.25">
      <c r="D41936" s="28"/>
      <c r="F41936" s="28"/>
      <c r="H41936" s="28"/>
    </row>
    <row r="41937" spans="4:8" x14ac:dyDescent="0.25">
      <c r="D41937" s="28"/>
      <c r="F41937" s="28"/>
      <c r="H41937" s="28"/>
    </row>
    <row r="41938" spans="4:8" x14ac:dyDescent="0.25">
      <c r="D41938" s="28"/>
      <c r="F41938" s="28"/>
      <c r="H41938" s="28"/>
    </row>
    <row r="41939" spans="4:8" x14ac:dyDescent="0.25">
      <c r="D41939" s="28"/>
      <c r="F41939" s="28"/>
      <c r="H41939" s="28"/>
    </row>
    <row r="41940" spans="4:8" x14ac:dyDescent="0.25">
      <c r="D41940" s="28"/>
      <c r="F41940" s="28"/>
      <c r="H41940" s="28"/>
    </row>
    <row r="41941" spans="4:8" x14ac:dyDescent="0.25">
      <c r="D41941" s="28"/>
      <c r="F41941" s="28"/>
      <c r="H41941" s="28"/>
    </row>
    <row r="41942" spans="4:8" x14ac:dyDescent="0.25">
      <c r="D41942" s="28"/>
      <c r="F41942" s="28"/>
      <c r="H41942" s="28"/>
    </row>
    <row r="41943" spans="4:8" x14ac:dyDescent="0.25">
      <c r="D41943" s="28"/>
      <c r="F41943" s="28"/>
      <c r="H41943" s="28"/>
    </row>
    <row r="41944" spans="4:8" x14ac:dyDescent="0.25">
      <c r="D41944" s="28"/>
      <c r="F41944" s="28"/>
      <c r="H41944" s="28"/>
    </row>
    <row r="41945" spans="4:8" x14ac:dyDescent="0.25">
      <c r="D41945" s="28"/>
      <c r="F41945" s="28"/>
      <c r="H41945" s="28"/>
    </row>
    <row r="41946" spans="4:8" x14ac:dyDescent="0.25">
      <c r="D41946" s="28"/>
      <c r="F41946" s="28"/>
      <c r="H41946" s="28"/>
    </row>
    <row r="41947" spans="4:8" x14ac:dyDescent="0.25">
      <c r="D41947" s="28"/>
      <c r="F41947" s="28"/>
      <c r="H41947" s="28"/>
    </row>
    <row r="41948" spans="4:8" x14ac:dyDescent="0.25">
      <c r="D41948" s="28"/>
      <c r="F41948" s="28"/>
      <c r="H41948" s="28"/>
    </row>
    <row r="41949" spans="4:8" x14ac:dyDescent="0.25">
      <c r="D41949" s="28"/>
      <c r="F41949" s="28"/>
      <c r="H41949" s="28"/>
    </row>
    <row r="41950" spans="4:8" x14ac:dyDescent="0.25">
      <c r="D41950" s="28"/>
      <c r="F41950" s="28"/>
      <c r="H41950" s="28"/>
    </row>
    <row r="41951" spans="4:8" x14ac:dyDescent="0.25">
      <c r="D41951" s="28"/>
      <c r="F41951" s="28"/>
      <c r="H41951" s="28"/>
    </row>
    <row r="41952" spans="4:8" x14ac:dyDescent="0.25">
      <c r="D41952" s="28"/>
      <c r="F41952" s="28"/>
      <c r="H41952" s="28"/>
    </row>
    <row r="41953" spans="4:8" x14ac:dyDescent="0.25">
      <c r="D41953" s="28"/>
      <c r="F41953" s="28"/>
      <c r="H41953" s="28"/>
    </row>
    <row r="41954" spans="4:8" x14ac:dyDescent="0.25">
      <c r="D41954" s="28"/>
      <c r="F41954" s="28"/>
      <c r="H41954" s="28"/>
    </row>
    <row r="41955" spans="4:8" x14ac:dyDescent="0.25">
      <c r="D41955" s="28"/>
      <c r="F41955" s="28"/>
      <c r="H41955" s="28"/>
    </row>
    <row r="41956" spans="4:8" x14ac:dyDescent="0.25">
      <c r="D41956" s="28"/>
      <c r="F41956" s="28"/>
      <c r="H41956" s="28"/>
    </row>
    <row r="41957" spans="4:8" x14ac:dyDescent="0.25">
      <c r="D41957" s="28"/>
      <c r="F41957" s="28"/>
      <c r="H41957" s="28"/>
    </row>
    <row r="41958" spans="4:8" x14ac:dyDescent="0.25">
      <c r="D41958" s="28"/>
      <c r="F41958" s="28"/>
      <c r="H41958" s="28"/>
    </row>
    <row r="41959" spans="4:8" x14ac:dyDescent="0.25">
      <c r="D41959" s="28"/>
      <c r="F41959" s="28"/>
      <c r="H41959" s="28"/>
    </row>
    <row r="41960" spans="4:8" x14ac:dyDescent="0.25">
      <c r="D41960" s="28"/>
      <c r="F41960" s="28"/>
      <c r="H41960" s="28"/>
    </row>
    <row r="41961" spans="4:8" x14ac:dyDescent="0.25">
      <c r="D41961" s="28"/>
      <c r="F41961" s="28"/>
      <c r="H41961" s="28"/>
    </row>
    <row r="41962" spans="4:8" x14ac:dyDescent="0.25">
      <c r="D41962" s="28"/>
      <c r="F41962" s="28"/>
      <c r="H41962" s="28"/>
    </row>
    <row r="41963" spans="4:8" x14ac:dyDescent="0.25">
      <c r="D41963" s="28"/>
      <c r="F41963" s="28"/>
      <c r="H41963" s="28"/>
    </row>
    <row r="41964" spans="4:8" x14ac:dyDescent="0.25">
      <c r="D41964" s="28"/>
      <c r="F41964" s="28"/>
      <c r="H41964" s="28"/>
    </row>
    <row r="41965" spans="4:8" x14ac:dyDescent="0.25">
      <c r="D41965" s="28"/>
      <c r="F41965" s="28"/>
      <c r="H41965" s="28"/>
    </row>
    <row r="41966" spans="4:8" x14ac:dyDescent="0.25">
      <c r="D41966" s="28"/>
      <c r="F41966" s="28"/>
      <c r="H41966" s="28"/>
    </row>
    <row r="41967" spans="4:8" x14ac:dyDescent="0.25">
      <c r="D41967" s="28"/>
      <c r="F41967" s="28"/>
      <c r="H41967" s="28"/>
    </row>
    <row r="41968" spans="4:8" x14ac:dyDescent="0.25">
      <c r="D41968" s="28"/>
      <c r="F41968" s="28"/>
      <c r="H41968" s="28"/>
    </row>
    <row r="41969" spans="4:8" x14ac:dyDescent="0.25">
      <c r="D41969" s="28"/>
      <c r="F41969" s="28"/>
      <c r="H41969" s="28"/>
    </row>
    <row r="41970" spans="4:8" x14ac:dyDescent="0.25">
      <c r="D41970" s="28"/>
      <c r="F41970" s="28"/>
      <c r="H41970" s="28"/>
    </row>
    <row r="41971" spans="4:8" x14ac:dyDescent="0.25">
      <c r="D41971" s="28"/>
      <c r="F41971" s="28"/>
      <c r="H41971" s="28"/>
    </row>
    <row r="41972" spans="4:8" x14ac:dyDescent="0.25">
      <c r="D41972" s="28"/>
      <c r="F41972" s="28"/>
      <c r="H41972" s="28"/>
    </row>
    <row r="41973" spans="4:8" x14ac:dyDescent="0.25">
      <c r="D41973" s="28"/>
      <c r="F41973" s="28"/>
      <c r="H41973" s="28"/>
    </row>
    <row r="41974" spans="4:8" x14ac:dyDescent="0.25">
      <c r="D41974" s="28"/>
      <c r="F41974" s="28"/>
      <c r="H41974" s="28"/>
    </row>
    <row r="41975" spans="4:8" x14ac:dyDescent="0.25">
      <c r="D41975" s="28"/>
      <c r="F41975" s="28"/>
      <c r="H41975" s="28"/>
    </row>
    <row r="41976" spans="4:8" x14ac:dyDescent="0.25">
      <c r="D41976" s="28"/>
      <c r="F41976" s="28"/>
      <c r="H41976" s="28"/>
    </row>
    <row r="41977" spans="4:8" x14ac:dyDescent="0.25">
      <c r="D41977" s="28"/>
      <c r="F41977" s="28"/>
      <c r="H41977" s="28"/>
    </row>
    <row r="41978" spans="4:8" x14ac:dyDescent="0.25">
      <c r="D41978" s="28"/>
      <c r="F41978" s="28"/>
      <c r="H41978" s="28"/>
    </row>
    <row r="41979" spans="4:8" x14ac:dyDescent="0.25">
      <c r="D41979" s="28"/>
      <c r="F41979" s="28"/>
      <c r="H41979" s="28"/>
    </row>
    <row r="41980" spans="4:8" x14ac:dyDescent="0.25">
      <c r="D41980" s="28"/>
      <c r="F41980" s="28"/>
      <c r="H41980" s="28"/>
    </row>
    <row r="41981" spans="4:8" x14ac:dyDescent="0.25">
      <c r="D41981" s="28"/>
      <c r="F41981" s="28"/>
      <c r="H41981" s="28"/>
    </row>
    <row r="41982" spans="4:8" x14ac:dyDescent="0.25">
      <c r="D41982" s="28"/>
      <c r="F41982" s="28"/>
      <c r="H41982" s="28"/>
    </row>
    <row r="41983" spans="4:8" x14ac:dyDescent="0.25">
      <c r="D41983" s="28"/>
      <c r="F41983" s="28"/>
      <c r="H41983" s="28"/>
    </row>
    <row r="41984" spans="4:8" x14ac:dyDescent="0.25">
      <c r="D41984" s="28"/>
      <c r="F41984" s="28"/>
      <c r="H41984" s="28"/>
    </row>
    <row r="41985" spans="4:8" x14ac:dyDescent="0.25">
      <c r="D41985" s="28"/>
      <c r="F41985" s="28"/>
      <c r="H41985" s="28"/>
    </row>
    <row r="41986" spans="4:8" x14ac:dyDescent="0.25">
      <c r="D41986" s="28"/>
      <c r="F41986" s="28"/>
      <c r="H41986" s="28"/>
    </row>
    <row r="41987" spans="4:8" x14ac:dyDescent="0.25">
      <c r="D41987" s="28"/>
      <c r="F41987" s="28"/>
      <c r="H41987" s="28"/>
    </row>
    <row r="41988" spans="4:8" x14ac:dyDescent="0.25">
      <c r="D41988" s="28"/>
      <c r="F41988" s="28"/>
      <c r="H41988" s="28"/>
    </row>
    <row r="41989" spans="4:8" x14ac:dyDescent="0.25">
      <c r="D41989" s="28"/>
      <c r="F41989" s="28"/>
      <c r="H41989" s="28"/>
    </row>
    <row r="41990" spans="4:8" x14ac:dyDescent="0.25">
      <c r="D41990" s="28"/>
      <c r="F41990" s="28"/>
      <c r="H41990" s="28"/>
    </row>
    <row r="41991" spans="4:8" x14ac:dyDescent="0.25">
      <c r="D41991" s="28"/>
      <c r="F41991" s="28"/>
      <c r="H41991" s="28"/>
    </row>
    <row r="41992" spans="4:8" x14ac:dyDescent="0.25">
      <c r="D41992" s="28"/>
      <c r="F41992" s="28"/>
      <c r="H41992" s="28"/>
    </row>
    <row r="41993" spans="4:8" x14ac:dyDescent="0.25">
      <c r="D41993" s="28"/>
      <c r="F41993" s="28"/>
      <c r="H41993" s="28"/>
    </row>
    <row r="41994" spans="4:8" x14ac:dyDescent="0.25">
      <c r="D41994" s="28"/>
      <c r="F41994" s="28"/>
      <c r="H41994" s="28"/>
    </row>
    <row r="41995" spans="4:8" x14ac:dyDescent="0.25">
      <c r="D41995" s="28"/>
      <c r="F41995" s="28"/>
      <c r="H41995" s="28"/>
    </row>
    <row r="41996" spans="4:8" x14ac:dyDescent="0.25">
      <c r="D41996" s="28"/>
      <c r="F41996" s="28"/>
      <c r="H41996" s="28"/>
    </row>
    <row r="41997" spans="4:8" x14ac:dyDescent="0.25">
      <c r="D41997" s="28"/>
      <c r="F41997" s="28"/>
      <c r="H41997" s="28"/>
    </row>
    <row r="41998" spans="4:8" x14ac:dyDescent="0.25">
      <c r="D41998" s="28"/>
      <c r="F41998" s="28"/>
      <c r="H41998" s="28"/>
    </row>
    <row r="41999" spans="4:8" x14ac:dyDescent="0.25">
      <c r="D41999" s="28"/>
      <c r="F41999" s="28"/>
      <c r="H41999" s="28"/>
    </row>
    <row r="42000" spans="4:8" x14ac:dyDescent="0.25">
      <c r="D42000" s="28"/>
      <c r="F42000" s="28"/>
      <c r="H42000" s="28"/>
    </row>
    <row r="42001" spans="4:8" x14ac:dyDescent="0.25">
      <c r="D42001" s="28"/>
      <c r="F42001" s="28"/>
      <c r="H42001" s="28"/>
    </row>
    <row r="42002" spans="4:8" x14ac:dyDescent="0.25">
      <c r="D42002" s="28"/>
      <c r="F42002" s="28"/>
      <c r="H42002" s="28"/>
    </row>
    <row r="42003" spans="4:8" x14ac:dyDescent="0.25">
      <c r="D42003" s="28"/>
      <c r="F42003" s="28"/>
      <c r="H42003" s="28"/>
    </row>
    <row r="42004" spans="4:8" x14ac:dyDescent="0.25">
      <c r="D42004" s="28"/>
      <c r="F42004" s="28"/>
      <c r="H42004" s="28"/>
    </row>
    <row r="42005" spans="4:8" x14ac:dyDescent="0.25">
      <c r="D42005" s="28"/>
      <c r="F42005" s="28"/>
      <c r="H42005" s="28"/>
    </row>
    <row r="42006" spans="4:8" x14ac:dyDescent="0.25">
      <c r="D42006" s="28"/>
      <c r="F42006" s="28"/>
      <c r="H42006" s="28"/>
    </row>
    <row r="42007" spans="4:8" x14ac:dyDescent="0.25">
      <c r="D42007" s="28"/>
      <c r="F42007" s="28"/>
      <c r="H42007" s="28"/>
    </row>
    <row r="42008" spans="4:8" x14ac:dyDescent="0.25">
      <c r="D42008" s="28"/>
      <c r="F42008" s="28"/>
      <c r="H42008" s="28"/>
    </row>
    <row r="42009" spans="4:8" x14ac:dyDescent="0.25">
      <c r="D42009" s="28"/>
      <c r="F42009" s="28"/>
      <c r="H42009" s="28"/>
    </row>
    <row r="42010" spans="4:8" x14ac:dyDescent="0.25">
      <c r="D42010" s="28"/>
      <c r="F42010" s="28"/>
      <c r="H42010" s="28"/>
    </row>
    <row r="42011" spans="4:8" x14ac:dyDescent="0.25">
      <c r="D42011" s="28"/>
      <c r="F42011" s="28"/>
      <c r="H42011" s="28"/>
    </row>
    <row r="42012" spans="4:8" x14ac:dyDescent="0.25">
      <c r="D42012" s="28"/>
      <c r="F42012" s="28"/>
      <c r="H42012" s="28"/>
    </row>
    <row r="42013" spans="4:8" x14ac:dyDescent="0.25">
      <c r="D42013" s="28"/>
      <c r="F42013" s="28"/>
      <c r="H42013" s="28"/>
    </row>
    <row r="42014" spans="4:8" x14ac:dyDescent="0.25">
      <c r="D42014" s="28"/>
      <c r="F42014" s="28"/>
      <c r="H42014" s="28"/>
    </row>
    <row r="42015" spans="4:8" x14ac:dyDescent="0.25">
      <c r="D42015" s="28"/>
      <c r="F42015" s="28"/>
      <c r="H42015" s="28"/>
    </row>
    <row r="42016" spans="4:8" x14ac:dyDescent="0.25">
      <c r="D42016" s="28"/>
      <c r="F42016" s="28"/>
      <c r="H42016" s="28"/>
    </row>
    <row r="42017" spans="4:8" x14ac:dyDescent="0.25">
      <c r="D42017" s="28"/>
      <c r="F42017" s="28"/>
      <c r="H42017" s="28"/>
    </row>
    <row r="42018" spans="4:8" x14ac:dyDescent="0.25">
      <c r="D42018" s="28"/>
      <c r="F42018" s="28"/>
      <c r="H42018" s="28"/>
    </row>
    <row r="42019" spans="4:8" x14ac:dyDescent="0.25">
      <c r="D42019" s="28"/>
      <c r="F42019" s="28"/>
      <c r="H42019" s="28"/>
    </row>
    <row r="42020" spans="4:8" x14ac:dyDescent="0.25">
      <c r="D42020" s="28"/>
      <c r="F42020" s="28"/>
      <c r="H42020" s="28"/>
    </row>
    <row r="42021" spans="4:8" x14ac:dyDescent="0.25">
      <c r="D42021" s="28"/>
      <c r="F42021" s="28"/>
      <c r="H42021" s="28"/>
    </row>
    <row r="42022" spans="4:8" x14ac:dyDescent="0.25">
      <c r="D42022" s="28"/>
      <c r="F42022" s="28"/>
      <c r="H42022" s="28"/>
    </row>
    <row r="42023" spans="4:8" x14ac:dyDescent="0.25">
      <c r="D42023" s="28"/>
      <c r="F42023" s="28"/>
      <c r="H42023" s="28"/>
    </row>
    <row r="42024" spans="4:8" x14ac:dyDescent="0.25">
      <c r="D42024" s="28"/>
      <c r="F42024" s="28"/>
      <c r="H42024" s="28"/>
    </row>
    <row r="42025" spans="4:8" x14ac:dyDescent="0.25">
      <c r="D42025" s="28"/>
      <c r="F42025" s="28"/>
      <c r="H42025" s="28"/>
    </row>
    <row r="42026" spans="4:8" x14ac:dyDescent="0.25">
      <c r="D42026" s="28"/>
      <c r="F42026" s="28"/>
      <c r="H42026" s="28"/>
    </row>
    <row r="42027" spans="4:8" x14ac:dyDescent="0.25">
      <c r="D42027" s="28"/>
      <c r="F42027" s="28"/>
      <c r="H42027" s="28"/>
    </row>
    <row r="42028" spans="4:8" x14ac:dyDescent="0.25">
      <c r="D42028" s="28"/>
      <c r="F42028" s="28"/>
      <c r="H42028" s="28"/>
    </row>
    <row r="42029" spans="4:8" x14ac:dyDescent="0.25">
      <c r="D42029" s="28"/>
      <c r="F42029" s="28"/>
      <c r="H42029" s="28"/>
    </row>
    <row r="42030" spans="4:8" x14ac:dyDescent="0.25">
      <c r="D42030" s="28"/>
      <c r="F42030" s="28"/>
      <c r="H42030" s="28"/>
    </row>
    <row r="42031" spans="4:8" x14ac:dyDescent="0.25">
      <c r="D42031" s="28"/>
      <c r="F42031" s="28"/>
      <c r="H42031" s="28"/>
    </row>
    <row r="42032" spans="4:8" x14ac:dyDescent="0.25">
      <c r="D42032" s="28"/>
      <c r="F42032" s="28"/>
      <c r="H42032" s="28"/>
    </row>
    <row r="42033" spans="4:8" x14ac:dyDescent="0.25">
      <c r="D42033" s="28"/>
      <c r="F42033" s="28"/>
      <c r="H42033" s="28"/>
    </row>
    <row r="42034" spans="4:8" x14ac:dyDescent="0.25">
      <c r="D42034" s="28"/>
      <c r="F42034" s="28"/>
      <c r="H42034" s="28"/>
    </row>
    <row r="42035" spans="4:8" x14ac:dyDescent="0.25">
      <c r="D42035" s="28"/>
      <c r="F42035" s="28"/>
      <c r="H42035" s="28"/>
    </row>
    <row r="42036" spans="4:8" x14ac:dyDescent="0.25">
      <c r="D42036" s="28"/>
      <c r="F42036" s="28"/>
      <c r="H42036" s="28"/>
    </row>
    <row r="42037" spans="4:8" x14ac:dyDescent="0.25">
      <c r="D42037" s="28"/>
      <c r="F42037" s="28"/>
      <c r="H42037" s="28"/>
    </row>
    <row r="42038" spans="4:8" x14ac:dyDescent="0.25">
      <c r="D42038" s="28"/>
      <c r="F42038" s="28"/>
      <c r="H42038" s="28"/>
    </row>
    <row r="42039" spans="4:8" x14ac:dyDescent="0.25">
      <c r="D42039" s="28"/>
      <c r="F42039" s="28"/>
      <c r="H42039" s="28"/>
    </row>
    <row r="42040" spans="4:8" x14ac:dyDescent="0.25">
      <c r="D42040" s="28"/>
      <c r="F42040" s="28"/>
      <c r="H42040" s="28"/>
    </row>
    <row r="42041" spans="4:8" x14ac:dyDescent="0.25">
      <c r="D42041" s="28"/>
      <c r="F42041" s="28"/>
      <c r="H42041" s="28"/>
    </row>
    <row r="42042" spans="4:8" x14ac:dyDescent="0.25">
      <c r="D42042" s="28"/>
      <c r="F42042" s="28"/>
      <c r="H42042" s="28"/>
    </row>
    <row r="42043" spans="4:8" x14ac:dyDescent="0.25">
      <c r="D42043" s="28"/>
      <c r="F42043" s="28"/>
      <c r="H42043" s="28"/>
    </row>
    <row r="42044" spans="4:8" x14ac:dyDescent="0.25">
      <c r="D42044" s="28"/>
      <c r="F42044" s="28"/>
      <c r="H42044" s="28"/>
    </row>
    <row r="42045" spans="4:8" x14ac:dyDescent="0.25">
      <c r="D42045" s="28"/>
      <c r="F42045" s="28"/>
      <c r="H42045" s="28"/>
    </row>
    <row r="42046" spans="4:8" x14ac:dyDescent="0.25">
      <c r="D42046" s="28"/>
      <c r="F42046" s="28"/>
      <c r="H42046" s="28"/>
    </row>
    <row r="42047" spans="4:8" x14ac:dyDescent="0.25">
      <c r="D42047" s="28"/>
      <c r="F42047" s="28"/>
      <c r="H42047" s="28"/>
    </row>
    <row r="42048" spans="4:8" x14ac:dyDescent="0.25">
      <c r="D42048" s="28"/>
      <c r="F42048" s="28"/>
      <c r="H42048" s="28"/>
    </row>
    <row r="42049" spans="4:8" x14ac:dyDescent="0.25">
      <c r="D42049" s="28"/>
      <c r="F42049" s="28"/>
      <c r="H42049" s="28"/>
    </row>
    <row r="42050" spans="4:8" x14ac:dyDescent="0.25">
      <c r="D42050" s="28"/>
      <c r="F42050" s="28"/>
      <c r="H42050" s="28"/>
    </row>
    <row r="42051" spans="4:8" x14ac:dyDescent="0.25">
      <c r="D42051" s="28"/>
      <c r="F42051" s="28"/>
      <c r="H42051" s="28"/>
    </row>
    <row r="42052" spans="4:8" x14ac:dyDescent="0.25">
      <c r="D42052" s="28"/>
      <c r="F42052" s="28"/>
      <c r="H42052" s="28"/>
    </row>
    <row r="42053" spans="4:8" x14ac:dyDescent="0.25">
      <c r="D42053" s="28"/>
      <c r="F42053" s="28"/>
      <c r="H42053" s="28"/>
    </row>
    <row r="42054" spans="4:8" x14ac:dyDescent="0.25">
      <c r="D42054" s="28"/>
      <c r="F42054" s="28"/>
      <c r="H42054" s="28"/>
    </row>
    <row r="42055" spans="4:8" x14ac:dyDescent="0.25">
      <c r="D42055" s="28"/>
      <c r="F42055" s="28"/>
      <c r="H42055" s="28"/>
    </row>
    <row r="42056" spans="4:8" x14ac:dyDescent="0.25">
      <c r="D42056" s="28"/>
      <c r="F42056" s="28"/>
      <c r="H42056" s="28"/>
    </row>
    <row r="42057" spans="4:8" x14ac:dyDescent="0.25">
      <c r="D42057" s="28"/>
      <c r="F42057" s="28"/>
      <c r="H42057" s="28"/>
    </row>
    <row r="42058" spans="4:8" x14ac:dyDescent="0.25">
      <c r="D42058" s="28"/>
      <c r="F42058" s="28"/>
      <c r="H42058" s="28"/>
    </row>
    <row r="42059" spans="4:8" x14ac:dyDescent="0.25">
      <c r="D42059" s="28"/>
      <c r="F42059" s="28"/>
      <c r="H42059" s="28"/>
    </row>
    <row r="42060" spans="4:8" x14ac:dyDescent="0.25">
      <c r="D42060" s="28"/>
      <c r="F42060" s="28"/>
      <c r="H42060" s="28"/>
    </row>
    <row r="42061" spans="4:8" x14ac:dyDescent="0.25">
      <c r="D42061" s="28"/>
      <c r="F42061" s="28"/>
      <c r="H42061" s="28"/>
    </row>
    <row r="42062" spans="4:8" x14ac:dyDescent="0.25">
      <c r="D42062" s="28"/>
      <c r="F42062" s="28"/>
      <c r="H42062" s="28"/>
    </row>
    <row r="42063" spans="4:8" x14ac:dyDescent="0.25">
      <c r="D42063" s="28"/>
      <c r="F42063" s="28"/>
      <c r="H42063" s="28"/>
    </row>
    <row r="42064" spans="4:8" x14ac:dyDescent="0.25">
      <c r="D42064" s="28"/>
      <c r="F42064" s="28"/>
      <c r="H42064" s="28"/>
    </row>
    <row r="42065" spans="4:8" x14ac:dyDescent="0.25">
      <c r="D42065" s="28"/>
      <c r="F42065" s="28"/>
      <c r="H42065" s="28"/>
    </row>
    <row r="42066" spans="4:8" x14ac:dyDescent="0.25">
      <c r="D42066" s="28"/>
      <c r="F42066" s="28"/>
      <c r="H42066" s="28"/>
    </row>
    <row r="42067" spans="4:8" x14ac:dyDescent="0.25">
      <c r="D42067" s="28"/>
      <c r="F42067" s="28"/>
      <c r="H42067" s="28"/>
    </row>
    <row r="42068" spans="4:8" x14ac:dyDescent="0.25">
      <c r="D42068" s="28"/>
      <c r="F42068" s="28"/>
      <c r="H42068" s="28"/>
    </row>
    <row r="42069" spans="4:8" x14ac:dyDescent="0.25">
      <c r="D42069" s="28"/>
      <c r="F42069" s="28"/>
      <c r="H42069" s="28"/>
    </row>
    <row r="42070" spans="4:8" x14ac:dyDescent="0.25">
      <c r="D42070" s="28"/>
      <c r="F42070" s="28"/>
      <c r="H42070" s="28"/>
    </row>
    <row r="42071" spans="4:8" x14ac:dyDescent="0.25">
      <c r="D42071" s="28"/>
      <c r="F42071" s="28"/>
      <c r="H42071" s="28"/>
    </row>
    <row r="42072" spans="4:8" x14ac:dyDescent="0.25">
      <c r="D42072" s="28"/>
      <c r="F42072" s="28"/>
      <c r="H42072" s="28"/>
    </row>
    <row r="42073" spans="4:8" x14ac:dyDescent="0.25">
      <c r="D42073" s="28"/>
      <c r="F42073" s="28"/>
      <c r="H42073" s="28"/>
    </row>
    <row r="42074" spans="4:8" x14ac:dyDescent="0.25">
      <c r="D42074" s="28"/>
      <c r="F42074" s="28"/>
      <c r="H42074" s="28"/>
    </row>
    <row r="42075" spans="4:8" x14ac:dyDescent="0.25">
      <c r="D42075" s="28"/>
      <c r="F42075" s="28"/>
      <c r="H42075" s="28"/>
    </row>
    <row r="42076" spans="4:8" x14ac:dyDescent="0.25">
      <c r="D42076" s="28"/>
      <c r="F42076" s="28"/>
      <c r="H42076" s="28"/>
    </row>
    <row r="42077" spans="4:8" x14ac:dyDescent="0.25">
      <c r="D42077" s="28"/>
      <c r="F42077" s="28"/>
      <c r="H42077" s="28"/>
    </row>
    <row r="42078" spans="4:8" x14ac:dyDescent="0.25">
      <c r="D42078" s="28"/>
      <c r="F42078" s="28"/>
      <c r="H42078" s="28"/>
    </row>
    <row r="42079" spans="4:8" x14ac:dyDescent="0.25">
      <c r="D42079" s="28"/>
      <c r="F42079" s="28"/>
      <c r="H42079" s="28"/>
    </row>
    <row r="42080" spans="4:8" x14ac:dyDescent="0.25">
      <c r="D42080" s="28"/>
      <c r="F42080" s="28"/>
      <c r="H42080" s="28"/>
    </row>
    <row r="42081" spans="4:8" x14ac:dyDescent="0.25">
      <c r="D42081" s="28"/>
      <c r="F42081" s="28"/>
      <c r="H42081" s="28"/>
    </row>
    <row r="42082" spans="4:8" x14ac:dyDescent="0.25">
      <c r="D42082" s="28"/>
      <c r="F42082" s="28"/>
      <c r="H42082" s="28"/>
    </row>
    <row r="42083" spans="4:8" x14ac:dyDescent="0.25">
      <c r="D42083" s="28"/>
      <c r="F42083" s="28"/>
      <c r="H42083" s="28"/>
    </row>
    <row r="42084" spans="4:8" x14ac:dyDescent="0.25">
      <c r="D42084" s="28"/>
      <c r="F42084" s="28"/>
      <c r="H42084" s="28"/>
    </row>
    <row r="42085" spans="4:8" x14ac:dyDescent="0.25">
      <c r="D42085" s="28"/>
      <c r="F42085" s="28"/>
      <c r="H42085" s="28"/>
    </row>
    <row r="42086" spans="4:8" x14ac:dyDescent="0.25">
      <c r="D42086" s="28"/>
      <c r="F42086" s="28"/>
      <c r="H42086" s="28"/>
    </row>
    <row r="42087" spans="4:8" x14ac:dyDescent="0.25">
      <c r="D42087" s="28"/>
      <c r="F42087" s="28"/>
      <c r="H42087" s="28"/>
    </row>
    <row r="42088" spans="4:8" x14ac:dyDescent="0.25">
      <c r="D42088" s="28"/>
      <c r="F42088" s="28"/>
      <c r="H42088" s="28"/>
    </row>
    <row r="42089" spans="4:8" x14ac:dyDescent="0.25">
      <c r="D42089" s="28"/>
      <c r="F42089" s="28"/>
      <c r="H42089" s="28"/>
    </row>
    <row r="42090" spans="4:8" x14ac:dyDescent="0.25">
      <c r="D42090" s="28"/>
      <c r="F42090" s="28"/>
      <c r="H42090" s="28"/>
    </row>
    <row r="42091" spans="4:8" x14ac:dyDescent="0.25">
      <c r="D42091" s="28"/>
      <c r="F42091" s="28"/>
      <c r="H42091" s="28"/>
    </row>
    <row r="42092" spans="4:8" x14ac:dyDescent="0.25">
      <c r="D42092" s="28"/>
      <c r="F42092" s="28"/>
      <c r="H42092" s="28"/>
    </row>
    <row r="42093" spans="4:8" x14ac:dyDescent="0.25">
      <c r="D42093" s="28"/>
      <c r="F42093" s="28"/>
      <c r="H42093" s="28"/>
    </row>
    <row r="42094" spans="4:8" x14ac:dyDescent="0.25">
      <c r="D42094" s="28"/>
      <c r="F42094" s="28"/>
      <c r="H42094" s="28"/>
    </row>
    <row r="42095" spans="4:8" x14ac:dyDescent="0.25">
      <c r="D42095" s="28"/>
      <c r="F42095" s="28"/>
      <c r="H42095" s="28"/>
    </row>
    <row r="42096" spans="4:8" x14ac:dyDescent="0.25">
      <c r="D42096" s="28"/>
      <c r="F42096" s="28"/>
      <c r="H42096" s="28"/>
    </row>
    <row r="42097" spans="4:8" x14ac:dyDescent="0.25">
      <c r="D42097" s="28"/>
      <c r="F42097" s="28"/>
      <c r="H42097" s="28"/>
    </row>
    <row r="42098" spans="4:8" x14ac:dyDescent="0.25">
      <c r="D42098" s="28"/>
      <c r="F42098" s="28"/>
      <c r="H42098" s="28"/>
    </row>
    <row r="42099" spans="4:8" x14ac:dyDescent="0.25">
      <c r="D42099" s="28"/>
      <c r="F42099" s="28"/>
      <c r="H42099" s="28"/>
    </row>
    <row r="42100" spans="4:8" x14ac:dyDescent="0.25">
      <c r="D42100" s="28"/>
      <c r="F42100" s="28"/>
      <c r="H42100" s="28"/>
    </row>
    <row r="42101" spans="4:8" x14ac:dyDescent="0.25">
      <c r="D42101" s="28"/>
      <c r="F42101" s="28"/>
      <c r="H42101" s="28"/>
    </row>
    <row r="42102" spans="4:8" x14ac:dyDescent="0.25">
      <c r="D42102" s="28"/>
      <c r="F42102" s="28"/>
      <c r="H42102" s="28"/>
    </row>
    <row r="42103" spans="4:8" x14ac:dyDescent="0.25">
      <c r="D42103" s="28"/>
      <c r="F42103" s="28"/>
      <c r="H42103" s="28"/>
    </row>
    <row r="42104" spans="4:8" x14ac:dyDescent="0.25">
      <c r="D42104" s="28"/>
      <c r="F42104" s="28"/>
      <c r="H42104" s="28"/>
    </row>
    <row r="42105" spans="4:8" x14ac:dyDescent="0.25">
      <c r="D42105" s="28"/>
      <c r="F42105" s="28"/>
      <c r="H42105" s="28"/>
    </row>
    <row r="42106" spans="4:8" x14ac:dyDescent="0.25">
      <c r="D42106" s="28"/>
      <c r="F42106" s="28"/>
      <c r="H42106" s="28"/>
    </row>
    <row r="42107" spans="4:8" x14ac:dyDescent="0.25">
      <c r="D42107" s="28"/>
      <c r="F42107" s="28"/>
      <c r="H42107" s="28"/>
    </row>
    <row r="42108" spans="4:8" x14ac:dyDescent="0.25">
      <c r="D42108" s="28"/>
      <c r="F42108" s="28"/>
      <c r="H42108" s="28"/>
    </row>
    <row r="42109" spans="4:8" x14ac:dyDescent="0.25">
      <c r="D42109" s="28"/>
      <c r="F42109" s="28"/>
      <c r="H42109" s="28"/>
    </row>
    <row r="42110" spans="4:8" x14ac:dyDescent="0.25">
      <c r="D42110" s="28"/>
      <c r="F42110" s="28"/>
      <c r="H42110" s="28"/>
    </row>
    <row r="42111" spans="4:8" x14ac:dyDescent="0.25">
      <c r="D42111" s="28"/>
      <c r="F42111" s="28"/>
      <c r="H42111" s="28"/>
    </row>
    <row r="42112" spans="4:8" x14ac:dyDescent="0.25">
      <c r="D42112" s="28"/>
      <c r="F42112" s="28"/>
      <c r="H42112" s="28"/>
    </row>
    <row r="42113" spans="4:8" x14ac:dyDescent="0.25">
      <c r="D42113" s="28"/>
      <c r="F42113" s="28"/>
      <c r="H42113" s="28"/>
    </row>
    <row r="42114" spans="4:8" x14ac:dyDescent="0.25">
      <c r="D42114" s="28"/>
      <c r="F42114" s="28"/>
      <c r="H42114" s="28"/>
    </row>
    <row r="42115" spans="4:8" x14ac:dyDescent="0.25">
      <c r="D42115" s="28"/>
      <c r="F42115" s="28"/>
      <c r="H42115" s="28"/>
    </row>
    <row r="42116" spans="4:8" x14ac:dyDescent="0.25">
      <c r="D42116" s="28"/>
      <c r="F42116" s="28"/>
      <c r="H42116" s="28"/>
    </row>
    <row r="42117" spans="4:8" x14ac:dyDescent="0.25">
      <c r="D42117" s="28"/>
      <c r="F42117" s="28"/>
      <c r="H42117" s="28"/>
    </row>
    <row r="42118" spans="4:8" x14ac:dyDescent="0.25">
      <c r="D42118" s="28"/>
      <c r="F42118" s="28"/>
      <c r="H42118" s="28"/>
    </row>
    <row r="42119" spans="4:8" x14ac:dyDescent="0.25">
      <c r="D42119" s="28"/>
      <c r="F42119" s="28"/>
      <c r="H42119" s="28"/>
    </row>
    <row r="42120" spans="4:8" x14ac:dyDescent="0.25">
      <c r="D42120" s="28"/>
      <c r="F42120" s="28"/>
      <c r="H42120" s="28"/>
    </row>
    <row r="42121" spans="4:8" x14ac:dyDescent="0.25">
      <c r="D42121" s="28"/>
      <c r="F42121" s="28"/>
      <c r="H42121" s="28"/>
    </row>
    <row r="42122" spans="4:8" x14ac:dyDescent="0.25">
      <c r="D42122" s="28"/>
      <c r="F42122" s="28"/>
      <c r="H42122" s="28"/>
    </row>
    <row r="42123" spans="4:8" x14ac:dyDescent="0.25">
      <c r="D42123" s="28"/>
      <c r="F42123" s="28"/>
      <c r="H42123" s="28"/>
    </row>
    <row r="42124" spans="4:8" x14ac:dyDescent="0.25">
      <c r="D42124" s="28"/>
      <c r="F42124" s="28"/>
      <c r="H42124" s="28"/>
    </row>
    <row r="42125" spans="4:8" x14ac:dyDescent="0.25">
      <c r="D42125" s="28"/>
      <c r="F42125" s="28"/>
      <c r="H42125" s="28"/>
    </row>
    <row r="42126" spans="4:8" x14ac:dyDescent="0.25">
      <c r="D42126" s="28"/>
      <c r="F42126" s="28"/>
      <c r="H42126" s="28"/>
    </row>
    <row r="42127" spans="4:8" x14ac:dyDescent="0.25">
      <c r="D42127" s="28"/>
      <c r="F42127" s="28"/>
      <c r="H42127" s="28"/>
    </row>
    <row r="42128" spans="4:8" x14ac:dyDescent="0.25">
      <c r="D42128" s="28"/>
      <c r="F42128" s="28"/>
      <c r="H42128" s="28"/>
    </row>
    <row r="42129" spans="4:8" x14ac:dyDescent="0.25">
      <c r="D42129" s="28"/>
      <c r="F42129" s="28"/>
      <c r="H42129" s="28"/>
    </row>
    <row r="42130" spans="4:8" x14ac:dyDescent="0.25">
      <c r="D42130" s="28"/>
      <c r="F42130" s="28"/>
      <c r="H42130" s="28"/>
    </row>
    <row r="42131" spans="4:8" x14ac:dyDescent="0.25">
      <c r="D42131" s="28"/>
      <c r="F42131" s="28"/>
      <c r="H42131" s="28"/>
    </row>
    <row r="42132" spans="4:8" x14ac:dyDescent="0.25">
      <c r="D42132" s="28"/>
      <c r="F42132" s="28"/>
      <c r="H42132" s="28"/>
    </row>
    <row r="42133" spans="4:8" x14ac:dyDescent="0.25">
      <c r="D42133" s="28"/>
      <c r="F42133" s="28"/>
      <c r="H42133" s="28"/>
    </row>
    <row r="42134" spans="4:8" x14ac:dyDescent="0.25">
      <c r="D42134" s="28"/>
      <c r="F42134" s="28"/>
      <c r="H42134" s="28"/>
    </row>
    <row r="42135" spans="4:8" x14ac:dyDescent="0.25">
      <c r="D42135" s="28"/>
      <c r="F42135" s="28"/>
      <c r="H42135" s="28"/>
    </row>
    <row r="42136" spans="4:8" x14ac:dyDescent="0.25">
      <c r="D42136" s="28"/>
      <c r="F42136" s="28"/>
      <c r="H42136" s="28"/>
    </row>
    <row r="42137" spans="4:8" x14ac:dyDescent="0.25">
      <c r="D42137" s="28"/>
      <c r="F42137" s="28"/>
      <c r="H42137" s="28"/>
    </row>
    <row r="42138" spans="4:8" x14ac:dyDescent="0.25">
      <c r="D42138" s="28"/>
      <c r="F42138" s="28"/>
      <c r="H42138" s="28"/>
    </row>
    <row r="42139" spans="4:8" x14ac:dyDescent="0.25">
      <c r="D42139" s="28"/>
      <c r="F42139" s="28"/>
      <c r="H42139" s="28"/>
    </row>
    <row r="42140" spans="4:8" x14ac:dyDescent="0.25">
      <c r="D42140" s="28"/>
      <c r="F42140" s="28"/>
      <c r="H42140" s="28"/>
    </row>
    <row r="42141" spans="4:8" x14ac:dyDescent="0.25">
      <c r="D42141" s="28"/>
      <c r="F42141" s="28"/>
      <c r="H42141" s="28"/>
    </row>
    <row r="42142" spans="4:8" x14ac:dyDescent="0.25">
      <c r="D42142" s="28"/>
      <c r="F42142" s="28"/>
      <c r="H42142" s="28"/>
    </row>
    <row r="42143" spans="4:8" x14ac:dyDescent="0.25">
      <c r="D42143" s="28"/>
      <c r="F42143" s="28"/>
      <c r="H42143" s="28"/>
    </row>
    <row r="42144" spans="4:8" x14ac:dyDescent="0.25">
      <c r="D42144" s="28"/>
      <c r="F42144" s="28"/>
      <c r="H42144" s="28"/>
    </row>
    <row r="42145" spans="4:8" x14ac:dyDescent="0.25">
      <c r="D42145" s="28"/>
      <c r="F42145" s="28"/>
      <c r="H42145" s="28"/>
    </row>
    <row r="42146" spans="4:8" x14ac:dyDescent="0.25">
      <c r="D42146" s="28"/>
      <c r="F42146" s="28"/>
      <c r="H42146" s="28"/>
    </row>
    <row r="42147" spans="4:8" x14ac:dyDescent="0.25">
      <c r="D42147" s="28"/>
      <c r="F42147" s="28"/>
      <c r="H42147" s="28"/>
    </row>
    <row r="42148" spans="4:8" x14ac:dyDescent="0.25">
      <c r="D42148" s="28"/>
      <c r="F42148" s="28"/>
      <c r="H42148" s="28"/>
    </row>
    <row r="42149" spans="4:8" x14ac:dyDescent="0.25">
      <c r="D42149" s="28"/>
      <c r="F42149" s="28"/>
      <c r="H42149" s="28"/>
    </row>
    <row r="42150" spans="4:8" x14ac:dyDescent="0.25">
      <c r="D42150" s="28"/>
      <c r="F42150" s="28"/>
      <c r="H42150" s="28"/>
    </row>
    <row r="42151" spans="4:8" x14ac:dyDescent="0.25">
      <c r="D42151" s="28"/>
      <c r="F42151" s="28"/>
      <c r="H42151" s="28"/>
    </row>
    <row r="42152" spans="4:8" x14ac:dyDescent="0.25">
      <c r="D42152" s="28"/>
      <c r="F42152" s="28"/>
      <c r="H42152" s="28"/>
    </row>
    <row r="42153" spans="4:8" x14ac:dyDescent="0.25">
      <c r="D42153" s="28"/>
      <c r="F42153" s="28"/>
      <c r="H42153" s="28"/>
    </row>
    <row r="42154" spans="4:8" x14ac:dyDescent="0.25">
      <c r="D42154" s="28"/>
      <c r="F42154" s="28"/>
      <c r="H42154" s="28"/>
    </row>
    <row r="42155" spans="4:8" x14ac:dyDescent="0.25">
      <c r="D42155" s="28"/>
      <c r="F42155" s="28"/>
      <c r="H42155" s="28"/>
    </row>
    <row r="42156" spans="4:8" x14ac:dyDescent="0.25">
      <c r="D42156" s="28"/>
      <c r="F42156" s="28"/>
      <c r="H42156" s="28"/>
    </row>
    <row r="42157" spans="4:8" x14ac:dyDescent="0.25">
      <c r="D42157" s="28"/>
      <c r="F42157" s="28"/>
      <c r="H42157" s="28"/>
    </row>
    <row r="42158" spans="4:8" x14ac:dyDescent="0.25">
      <c r="D42158" s="28"/>
      <c r="F42158" s="28"/>
      <c r="H42158" s="28"/>
    </row>
    <row r="42159" spans="4:8" x14ac:dyDescent="0.25">
      <c r="D42159" s="28"/>
      <c r="F42159" s="28"/>
      <c r="H42159" s="28"/>
    </row>
    <row r="42160" spans="4:8" x14ac:dyDescent="0.25">
      <c r="D42160" s="28"/>
      <c r="F42160" s="28"/>
      <c r="H42160" s="28"/>
    </row>
    <row r="42161" spans="4:8" x14ac:dyDescent="0.25">
      <c r="D42161" s="28"/>
      <c r="F42161" s="28"/>
      <c r="H42161" s="28"/>
    </row>
    <row r="42162" spans="4:8" x14ac:dyDescent="0.25">
      <c r="D42162" s="28"/>
      <c r="F42162" s="28"/>
      <c r="H42162" s="28"/>
    </row>
    <row r="42163" spans="4:8" x14ac:dyDescent="0.25">
      <c r="D42163" s="28"/>
      <c r="F42163" s="28"/>
      <c r="H42163" s="28"/>
    </row>
    <row r="42164" spans="4:8" x14ac:dyDescent="0.25">
      <c r="D42164" s="28"/>
      <c r="F42164" s="28"/>
      <c r="H42164" s="28"/>
    </row>
    <row r="42165" spans="4:8" x14ac:dyDescent="0.25">
      <c r="D42165" s="28"/>
      <c r="F42165" s="28"/>
      <c r="H42165" s="28"/>
    </row>
    <row r="42166" spans="4:8" x14ac:dyDescent="0.25">
      <c r="D42166" s="28"/>
      <c r="F42166" s="28"/>
      <c r="H42166" s="28"/>
    </row>
    <row r="42167" spans="4:8" x14ac:dyDescent="0.25">
      <c r="D42167" s="28"/>
      <c r="F42167" s="28"/>
      <c r="H42167" s="28"/>
    </row>
    <row r="42168" spans="4:8" x14ac:dyDescent="0.25">
      <c r="D42168" s="28"/>
      <c r="F42168" s="28"/>
      <c r="H42168" s="28"/>
    </row>
    <row r="42169" spans="4:8" x14ac:dyDescent="0.25">
      <c r="D42169" s="28"/>
      <c r="F42169" s="28"/>
      <c r="H42169" s="28"/>
    </row>
    <row r="42170" spans="4:8" x14ac:dyDescent="0.25">
      <c r="D42170" s="28"/>
      <c r="F42170" s="28"/>
      <c r="H42170" s="28"/>
    </row>
    <row r="42171" spans="4:8" x14ac:dyDescent="0.25">
      <c r="D42171" s="28"/>
      <c r="F42171" s="28"/>
      <c r="H42171" s="28"/>
    </row>
    <row r="42172" spans="4:8" x14ac:dyDescent="0.25">
      <c r="D42172" s="28"/>
      <c r="F42172" s="28"/>
      <c r="H42172" s="28"/>
    </row>
    <row r="42173" spans="4:8" x14ac:dyDescent="0.25">
      <c r="D42173" s="28"/>
      <c r="F42173" s="28"/>
      <c r="H42173" s="28"/>
    </row>
    <row r="42174" spans="4:8" x14ac:dyDescent="0.25">
      <c r="D42174" s="28"/>
      <c r="F42174" s="28"/>
      <c r="H42174" s="28"/>
    </row>
    <row r="42175" spans="4:8" x14ac:dyDescent="0.25">
      <c r="D42175" s="28"/>
      <c r="F42175" s="28"/>
      <c r="H42175" s="28"/>
    </row>
    <row r="42176" spans="4:8" x14ac:dyDescent="0.25">
      <c r="D42176" s="28"/>
      <c r="F42176" s="28"/>
      <c r="H42176" s="28"/>
    </row>
    <row r="42177" spans="4:8" x14ac:dyDescent="0.25">
      <c r="D42177" s="28"/>
      <c r="F42177" s="28"/>
      <c r="H42177" s="28"/>
    </row>
    <row r="42178" spans="4:8" x14ac:dyDescent="0.25">
      <c r="D42178" s="28"/>
      <c r="F42178" s="28"/>
      <c r="H42178" s="28"/>
    </row>
    <row r="42179" spans="4:8" x14ac:dyDescent="0.25">
      <c r="D42179" s="28"/>
      <c r="F42179" s="28"/>
      <c r="H42179" s="28"/>
    </row>
    <row r="42180" spans="4:8" x14ac:dyDescent="0.25">
      <c r="D42180" s="28"/>
      <c r="F42180" s="28"/>
      <c r="H42180" s="28"/>
    </row>
    <row r="42181" spans="4:8" x14ac:dyDescent="0.25">
      <c r="D42181" s="28"/>
      <c r="F42181" s="28"/>
      <c r="H42181" s="28"/>
    </row>
    <row r="42182" spans="4:8" x14ac:dyDescent="0.25">
      <c r="D42182" s="28"/>
      <c r="F42182" s="28"/>
      <c r="H42182" s="28"/>
    </row>
    <row r="42183" spans="4:8" x14ac:dyDescent="0.25">
      <c r="D42183" s="28"/>
      <c r="F42183" s="28"/>
      <c r="H42183" s="28"/>
    </row>
    <row r="42184" spans="4:8" x14ac:dyDescent="0.25">
      <c r="D42184" s="28"/>
      <c r="F42184" s="28"/>
      <c r="H42184" s="28"/>
    </row>
    <row r="42185" spans="4:8" x14ac:dyDescent="0.25">
      <c r="D42185" s="28"/>
      <c r="F42185" s="28"/>
      <c r="H42185" s="28"/>
    </row>
    <row r="42186" spans="4:8" x14ac:dyDescent="0.25">
      <c r="D42186" s="28"/>
      <c r="F42186" s="28"/>
      <c r="H42186" s="28"/>
    </row>
    <row r="42187" spans="4:8" x14ac:dyDescent="0.25">
      <c r="D42187" s="28"/>
      <c r="F42187" s="28"/>
      <c r="H42187" s="28"/>
    </row>
    <row r="42188" spans="4:8" x14ac:dyDescent="0.25">
      <c r="D42188" s="28"/>
      <c r="F42188" s="28"/>
      <c r="H42188" s="28"/>
    </row>
    <row r="42189" spans="4:8" x14ac:dyDescent="0.25">
      <c r="D42189" s="28"/>
      <c r="F42189" s="28"/>
      <c r="H42189" s="28"/>
    </row>
    <row r="42190" spans="4:8" x14ac:dyDescent="0.25">
      <c r="D42190" s="28"/>
      <c r="F42190" s="28"/>
      <c r="H42190" s="28"/>
    </row>
    <row r="42191" spans="4:8" x14ac:dyDescent="0.25">
      <c r="D42191" s="28"/>
      <c r="F42191" s="28"/>
      <c r="H42191" s="28"/>
    </row>
    <row r="42192" spans="4:8" x14ac:dyDescent="0.25">
      <c r="D42192" s="28"/>
      <c r="F42192" s="28"/>
      <c r="H42192" s="28"/>
    </row>
    <row r="42193" spans="4:8" x14ac:dyDescent="0.25">
      <c r="D42193" s="28"/>
      <c r="F42193" s="28"/>
      <c r="H42193" s="28"/>
    </row>
    <row r="42194" spans="4:8" x14ac:dyDescent="0.25">
      <c r="D42194" s="28"/>
      <c r="F42194" s="28"/>
      <c r="H42194" s="28"/>
    </row>
    <row r="42195" spans="4:8" x14ac:dyDescent="0.25">
      <c r="D42195" s="28"/>
      <c r="F42195" s="28"/>
      <c r="H42195" s="28"/>
    </row>
    <row r="42196" spans="4:8" x14ac:dyDescent="0.25">
      <c r="D42196" s="28"/>
      <c r="F42196" s="28"/>
      <c r="H42196" s="28"/>
    </row>
    <row r="42197" spans="4:8" x14ac:dyDescent="0.25">
      <c r="D42197" s="28"/>
      <c r="F42197" s="28"/>
      <c r="H42197" s="28"/>
    </row>
    <row r="42198" spans="4:8" x14ac:dyDescent="0.25">
      <c r="D42198" s="28"/>
      <c r="F42198" s="28"/>
      <c r="H42198" s="28"/>
    </row>
    <row r="42199" spans="4:8" x14ac:dyDescent="0.25">
      <c r="D42199" s="28"/>
      <c r="F42199" s="28"/>
      <c r="H42199" s="28"/>
    </row>
    <row r="42200" spans="4:8" x14ac:dyDescent="0.25">
      <c r="D42200" s="28"/>
      <c r="F42200" s="28"/>
      <c r="H42200" s="28"/>
    </row>
    <row r="42201" spans="4:8" x14ac:dyDescent="0.25">
      <c r="D42201" s="28"/>
      <c r="F42201" s="28"/>
      <c r="H42201" s="28"/>
    </row>
    <row r="42202" spans="4:8" x14ac:dyDescent="0.25">
      <c r="D42202" s="28"/>
      <c r="F42202" s="28"/>
      <c r="H42202" s="28"/>
    </row>
    <row r="42203" spans="4:8" x14ac:dyDescent="0.25">
      <c r="D42203" s="28"/>
      <c r="F42203" s="28"/>
      <c r="H42203" s="28"/>
    </row>
    <row r="42204" spans="4:8" x14ac:dyDescent="0.25">
      <c r="D42204" s="28"/>
      <c r="F42204" s="28"/>
      <c r="H42204" s="28"/>
    </row>
    <row r="42205" spans="4:8" x14ac:dyDescent="0.25">
      <c r="D42205" s="28"/>
      <c r="F42205" s="28"/>
      <c r="H42205" s="28"/>
    </row>
    <row r="42206" spans="4:8" x14ac:dyDescent="0.25">
      <c r="D42206" s="28"/>
      <c r="F42206" s="28"/>
      <c r="H42206" s="28"/>
    </row>
    <row r="42207" spans="4:8" x14ac:dyDescent="0.25">
      <c r="D42207" s="28"/>
      <c r="F42207" s="28"/>
      <c r="H42207" s="28"/>
    </row>
    <row r="42208" spans="4:8" x14ac:dyDescent="0.25">
      <c r="D42208" s="28"/>
      <c r="F42208" s="28"/>
      <c r="H42208" s="28"/>
    </row>
    <row r="42209" spans="4:8" x14ac:dyDescent="0.25">
      <c r="D42209" s="28"/>
      <c r="F42209" s="28"/>
      <c r="H42209" s="28"/>
    </row>
    <row r="42210" spans="4:8" x14ac:dyDescent="0.25">
      <c r="D42210" s="28"/>
      <c r="F42210" s="28"/>
      <c r="H42210" s="28"/>
    </row>
    <row r="42211" spans="4:8" x14ac:dyDescent="0.25">
      <c r="D42211" s="28"/>
      <c r="F42211" s="28"/>
      <c r="H42211" s="28"/>
    </row>
    <row r="42212" spans="4:8" x14ac:dyDescent="0.25">
      <c r="D42212" s="28"/>
      <c r="F42212" s="28"/>
      <c r="H42212" s="28"/>
    </row>
    <row r="42213" spans="4:8" x14ac:dyDescent="0.25">
      <c r="D42213" s="28"/>
      <c r="F42213" s="28"/>
      <c r="H42213" s="28"/>
    </row>
    <row r="42214" spans="4:8" x14ac:dyDescent="0.25">
      <c r="D42214" s="28"/>
      <c r="F42214" s="28"/>
      <c r="H42214" s="28"/>
    </row>
    <row r="42215" spans="4:8" x14ac:dyDescent="0.25">
      <c r="D42215" s="28"/>
      <c r="F42215" s="28"/>
      <c r="H42215" s="28"/>
    </row>
    <row r="42216" spans="4:8" x14ac:dyDescent="0.25">
      <c r="D42216" s="28"/>
      <c r="F42216" s="28"/>
      <c r="H42216" s="28"/>
    </row>
    <row r="42217" spans="4:8" x14ac:dyDescent="0.25">
      <c r="D42217" s="28"/>
      <c r="F42217" s="28"/>
      <c r="H42217" s="28"/>
    </row>
    <row r="42218" spans="4:8" x14ac:dyDescent="0.25">
      <c r="D42218" s="28"/>
      <c r="F42218" s="28"/>
      <c r="H42218" s="28"/>
    </row>
    <row r="42219" spans="4:8" x14ac:dyDescent="0.25">
      <c r="D42219" s="28"/>
      <c r="F42219" s="28"/>
      <c r="H42219" s="28"/>
    </row>
    <row r="42220" spans="4:8" x14ac:dyDescent="0.25">
      <c r="D42220" s="28"/>
      <c r="F42220" s="28"/>
      <c r="H42220" s="28"/>
    </row>
    <row r="42221" spans="4:8" x14ac:dyDescent="0.25">
      <c r="D42221" s="28"/>
      <c r="F42221" s="28"/>
      <c r="H42221" s="28"/>
    </row>
    <row r="42222" spans="4:8" x14ac:dyDescent="0.25">
      <c r="D42222" s="28"/>
      <c r="F42222" s="28"/>
      <c r="H42222" s="28"/>
    </row>
    <row r="42223" spans="4:8" x14ac:dyDescent="0.25">
      <c r="D42223" s="28"/>
      <c r="F42223" s="28"/>
      <c r="H42223" s="28"/>
    </row>
    <row r="42224" spans="4:8" x14ac:dyDescent="0.25">
      <c r="D42224" s="28"/>
      <c r="F42224" s="28"/>
      <c r="H42224" s="28"/>
    </row>
    <row r="42225" spans="4:8" x14ac:dyDescent="0.25">
      <c r="D42225" s="28"/>
      <c r="F42225" s="28"/>
      <c r="H42225" s="28"/>
    </row>
    <row r="42226" spans="4:8" x14ac:dyDescent="0.25">
      <c r="D42226" s="28"/>
      <c r="F42226" s="28"/>
      <c r="H42226" s="28"/>
    </row>
    <row r="42227" spans="4:8" x14ac:dyDescent="0.25">
      <c r="D42227" s="28"/>
      <c r="F42227" s="28"/>
      <c r="H42227" s="28"/>
    </row>
    <row r="42228" spans="4:8" x14ac:dyDescent="0.25">
      <c r="D42228" s="28"/>
      <c r="F42228" s="28"/>
      <c r="H42228" s="28"/>
    </row>
    <row r="42229" spans="4:8" x14ac:dyDescent="0.25">
      <c r="D42229" s="28"/>
      <c r="F42229" s="28"/>
      <c r="H42229" s="28"/>
    </row>
    <row r="42230" spans="4:8" x14ac:dyDescent="0.25">
      <c r="D42230" s="28"/>
      <c r="F42230" s="28"/>
      <c r="H42230" s="28"/>
    </row>
    <row r="42231" spans="4:8" x14ac:dyDescent="0.25">
      <c r="D42231" s="28"/>
      <c r="F42231" s="28"/>
      <c r="H42231" s="28"/>
    </row>
    <row r="42232" spans="4:8" x14ac:dyDescent="0.25">
      <c r="D42232" s="28"/>
      <c r="F42232" s="28"/>
      <c r="H42232" s="28"/>
    </row>
    <row r="42233" spans="4:8" x14ac:dyDescent="0.25">
      <c r="D42233" s="28"/>
      <c r="F42233" s="28"/>
      <c r="H42233" s="28"/>
    </row>
    <row r="42234" spans="4:8" x14ac:dyDescent="0.25">
      <c r="D42234" s="28"/>
      <c r="F42234" s="28"/>
      <c r="H42234" s="28"/>
    </row>
    <row r="42235" spans="4:8" x14ac:dyDescent="0.25">
      <c r="D42235" s="28"/>
      <c r="F42235" s="28"/>
      <c r="H42235" s="28"/>
    </row>
    <row r="42236" spans="4:8" x14ac:dyDescent="0.25">
      <c r="D42236" s="28"/>
      <c r="F42236" s="28"/>
      <c r="H42236" s="28"/>
    </row>
    <row r="42237" spans="4:8" x14ac:dyDescent="0.25">
      <c r="D42237" s="28"/>
      <c r="F42237" s="28"/>
      <c r="H42237" s="28"/>
    </row>
    <row r="42238" spans="4:8" x14ac:dyDescent="0.25">
      <c r="D42238" s="28"/>
      <c r="F42238" s="28"/>
      <c r="H42238" s="28"/>
    </row>
    <row r="42239" spans="4:8" x14ac:dyDescent="0.25">
      <c r="D42239" s="28"/>
      <c r="F42239" s="28"/>
      <c r="H42239" s="28"/>
    </row>
    <row r="42240" spans="4:8" x14ac:dyDescent="0.25">
      <c r="D42240" s="28"/>
      <c r="F42240" s="28"/>
      <c r="H42240" s="28"/>
    </row>
    <row r="42241" spans="4:8" x14ac:dyDescent="0.25">
      <c r="D42241" s="28"/>
      <c r="F42241" s="28"/>
      <c r="H42241" s="28"/>
    </row>
    <row r="42242" spans="4:8" x14ac:dyDescent="0.25">
      <c r="D42242" s="28"/>
      <c r="F42242" s="28"/>
      <c r="H42242" s="28"/>
    </row>
    <row r="42243" spans="4:8" x14ac:dyDescent="0.25">
      <c r="D42243" s="28"/>
      <c r="F42243" s="28"/>
      <c r="H42243" s="28"/>
    </row>
    <row r="42244" spans="4:8" x14ac:dyDescent="0.25">
      <c r="D42244" s="28"/>
      <c r="F42244" s="28"/>
      <c r="H42244" s="28"/>
    </row>
    <row r="42245" spans="4:8" x14ac:dyDescent="0.25">
      <c r="D42245" s="28"/>
      <c r="F42245" s="28"/>
      <c r="H42245" s="28"/>
    </row>
    <row r="42246" spans="4:8" x14ac:dyDescent="0.25">
      <c r="D42246" s="28"/>
      <c r="F42246" s="28"/>
      <c r="H42246" s="28"/>
    </row>
    <row r="42247" spans="4:8" x14ac:dyDescent="0.25">
      <c r="D42247" s="28"/>
      <c r="F42247" s="28"/>
      <c r="H42247" s="28"/>
    </row>
    <row r="42248" spans="4:8" x14ac:dyDescent="0.25">
      <c r="D42248" s="28"/>
      <c r="F42248" s="28"/>
      <c r="H42248" s="28"/>
    </row>
    <row r="42249" spans="4:8" x14ac:dyDescent="0.25">
      <c r="D42249" s="28"/>
      <c r="F42249" s="28"/>
      <c r="H42249" s="28"/>
    </row>
    <row r="42250" spans="4:8" x14ac:dyDescent="0.25">
      <c r="D42250" s="28"/>
      <c r="F42250" s="28"/>
      <c r="H42250" s="28"/>
    </row>
    <row r="42251" spans="4:8" x14ac:dyDescent="0.25">
      <c r="D42251" s="28"/>
      <c r="F42251" s="28"/>
      <c r="H42251" s="28"/>
    </row>
    <row r="42252" spans="4:8" x14ac:dyDescent="0.25">
      <c r="D42252" s="28"/>
      <c r="F42252" s="28"/>
      <c r="H42252" s="28"/>
    </row>
    <row r="42253" spans="4:8" x14ac:dyDescent="0.25">
      <c r="D42253" s="28"/>
      <c r="F42253" s="28"/>
      <c r="H42253" s="28"/>
    </row>
    <row r="42254" spans="4:8" x14ac:dyDescent="0.25">
      <c r="D42254" s="28"/>
      <c r="F42254" s="28"/>
      <c r="H42254" s="28"/>
    </row>
    <row r="42255" spans="4:8" x14ac:dyDescent="0.25">
      <c r="D42255" s="28"/>
      <c r="F42255" s="28"/>
      <c r="H42255" s="28"/>
    </row>
    <row r="42256" spans="4:8" x14ac:dyDescent="0.25">
      <c r="D42256" s="28"/>
      <c r="F42256" s="28"/>
      <c r="H42256" s="28"/>
    </row>
    <row r="42257" spans="4:8" x14ac:dyDescent="0.25">
      <c r="D42257" s="28"/>
      <c r="F42257" s="28"/>
      <c r="H42257" s="28"/>
    </row>
    <row r="42258" spans="4:8" x14ac:dyDescent="0.25">
      <c r="D42258" s="28"/>
      <c r="F42258" s="28"/>
      <c r="H42258" s="28"/>
    </row>
    <row r="42259" spans="4:8" x14ac:dyDescent="0.25">
      <c r="D42259" s="28"/>
      <c r="F42259" s="28"/>
      <c r="H42259" s="28"/>
    </row>
    <row r="42260" spans="4:8" x14ac:dyDescent="0.25">
      <c r="D42260" s="28"/>
      <c r="F42260" s="28"/>
      <c r="H42260" s="28"/>
    </row>
    <row r="42261" spans="4:8" x14ac:dyDescent="0.25">
      <c r="D42261" s="28"/>
      <c r="F42261" s="28"/>
      <c r="H42261" s="28"/>
    </row>
    <row r="42262" spans="4:8" x14ac:dyDescent="0.25">
      <c r="D42262" s="28"/>
      <c r="F42262" s="28"/>
      <c r="H42262" s="28"/>
    </row>
    <row r="42263" spans="4:8" x14ac:dyDescent="0.25">
      <c r="D42263" s="28"/>
      <c r="F42263" s="28"/>
      <c r="H42263" s="28"/>
    </row>
    <row r="42264" spans="4:8" x14ac:dyDescent="0.25">
      <c r="D42264" s="28"/>
      <c r="F42264" s="28"/>
      <c r="H42264" s="28"/>
    </row>
    <row r="42265" spans="4:8" x14ac:dyDescent="0.25">
      <c r="D42265" s="28"/>
      <c r="F42265" s="28"/>
      <c r="H42265" s="28"/>
    </row>
    <row r="42266" spans="4:8" x14ac:dyDescent="0.25">
      <c r="D42266" s="28"/>
      <c r="F42266" s="28"/>
      <c r="H42266" s="28"/>
    </row>
    <row r="42267" spans="4:8" x14ac:dyDescent="0.25">
      <c r="D42267" s="28"/>
      <c r="F42267" s="28"/>
      <c r="H42267" s="28"/>
    </row>
    <row r="42268" spans="4:8" x14ac:dyDescent="0.25">
      <c r="D42268" s="28"/>
      <c r="F42268" s="28"/>
      <c r="H42268" s="28"/>
    </row>
    <row r="42269" spans="4:8" x14ac:dyDescent="0.25">
      <c r="D42269" s="28"/>
      <c r="F42269" s="28"/>
      <c r="H42269" s="28"/>
    </row>
    <row r="42270" spans="4:8" x14ac:dyDescent="0.25">
      <c r="D42270" s="28"/>
      <c r="F42270" s="28"/>
      <c r="H42270" s="28"/>
    </row>
    <row r="42271" spans="4:8" x14ac:dyDescent="0.25">
      <c r="D42271" s="28"/>
      <c r="F42271" s="28"/>
      <c r="H42271" s="28"/>
    </row>
    <row r="42272" spans="4:8" x14ac:dyDescent="0.25">
      <c r="D42272" s="28"/>
      <c r="F42272" s="28"/>
      <c r="H42272" s="28"/>
    </row>
    <row r="42273" spans="4:8" x14ac:dyDescent="0.25">
      <c r="D42273" s="28"/>
      <c r="F42273" s="28"/>
      <c r="H42273" s="28"/>
    </row>
    <row r="42274" spans="4:8" x14ac:dyDescent="0.25">
      <c r="D42274" s="28"/>
      <c r="F42274" s="28"/>
      <c r="H42274" s="28"/>
    </row>
    <row r="42275" spans="4:8" x14ac:dyDescent="0.25">
      <c r="D42275" s="28"/>
      <c r="F42275" s="28"/>
      <c r="H42275" s="28"/>
    </row>
    <row r="42276" spans="4:8" x14ac:dyDescent="0.25">
      <c r="D42276" s="28"/>
      <c r="F42276" s="28"/>
      <c r="H42276" s="28"/>
    </row>
    <row r="42277" spans="4:8" x14ac:dyDescent="0.25">
      <c r="D42277" s="28"/>
      <c r="F42277" s="28"/>
      <c r="H42277" s="28"/>
    </row>
    <row r="42278" spans="4:8" x14ac:dyDescent="0.25">
      <c r="D42278" s="28"/>
      <c r="F42278" s="28"/>
      <c r="H42278" s="28"/>
    </row>
    <row r="42279" spans="4:8" x14ac:dyDescent="0.25">
      <c r="D42279" s="28"/>
      <c r="F42279" s="28"/>
      <c r="H42279" s="28"/>
    </row>
    <row r="42280" spans="4:8" x14ac:dyDescent="0.25">
      <c r="D42280" s="28"/>
      <c r="F42280" s="28"/>
      <c r="H42280" s="28"/>
    </row>
    <row r="42281" spans="4:8" x14ac:dyDescent="0.25">
      <c r="D42281" s="28"/>
      <c r="F42281" s="28"/>
      <c r="H42281" s="28"/>
    </row>
    <row r="42282" spans="4:8" x14ac:dyDescent="0.25">
      <c r="D42282" s="28"/>
      <c r="F42282" s="28"/>
      <c r="H42282" s="28"/>
    </row>
    <row r="42283" spans="4:8" x14ac:dyDescent="0.25">
      <c r="D42283" s="28"/>
      <c r="F42283" s="28"/>
      <c r="H42283" s="28"/>
    </row>
    <row r="42284" spans="4:8" x14ac:dyDescent="0.25">
      <c r="D42284" s="28"/>
      <c r="F42284" s="28"/>
      <c r="H42284" s="28"/>
    </row>
    <row r="42285" spans="4:8" x14ac:dyDescent="0.25">
      <c r="D42285" s="28"/>
      <c r="F42285" s="28"/>
      <c r="H42285" s="28"/>
    </row>
    <row r="42286" spans="4:8" x14ac:dyDescent="0.25">
      <c r="D42286" s="28"/>
      <c r="F42286" s="28"/>
      <c r="H42286" s="28"/>
    </row>
    <row r="42287" spans="4:8" x14ac:dyDescent="0.25">
      <c r="D42287" s="28"/>
      <c r="F42287" s="28"/>
      <c r="H42287" s="28"/>
    </row>
    <row r="42288" spans="4:8" x14ac:dyDescent="0.25">
      <c r="D42288" s="28"/>
      <c r="F42288" s="28"/>
      <c r="H42288" s="28"/>
    </row>
    <row r="42289" spans="4:8" x14ac:dyDescent="0.25">
      <c r="D42289" s="28"/>
      <c r="F42289" s="28"/>
      <c r="H42289" s="28"/>
    </row>
    <row r="42290" spans="4:8" x14ac:dyDescent="0.25">
      <c r="D42290" s="28"/>
      <c r="F42290" s="28"/>
      <c r="H42290" s="28"/>
    </row>
    <row r="42291" spans="4:8" x14ac:dyDescent="0.25">
      <c r="D42291" s="28"/>
      <c r="F42291" s="28"/>
      <c r="H42291" s="28"/>
    </row>
    <row r="42292" spans="4:8" x14ac:dyDescent="0.25">
      <c r="D42292" s="28"/>
      <c r="F42292" s="28"/>
      <c r="H42292" s="28"/>
    </row>
    <row r="42293" spans="4:8" x14ac:dyDescent="0.25">
      <c r="D42293" s="28"/>
      <c r="F42293" s="28"/>
      <c r="H42293" s="28"/>
    </row>
    <row r="42294" spans="4:8" x14ac:dyDescent="0.25">
      <c r="D42294" s="28"/>
      <c r="F42294" s="28"/>
      <c r="H42294" s="28"/>
    </row>
    <row r="42295" spans="4:8" x14ac:dyDescent="0.25">
      <c r="D42295" s="28"/>
      <c r="F42295" s="28"/>
      <c r="H42295" s="28"/>
    </row>
    <row r="42296" spans="4:8" x14ac:dyDescent="0.25">
      <c r="D42296" s="28"/>
      <c r="F42296" s="28"/>
      <c r="H42296" s="28"/>
    </row>
    <row r="42297" spans="4:8" x14ac:dyDescent="0.25">
      <c r="D42297" s="28"/>
      <c r="F42297" s="28"/>
      <c r="H42297" s="28"/>
    </row>
    <row r="42298" spans="4:8" x14ac:dyDescent="0.25">
      <c r="D42298" s="28"/>
      <c r="F42298" s="28"/>
      <c r="H42298" s="28"/>
    </row>
    <row r="42299" spans="4:8" x14ac:dyDescent="0.25">
      <c r="D42299" s="28"/>
      <c r="F42299" s="28"/>
      <c r="H42299" s="28"/>
    </row>
    <row r="42300" spans="4:8" x14ac:dyDescent="0.25">
      <c r="D42300" s="28"/>
      <c r="F42300" s="28"/>
      <c r="H42300" s="28"/>
    </row>
    <row r="42301" spans="4:8" x14ac:dyDescent="0.25">
      <c r="D42301" s="28"/>
      <c r="F42301" s="28"/>
      <c r="H42301" s="28"/>
    </row>
    <row r="42302" spans="4:8" x14ac:dyDescent="0.25">
      <c r="D42302" s="28"/>
      <c r="F42302" s="28"/>
      <c r="H42302" s="28"/>
    </row>
    <row r="42303" spans="4:8" x14ac:dyDescent="0.25">
      <c r="D42303" s="28"/>
      <c r="F42303" s="28"/>
      <c r="H42303" s="28"/>
    </row>
    <row r="42304" spans="4:8" x14ac:dyDescent="0.25">
      <c r="D42304" s="28"/>
      <c r="F42304" s="28"/>
      <c r="H42304" s="28"/>
    </row>
    <row r="42305" spans="4:8" x14ac:dyDescent="0.25">
      <c r="D42305" s="28"/>
      <c r="F42305" s="28"/>
      <c r="H42305" s="28"/>
    </row>
    <row r="42306" spans="4:8" x14ac:dyDescent="0.25">
      <c r="D42306" s="28"/>
      <c r="F42306" s="28"/>
      <c r="H42306" s="28"/>
    </row>
    <row r="42307" spans="4:8" x14ac:dyDescent="0.25">
      <c r="D42307" s="28"/>
      <c r="F42307" s="28"/>
      <c r="H42307" s="28"/>
    </row>
    <row r="42308" spans="4:8" x14ac:dyDescent="0.25">
      <c r="D42308" s="28"/>
      <c r="F42308" s="28"/>
      <c r="H42308" s="28"/>
    </row>
    <row r="42309" spans="4:8" x14ac:dyDescent="0.25">
      <c r="D42309" s="28"/>
      <c r="F42309" s="28"/>
      <c r="H42309" s="28"/>
    </row>
    <row r="42310" spans="4:8" x14ac:dyDescent="0.25">
      <c r="D42310" s="28"/>
      <c r="F42310" s="28"/>
      <c r="H42310" s="28"/>
    </row>
    <row r="42311" spans="4:8" x14ac:dyDescent="0.25">
      <c r="D42311" s="28"/>
      <c r="F42311" s="28"/>
      <c r="H42311" s="28"/>
    </row>
    <row r="42312" spans="4:8" x14ac:dyDescent="0.25">
      <c r="D42312" s="28"/>
      <c r="F42312" s="28"/>
      <c r="H42312" s="28"/>
    </row>
    <row r="42313" spans="4:8" x14ac:dyDescent="0.25">
      <c r="D42313" s="28"/>
      <c r="F42313" s="28"/>
      <c r="H42313" s="28"/>
    </row>
    <row r="42314" spans="4:8" x14ac:dyDescent="0.25">
      <c r="D42314" s="28"/>
      <c r="F42314" s="28"/>
      <c r="H42314" s="28"/>
    </row>
    <row r="42315" spans="4:8" x14ac:dyDescent="0.25">
      <c r="D42315" s="28"/>
      <c r="F42315" s="28"/>
      <c r="H42315" s="28"/>
    </row>
    <row r="42316" spans="4:8" x14ac:dyDescent="0.25">
      <c r="D42316" s="28"/>
      <c r="F42316" s="28"/>
      <c r="H42316" s="28"/>
    </row>
    <row r="42317" spans="4:8" x14ac:dyDescent="0.25">
      <c r="D42317" s="28"/>
      <c r="F42317" s="28"/>
      <c r="H42317" s="28"/>
    </row>
    <row r="42318" spans="4:8" x14ac:dyDescent="0.25">
      <c r="D42318" s="28"/>
      <c r="F42318" s="28"/>
      <c r="H42318" s="28"/>
    </row>
    <row r="42319" spans="4:8" x14ac:dyDescent="0.25">
      <c r="D42319" s="28"/>
      <c r="F42319" s="28"/>
      <c r="H42319" s="28"/>
    </row>
    <row r="42320" spans="4:8" x14ac:dyDescent="0.25">
      <c r="D42320" s="28"/>
      <c r="F42320" s="28"/>
      <c r="H42320" s="28"/>
    </row>
    <row r="42321" spans="4:8" x14ac:dyDescent="0.25">
      <c r="D42321" s="28"/>
      <c r="F42321" s="28"/>
      <c r="H42321" s="28"/>
    </row>
    <row r="42322" spans="4:8" x14ac:dyDescent="0.25">
      <c r="D42322" s="28"/>
      <c r="F42322" s="28"/>
      <c r="H42322" s="28"/>
    </row>
    <row r="42323" spans="4:8" x14ac:dyDescent="0.25">
      <c r="D42323" s="28"/>
      <c r="F42323" s="28"/>
      <c r="H42323" s="28"/>
    </row>
    <row r="42324" spans="4:8" x14ac:dyDescent="0.25">
      <c r="D42324" s="28"/>
      <c r="F42324" s="28"/>
      <c r="H42324" s="28"/>
    </row>
    <row r="42325" spans="4:8" x14ac:dyDescent="0.25">
      <c r="D42325" s="28"/>
      <c r="F42325" s="28"/>
      <c r="H42325" s="28"/>
    </row>
    <row r="42326" spans="4:8" x14ac:dyDescent="0.25">
      <c r="D42326" s="28"/>
      <c r="F42326" s="28"/>
      <c r="H42326" s="28"/>
    </row>
    <row r="42327" spans="4:8" x14ac:dyDescent="0.25">
      <c r="D42327" s="28"/>
      <c r="F42327" s="28"/>
      <c r="H42327" s="28"/>
    </row>
    <row r="42328" spans="4:8" x14ac:dyDescent="0.25">
      <c r="D42328" s="28"/>
      <c r="F42328" s="28"/>
      <c r="H42328" s="28"/>
    </row>
    <row r="42329" spans="4:8" x14ac:dyDescent="0.25">
      <c r="D42329" s="28"/>
      <c r="F42329" s="28"/>
      <c r="H42329" s="28"/>
    </row>
    <row r="42330" spans="4:8" x14ac:dyDescent="0.25">
      <c r="D42330" s="28"/>
      <c r="F42330" s="28"/>
      <c r="H42330" s="28"/>
    </row>
    <row r="42331" spans="4:8" x14ac:dyDescent="0.25">
      <c r="D42331" s="28"/>
      <c r="F42331" s="28"/>
      <c r="H42331" s="28"/>
    </row>
    <row r="42332" spans="4:8" x14ac:dyDescent="0.25">
      <c r="D42332" s="28"/>
      <c r="F42332" s="28"/>
      <c r="H42332" s="28"/>
    </row>
    <row r="42333" spans="4:8" x14ac:dyDescent="0.25">
      <c r="D42333" s="28"/>
      <c r="F42333" s="28"/>
      <c r="H42333" s="28"/>
    </row>
    <row r="42334" spans="4:8" x14ac:dyDescent="0.25">
      <c r="D42334" s="28"/>
      <c r="F42334" s="28"/>
      <c r="H42334" s="28"/>
    </row>
    <row r="42335" spans="4:8" x14ac:dyDescent="0.25">
      <c r="D42335" s="28"/>
      <c r="F42335" s="28"/>
      <c r="H42335" s="28"/>
    </row>
    <row r="42336" spans="4:8" x14ac:dyDescent="0.25">
      <c r="D42336" s="28"/>
      <c r="F42336" s="28"/>
      <c r="H42336" s="28"/>
    </row>
    <row r="42337" spans="4:8" x14ac:dyDescent="0.25">
      <c r="D42337" s="28"/>
      <c r="F42337" s="28"/>
      <c r="H42337" s="28"/>
    </row>
    <row r="42338" spans="4:8" x14ac:dyDescent="0.25">
      <c r="D42338" s="28"/>
      <c r="F42338" s="28"/>
      <c r="H42338" s="28"/>
    </row>
    <row r="42339" spans="4:8" x14ac:dyDescent="0.25">
      <c r="D42339" s="28"/>
      <c r="F42339" s="28"/>
      <c r="H42339" s="28"/>
    </row>
    <row r="42340" spans="4:8" x14ac:dyDescent="0.25">
      <c r="D42340" s="28"/>
      <c r="F42340" s="28"/>
      <c r="H42340" s="28"/>
    </row>
    <row r="42341" spans="4:8" x14ac:dyDescent="0.25">
      <c r="D42341" s="28"/>
      <c r="F42341" s="28"/>
      <c r="H42341" s="28"/>
    </row>
    <row r="42342" spans="4:8" x14ac:dyDescent="0.25">
      <c r="D42342" s="28"/>
      <c r="F42342" s="28"/>
      <c r="H42342" s="28"/>
    </row>
    <row r="42343" spans="4:8" x14ac:dyDescent="0.25">
      <c r="D42343" s="28"/>
      <c r="F42343" s="28"/>
      <c r="H42343" s="28"/>
    </row>
    <row r="42344" spans="4:8" x14ac:dyDescent="0.25">
      <c r="D42344" s="28"/>
      <c r="F42344" s="28"/>
      <c r="H42344" s="28"/>
    </row>
    <row r="42345" spans="4:8" x14ac:dyDescent="0.25">
      <c r="D42345" s="28"/>
      <c r="F42345" s="28"/>
      <c r="H42345" s="28"/>
    </row>
    <row r="42346" spans="4:8" x14ac:dyDescent="0.25">
      <c r="D42346" s="28"/>
      <c r="F42346" s="28"/>
      <c r="H42346" s="28"/>
    </row>
    <row r="42347" spans="4:8" x14ac:dyDescent="0.25">
      <c r="D42347" s="28"/>
      <c r="F42347" s="28"/>
      <c r="H42347" s="28"/>
    </row>
    <row r="42348" spans="4:8" x14ac:dyDescent="0.25">
      <c r="D42348" s="28"/>
      <c r="F42348" s="28"/>
      <c r="H42348" s="28"/>
    </row>
    <row r="42349" spans="4:8" x14ac:dyDescent="0.25">
      <c r="D42349" s="28"/>
      <c r="F42349" s="28"/>
      <c r="H42349" s="28"/>
    </row>
    <row r="42350" spans="4:8" x14ac:dyDescent="0.25">
      <c r="D42350" s="28"/>
      <c r="F42350" s="28"/>
      <c r="H42350" s="28"/>
    </row>
    <row r="42351" spans="4:8" x14ac:dyDescent="0.25">
      <c r="D42351" s="28"/>
      <c r="F42351" s="28"/>
      <c r="H42351" s="28"/>
    </row>
    <row r="42352" spans="4:8" x14ac:dyDescent="0.25">
      <c r="D42352" s="28"/>
      <c r="F42352" s="28"/>
      <c r="H42352" s="28"/>
    </row>
    <row r="42353" spans="4:8" x14ac:dyDescent="0.25">
      <c r="D42353" s="28"/>
      <c r="F42353" s="28"/>
      <c r="H42353" s="28"/>
    </row>
    <row r="42354" spans="4:8" x14ac:dyDescent="0.25">
      <c r="D42354" s="28"/>
      <c r="F42354" s="28"/>
      <c r="H42354" s="28"/>
    </row>
    <row r="42355" spans="4:8" x14ac:dyDescent="0.25">
      <c r="D42355" s="28"/>
      <c r="F42355" s="28"/>
      <c r="H42355" s="28"/>
    </row>
    <row r="42356" spans="4:8" x14ac:dyDescent="0.25">
      <c r="D42356" s="28"/>
      <c r="F42356" s="28"/>
      <c r="H42356" s="28"/>
    </row>
    <row r="42357" spans="4:8" x14ac:dyDescent="0.25">
      <c r="D42357" s="28"/>
      <c r="F42357" s="28"/>
      <c r="H42357" s="28"/>
    </row>
    <row r="42358" spans="4:8" x14ac:dyDescent="0.25">
      <c r="D42358" s="28"/>
      <c r="F42358" s="28"/>
      <c r="H42358" s="28"/>
    </row>
    <row r="42359" spans="4:8" x14ac:dyDescent="0.25">
      <c r="D42359" s="28"/>
      <c r="F42359" s="28"/>
      <c r="H42359" s="28"/>
    </row>
    <row r="42360" spans="4:8" x14ac:dyDescent="0.25">
      <c r="D42360" s="28"/>
      <c r="F42360" s="28"/>
      <c r="H42360" s="28"/>
    </row>
    <row r="42361" spans="4:8" x14ac:dyDescent="0.25">
      <c r="D42361" s="28"/>
      <c r="F42361" s="28"/>
      <c r="H42361" s="28"/>
    </row>
    <row r="42362" spans="4:8" x14ac:dyDescent="0.25">
      <c r="D42362" s="28"/>
      <c r="F42362" s="28"/>
      <c r="H42362" s="28"/>
    </row>
    <row r="42363" spans="4:8" x14ac:dyDescent="0.25">
      <c r="D42363" s="28"/>
      <c r="F42363" s="28"/>
      <c r="H42363" s="28"/>
    </row>
    <row r="42364" spans="4:8" x14ac:dyDescent="0.25">
      <c r="D42364" s="28"/>
      <c r="F42364" s="28"/>
      <c r="H42364" s="28"/>
    </row>
    <row r="42365" spans="4:8" x14ac:dyDescent="0.25">
      <c r="D42365" s="28"/>
      <c r="F42365" s="28"/>
      <c r="H42365" s="28"/>
    </row>
    <row r="42366" spans="4:8" x14ac:dyDescent="0.25">
      <c r="D42366" s="28"/>
      <c r="F42366" s="28"/>
      <c r="H42366" s="28"/>
    </row>
    <row r="42367" spans="4:8" x14ac:dyDescent="0.25">
      <c r="D42367" s="28"/>
      <c r="F42367" s="28"/>
      <c r="H42367" s="28"/>
    </row>
    <row r="42368" spans="4:8" x14ac:dyDescent="0.25">
      <c r="D42368" s="28"/>
      <c r="F42368" s="28"/>
      <c r="H42368" s="28"/>
    </row>
    <row r="42369" spans="4:8" x14ac:dyDescent="0.25">
      <c r="D42369" s="28"/>
      <c r="F42369" s="28"/>
      <c r="H42369" s="28"/>
    </row>
    <row r="42370" spans="4:8" x14ac:dyDescent="0.25">
      <c r="D42370" s="28"/>
      <c r="F42370" s="28"/>
      <c r="H42370" s="28"/>
    </row>
    <row r="42371" spans="4:8" x14ac:dyDescent="0.25">
      <c r="D42371" s="28"/>
      <c r="F42371" s="28"/>
      <c r="H42371" s="28"/>
    </row>
    <row r="42372" spans="4:8" x14ac:dyDescent="0.25">
      <c r="D42372" s="28"/>
      <c r="F42372" s="28"/>
      <c r="H42372" s="28"/>
    </row>
    <row r="42373" spans="4:8" x14ac:dyDescent="0.25">
      <c r="D42373" s="28"/>
      <c r="F42373" s="28"/>
      <c r="H42373" s="28"/>
    </row>
    <row r="42374" spans="4:8" x14ac:dyDescent="0.25">
      <c r="D42374" s="28"/>
      <c r="F42374" s="28"/>
      <c r="H42374" s="28"/>
    </row>
    <row r="42375" spans="4:8" x14ac:dyDescent="0.25">
      <c r="D42375" s="28"/>
      <c r="F42375" s="28"/>
      <c r="H42375" s="28"/>
    </row>
    <row r="42376" spans="4:8" x14ac:dyDescent="0.25">
      <c r="D42376" s="28"/>
      <c r="F42376" s="28"/>
      <c r="H42376" s="28"/>
    </row>
    <row r="42377" spans="4:8" x14ac:dyDescent="0.25">
      <c r="D42377" s="28"/>
      <c r="F42377" s="28"/>
      <c r="H42377" s="28"/>
    </row>
    <row r="42378" spans="4:8" x14ac:dyDescent="0.25">
      <c r="D42378" s="28"/>
      <c r="F42378" s="28"/>
      <c r="H42378" s="28"/>
    </row>
    <row r="42379" spans="4:8" x14ac:dyDescent="0.25">
      <c r="D42379" s="28"/>
      <c r="F42379" s="28"/>
      <c r="H42379" s="28"/>
    </row>
    <row r="42380" spans="4:8" x14ac:dyDescent="0.25">
      <c r="D42380" s="28"/>
      <c r="F42380" s="28"/>
      <c r="H42380" s="28"/>
    </row>
    <row r="42381" spans="4:8" x14ac:dyDescent="0.25">
      <c r="D42381" s="28"/>
      <c r="F42381" s="28"/>
      <c r="H42381" s="28"/>
    </row>
    <row r="42382" spans="4:8" x14ac:dyDescent="0.25">
      <c r="D42382" s="28"/>
      <c r="F42382" s="28"/>
      <c r="H42382" s="28"/>
    </row>
    <row r="42383" spans="4:8" x14ac:dyDescent="0.25">
      <c r="D42383" s="28"/>
      <c r="F42383" s="28"/>
      <c r="H42383" s="28"/>
    </row>
    <row r="42384" spans="4:8" x14ac:dyDescent="0.25">
      <c r="D42384" s="28"/>
      <c r="F42384" s="28"/>
      <c r="H42384" s="28"/>
    </row>
    <row r="42385" spans="4:8" x14ac:dyDescent="0.25">
      <c r="D42385" s="28"/>
      <c r="F42385" s="28"/>
      <c r="H42385" s="28"/>
    </row>
    <row r="42386" spans="4:8" x14ac:dyDescent="0.25">
      <c r="D42386" s="28"/>
      <c r="F42386" s="28"/>
      <c r="H42386" s="28"/>
    </row>
    <row r="42387" spans="4:8" x14ac:dyDescent="0.25">
      <c r="D42387" s="28"/>
      <c r="F42387" s="28"/>
      <c r="H42387" s="28"/>
    </row>
    <row r="42388" spans="4:8" x14ac:dyDescent="0.25">
      <c r="D42388" s="28"/>
      <c r="F42388" s="28"/>
      <c r="H42388" s="28"/>
    </row>
    <row r="42389" spans="4:8" x14ac:dyDescent="0.25">
      <c r="D42389" s="28"/>
      <c r="F42389" s="28"/>
      <c r="H42389" s="28"/>
    </row>
    <row r="42390" spans="4:8" x14ac:dyDescent="0.25">
      <c r="D42390" s="28"/>
      <c r="F42390" s="28"/>
      <c r="H42390" s="28"/>
    </row>
    <row r="42391" spans="4:8" x14ac:dyDescent="0.25">
      <c r="D42391" s="28"/>
      <c r="F42391" s="28"/>
      <c r="H42391" s="28"/>
    </row>
    <row r="42392" spans="4:8" x14ac:dyDescent="0.25">
      <c r="D42392" s="28"/>
      <c r="F42392" s="28"/>
      <c r="H42392" s="28"/>
    </row>
    <row r="42393" spans="4:8" x14ac:dyDescent="0.25">
      <c r="D42393" s="28"/>
      <c r="F42393" s="28"/>
      <c r="H42393" s="28"/>
    </row>
    <row r="42394" spans="4:8" x14ac:dyDescent="0.25">
      <c r="D42394" s="28"/>
      <c r="F42394" s="28"/>
      <c r="H42394" s="28"/>
    </row>
    <row r="42395" spans="4:8" x14ac:dyDescent="0.25">
      <c r="D42395" s="28"/>
      <c r="F42395" s="28"/>
      <c r="H42395" s="28"/>
    </row>
    <row r="42396" spans="4:8" x14ac:dyDescent="0.25">
      <c r="D42396" s="28"/>
      <c r="F42396" s="28"/>
      <c r="H42396" s="28"/>
    </row>
    <row r="42397" spans="4:8" x14ac:dyDescent="0.25">
      <c r="D42397" s="28"/>
      <c r="F42397" s="28"/>
      <c r="H42397" s="28"/>
    </row>
    <row r="42398" spans="4:8" x14ac:dyDescent="0.25">
      <c r="D42398" s="28"/>
      <c r="F42398" s="28"/>
      <c r="H42398" s="28"/>
    </row>
    <row r="42399" spans="4:8" x14ac:dyDescent="0.25">
      <c r="D42399" s="28"/>
      <c r="F42399" s="28"/>
      <c r="H42399" s="28"/>
    </row>
    <row r="42400" spans="4:8" x14ac:dyDescent="0.25">
      <c r="D42400" s="28"/>
      <c r="F42400" s="28"/>
      <c r="H42400" s="28"/>
    </row>
    <row r="42401" spans="4:8" x14ac:dyDescent="0.25">
      <c r="D42401" s="28"/>
      <c r="F42401" s="28"/>
      <c r="H42401" s="28"/>
    </row>
    <row r="42402" spans="4:8" x14ac:dyDescent="0.25">
      <c r="D42402" s="28"/>
      <c r="F42402" s="28"/>
      <c r="H42402" s="28"/>
    </row>
    <row r="42403" spans="4:8" x14ac:dyDescent="0.25">
      <c r="D42403" s="28"/>
      <c r="F42403" s="28"/>
      <c r="H42403" s="28"/>
    </row>
    <row r="42404" spans="4:8" x14ac:dyDescent="0.25">
      <c r="D42404" s="28"/>
      <c r="F42404" s="28"/>
      <c r="H42404" s="28"/>
    </row>
    <row r="42405" spans="4:8" x14ac:dyDescent="0.25">
      <c r="D42405" s="28"/>
      <c r="F42405" s="28"/>
      <c r="H42405" s="28"/>
    </row>
    <row r="42406" spans="4:8" x14ac:dyDescent="0.25">
      <c r="D42406" s="28"/>
      <c r="F42406" s="28"/>
      <c r="H42406" s="28"/>
    </row>
    <row r="42407" spans="4:8" x14ac:dyDescent="0.25">
      <c r="D42407" s="28"/>
      <c r="F42407" s="28"/>
      <c r="H42407" s="28"/>
    </row>
    <row r="42408" spans="4:8" x14ac:dyDescent="0.25">
      <c r="D42408" s="28"/>
      <c r="F42408" s="28"/>
      <c r="H42408" s="28"/>
    </row>
    <row r="42409" spans="4:8" x14ac:dyDescent="0.25">
      <c r="D42409" s="28"/>
      <c r="F42409" s="28"/>
      <c r="H42409" s="28"/>
    </row>
    <row r="42410" spans="4:8" x14ac:dyDescent="0.25">
      <c r="D42410" s="28"/>
      <c r="F42410" s="28"/>
      <c r="H42410" s="28"/>
    </row>
    <row r="42411" spans="4:8" x14ac:dyDescent="0.25">
      <c r="D42411" s="28"/>
      <c r="F42411" s="28"/>
      <c r="H42411" s="28"/>
    </row>
    <row r="42412" spans="4:8" x14ac:dyDescent="0.25">
      <c r="D42412" s="28"/>
      <c r="F42412" s="28"/>
      <c r="H42412" s="28"/>
    </row>
    <row r="42413" spans="4:8" x14ac:dyDescent="0.25">
      <c r="D42413" s="28"/>
      <c r="F42413" s="28"/>
      <c r="H42413" s="28"/>
    </row>
    <row r="42414" spans="4:8" x14ac:dyDescent="0.25">
      <c r="D42414" s="28"/>
      <c r="F42414" s="28"/>
      <c r="H42414" s="28"/>
    </row>
    <row r="42415" spans="4:8" x14ac:dyDescent="0.25">
      <c r="D42415" s="28"/>
      <c r="F42415" s="28"/>
      <c r="H42415" s="28"/>
    </row>
    <row r="42416" spans="4:8" x14ac:dyDescent="0.25">
      <c r="D42416" s="28"/>
      <c r="F42416" s="28"/>
      <c r="H42416" s="28"/>
    </row>
    <row r="42417" spans="4:8" x14ac:dyDescent="0.25">
      <c r="D42417" s="28"/>
      <c r="F42417" s="28"/>
      <c r="H42417" s="28"/>
    </row>
    <row r="42418" spans="4:8" x14ac:dyDescent="0.25">
      <c r="D42418" s="28"/>
      <c r="F42418" s="28"/>
      <c r="H42418" s="28"/>
    </row>
    <row r="42419" spans="4:8" x14ac:dyDescent="0.25">
      <c r="D42419" s="28"/>
      <c r="F42419" s="28"/>
      <c r="H42419" s="28"/>
    </row>
    <row r="42420" spans="4:8" x14ac:dyDescent="0.25">
      <c r="D42420" s="28"/>
      <c r="F42420" s="28"/>
      <c r="H42420" s="28"/>
    </row>
    <row r="42421" spans="4:8" x14ac:dyDescent="0.25">
      <c r="D42421" s="28"/>
      <c r="F42421" s="28"/>
      <c r="H42421" s="28"/>
    </row>
    <row r="42422" spans="4:8" x14ac:dyDescent="0.25">
      <c r="D42422" s="28"/>
      <c r="F42422" s="28"/>
      <c r="H42422" s="28"/>
    </row>
    <row r="42423" spans="4:8" x14ac:dyDescent="0.25">
      <c r="D42423" s="28"/>
      <c r="F42423" s="28"/>
      <c r="H42423" s="28"/>
    </row>
    <row r="42424" spans="4:8" x14ac:dyDescent="0.25">
      <c r="D42424" s="28"/>
      <c r="F42424" s="28"/>
      <c r="H42424" s="28"/>
    </row>
    <row r="42425" spans="4:8" x14ac:dyDescent="0.25">
      <c r="D42425" s="28"/>
      <c r="F42425" s="28"/>
      <c r="H42425" s="28"/>
    </row>
    <row r="42426" spans="4:8" x14ac:dyDescent="0.25">
      <c r="D42426" s="28"/>
      <c r="F42426" s="28"/>
      <c r="H42426" s="28"/>
    </row>
    <row r="42427" spans="4:8" x14ac:dyDescent="0.25">
      <c r="D42427" s="28"/>
      <c r="F42427" s="28"/>
      <c r="H42427" s="28"/>
    </row>
    <row r="42428" spans="4:8" x14ac:dyDescent="0.25">
      <c r="D42428" s="28"/>
      <c r="F42428" s="28"/>
      <c r="H42428" s="28"/>
    </row>
    <row r="42429" spans="4:8" x14ac:dyDescent="0.25">
      <c r="D42429" s="28"/>
      <c r="F42429" s="28"/>
      <c r="H42429" s="28"/>
    </row>
    <row r="42430" spans="4:8" x14ac:dyDescent="0.25">
      <c r="D42430" s="28"/>
      <c r="F42430" s="28"/>
      <c r="H42430" s="28"/>
    </row>
    <row r="42431" spans="4:8" x14ac:dyDescent="0.25">
      <c r="D42431" s="28"/>
      <c r="F42431" s="28"/>
      <c r="H42431" s="28"/>
    </row>
    <row r="42432" spans="4:8" x14ac:dyDescent="0.25">
      <c r="D42432" s="28"/>
      <c r="F42432" s="28"/>
      <c r="H42432" s="28"/>
    </row>
    <row r="42433" spans="4:8" x14ac:dyDescent="0.25">
      <c r="D42433" s="28"/>
      <c r="F42433" s="28"/>
      <c r="H42433" s="28"/>
    </row>
    <row r="42434" spans="4:8" x14ac:dyDescent="0.25">
      <c r="D42434" s="28"/>
      <c r="F42434" s="28"/>
      <c r="H42434" s="28"/>
    </row>
    <row r="42435" spans="4:8" x14ac:dyDescent="0.25">
      <c r="D42435" s="28"/>
      <c r="F42435" s="28"/>
      <c r="H42435" s="28"/>
    </row>
    <row r="42436" spans="4:8" x14ac:dyDescent="0.25">
      <c r="D42436" s="28"/>
      <c r="F42436" s="28"/>
      <c r="H42436" s="28"/>
    </row>
    <row r="42437" spans="4:8" x14ac:dyDescent="0.25">
      <c r="D42437" s="28"/>
      <c r="F42437" s="28"/>
      <c r="H42437" s="28"/>
    </row>
    <row r="42438" spans="4:8" x14ac:dyDescent="0.25">
      <c r="D42438" s="28"/>
      <c r="F42438" s="28"/>
      <c r="H42438" s="28"/>
    </row>
    <row r="42439" spans="4:8" x14ac:dyDescent="0.25">
      <c r="D42439" s="28"/>
      <c r="F42439" s="28"/>
      <c r="H42439" s="28"/>
    </row>
    <row r="42440" spans="4:8" x14ac:dyDescent="0.25">
      <c r="D42440" s="28"/>
      <c r="F42440" s="28"/>
      <c r="H42440" s="28"/>
    </row>
    <row r="42441" spans="4:8" x14ac:dyDescent="0.25">
      <c r="D42441" s="28"/>
      <c r="F42441" s="28"/>
      <c r="H42441" s="28"/>
    </row>
    <row r="42442" spans="4:8" x14ac:dyDescent="0.25">
      <c r="D42442" s="28"/>
      <c r="F42442" s="28"/>
      <c r="H42442" s="28"/>
    </row>
    <row r="42443" spans="4:8" x14ac:dyDescent="0.25">
      <c r="D42443" s="28"/>
      <c r="F42443" s="28"/>
      <c r="H42443" s="28"/>
    </row>
    <row r="42444" spans="4:8" x14ac:dyDescent="0.25">
      <c r="D42444" s="28"/>
      <c r="F42444" s="28"/>
      <c r="H42444" s="28"/>
    </row>
    <row r="42445" spans="4:8" x14ac:dyDescent="0.25">
      <c r="D42445" s="28"/>
      <c r="F42445" s="28"/>
      <c r="H42445" s="28"/>
    </row>
    <row r="42446" spans="4:8" x14ac:dyDescent="0.25">
      <c r="D42446" s="28"/>
      <c r="F42446" s="28"/>
      <c r="H42446" s="28"/>
    </row>
    <row r="42447" spans="4:8" x14ac:dyDescent="0.25">
      <c r="D42447" s="28"/>
      <c r="F42447" s="28"/>
      <c r="H42447" s="28"/>
    </row>
    <row r="42448" spans="4:8" x14ac:dyDescent="0.25">
      <c r="D42448" s="28"/>
      <c r="F42448" s="28"/>
      <c r="H42448" s="28"/>
    </row>
    <row r="42449" spans="4:8" x14ac:dyDescent="0.25">
      <c r="D42449" s="28"/>
      <c r="F42449" s="28"/>
      <c r="H42449" s="28"/>
    </row>
    <row r="42450" spans="4:8" x14ac:dyDescent="0.25">
      <c r="D42450" s="28"/>
      <c r="F42450" s="28"/>
      <c r="H42450" s="28"/>
    </row>
    <row r="42451" spans="4:8" x14ac:dyDescent="0.25">
      <c r="D42451" s="28"/>
      <c r="F42451" s="28"/>
      <c r="H42451" s="28"/>
    </row>
    <row r="42452" spans="4:8" x14ac:dyDescent="0.25">
      <c r="D42452" s="28"/>
      <c r="F42452" s="28"/>
      <c r="H42452" s="28"/>
    </row>
    <row r="42453" spans="4:8" x14ac:dyDescent="0.25">
      <c r="D42453" s="28"/>
      <c r="F42453" s="28"/>
      <c r="H42453" s="28"/>
    </row>
    <row r="42454" spans="4:8" x14ac:dyDescent="0.25">
      <c r="D42454" s="28"/>
      <c r="F42454" s="28"/>
      <c r="H42454" s="28"/>
    </row>
    <row r="42455" spans="4:8" x14ac:dyDescent="0.25">
      <c r="D42455" s="28"/>
      <c r="F42455" s="28"/>
      <c r="H42455" s="28"/>
    </row>
    <row r="42456" spans="4:8" x14ac:dyDescent="0.25">
      <c r="D42456" s="28"/>
      <c r="F42456" s="28"/>
      <c r="H42456" s="28"/>
    </row>
    <row r="42457" spans="4:8" x14ac:dyDescent="0.25">
      <c r="D42457" s="28"/>
      <c r="F42457" s="28"/>
      <c r="H42457" s="28"/>
    </row>
    <row r="42458" spans="4:8" x14ac:dyDescent="0.25">
      <c r="D42458" s="28"/>
      <c r="F42458" s="28"/>
      <c r="H42458" s="28"/>
    </row>
    <row r="42459" spans="4:8" x14ac:dyDescent="0.25">
      <c r="D42459" s="28"/>
      <c r="F42459" s="28"/>
      <c r="H42459" s="28"/>
    </row>
    <row r="42460" spans="4:8" x14ac:dyDescent="0.25">
      <c r="D42460" s="28"/>
      <c r="F42460" s="28"/>
      <c r="H42460" s="28"/>
    </row>
    <row r="42461" spans="4:8" x14ac:dyDescent="0.25">
      <c r="D42461" s="28"/>
      <c r="F42461" s="28"/>
      <c r="H42461" s="28"/>
    </row>
    <row r="42462" spans="4:8" x14ac:dyDescent="0.25">
      <c r="D42462" s="28"/>
      <c r="F42462" s="28"/>
      <c r="H42462" s="28"/>
    </row>
    <row r="42463" spans="4:8" x14ac:dyDescent="0.25">
      <c r="D42463" s="28"/>
      <c r="F42463" s="28"/>
      <c r="H42463" s="28"/>
    </row>
    <row r="42464" spans="4:8" x14ac:dyDescent="0.25">
      <c r="D42464" s="28"/>
      <c r="F42464" s="28"/>
      <c r="H42464" s="28"/>
    </row>
    <row r="42465" spans="4:8" x14ac:dyDescent="0.25">
      <c r="D42465" s="28"/>
      <c r="F42465" s="28"/>
      <c r="H42465" s="28"/>
    </row>
    <row r="42466" spans="4:8" x14ac:dyDescent="0.25">
      <c r="D42466" s="28"/>
      <c r="F42466" s="28"/>
      <c r="H42466" s="28"/>
    </row>
    <row r="42467" spans="4:8" x14ac:dyDescent="0.25">
      <c r="D42467" s="28"/>
      <c r="F42467" s="28"/>
      <c r="H42467" s="28"/>
    </row>
    <row r="42468" spans="4:8" x14ac:dyDescent="0.25">
      <c r="D42468" s="28"/>
      <c r="F42468" s="28"/>
      <c r="H42468" s="28"/>
    </row>
    <row r="42469" spans="4:8" x14ac:dyDescent="0.25">
      <c r="D42469" s="28"/>
      <c r="F42469" s="28"/>
      <c r="H42469" s="28"/>
    </row>
    <row r="42470" spans="4:8" x14ac:dyDescent="0.25">
      <c r="D42470" s="28"/>
      <c r="F42470" s="28"/>
      <c r="H42470" s="28"/>
    </row>
    <row r="42471" spans="4:8" x14ac:dyDescent="0.25">
      <c r="D42471" s="28"/>
      <c r="F42471" s="28"/>
      <c r="H42471" s="28"/>
    </row>
    <row r="42472" spans="4:8" x14ac:dyDescent="0.25">
      <c r="D42472" s="28"/>
      <c r="F42472" s="28"/>
      <c r="H42472" s="28"/>
    </row>
    <row r="42473" spans="4:8" x14ac:dyDescent="0.25">
      <c r="D42473" s="28"/>
      <c r="F42473" s="28"/>
      <c r="H42473" s="28"/>
    </row>
    <row r="42474" spans="4:8" x14ac:dyDescent="0.25">
      <c r="D42474" s="28"/>
      <c r="F42474" s="28"/>
      <c r="H42474" s="28"/>
    </row>
    <row r="42475" spans="4:8" x14ac:dyDescent="0.25">
      <c r="D42475" s="28"/>
      <c r="F42475" s="28"/>
      <c r="H42475" s="28"/>
    </row>
    <row r="42476" spans="4:8" x14ac:dyDescent="0.25">
      <c r="D42476" s="28"/>
      <c r="F42476" s="28"/>
      <c r="H42476" s="28"/>
    </row>
    <row r="42477" spans="4:8" x14ac:dyDescent="0.25">
      <c r="D42477" s="28"/>
      <c r="F42477" s="28"/>
      <c r="H42477" s="28"/>
    </row>
    <row r="42478" spans="4:8" x14ac:dyDescent="0.25">
      <c r="D42478" s="28"/>
      <c r="F42478" s="28"/>
      <c r="H42478" s="28"/>
    </row>
    <row r="42479" spans="4:8" x14ac:dyDescent="0.25">
      <c r="D42479" s="28"/>
      <c r="F42479" s="28"/>
      <c r="H42479" s="28"/>
    </row>
    <row r="42480" spans="4:8" x14ac:dyDescent="0.25">
      <c r="D42480" s="28"/>
      <c r="F42480" s="28"/>
      <c r="H42480" s="28"/>
    </row>
    <row r="42481" spans="4:8" x14ac:dyDescent="0.25">
      <c r="D42481" s="28"/>
      <c r="F42481" s="28"/>
      <c r="H42481" s="28"/>
    </row>
    <row r="42482" spans="4:8" x14ac:dyDescent="0.25">
      <c r="D42482" s="28"/>
      <c r="F42482" s="28"/>
      <c r="H42482" s="28"/>
    </row>
    <row r="42483" spans="4:8" x14ac:dyDescent="0.25">
      <c r="D42483" s="28"/>
      <c r="F42483" s="28"/>
      <c r="H42483" s="28"/>
    </row>
    <row r="42484" spans="4:8" x14ac:dyDescent="0.25">
      <c r="D42484" s="28"/>
      <c r="F42484" s="28"/>
      <c r="H42484" s="28"/>
    </row>
    <row r="42485" spans="4:8" x14ac:dyDescent="0.25">
      <c r="D42485" s="28"/>
      <c r="F42485" s="28"/>
      <c r="H42485" s="28"/>
    </row>
    <row r="42486" spans="4:8" x14ac:dyDescent="0.25">
      <c r="D42486" s="28"/>
      <c r="F42486" s="28"/>
      <c r="H42486" s="28"/>
    </row>
    <row r="42487" spans="4:8" x14ac:dyDescent="0.25">
      <c r="D42487" s="28"/>
      <c r="F42487" s="28"/>
      <c r="H42487" s="28"/>
    </row>
    <row r="42488" spans="4:8" x14ac:dyDescent="0.25">
      <c r="D42488" s="28"/>
      <c r="F42488" s="28"/>
      <c r="H42488" s="28"/>
    </row>
    <row r="42489" spans="4:8" x14ac:dyDescent="0.25">
      <c r="D42489" s="28"/>
      <c r="F42489" s="28"/>
      <c r="H42489" s="28"/>
    </row>
    <row r="42490" spans="4:8" x14ac:dyDescent="0.25">
      <c r="D42490" s="28"/>
      <c r="F42490" s="28"/>
      <c r="H42490" s="28"/>
    </row>
    <row r="42491" spans="4:8" x14ac:dyDescent="0.25">
      <c r="D42491" s="28"/>
      <c r="F42491" s="28"/>
      <c r="H42491" s="28"/>
    </row>
    <row r="42492" spans="4:8" x14ac:dyDescent="0.25">
      <c r="D42492" s="28"/>
      <c r="F42492" s="28"/>
      <c r="H42492" s="28"/>
    </row>
    <row r="42493" spans="4:8" x14ac:dyDescent="0.25">
      <c r="D42493" s="28"/>
      <c r="F42493" s="28"/>
      <c r="H42493" s="28"/>
    </row>
    <row r="42494" spans="4:8" x14ac:dyDescent="0.25">
      <c r="D42494" s="28"/>
      <c r="F42494" s="28"/>
      <c r="H42494" s="28"/>
    </row>
    <row r="42495" spans="4:8" x14ac:dyDescent="0.25">
      <c r="D42495" s="28"/>
      <c r="F42495" s="28"/>
      <c r="H42495" s="28"/>
    </row>
    <row r="42496" spans="4:8" x14ac:dyDescent="0.25">
      <c r="D42496" s="28"/>
      <c r="F42496" s="28"/>
      <c r="H42496" s="28"/>
    </row>
    <row r="42497" spans="4:8" x14ac:dyDescent="0.25">
      <c r="D42497" s="28"/>
      <c r="F42497" s="28"/>
      <c r="H42497" s="28"/>
    </row>
    <row r="42498" spans="4:8" x14ac:dyDescent="0.25">
      <c r="D42498" s="28"/>
      <c r="F42498" s="28"/>
      <c r="H42498" s="28"/>
    </row>
    <row r="42499" spans="4:8" x14ac:dyDescent="0.25">
      <c r="D42499" s="28"/>
      <c r="F42499" s="28"/>
      <c r="H42499" s="28"/>
    </row>
    <row r="42500" spans="4:8" x14ac:dyDescent="0.25">
      <c r="D42500" s="28"/>
      <c r="F42500" s="28"/>
      <c r="H42500" s="28"/>
    </row>
    <row r="42501" spans="4:8" x14ac:dyDescent="0.25">
      <c r="D42501" s="28"/>
      <c r="F42501" s="28"/>
      <c r="H42501" s="28"/>
    </row>
    <row r="42502" spans="4:8" x14ac:dyDescent="0.25">
      <c r="D42502" s="28"/>
      <c r="F42502" s="28"/>
      <c r="H42502" s="28"/>
    </row>
    <row r="42503" spans="4:8" x14ac:dyDescent="0.25">
      <c r="D42503" s="28"/>
      <c r="F42503" s="28"/>
      <c r="H42503" s="28"/>
    </row>
    <row r="42504" spans="4:8" x14ac:dyDescent="0.25">
      <c r="D42504" s="28"/>
      <c r="F42504" s="28"/>
      <c r="H42504" s="28"/>
    </row>
    <row r="42505" spans="4:8" x14ac:dyDescent="0.25">
      <c r="D42505" s="28"/>
      <c r="F42505" s="28"/>
      <c r="H42505" s="28"/>
    </row>
    <row r="42506" spans="4:8" x14ac:dyDescent="0.25">
      <c r="D42506" s="28"/>
      <c r="F42506" s="28"/>
      <c r="H42506" s="28"/>
    </row>
    <row r="42507" spans="4:8" x14ac:dyDescent="0.25">
      <c r="D42507" s="28"/>
      <c r="F42507" s="28"/>
      <c r="H42507" s="28"/>
    </row>
    <row r="42508" spans="4:8" x14ac:dyDescent="0.25">
      <c r="D42508" s="28"/>
      <c r="F42508" s="28"/>
      <c r="H42508" s="28"/>
    </row>
    <row r="42509" spans="4:8" x14ac:dyDescent="0.25">
      <c r="D42509" s="28"/>
      <c r="F42509" s="28"/>
      <c r="H42509" s="28"/>
    </row>
    <row r="42510" spans="4:8" x14ac:dyDescent="0.25">
      <c r="D42510" s="28"/>
      <c r="F42510" s="28"/>
      <c r="H42510" s="28"/>
    </row>
    <row r="42511" spans="4:8" x14ac:dyDescent="0.25">
      <c r="D42511" s="28"/>
      <c r="F42511" s="28"/>
      <c r="H42511" s="28"/>
    </row>
    <row r="42512" spans="4:8" x14ac:dyDescent="0.25">
      <c r="D42512" s="28"/>
      <c r="F42512" s="28"/>
      <c r="H42512" s="28"/>
    </row>
    <row r="42513" spans="4:8" x14ac:dyDescent="0.25">
      <c r="D42513" s="28"/>
      <c r="F42513" s="28"/>
      <c r="H42513" s="28"/>
    </row>
    <row r="42514" spans="4:8" x14ac:dyDescent="0.25">
      <c r="D42514" s="28"/>
      <c r="F42514" s="28"/>
      <c r="H42514" s="28"/>
    </row>
    <row r="42515" spans="4:8" x14ac:dyDescent="0.25">
      <c r="D42515" s="28"/>
      <c r="F42515" s="28"/>
      <c r="H42515" s="28"/>
    </row>
    <row r="42516" spans="4:8" x14ac:dyDescent="0.25">
      <c r="D42516" s="28"/>
      <c r="F42516" s="28"/>
      <c r="H42516" s="28"/>
    </row>
    <row r="42517" spans="4:8" x14ac:dyDescent="0.25">
      <c r="D42517" s="28"/>
      <c r="F42517" s="28"/>
      <c r="H42517" s="28"/>
    </row>
    <row r="42518" spans="4:8" x14ac:dyDescent="0.25">
      <c r="D42518" s="28"/>
      <c r="F42518" s="28"/>
      <c r="H42518" s="28"/>
    </row>
    <row r="42519" spans="4:8" x14ac:dyDescent="0.25">
      <c r="D42519" s="28"/>
      <c r="F42519" s="28"/>
      <c r="H42519" s="28"/>
    </row>
    <row r="42520" spans="4:8" x14ac:dyDescent="0.25">
      <c r="D42520" s="28"/>
      <c r="F42520" s="28"/>
      <c r="H42520" s="28"/>
    </row>
    <row r="42521" spans="4:8" x14ac:dyDescent="0.25">
      <c r="D42521" s="28"/>
      <c r="F42521" s="28"/>
      <c r="H42521" s="28"/>
    </row>
    <row r="42522" spans="4:8" x14ac:dyDescent="0.25">
      <c r="D42522" s="28"/>
      <c r="F42522" s="28"/>
      <c r="H42522" s="28"/>
    </row>
    <row r="42523" spans="4:8" x14ac:dyDescent="0.25">
      <c r="D42523" s="28"/>
      <c r="F42523" s="28"/>
      <c r="H42523" s="28"/>
    </row>
    <row r="42524" spans="4:8" x14ac:dyDescent="0.25">
      <c r="D42524" s="28"/>
      <c r="F42524" s="28"/>
      <c r="H42524" s="28"/>
    </row>
    <row r="42525" spans="4:8" x14ac:dyDescent="0.25">
      <c r="D42525" s="28"/>
      <c r="F42525" s="28"/>
      <c r="H42525" s="28"/>
    </row>
    <row r="42526" spans="4:8" x14ac:dyDescent="0.25">
      <c r="D42526" s="28"/>
      <c r="F42526" s="28"/>
      <c r="H42526" s="28"/>
    </row>
    <row r="42527" spans="4:8" x14ac:dyDescent="0.25">
      <c r="D42527" s="28"/>
      <c r="F42527" s="28"/>
      <c r="H42527" s="28"/>
    </row>
    <row r="42528" spans="4:8" x14ac:dyDescent="0.25">
      <c r="D42528" s="28"/>
      <c r="F42528" s="28"/>
      <c r="H42528" s="28"/>
    </row>
    <row r="42529" spans="4:8" x14ac:dyDescent="0.25">
      <c r="D42529" s="28"/>
      <c r="F42529" s="28"/>
      <c r="H42529" s="28"/>
    </row>
    <row r="42530" spans="4:8" x14ac:dyDescent="0.25">
      <c r="D42530" s="28"/>
      <c r="F42530" s="28"/>
      <c r="H42530" s="28"/>
    </row>
    <row r="42531" spans="4:8" x14ac:dyDescent="0.25">
      <c r="D42531" s="28"/>
      <c r="F42531" s="28"/>
      <c r="H42531" s="28"/>
    </row>
    <row r="42532" spans="4:8" x14ac:dyDescent="0.25">
      <c r="D42532" s="28"/>
      <c r="F42532" s="28"/>
      <c r="H42532" s="28"/>
    </row>
    <row r="42533" spans="4:8" x14ac:dyDescent="0.25">
      <c r="D42533" s="28"/>
      <c r="F42533" s="28"/>
      <c r="H42533" s="28"/>
    </row>
    <row r="42534" spans="4:8" x14ac:dyDescent="0.25">
      <c r="D42534" s="28"/>
      <c r="F42534" s="28"/>
      <c r="H42534" s="28"/>
    </row>
    <row r="42535" spans="4:8" x14ac:dyDescent="0.25">
      <c r="D42535" s="28"/>
      <c r="F42535" s="28"/>
      <c r="H42535" s="28"/>
    </row>
    <row r="42536" spans="4:8" x14ac:dyDescent="0.25">
      <c r="D42536" s="28"/>
      <c r="F42536" s="28"/>
      <c r="H42536" s="28"/>
    </row>
    <row r="42537" spans="4:8" x14ac:dyDescent="0.25">
      <c r="D42537" s="28"/>
      <c r="F42537" s="28"/>
      <c r="H42537" s="28"/>
    </row>
    <row r="42538" spans="4:8" x14ac:dyDescent="0.25">
      <c r="D42538" s="28"/>
      <c r="F42538" s="28"/>
      <c r="H42538" s="28"/>
    </row>
    <row r="42539" spans="4:8" x14ac:dyDescent="0.25">
      <c r="D42539" s="28"/>
      <c r="F42539" s="28"/>
      <c r="H42539" s="28"/>
    </row>
    <row r="42540" spans="4:8" x14ac:dyDescent="0.25">
      <c r="D42540" s="28"/>
      <c r="F42540" s="28"/>
      <c r="H42540" s="28"/>
    </row>
    <row r="42541" spans="4:8" x14ac:dyDescent="0.25">
      <c r="D42541" s="28"/>
      <c r="F42541" s="28"/>
      <c r="H42541" s="28"/>
    </row>
    <row r="42542" spans="4:8" x14ac:dyDescent="0.25">
      <c r="D42542" s="28"/>
      <c r="F42542" s="28"/>
      <c r="H42542" s="28"/>
    </row>
    <row r="42543" spans="4:8" x14ac:dyDescent="0.25">
      <c r="D42543" s="28"/>
      <c r="F42543" s="28"/>
      <c r="H42543" s="28"/>
    </row>
    <row r="42544" spans="4:8" x14ac:dyDescent="0.25">
      <c r="D42544" s="28"/>
      <c r="F42544" s="28"/>
      <c r="H42544" s="28"/>
    </row>
    <row r="42545" spans="4:8" x14ac:dyDescent="0.25">
      <c r="D42545" s="28"/>
      <c r="F42545" s="28"/>
      <c r="H42545" s="28"/>
    </row>
    <row r="42546" spans="4:8" x14ac:dyDescent="0.25">
      <c r="D42546" s="28"/>
      <c r="F42546" s="28"/>
      <c r="H42546" s="28"/>
    </row>
    <row r="42547" spans="4:8" x14ac:dyDescent="0.25">
      <c r="D42547" s="28"/>
      <c r="F42547" s="28"/>
      <c r="H42547" s="28"/>
    </row>
    <row r="42548" spans="4:8" x14ac:dyDescent="0.25">
      <c r="D42548" s="28"/>
      <c r="F42548" s="28"/>
      <c r="H42548" s="28"/>
    </row>
    <row r="42549" spans="4:8" x14ac:dyDescent="0.25">
      <c r="D42549" s="28"/>
      <c r="F42549" s="28"/>
      <c r="H42549" s="28"/>
    </row>
    <row r="42550" spans="4:8" x14ac:dyDescent="0.25">
      <c r="D42550" s="28"/>
      <c r="F42550" s="28"/>
      <c r="H42550" s="28"/>
    </row>
    <row r="42551" spans="4:8" x14ac:dyDescent="0.25">
      <c r="D42551" s="28"/>
      <c r="F42551" s="28"/>
      <c r="H42551" s="28"/>
    </row>
    <row r="42552" spans="4:8" x14ac:dyDescent="0.25">
      <c r="D42552" s="28"/>
      <c r="F42552" s="28"/>
      <c r="H42552" s="28"/>
    </row>
    <row r="42553" spans="4:8" x14ac:dyDescent="0.25">
      <c r="D42553" s="28"/>
      <c r="F42553" s="28"/>
      <c r="H42553" s="28"/>
    </row>
    <row r="42554" spans="4:8" x14ac:dyDescent="0.25">
      <c r="D42554" s="28"/>
      <c r="F42554" s="28"/>
      <c r="H42554" s="28"/>
    </row>
    <row r="42555" spans="4:8" x14ac:dyDescent="0.25">
      <c r="D42555" s="28"/>
      <c r="F42555" s="28"/>
      <c r="H42555" s="28"/>
    </row>
    <row r="42556" spans="4:8" x14ac:dyDescent="0.25">
      <c r="D42556" s="28"/>
      <c r="F42556" s="28"/>
      <c r="H42556" s="28"/>
    </row>
    <row r="42557" spans="4:8" x14ac:dyDescent="0.25">
      <c r="D42557" s="28"/>
      <c r="F42557" s="28"/>
      <c r="H42557" s="28"/>
    </row>
    <row r="42558" spans="4:8" x14ac:dyDescent="0.25">
      <c r="D42558" s="28"/>
      <c r="F42558" s="28"/>
      <c r="H42558" s="28"/>
    </row>
    <row r="42559" spans="4:8" x14ac:dyDescent="0.25">
      <c r="D42559" s="28"/>
      <c r="F42559" s="28"/>
      <c r="H42559" s="28"/>
    </row>
    <row r="42560" spans="4:8" x14ac:dyDescent="0.25">
      <c r="D42560" s="28"/>
      <c r="F42560" s="28"/>
      <c r="H42560" s="28"/>
    </row>
    <row r="42561" spans="4:8" x14ac:dyDescent="0.25">
      <c r="D42561" s="28"/>
      <c r="F42561" s="28"/>
      <c r="H42561" s="28"/>
    </row>
    <row r="42562" spans="4:8" x14ac:dyDescent="0.25">
      <c r="D42562" s="28"/>
      <c r="F42562" s="28"/>
      <c r="H42562" s="28"/>
    </row>
    <row r="42563" spans="4:8" x14ac:dyDescent="0.25">
      <c r="D42563" s="28"/>
      <c r="F42563" s="28"/>
      <c r="H42563" s="28"/>
    </row>
    <row r="42564" spans="4:8" x14ac:dyDescent="0.25">
      <c r="D42564" s="28"/>
      <c r="F42564" s="28"/>
      <c r="H42564" s="28"/>
    </row>
    <row r="42565" spans="4:8" x14ac:dyDescent="0.25">
      <c r="D42565" s="28"/>
      <c r="F42565" s="28"/>
      <c r="H42565" s="28"/>
    </row>
    <row r="42566" spans="4:8" x14ac:dyDescent="0.25">
      <c r="D42566" s="28"/>
      <c r="F42566" s="28"/>
      <c r="H42566" s="28"/>
    </row>
    <row r="42567" spans="4:8" x14ac:dyDescent="0.25">
      <c r="D42567" s="28"/>
      <c r="F42567" s="28"/>
      <c r="H42567" s="28"/>
    </row>
    <row r="42568" spans="4:8" x14ac:dyDescent="0.25">
      <c r="D42568" s="28"/>
      <c r="F42568" s="28"/>
      <c r="H42568" s="28"/>
    </row>
    <row r="42569" spans="4:8" x14ac:dyDescent="0.25">
      <c r="D42569" s="28"/>
      <c r="F42569" s="28"/>
      <c r="H42569" s="28"/>
    </row>
    <row r="42570" spans="4:8" x14ac:dyDescent="0.25">
      <c r="D42570" s="28"/>
      <c r="F42570" s="28"/>
      <c r="H42570" s="28"/>
    </row>
    <row r="42571" spans="4:8" x14ac:dyDescent="0.25">
      <c r="D42571" s="28"/>
      <c r="F42571" s="28"/>
      <c r="H42571" s="28"/>
    </row>
    <row r="42572" spans="4:8" x14ac:dyDescent="0.25">
      <c r="D42572" s="28"/>
      <c r="F42572" s="28"/>
      <c r="H42572" s="28"/>
    </row>
    <row r="42573" spans="4:8" x14ac:dyDescent="0.25">
      <c r="D42573" s="28"/>
      <c r="F42573" s="28"/>
      <c r="H42573" s="28"/>
    </row>
    <row r="42574" spans="4:8" x14ac:dyDescent="0.25">
      <c r="D42574" s="28"/>
      <c r="F42574" s="28"/>
      <c r="H42574" s="28"/>
    </row>
    <row r="42575" spans="4:8" x14ac:dyDescent="0.25">
      <c r="D42575" s="28"/>
      <c r="F42575" s="28"/>
      <c r="H42575" s="28"/>
    </row>
    <row r="42576" spans="4:8" x14ac:dyDescent="0.25">
      <c r="D42576" s="28"/>
      <c r="F42576" s="28"/>
      <c r="H42576" s="28"/>
    </row>
    <row r="42577" spans="4:8" x14ac:dyDescent="0.25">
      <c r="D42577" s="28"/>
      <c r="F42577" s="28"/>
      <c r="H42577" s="28"/>
    </row>
    <row r="42578" spans="4:8" x14ac:dyDescent="0.25">
      <c r="D42578" s="28"/>
      <c r="F42578" s="28"/>
      <c r="H42578" s="28"/>
    </row>
    <row r="42579" spans="4:8" x14ac:dyDescent="0.25">
      <c r="D42579" s="28"/>
      <c r="F42579" s="28"/>
      <c r="H42579" s="28"/>
    </row>
    <row r="42580" spans="4:8" x14ac:dyDescent="0.25">
      <c r="D42580" s="28"/>
      <c r="F42580" s="28"/>
      <c r="H42580" s="28"/>
    </row>
    <row r="42581" spans="4:8" x14ac:dyDescent="0.25">
      <c r="D42581" s="28"/>
      <c r="F42581" s="28"/>
      <c r="H42581" s="28"/>
    </row>
    <row r="42582" spans="4:8" x14ac:dyDescent="0.25">
      <c r="D42582" s="28"/>
      <c r="F42582" s="28"/>
      <c r="H42582" s="28"/>
    </row>
    <row r="42583" spans="4:8" x14ac:dyDescent="0.25">
      <c r="D42583" s="28"/>
      <c r="F42583" s="28"/>
      <c r="H42583" s="28"/>
    </row>
    <row r="42584" spans="4:8" x14ac:dyDescent="0.25">
      <c r="D42584" s="28"/>
      <c r="F42584" s="28"/>
      <c r="H42584" s="28"/>
    </row>
    <row r="42585" spans="4:8" x14ac:dyDescent="0.25">
      <c r="D42585" s="28"/>
      <c r="F42585" s="28"/>
      <c r="H42585" s="28"/>
    </row>
    <row r="42586" spans="4:8" x14ac:dyDescent="0.25">
      <c r="D42586" s="28"/>
      <c r="F42586" s="28"/>
      <c r="H42586" s="28"/>
    </row>
    <row r="42587" spans="4:8" x14ac:dyDescent="0.25">
      <c r="D42587" s="28"/>
      <c r="F42587" s="28"/>
      <c r="H42587" s="28"/>
    </row>
    <row r="42588" spans="4:8" x14ac:dyDescent="0.25">
      <c r="D42588" s="28"/>
      <c r="F42588" s="28"/>
      <c r="H42588" s="28"/>
    </row>
    <row r="42589" spans="4:8" x14ac:dyDescent="0.25">
      <c r="D42589" s="28"/>
      <c r="F42589" s="28"/>
      <c r="H42589" s="28"/>
    </row>
    <row r="42590" spans="4:8" x14ac:dyDescent="0.25">
      <c r="D42590" s="28"/>
      <c r="F42590" s="28"/>
      <c r="H42590" s="28"/>
    </row>
    <row r="42591" spans="4:8" x14ac:dyDescent="0.25">
      <c r="D42591" s="28"/>
      <c r="F42591" s="28"/>
      <c r="H42591" s="28"/>
    </row>
    <row r="42592" spans="4:8" x14ac:dyDescent="0.25">
      <c r="D42592" s="28"/>
      <c r="F42592" s="28"/>
      <c r="H42592" s="28"/>
    </row>
    <row r="42593" spans="4:8" x14ac:dyDescent="0.25">
      <c r="D42593" s="28"/>
      <c r="F42593" s="28"/>
      <c r="H42593" s="28"/>
    </row>
    <row r="42594" spans="4:8" x14ac:dyDescent="0.25">
      <c r="D42594" s="28"/>
      <c r="F42594" s="28"/>
      <c r="H42594" s="28"/>
    </row>
    <row r="42595" spans="4:8" x14ac:dyDescent="0.25">
      <c r="D42595" s="28"/>
      <c r="F42595" s="28"/>
      <c r="H42595" s="28"/>
    </row>
    <row r="42596" spans="4:8" x14ac:dyDescent="0.25">
      <c r="D42596" s="28"/>
      <c r="F42596" s="28"/>
      <c r="H42596" s="28"/>
    </row>
    <row r="42597" spans="4:8" x14ac:dyDescent="0.25">
      <c r="D42597" s="28"/>
      <c r="F42597" s="28"/>
      <c r="H42597" s="28"/>
    </row>
    <row r="42598" spans="4:8" x14ac:dyDescent="0.25">
      <c r="D42598" s="28"/>
      <c r="F42598" s="28"/>
      <c r="H42598" s="28"/>
    </row>
    <row r="42599" spans="4:8" x14ac:dyDescent="0.25">
      <c r="D42599" s="28"/>
      <c r="F42599" s="28"/>
      <c r="H42599" s="28"/>
    </row>
    <row r="42600" spans="4:8" x14ac:dyDescent="0.25">
      <c r="D42600" s="28"/>
      <c r="F42600" s="28"/>
      <c r="H42600" s="28"/>
    </row>
    <row r="42601" spans="4:8" x14ac:dyDescent="0.25">
      <c r="D42601" s="28"/>
      <c r="F42601" s="28"/>
      <c r="H42601" s="28"/>
    </row>
    <row r="42602" spans="4:8" x14ac:dyDescent="0.25">
      <c r="D42602" s="28"/>
      <c r="F42602" s="28"/>
      <c r="H42602" s="28"/>
    </row>
    <row r="42603" spans="4:8" x14ac:dyDescent="0.25">
      <c r="D42603" s="28"/>
      <c r="F42603" s="28"/>
      <c r="H42603" s="28"/>
    </row>
    <row r="42604" spans="4:8" x14ac:dyDescent="0.25">
      <c r="D42604" s="28"/>
      <c r="F42604" s="28"/>
      <c r="H42604" s="28"/>
    </row>
    <row r="42605" spans="4:8" x14ac:dyDescent="0.25">
      <c r="D42605" s="28"/>
      <c r="F42605" s="28"/>
      <c r="H42605" s="28"/>
    </row>
    <row r="42606" spans="4:8" x14ac:dyDescent="0.25">
      <c r="D42606" s="28"/>
      <c r="F42606" s="28"/>
      <c r="H42606" s="28"/>
    </row>
    <row r="42607" spans="4:8" x14ac:dyDescent="0.25">
      <c r="D42607" s="28"/>
      <c r="F42607" s="28"/>
      <c r="H42607" s="28"/>
    </row>
    <row r="42608" spans="4:8" x14ac:dyDescent="0.25">
      <c r="D42608" s="28"/>
      <c r="F42608" s="28"/>
      <c r="H42608" s="28"/>
    </row>
    <row r="42609" spans="4:8" x14ac:dyDescent="0.25">
      <c r="D42609" s="28"/>
      <c r="F42609" s="28"/>
      <c r="H42609" s="28"/>
    </row>
    <row r="42610" spans="4:8" x14ac:dyDescent="0.25">
      <c r="D42610" s="28"/>
      <c r="F42610" s="28"/>
      <c r="H42610" s="28"/>
    </row>
    <row r="42611" spans="4:8" x14ac:dyDescent="0.25">
      <c r="D42611" s="28"/>
      <c r="F42611" s="28"/>
      <c r="H42611" s="28"/>
    </row>
    <row r="42612" spans="4:8" x14ac:dyDescent="0.25">
      <c r="D42612" s="28"/>
      <c r="F42612" s="28"/>
      <c r="H42612" s="28"/>
    </row>
    <row r="42613" spans="4:8" x14ac:dyDescent="0.25">
      <c r="D42613" s="28"/>
      <c r="F42613" s="28"/>
      <c r="H42613" s="28"/>
    </row>
    <row r="42614" spans="4:8" x14ac:dyDescent="0.25">
      <c r="D42614" s="28"/>
      <c r="F42614" s="28"/>
      <c r="H42614" s="28"/>
    </row>
    <row r="42615" spans="4:8" x14ac:dyDescent="0.25">
      <c r="D42615" s="28"/>
      <c r="F42615" s="28"/>
      <c r="H42615" s="28"/>
    </row>
    <row r="42616" spans="4:8" x14ac:dyDescent="0.25">
      <c r="D42616" s="28"/>
      <c r="F42616" s="28"/>
      <c r="H42616" s="28"/>
    </row>
    <row r="42617" spans="4:8" x14ac:dyDescent="0.25">
      <c r="D42617" s="28"/>
      <c r="F42617" s="28"/>
      <c r="H42617" s="28"/>
    </row>
    <row r="42618" spans="4:8" x14ac:dyDescent="0.25">
      <c r="D42618" s="28"/>
      <c r="F42618" s="28"/>
      <c r="H42618" s="28"/>
    </row>
    <row r="42619" spans="4:8" x14ac:dyDescent="0.25">
      <c r="D42619" s="28"/>
      <c r="F42619" s="28"/>
      <c r="H42619" s="28"/>
    </row>
    <row r="42620" spans="4:8" x14ac:dyDescent="0.25">
      <c r="D42620" s="28"/>
      <c r="F42620" s="28"/>
      <c r="H42620" s="28"/>
    </row>
    <row r="42621" spans="4:8" x14ac:dyDescent="0.25">
      <c r="D42621" s="28"/>
      <c r="F42621" s="28"/>
      <c r="H42621" s="28"/>
    </row>
    <row r="42622" spans="4:8" x14ac:dyDescent="0.25">
      <c r="D42622" s="28"/>
      <c r="F42622" s="28"/>
      <c r="H42622" s="28"/>
    </row>
    <row r="42623" spans="4:8" x14ac:dyDescent="0.25">
      <c r="D42623" s="28"/>
      <c r="F42623" s="28"/>
      <c r="H42623" s="28"/>
    </row>
    <row r="42624" spans="4:8" x14ac:dyDescent="0.25">
      <c r="D42624" s="28"/>
      <c r="F42624" s="28"/>
      <c r="H42624" s="28"/>
    </row>
    <row r="42625" spans="4:8" x14ac:dyDescent="0.25">
      <c r="D42625" s="28"/>
      <c r="F42625" s="28"/>
      <c r="H42625" s="28"/>
    </row>
    <row r="42626" spans="4:8" x14ac:dyDescent="0.25">
      <c r="D42626" s="28"/>
      <c r="F42626" s="28"/>
      <c r="H42626" s="28"/>
    </row>
    <row r="42627" spans="4:8" x14ac:dyDescent="0.25">
      <c r="D42627" s="28"/>
      <c r="F42627" s="28"/>
      <c r="H42627" s="28"/>
    </row>
    <row r="42628" spans="4:8" x14ac:dyDescent="0.25">
      <c r="D42628" s="28"/>
      <c r="F42628" s="28"/>
      <c r="H42628" s="28"/>
    </row>
    <row r="42629" spans="4:8" x14ac:dyDescent="0.25">
      <c r="D42629" s="28"/>
      <c r="F42629" s="28"/>
      <c r="H42629" s="28"/>
    </row>
    <row r="42630" spans="4:8" x14ac:dyDescent="0.25">
      <c r="D42630" s="28"/>
      <c r="F42630" s="28"/>
      <c r="H42630" s="28"/>
    </row>
    <row r="42631" spans="4:8" x14ac:dyDescent="0.25">
      <c r="D42631" s="28"/>
      <c r="F42631" s="28"/>
      <c r="H42631" s="28"/>
    </row>
    <row r="42632" spans="4:8" x14ac:dyDescent="0.25">
      <c r="D42632" s="28"/>
      <c r="F42632" s="28"/>
      <c r="H42632" s="28"/>
    </row>
    <row r="42633" spans="4:8" x14ac:dyDescent="0.25">
      <c r="D42633" s="28"/>
      <c r="F42633" s="28"/>
      <c r="H42633" s="28"/>
    </row>
    <row r="42634" spans="4:8" x14ac:dyDescent="0.25">
      <c r="D42634" s="28"/>
      <c r="F42634" s="28"/>
      <c r="H42634" s="28"/>
    </row>
    <row r="42635" spans="4:8" x14ac:dyDescent="0.25">
      <c r="D42635" s="28"/>
      <c r="F42635" s="28"/>
      <c r="H42635" s="28"/>
    </row>
    <row r="42636" spans="4:8" x14ac:dyDescent="0.25">
      <c r="D42636" s="28"/>
      <c r="F42636" s="28"/>
      <c r="H42636" s="28"/>
    </row>
    <row r="42637" spans="4:8" x14ac:dyDescent="0.25">
      <c r="D42637" s="28"/>
      <c r="F42637" s="28"/>
      <c r="H42637" s="28"/>
    </row>
    <row r="42638" spans="4:8" x14ac:dyDescent="0.25">
      <c r="D42638" s="28"/>
      <c r="F42638" s="28"/>
      <c r="H42638" s="28"/>
    </row>
    <row r="42639" spans="4:8" x14ac:dyDescent="0.25">
      <c r="D42639" s="28"/>
      <c r="F42639" s="28"/>
      <c r="H42639" s="28"/>
    </row>
    <row r="42640" spans="4:8" x14ac:dyDescent="0.25">
      <c r="D42640" s="28"/>
      <c r="F42640" s="28"/>
      <c r="H42640" s="28"/>
    </row>
    <row r="42641" spans="4:8" x14ac:dyDescent="0.25">
      <c r="D42641" s="28"/>
      <c r="F42641" s="28"/>
      <c r="H42641" s="28"/>
    </row>
    <row r="42642" spans="4:8" x14ac:dyDescent="0.25">
      <c r="D42642" s="28"/>
      <c r="F42642" s="28"/>
      <c r="H42642" s="28"/>
    </row>
    <row r="42643" spans="4:8" x14ac:dyDescent="0.25">
      <c r="D42643" s="28"/>
      <c r="F42643" s="28"/>
      <c r="H42643" s="28"/>
    </row>
    <row r="42644" spans="4:8" x14ac:dyDescent="0.25">
      <c r="D42644" s="28"/>
      <c r="F42644" s="28"/>
      <c r="H42644" s="28"/>
    </row>
    <row r="42645" spans="4:8" x14ac:dyDescent="0.25">
      <c r="D42645" s="28"/>
      <c r="F42645" s="28"/>
      <c r="H42645" s="28"/>
    </row>
    <row r="42646" spans="4:8" x14ac:dyDescent="0.25">
      <c r="D42646" s="28"/>
      <c r="F42646" s="28"/>
      <c r="H42646" s="28"/>
    </row>
    <row r="42647" spans="4:8" x14ac:dyDescent="0.25">
      <c r="D42647" s="28"/>
      <c r="F42647" s="28"/>
      <c r="H42647" s="28"/>
    </row>
    <row r="42648" spans="4:8" x14ac:dyDescent="0.25">
      <c r="D42648" s="28"/>
      <c r="F42648" s="28"/>
      <c r="H42648" s="28"/>
    </row>
    <row r="42649" spans="4:8" x14ac:dyDescent="0.25">
      <c r="D42649" s="28"/>
      <c r="F42649" s="28"/>
      <c r="H42649" s="28"/>
    </row>
    <row r="42650" spans="4:8" x14ac:dyDescent="0.25">
      <c r="D42650" s="28"/>
      <c r="F42650" s="28"/>
      <c r="H42650" s="28"/>
    </row>
    <row r="42651" spans="4:8" x14ac:dyDescent="0.25">
      <c r="D42651" s="28"/>
      <c r="F42651" s="28"/>
      <c r="H42651" s="28"/>
    </row>
    <row r="42652" spans="4:8" x14ac:dyDescent="0.25">
      <c r="D42652" s="28"/>
      <c r="F42652" s="28"/>
      <c r="H42652" s="28"/>
    </row>
    <row r="42653" spans="4:8" x14ac:dyDescent="0.25">
      <c r="D42653" s="28"/>
      <c r="F42653" s="28"/>
      <c r="H42653" s="28"/>
    </row>
    <row r="42654" spans="4:8" x14ac:dyDescent="0.25">
      <c r="D42654" s="28"/>
      <c r="F42654" s="28"/>
      <c r="H42654" s="28"/>
    </row>
    <row r="42655" spans="4:8" x14ac:dyDescent="0.25">
      <c r="D42655" s="28"/>
      <c r="F42655" s="28"/>
      <c r="H42655" s="28"/>
    </row>
    <row r="42656" spans="4:8" x14ac:dyDescent="0.25">
      <c r="D42656" s="28"/>
      <c r="F42656" s="28"/>
      <c r="H42656" s="28"/>
    </row>
    <row r="42657" spans="4:8" x14ac:dyDescent="0.25">
      <c r="D42657" s="28"/>
      <c r="F42657" s="28"/>
      <c r="H42657" s="28"/>
    </row>
    <row r="42658" spans="4:8" x14ac:dyDescent="0.25">
      <c r="D42658" s="28"/>
      <c r="F42658" s="28"/>
      <c r="H42658" s="28"/>
    </row>
    <row r="42659" spans="4:8" x14ac:dyDescent="0.25">
      <c r="D42659" s="28"/>
      <c r="F42659" s="28"/>
      <c r="H42659" s="28"/>
    </row>
    <row r="42660" spans="4:8" x14ac:dyDescent="0.25">
      <c r="D42660" s="28"/>
      <c r="F42660" s="28"/>
      <c r="H42660" s="28"/>
    </row>
    <row r="42661" spans="4:8" x14ac:dyDescent="0.25">
      <c r="D42661" s="28"/>
      <c r="F42661" s="28"/>
      <c r="H42661" s="28"/>
    </row>
    <row r="42662" spans="4:8" x14ac:dyDescent="0.25">
      <c r="D42662" s="28"/>
      <c r="F42662" s="28"/>
      <c r="H42662" s="28"/>
    </row>
    <row r="42663" spans="4:8" x14ac:dyDescent="0.25">
      <c r="D42663" s="28"/>
      <c r="F42663" s="28"/>
      <c r="H42663" s="28"/>
    </row>
    <row r="42664" spans="4:8" x14ac:dyDescent="0.25">
      <c r="D42664" s="28"/>
      <c r="F42664" s="28"/>
      <c r="H42664" s="28"/>
    </row>
    <row r="42665" spans="4:8" x14ac:dyDescent="0.25">
      <c r="D42665" s="28"/>
      <c r="F42665" s="28"/>
      <c r="H42665" s="28"/>
    </row>
    <row r="42666" spans="4:8" x14ac:dyDescent="0.25">
      <c r="D42666" s="28"/>
      <c r="F42666" s="28"/>
      <c r="H42666" s="28"/>
    </row>
    <row r="42667" spans="4:8" x14ac:dyDescent="0.25">
      <c r="D42667" s="28"/>
      <c r="F42667" s="28"/>
      <c r="H42667" s="28"/>
    </row>
    <row r="42668" spans="4:8" x14ac:dyDescent="0.25">
      <c r="D42668" s="28"/>
      <c r="F42668" s="28"/>
      <c r="H42668" s="28"/>
    </row>
    <row r="42669" spans="4:8" x14ac:dyDescent="0.25">
      <c r="D42669" s="28"/>
      <c r="F42669" s="28"/>
      <c r="H42669" s="28"/>
    </row>
    <row r="42670" spans="4:8" x14ac:dyDescent="0.25">
      <c r="D42670" s="28"/>
      <c r="F42670" s="28"/>
      <c r="H42670" s="28"/>
    </row>
    <row r="42671" spans="4:8" x14ac:dyDescent="0.25">
      <c r="D42671" s="28"/>
      <c r="F42671" s="28"/>
      <c r="H42671" s="28"/>
    </row>
    <row r="42672" spans="4:8" x14ac:dyDescent="0.25">
      <c r="D42672" s="28"/>
      <c r="F42672" s="28"/>
      <c r="H42672" s="28"/>
    </row>
    <row r="42673" spans="4:8" x14ac:dyDescent="0.25">
      <c r="D42673" s="28"/>
      <c r="F42673" s="28"/>
      <c r="H42673" s="28"/>
    </row>
    <row r="42674" spans="4:8" x14ac:dyDescent="0.25">
      <c r="D42674" s="28"/>
      <c r="F42674" s="28"/>
      <c r="H42674" s="28"/>
    </row>
    <row r="42675" spans="4:8" x14ac:dyDescent="0.25">
      <c r="D42675" s="28"/>
      <c r="F42675" s="28"/>
      <c r="H42675" s="28"/>
    </row>
    <row r="42676" spans="4:8" x14ac:dyDescent="0.25">
      <c r="D42676" s="28"/>
      <c r="F42676" s="28"/>
      <c r="H42676" s="28"/>
    </row>
    <row r="42677" spans="4:8" x14ac:dyDescent="0.25">
      <c r="D42677" s="28"/>
      <c r="F42677" s="28"/>
      <c r="H42677" s="28"/>
    </row>
    <row r="42678" spans="4:8" x14ac:dyDescent="0.25">
      <c r="D42678" s="28"/>
      <c r="F42678" s="28"/>
      <c r="H42678" s="28"/>
    </row>
    <row r="42679" spans="4:8" x14ac:dyDescent="0.25">
      <c r="D42679" s="28"/>
      <c r="F42679" s="28"/>
      <c r="H42679" s="28"/>
    </row>
    <row r="42680" spans="4:8" x14ac:dyDescent="0.25">
      <c r="D42680" s="28"/>
      <c r="F42680" s="28"/>
      <c r="H42680" s="28"/>
    </row>
    <row r="42681" spans="4:8" x14ac:dyDescent="0.25">
      <c r="D42681" s="28"/>
      <c r="F42681" s="28"/>
      <c r="H42681" s="28"/>
    </row>
    <row r="42682" spans="4:8" x14ac:dyDescent="0.25">
      <c r="D42682" s="28"/>
      <c r="F42682" s="28"/>
      <c r="H42682" s="28"/>
    </row>
    <row r="42683" spans="4:8" x14ac:dyDescent="0.25">
      <c r="D42683" s="28"/>
      <c r="F42683" s="28"/>
      <c r="H42683" s="28"/>
    </row>
    <row r="42684" spans="4:8" x14ac:dyDescent="0.25">
      <c r="D42684" s="28"/>
      <c r="F42684" s="28"/>
      <c r="H42684" s="28"/>
    </row>
    <row r="42685" spans="4:8" x14ac:dyDescent="0.25">
      <c r="D42685" s="28"/>
      <c r="F42685" s="28"/>
      <c r="H42685" s="28"/>
    </row>
    <row r="42686" spans="4:8" x14ac:dyDescent="0.25">
      <c r="D42686" s="28"/>
      <c r="F42686" s="28"/>
      <c r="H42686" s="28"/>
    </row>
    <row r="42687" spans="4:8" x14ac:dyDescent="0.25">
      <c r="D42687" s="28"/>
      <c r="F42687" s="28"/>
      <c r="H42687" s="28"/>
    </row>
    <row r="42688" spans="4:8" x14ac:dyDescent="0.25">
      <c r="D42688" s="28"/>
      <c r="F42688" s="28"/>
      <c r="H42688" s="28"/>
    </row>
    <row r="42689" spans="4:8" x14ac:dyDescent="0.25">
      <c r="D42689" s="28"/>
      <c r="F42689" s="28"/>
      <c r="H42689" s="28"/>
    </row>
    <row r="42690" spans="4:8" x14ac:dyDescent="0.25">
      <c r="D42690" s="28"/>
      <c r="F42690" s="28"/>
      <c r="H42690" s="28"/>
    </row>
    <row r="42691" spans="4:8" x14ac:dyDescent="0.25">
      <c r="D42691" s="28"/>
      <c r="F42691" s="28"/>
      <c r="H42691" s="28"/>
    </row>
    <row r="42692" spans="4:8" x14ac:dyDescent="0.25">
      <c r="D42692" s="28"/>
      <c r="F42692" s="28"/>
      <c r="H42692" s="28"/>
    </row>
    <row r="42693" spans="4:8" x14ac:dyDescent="0.25">
      <c r="D42693" s="28"/>
      <c r="F42693" s="28"/>
      <c r="H42693" s="28"/>
    </row>
    <row r="42694" spans="4:8" x14ac:dyDescent="0.25">
      <c r="D42694" s="28"/>
      <c r="F42694" s="28"/>
      <c r="H42694" s="28"/>
    </row>
    <row r="42695" spans="4:8" x14ac:dyDescent="0.25">
      <c r="D42695" s="28"/>
      <c r="F42695" s="28"/>
      <c r="H42695" s="28"/>
    </row>
    <row r="42696" spans="4:8" x14ac:dyDescent="0.25">
      <c r="D42696" s="28"/>
      <c r="F42696" s="28"/>
      <c r="H42696" s="28"/>
    </row>
    <row r="42697" spans="4:8" x14ac:dyDescent="0.25">
      <c r="D42697" s="28"/>
      <c r="F42697" s="28"/>
      <c r="H42697" s="28"/>
    </row>
    <row r="42698" spans="4:8" x14ac:dyDescent="0.25">
      <c r="D42698" s="28"/>
      <c r="F42698" s="28"/>
      <c r="H42698" s="28"/>
    </row>
    <row r="42699" spans="4:8" x14ac:dyDescent="0.25">
      <c r="D42699" s="28"/>
      <c r="F42699" s="28"/>
      <c r="H42699" s="28"/>
    </row>
    <row r="42700" spans="4:8" x14ac:dyDescent="0.25">
      <c r="D42700" s="28"/>
      <c r="F42700" s="28"/>
      <c r="H42700" s="28"/>
    </row>
    <row r="42701" spans="4:8" x14ac:dyDescent="0.25">
      <c r="D42701" s="28"/>
      <c r="F42701" s="28"/>
      <c r="H42701" s="28"/>
    </row>
    <row r="42702" spans="4:8" x14ac:dyDescent="0.25">
      <c r="D42702" s="28"/>
      <c r="F42702" s="28"/>
      <c r="H42702" s="28"/>
    </row>
    <row r="42703" spans="4:8" x14ac:dyDescent="0.25">
      <c r="D42703" s="28"/>
      <c r="F42703" s="28"/>
      <c r="H42703" s="28"/>
    </row>
    <row r="42704" spans="4:8" x14ac:dyDescent="0.25">
      <c r="D42704" s="28"/>
      <c r="F42704" s="28"/>
      <c r="H42704" s="28"/>
    </row>
    <row r="42705" spans="4:8" x14ac:dyDescent="0.25">
      <c r="D42705" s="28"/>
      <c r="F42705" s="28"/>
      <c r="H42705" s="28"/>
    </row>
    <row r="42706" spans="4:8" x14ac:dyDescent="0.25">
      <c r="D42706" s="28"/>
      <c r="F42706" s="28"/>
      <c r="H42706" s="28"/>
    </row>
    <row r="42707" spans="4:8" x14ac:dyDescent="0.25">
      <c r="D42707" s="28"/>
      <c r="F42707" s="28"/>
      <c r="H42707" s="28"/>
    </row>
    <row r="42708" spans="4:8" x14ac:dyDescent="0.25">
      <c r="D42708" s="28"/>
      <c r="F42708" s="28"/>
      <c r="H42708" s="28"/>
    </row>
    <row r="42709" spans="4:8" x14ac:dyDescent="0.25">
      <c r="D42709" s="28"/>
      <c r="F42709" s="28"/>
      <c r="H42709" s="28"/>
    </row>
    <row r="42710" spans="4:8" x14ac:dyDescent="0.25">
      <c r="D42710" s="28"/>
      <c r="F42710" s="28"/>
      <c r="H42710" s="28"/>
    </row>
    <row r="42711" spans="4:8" x14ac:dyDescent="0.25">
      <c r="D42711" s="28"/>
      <c r="F42711" s="28"/>
      <c r="H42711" s="28"/>
    </row>
    <row r="42712" spans="4:8" x14ac:dyDescent="0.25">
      <c r="D42712" s="28"/>
      <c r="F42712" s="28"/>
      <c r="H42712" s="28"/>
    </row>
    <row r="42713" spans="4:8" x14ac:dyDescent="0.25">
      <c r="D42713" s="28"/>
      <c r="F42713" s="28"/>
      <c r="H42713" s="28"/>
    </row>
    <row r="42714" spans="4:8" x14ac:dyDescent="0.25">
      <c r="D42714" s="28"/>
      <c r="F42714" s="28"/>
      <c r="H42714" s="28"/>
    </row>
    <row r="42715" spans="4:8" x14ac:dyDescent="0.25">
      <c r="D42715" s="28"/>
      <c r="F42715" s="28"/>
      <c r="H42715" s="28"/>
    </row>
    <row r="42716" spans="4:8" x14ac:dyDescent="0.25">
      <c r="D42716" s="28"/>
      <c r="F42716" s="28"/>
      <c r="H42716" s="28"/>
    </row>
    <row r="42717" spans="4:8" x14ac:dyDescent="0.25">
      <c r="D42717" s="28"/>
      <c r="F42717" s="28"/>
      <c r="H42717" s="28"/>
    </row>
    <row r="42718" spans="4:8" x14ac:dyDescent="0.25">
      <c r="D42718" s="28"/>
      <c r="F42718" s="28"/>
      <c r="H42718" s="28"/>
    </row>
    <row r="42719" spans="4:8" x14ac:dyDescent="0.25">
      <c r="D42719" s="28"/>
      <c r="F42719" s="28"/>
      <c r="H42719" s="28"/>
    </row>
    <row r="42720" spans="4:8" x14ac:dyDescent="0.25">
      <c r="D42720" s="28"/>
      <c r="F42720" s="28"/>
      <c r="H42720" s="28"/>
    </row>
    <row r="42721" spans="4:8" x14ac:dyDescent="0.25">
      <c r="D42721" s="28"/>
      <c r="F42721" s="28"/>
      <c r="H42721" s="28"/>
    </row>
    <row r="42722" spans="4:8" x14ac:dyDescent="0.25">
      <c r="D42722" s="28"/>
      <c r="F42722" s="28"/>
      <c r="H42722" s="28"/>
    </row>
    <row r="42723" spans="4:8" x14ac:dyDescent="0.25">
      <c r="D42723" s="28"/>
      <c r="F42723" s="28"/>
      <c r="H42723" s="28"/>
    </row>
    <row r="42724" spans="4:8" x14ac:dyDescent="0.25">
      <c r="D42724" s="28"/>
      <c r="F42724" s="28"/>
      <c r="H42724" s="28"/>
    </row>
    <row r="42725" spans="4:8" x14ac:dyDescent="0.25">
      <c r="D42725" s="28"/>
      <c r="F42725" s="28"/>
      <c r="H42725" s="28"/>
    </row>
    <row r="42726" spans="4:8" x14ac:dyDescent="0.25">
      <c r="D42726" s="28"/>
      <c r="F42726" s="28"/>
      <c r="H42726" s="28"/>
    </row>
    <row r="42727" spans="4:8" x14ac:dyDescent="0.25">
      <c r="D42727" s="28"/>
      <c r="F42727" s="28"/>
      <c r="H42727" s="28"/>
    </row>
    <row r="42728" spans="4:8" x14ac:dyDescent="0.25">
      <c r="D42728" s="28"/>
      <c r="F42728" s="28"/>
      <c r="H42728" s="28"/>
    </row>
    <row r="42729" spans="4:8" x14ac:dyDescent="0.25">
      <c r="D42729" s="28"/>
      <c r="F42729" s="28"/>
      <c r="H42729" s="28"/>
    </row>
    <row r="42730" spans="4:8" x14ac:dyDescent="0.25">
      <c r="D42730" s="28"/>
      <c r="F42730" s="28"/>
      <c r="H42730" s="28"/>
    </row>
    <row r="42731" spans="4:8" x14ac:dyDescent="0.25">
      <c r="D42731" s="28"/>
      <c r="F42731" s="28"/>
      <c r="H42731" s="28"/>
    </row>
    <row r="42732" spans="4:8" x14ac:dyDescent="0.25">
      <c r="D42732" s="28"/>
      <c r="F42732" s="28"/>
      <c r="H42732" s="28"/>
    </row>
    <row r="42733" spans="4:8" x14ac:dyDescent="0.25">
      <c r="D42733" s="28"/>
      <c r="F42733" s="28"/>
      <c r="H42733" s="28"/>
    </row>
    <row r="42734" spans="4:8" x14ac:dyDescent="0.25">
      <c r="D42734" s="28"/>
      <c r="F42734" s="28"/>
      <c r="H42734" s="28"/>
    </row>
    <row r="42735" spans="4:8" x14ac:dyDescent="0.25">
      <c r="D42735" s="28"/>
      <c r="F42735" s="28"/>
      <c r="H42735" s="28"/>
    </row>
    <row r="42736" spans="4:8" x14ac:dyDescent="0.25">
      <c r="D42736" s="28"/>
      <c r="F42736" s="28"/>
      <c r="H42736" s="28"/>
    </row>
    <row r="42737" spans="4:8" x14ac:dyDescent="0.25">
      <c r="D42737" s="28"/>
      <c r="F42737" s="28"/>
      <c r="H42737" s="28"/>
    </row>
    <row r="42738" spans="4:8" x14ac:dyDescent="0.25">
      <c r="D42738" s="28"/>
      <c r="F42738" s="28"/>
      <c r="H42738" s="28"/>
    </row>
    <row r="42739" spans="4:8" x14ac:dyDescent="0.25">
      <c r="D42739" s="28"/>
      <c r="F42739" s="28"/>
      <c r="H42739" s="28"/>
    </row>
    <row r="42740" spans="4:8" x14ac:dyDescent="0.25">
      <c r="D42740" s="28"/>
      <c r="F42740" s="28"/>
      <c r="H42740" s="28"/>
    </row>
    <row r="42741" spans="4:8" x14ac:dyDescent="0.25">
      <c r="D42741" s="28"/>
      <c r="F42741" s="28"/>
      <c r="H42741" s="28"/>
    </row>
    <row r="42742" spans="4:8" x14ac:dyDescent="0.25">
      <c r="D42742" s="28"/>
      <c r="F42742" s="28"/>
      <c r="H42742" s="28"/>
    </row>
    <row r="42743" spans="4:8" x14ac:dyDescent="0.25">
      <c r="D42743" s="28"/>
      <c r="F42743" s="28"/>
      <c r="H42743" s="28"/>
    </row>
    <row r="42744" spans="4:8" x14ac:dyDescent="0.25">
      <c r="D42744" s="28"/>
      <c r="F42744" s="28"/>
      <c r="H42744" s="28"/>
    </row>
    <row r="42745" spans="4:8" x14ac:dyDescent="0.25">
      <c r="D42745" s="28"/>
      <c r="F42745" s="28"/>
      <c r="H42745" s="28"/>
    </row>
    <row r="42746" spans="4:8" x14ac:dyDescent="0.25">
      <c r="D42746" s="28"/>
      <c r="F42746" s="28"/>
      <c r="H42746" s="28"/>
    </row>
    <row r="42747" spans="4:8" x14ac:dyDescent="0.25">
      <c r="D42747" s="28"/>
      <c r="F42747" s="28"/>
      <c r="H42747" s="28"/>
    </row>
    <row r="42748" spans="4:8" x14ac:dyDescent="0.25">
      <c r="D42748" s="28"/>
      <c r="F42748" s="28"/>
      <c r="H42748" s="28"/>
    </row>
    <row r="42749" spans="4:8" x14ac:dyDescent="0.25">
      <c r="D42749" s="28"/>
      <c r="F42749" s="28"/>
      <c r="H42749" s="28"/>
    </row>
    <row r="42750" spans="4:8" x14ac:dyDescent="0.25">
      <c r="D42750" s="28"/>
      <c r="F42750" s="28"/>
      <c r="H42750" s="28"/>
    </row>
    <row r="42751" spans="4:8" x14ac:dyDescent="0.25">
      <c r="D42751" s="28"/>
      <c r="F42751" s="28"/>
      <c r="H42751" s="28"/>
    </row>
    <row r="42752" spans="4:8" x14ac:dyDescent="0.25">
      <c r="D42752" s="28"/>
      <c r="F42752" s="28"/>
      <c r="H42752" s="28"/>
    </row>
    <row r="42753" spans="4:8" x14ac:dyDescent="0.25">
      <c r="D42753" s="28"/>
      <c r="F42753" s="28"/>
      <c r="H42753" s="28"/>
    </row>
    <row r="42754" spans="4:8" x14ac:dyDescent="0.25">
      <c r="D42754" s="28"/>
      <c r="F42754" s="28"/>
      <c r="H42754" s="28"/>
    </row>
    <row r="42755" spans="4:8" x14ac:dyDescent="0.25">
      <c r="D42755" s="28"/>
      <c r="F42755" s="28"/>
      <c r="H42755" s="28"/>
    </row>
    <row r="42756" spans="4:8" x14ac:dyDescent="0.25">
      <c r="D42756" s="28"/>
      <c r="F42756" s="28"/>
      <c r="H42756" s="28"/>
    </row>
    <row r="42757" spans="4:8" x14ac:dyDescent="0.25">
      <c r="D42757" s="28"/>
      <c r="F42757" s="28"/>
      <c r="H42757" s="28"/>
    </row>
    <row r="42758" spans="4:8" x14ac:dyDescent="0.25">
      <c r="D42758" s="28"/>
      <c r="F42758" s="28"/>
      <c r="H42758" s="28"/>
    </row>
    <row r="42759" spans="4:8" x14ac:dyDescent="0.25">
      <c r="D42759" s="28"/>
      <c r="F42759" s="28"/>
      <c r="H42759" s="28"/>
    </row>
    <row r="42760" spans="4:8" x14ac:dyDescent="0.25">
      <c r="D42760" s="28"/>
      <c r="F42760" s="28"/>
      <c r="H42760" s="28"/>
    </row>
    <row r="42761" spans="4:8" x14ac:dyDescent="0.25">
      <c r="D42761" s="28"/>
      <c r="F42761" s="28"/>
      <c r="H42761" s="28"/>
    </row>
  </sheetData>
  <mergeCells count="265">
    <mergeCell ref="X29:Y29"/>
    <mergeCell ref="D33:E34"/>
    <mergeCell ref="R28:S28"/>
    <mergeCell ref="T28:U28"/>
    <mergeCell ref="V28:W28"/>
    <mergeCell ref="X28:Y28"/>
    <mergeCell ref="F29:G29"/>
    <mergeCell ref="H29:I29"/>
    <mergeCell ref="J29:K29"/>
    <mergeCell ref="L29:M29"/>
    <mergeCell ref="N29:O29"/>
    <mergeCell ref="P29:Q29"/>
    <mergeCell ref="D17:D29"/>
    <mergeCell ref="F17:G17"/>
    <mergeCell ref="H17:I17"/>
    <mergeCell ref="J17:K17"/>
    <mergeCell ref="L17:M17"/>
    <mergeCell ref="F28:G28"/>
    <mergeCell ref="H28:I28"/>
    <mergeCell ref="J28:K28"/>
    <mergeCell ref="L28:M28"/>
    <mergeCell ref="N28:O28"/>
    <mergeCell ref="P28:Q28"/>
    <mergeCell ref="R29:S29"/>
    <mergeCell ref="T29:U29"/>
    <mergeCell ref="V29:W29"/>
    <mergeCell ref="X26:Y26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4:Y24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2:Y22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0:Y20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R18:S18"/>
    <mergeCell ref="T18:U18"/>
    <mergeCell ref="V18:W18"/>
    <mergeCell ref="X18:Y18"/>
    <mergeCell ref="F19:G19"/>
    <mergeCell ref="H19:I19"/>
    <mergeCell ref="J19:K19"/>
    <mergeCell ref="L19:M19"/>
    <mergeCell ref="N19:O19"/>
    <mergeCell ref="P19:Q19"/>
    <mergeCell ref="F18:G18"/>
    <mergeCell ref="H18:I18"/>
    <mergeCell ref="J18:K18"/>
    <mergeCell ref="L18:M18"/>
    <mergeCell ref="N18:O18"/>
    <mergeCell ref="P18:Q18"/>
    <mergeCell ref="R19:S19"/>
    <mergeCell ref="T19:U19"/>
    <mergeCell ref="V19:W19"/>
    <mergeCell ref="X19:Y19"/>
    <mergeCell ref="N17:O17"/>
    <mergeCell ref="P17:Q17"/>
    <mergeCell ref="R17:S17"/>
    <mergeCell ref="T17:U17"/>
    <mergeCell ref="V17:W17"/>
    <mergeCell ref="X17:Y17"/>
    <mergeCell ref="P16:Q16"/>
    <mergeCell ref="R16:S16"/>
    <mergeCell ref="T16:U16"/>
    <mergeCell ref="V16:W16"/>
    <mergeCell ref="X16:Y16"/>
    <mergeCell ref="P15:Q15"/>
    <mergeCell ref="R15:S15"/>
    <mergeCell ref="T15:U15"/>
    <mergeCell ref="V15:W15"/>
    <mergeCell ref="X15:Y15"/>
    <mergeCell ref="F16:G16"/>
    <mergeCell ref="H16:I16"/>
    <mergeCell ref="J16:K16"/>
    <mergeCell ref="L16:M16"/>
    <mergeCell ref="N16:O16"/>
    <mergeCell ref="D15:D16"/>
    <mergeCell ref="F15:G15"/>
    <mergeCell ref="H15:I15"/>
    <mergeCell ref="J15:K15"/>
    <mergeCell ref="L15:M15"/>
    <mergeCell ref="N15:O15"/>
    <mergeCell ref="D6:D14"/>
    <mergeCell ref="F6:G6"/>
    <mergeCell ref="H6:I6"/>
    <mergeCell ref="J6:K6"/>
    <mergeCell ref="L6:M6"/>
    <mergeCell ref="X13:Y13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1:Y11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9:Y9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R7:S7"/>
    <mergeCell ref="T7:U7"/>
    <mergeCell ref="V7:W7"/>
    <mergeCell ref="X7:Y7"/>
    <mergeCell ref="F8:G8"/>
    <mergeCell ref="H8:I8"/>
    <mergeCell ref="J8:K8"/>
    <mergeCell ref="L8:M8"/>
    <mergeCell ref="N8:O8"/>
    <mergeCell ref="P8:Q8"/>
    <mergeCell ref="F7:G7"/>
    <mergeCell ref="H7:I7"/>
    <mergeCell ref="J7:K7"/>
    <mergeCell ref="L7:M7"/>
    <mergeCell ref="N7:O7"/>
    <mergeCell ref="P7:Q7"/>
    <mergeCell ref="R8:S8"/>
    <mergeCell ref="T8:U8"/>
    <mergeCell ref="V8:W8"/>
    <mergeCell ref="X8:Y8"/>
    <mergeCell ref="V4:W4"/>
    <mergeCell ref="X4:Y4"/>
    <mergeCell ref="F5:G5"/>
    <mergeCell ref="H5:I5"/>
    <mergeCell ref="J5:K5"/>
    <mergeCell ref="L5:M5"/>
    <mergeCell ref="N5:O5"/>
    <mergeCell ref="N6:O6"/>
    <mergeCell ref="P6:Q6"/>
    <mergeCell ref="R6:S6"/>
    <mergeCell ref="T6:U6"/>
    <mergeCell ref="V6:W6"/>
    <mergeCell ref="X6:Y6"/>
    <mergeCell ref="P5:Q5"/>
    <mergeCell ref="R5:S5"/>
    <mergeCell ref="T5:U5"/>
    <mergeCell ref="V5:W5"/>
    <mergeCell ref="X5:Y5"/>
    <mergeCell ref="D4:D5"/>
    <mergeCell ref="F4:G4"/>
    <mergeCell ref="H4:I4"/>
    <mergeCell ref="J4:K4"/>
    <mergeCell ref="L4:M4"/>
    <mergeCell ref="N4:O4"/>
    <mergeCell ref="P4:Q4"/>
    <mergeCell ref="R4:S4"/>
    <mergeCell ref="T4:U4"/>
  </mergeCells>
  <phoneticPr fontId="5" type="noConversion"/>
  <conditionalFormatting sqref="F4 J4 P4 T4 R4 L4 N4">
    <cfRule type="expression" dxfId="4" priority="5">
      <formula>NETWORKDAYS(TODAY(),F$12)&lt;=3</formula>
    </cfRule>
  </conditionalFormatting>
  <conditionalFormatting sqref="H4">
    <cfRule type="expression" dxfId="3" priority="4">
      <formula>NETWORKDAYS(TODAY(),H$12)&lt;=3</formula>
    </cfRule>
  </conditionalFormatting>
  <conditionalFormatting sqref="V4">
    <cfRule type="expression" dxfId="2" priority="3">
      <formula>NETWORKDAYS(TODAY(),V$12)&lt;=3</formula>
    </cfRule>
  </conditionalFormatting>
  <conditionalFormatting sqref="X4">
    <cfRule type="expression" dxfId="1" priority="2">
      <formula>NETWORKDAYS(TODAY(),X$12)&lt;=3</formula>
    </cfRule>
  </conditionalFormatting>
  <conditionalFormatting sqref="J4">
    <cfRule type="expression" dxfId="0" priority="1">
      <formula>NETWORKDAYS(TODAY(),J$12)&lt;=3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13</xdr:row>
                    <xdr:rowOff>9525</xdr:rowOff>
                  </from>
                  <to>
                    <xdr:col>4</xdr:col>
                    <xdr:colOff>904875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5</xdr:col>
                    <xdr:colOff>9525</xdr:colOff>
                    <xdr:row>32</xdr:row>
                    <xdr:rowOff>9525</xdr:rowOff>
                  </from>
                  <to>
                    <xdr:col>6</xdr:col>
                    <xdr:colOff>457200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Drop Down 3">
              <controlPr defaultSize="0" autoLine="0" autoPict="0">
                <anchor moveWithCells="1">
                  <from>
                    <xdr:col>7</xdr:col>
                    <xdr:colOff>9525</xdr:colOff>
                    <xdr:row>32</xdr:row>
                    <xdr:rowOff>9525</xdr:rowOff>
                  </from>
                  <to>
                    <xdr:col>8</xdr:col>
                    <xdr:colOff>476250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Drop Down 4">
              <controlPr defaultSize="0" autoLine="0" autoPict="0">
                <anchor moveWithCells="1">
                  <from>
                    <xdr:col>8</xdr:col>
                    <xdr:colOff>485775</xdr:colOff>
                    <xdr:row>32</xdr:row>
                    <xdr:rowOff>9525</xdr:rowOff>
                  </from>
                  <to>
                    <xdr:col>11</xdr:col>
                    <xdr:colOff>9525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Drop Down 5">
              <controlPr defaultSize="0" autoLine="0" autoPict="0">
                <anchor moveWithCells="1">
                  <from>
                    <xdr:col>11</xdr:col>
                    <xdr:colOff>19050</xdr:colOff>
                    <xdr:row>32</xdr:row>
                    <xdr:rowOff>9525</xdr:rowOff>
                  </from>
                  <to>
                    <xdr:col>12</xdr:col>
                    <xdr:colOff>438150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Drop Down 6">
              <controlPr defaultSize="0" autoLine="0" autoPict="0">
                <anchor moveWithCells="1">
                  <from>
                    <xdr:col>13</xdr:col>
                    <xdr:colOff>19050</xdr:colOff>
                    <xdr:row>32</xdr:row>
                    <xdr:rowOff>9525</xdr:rowOff>
                  </from>
                  <to>
                    <xdr:col>14</xdr:col>
                    <xdr:colOff>428625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Drop Down 7">
              <controlPr defaultSize="0" autoLine="0" autoPict="0">
                <anchor moveWithCells="1">
                  <from>
                    <xdr:col>15</xdr:col>
                    <xdr:colOff>0</xdr:colOff>
                    <xdr:row>32</xdr:row>
                    <xdr:rowOff>9525</xdr:rowOff>
                  </from>
                  <to>
                    <xdr:col>16</xdr:col>
                    <xdr:colOff>438150</xdr:colOff>
                    <xdr:row>32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Drop Down 8">
              <controlPr defaultSize="0" autoLine="0" autoPict="0">
                <anchor moveWithCells="1">
                  <from>
                    <xdr:col>17</xdr:col>
                    <xdr:colOff>9525</xdr:colOff>
                    <xdr:row>32</xdr:row>
                    <xdr:rowOff>9525</xdr:rowOff>
                  </from>
                  <to>
                    <xdr:col>18</xdr:col>
                    <xdr:colOff>438150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Drop Down 9">
              <controlPr defaultSize="0" autoLine="0" autoPict="0">
                <anchor moveWithCells="1">
                  <from>
                    <xdr:col>19</xdr:col>
                    <xdr:colOff>9525</xdr:colOff>
                    <xdr:row>32</xdr:row>
                    <xdr:rowOff>9525</xdr:rowOff>
                  </from>
                  <to>
                    <xdr:col>21</xdr:col>
                    <xdr:colOff>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Drop Down 10">
              <controlPr defaultSize="0" autoLine="0" autoPict="0">
                <anchor moveWithCells="1">
                  <from>
                    <xdr:col>3</xdr:col>
                    <xdr:colOff>533400</xdr:colOff>
                    <xdr:row>15</xdr:row>
                    <xdr:rowOff>9525</xdr:rowOff>
                  </from>
                  <to>
                    <xdr:col>4</xdr:col>
                    <xdr:colOff>914400</xdr:colOff>
                    <xdr:row>15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Drop Down 11">
              <controlPr defaultSize="0" autoLine="0" autoPict="0">
                <anchor moveWithCells="1">
                  <from>
                    <xdr:col>21</xdr:col>
                    <xdr:colOff>9525</xdr:colOff>
                    <xdr:row>32</xdr:row>
                    <xdr:rowOff>9525</xdr:rowOff>
                  </from>
                  <to>
                    <xdr:col>23</xdr:col>
                    <xdr:colOff>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Drop Down 12">
              <controlPr defaultSize="0" autoLine="0" autoPict="0">
                <anchor moveWithCells="1">
                  <from>
                    <xdr:col>23</xdr:col>
                    <xdr:colOff>9525</xdr:colOff>
                    <xdr:row>32</xdr:row>
                    <xdr:rowOff>9525</xdr:rowOff>
                  </from>
                  <to>
                    <xdr:col>25</xdr:col>
                    <xdr:colOff>0</xdr:colOff>
                    <xdr:row>32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트레이딩</vt:lpstr>
      <vt:lpstr>채권단가계산표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Windows User</cp:lastModifiedBy>
  <dcterms:created xsi:type="dcterms:W3CDTF">2026-08-10T01:12:37Z</dcterms:created>
  <dcterms:modified xsi:type="dcterms:W3CDTF">2026-08-11T00:30:02Z</dcterms:modified>
</cp:coreProperties>
</file>