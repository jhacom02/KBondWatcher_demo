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infomax\Desktop\hannah\채권부\데일리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J73" i="2" s="1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C51" i="2"/>
  <c r="D51" i="2"/>
  <c r="J59" i="2" l="1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D42" i="2"/>
  <c r="C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D32" i="2"/>
  <c r="C32" i="2"/>
  <c r="F32" i="2" l="1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F21" i="2"/>
  <c r="R27" i="2"/>
  <c r="S24" i="2" s="1"/>
  <c r="R20" i="2"/>
  <c r="Y26" i="2"/>
  <c r="R26" i="2"/>
  <c r="C26" i="2"/>
  <c r="F26" i="2" s="1"/>
  <c r="F20" i="2"/>
  <c r="Q32" i="2"/>
  <c r="AA36" i="2"/>
  <c r="AA37" i="2"/>
  <c r="P32" i="2"/>
  <c r="R32" i="2"/>
  <c r="R33" i="2" s="1"/>
  <c r="B20" i="2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19" i="2" l="1"/>
  <c r="AA39" i="2"/>
  <c r="AD39" i="2" s="1"/>
  <c r="N33" i="2"/>
  <c r="P33" i="2"/>
  <c r="S30" i="2"/>
  <c r="S31" i="2" s="1"/>
  <c r="AE42" i="2"/>
  <c r="AE45" i="2" s="1"/>
  <c r="AE39" i="2"/>
  <c r="N18" i="2"/>
  <c r="R18" i="2" s="1"/>
  <c r="R21" i="2" s="1"/>
  <c r="S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Q14" i="2"/>
  <c r="C11" i="2"/>
  <c r="E11" i="2"/>
  <c r="P14" i="2" l="1"/>
  <c r="I34" i="2" s="1"/>
  <c r="O14" i="2"/>
  <c r="AB16" i="2"/>
  <c r="AC16" i="2" s="1"/>
  <c r="N10" i="2"/>
  <c r="F10" i="2"/>
  <c r="F12" i="2" s="1"/>
  <c r="B10" i="2"/>
  <c r="B12" i="2" s="1"/>
  <c r="O9" i="2"/>
  <c r="Z7" i="2"/>
  <c r="W7" i="2"/>
  <c r="X7" i="2" s="1"/>
  <c r="S7" i="2"/>
  <c r="S9" i="2" s="1"/>
  <c r="F7" i="2"/>
  <c r="B7" i="2"/>
  <c r="V6" i="2"/>
  <c r="AA6" i="2" s="1"/>
  <c r="AB6" i="2" s="1"/>
  <c r="J6" i="2"/>
  <c r="I6" i="2"/>
  <c r="C6" i="2"/>
  <c r="E6" i="2"/>
  <c r="J7" i="2" l="1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X16" i="1"/>
  <c r="T16" i="1"/>
  <c r="P16" i="1"/>
  <c r="N16" i="1"/>
  <c r="L16" i="1"/>
  <c r="H16" i="1"/>
  <c r="F16" i="1"/>
  <c r="C16" i="1"/>
  <c r="Z15" i="1"/>
  <c r="J15" i="1" s="1"/>
  <c r="T14" i="1"/>
  <c r="X14" i="1"/>
  <c r="H14" i="1"/>
  <c r="L13" i="1"/>
  <c r="P13" i="1"/>
  <c r="T13" i="1"/>
  <c r="J13" i="1"/>
  <c r="X13" i="1"/>
  <c r="N13" i="1"/>
  <c r="J14" i="1"/>
  <c r="N14" i="1"/>
  <c r="H13" i="1"/>
  <c r="P14" i="1"/>
  <c r="L14" i="1"/>
  <c r="V14" i="1"/>
  <c r="V13" i="1"/>
  <c r="F13" i="1"/>
  <c r="R14" i="1"/>
  <c r="F14" i="1"/>
  <c r="R13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V16" i="1" l="1"/>
  <c r="H11" i="1"/>
  <c r="X11" i="1"/>
  <c r="P5" i="1"/>
  <c r="L5" i="1"/>
  <c r="N7" i="1"/>
  <c r="J7" i="1"/>
  <c r="L6" i="1"/>
  <c r="X7" i="1"/>
  <c r="P7" i="1"/>
  <c r="T11" i="1"/>
  <c r="L11" i="1"/>
  <c r="T5" i="1"/>
  <c r="T7" i="1"/>
  <c r="H7" i="1"/>
  <c r="L7" i="1"/>
  <c r="P11" i="1"/>
  <c r="N10" i="1"/>
  <c r="J6" i="1"/>
  <c r="P6" i="1"/>
  <c r="N6" i="1"/>
  <c r="J10" i="1"/>
  <c r="H6" i="1"/>
  <c r="H10" i="1"/>
  <c r="J11" i="1"/>
  <c r="T6" i="1"/>
  <c r="N11" i="1"/>
  <c r="X10" i="1"/>
  <c r="X5" i="1"/>
  <c r="J5" i="1"/>
  <c r="X6" i="1"/>
  <c r="T10" i="1"/>
  <c r="L10" i="1"/>
  <c r="N5" i="1"/>
  <c r="P10" i="1"/>
  <c r="H5" i="1"/>
  <c r="V10" i="1"/>
  <c r="R11" i="1"/>
  <c r="R10" i="1"/>
  <c r="F5" i="1"/>
  <c r="V7" i="1"/>
  <c r="V6" i="1"/>
  <c r="F11" i="1"/>
  <c r="V5" i="1"/>
  <c r="V11" i="1"/>
  <c r="F6" i="1"/>
  <c r="R7" i="1"/>
  <c r="F10" i="1"/>
  <c r="R6" i="1"/>
  <c r="F7" i="1"/>
  <c r="R5" i="1"/>
  <c r="L17" i="1"/>
  <c r="N21" i="1"/>
  <c r="N18" i="1"/>
  <c r="N22" i="1"/>
  <c r="T21" i="1"/>
  <c r="L28" i="1"/>
  <c r="F19" i="1"/>
  <c r="F29" i="1"/>
  <c r="F27" i="1"/>
  <c r="L22" i="1"/>
  <c r="X20" i="1"/>
  <c r="P23" i="1"/>
  <c r="V24" i="1"/>
  <c r="V28" i="1"/>
  <c r="V27" i="1"/>
  <c r="V20" i="1"/>
  <c r="T29" i="1"/>
  <c r="H24" i="1"/>
  <c r="N24" i="1"/>
  <c r="H22" i="1"/>
  <c r="N28" i="1"/>
  <c r="H21" i="1"/>
  <c r="T20" i="1"/>
  <c r="F23" i="1"/>
  <c r="T17" i="1"/>
  <c r="V18" i="1"/>
  <c r="X27" i="1"/>
  <c r="X25" i="1"/>
  <c r="V17" i="1"/>
  <c r="F18" i="1"/>
  <c r="F21" i="1"/>
  <c r="X22" i="1"/>
  <c r="N27" i="1"/>
  <c r="H18" i="1"/>
  <c r="T18" i="1"/>
  <c r="P18" i="1"/>
  <c r="X28" i="1"/>
  <c r="T22" i="1"/>
  <c r="N29" i="1"/>
  <c r="P28" i="1"/>
  <c r="F28" i="1"/>
  <c r="X23" i="1"/>
  <c r="X17" i="1"/>
  <c r="L26" i="1"/>
  <c r="T24" i="1"/>
  <c r="H20" i="1"/>
  <c r="V19" i="1"/>
  <c r="N25" i="1"/>
  <c r="H17" i="1"/>
  <c r="F25" i="1"/>
  <c r="L19" i="1"/>
  <c r="L21" i="1"/>
  <c r="X29" i="1"/>
  <c r="F20" i="1"/>
  <c r="V26" i="1"/>
  <c r="T19" i="1"/>
  <c r="P25" i="1"/>
  <c r="V21" i="1"/>
  <c r="T23" i="1"/>
  <c r="N23" i="1"/>
  <c r="V23" i="1"/>
  <c r="L18" i="1"/>
  <c r="H28" i="1"/>
  <c r="P24" i="1"/>
  <c r="F17" i="1"/>
  <c r="N19" i="1"/>
  <c r="L29" i="1"/>
  <c r="F22" i="1"/>
  <c r="P29" i="1"/>
  <c r="P19" i="1"/>
  <c r="L20" i="1"/>
  <c r="T27" i="1"/>
  <c r="V29" i="1"/>
  <c r="H27" i="1"/>
  <c r="N26" i="1"/>
  <c r="H19" i="1"/>
  <c r="P26" i="1"/>
  <c r="X24" i="1"/>
  <c r="H26" i="1"/>
  <c r="N17" i="1"/>
  <c r="X21" i="1"/>
  <c r="N20" i="1"/>
  <c r="H25" i="1"/>
  <c r="V25" i="1"/>
  <c r="H29" i="1"/>
  <c r="X18" i="1"/>
  <c r="X26" i="1"/>
  <c r="P20" i="1"/>
  <c r="P17" i="1"/>
  <c r="P27" i="1"/>
  <c r="H23" i="1"/>
  <c r="T28" i="1"/>
  <c r="V22" i="1"/>
  <c r="L23" i="1"/>
  <c r="P22" i="1"/>
  <c r="F26" i="1"/>
  <c r="T25" i="1"/>
  <c r="L24" i="1"/>
  <c r="L25" i="1"/>
  <c r="L27" i="1"/>
  <c r="P21" i="1"/>
  <c r="F24" i="1"/>
  <c r="X19" i="1"/>
  <c r="T26" i="1"/>
  <c r="V8" i="1" l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J16" i="1"/>
  <c r="R16" i="1"/>
  <c r="J28" i="1"/>
  <c r="R24" i="1"/>
  <c r="J20" i="1"/>
  <c r="J33" i="1"/>
  <c r="V33" i="1"/>
  <c r="R21" i="1"/>
  <c r="P33" i="1"/>
  <c r="R20" i="1"/>
  <c r="J29" i="1"/>
  <c r="N33" i="1"/>
  <c r="H33" i="1"/>
  <c r="R23" i="1"/>
  <c r="R27" i="1"/>
  <c r="R18" i="1"/>
  <c r="F33" i="1"/>
  <c r="L33" i="1"/>
  <c r="J24" i="1"/>
  <c r="R25" i="1"/>
  <c r="R28" i="1"/>
  <c r="J23" i="1"/>
  <c r="J22" i="1"/>
  <c r="R22" i="1"/>
  <c r="J17" i="1"/>
  <c r="J19" i="1"/>
  <c r="J25" i="1"/>
  <c r="J27" i="1"/>
  <c r="J21" i="1"/>
  <c r="R29" i="1"/>
  <c r="R33" i="1"/>
  <c r="X33" i="1"/>
  <c r="R26" i="1"/>
  <c r="T33" i="1"/>
  <c r="J18" i="1"/>
  <c r="R17" i="1"/>
  <c r="R19" i="1"/>
  <c r="J26" i="1"/>
  <c r="C56" i="2" l="1"/>
  <c r="F56" i="2" s="1"/>
  <c r="F59" i="2" s="1"/>
  <c r="C75" i="2" l="1"/>
  <c r="F75" i="2" s="1"/>
  <c r="F78" i="2" s="1"/>
  <c r="C25" i="2"/>
  <c r="F25" i="2" s="1"/>
  <c r="F28" i="2" s="1"/>
  <c r="G25" i="2" s="1"/>
  <c r="C46" i="2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C19" i="2"/>
  <c r="F19" i="2" s="1"/>
  <c r="F22" i="2" s="1"/>
  <c r="G19" i="2" s="1"/>
  <c r="C41" i="2" l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<sst xmlns="http://schemas.openxmlformats.org/spreadsheetml/2006/main" count="480" uniqueCount="340">
  <si>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</si>
  <si>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</si>
  <si>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</si>
  <si>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</si>
  <si>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</si>
  <si>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</si>
  <si>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</si>
  <si>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</si>
  <si>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</si>
  <si>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</si>
  <si>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</si>
  <si>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</si>
  <si>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</si>
  <si>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</si>
  <si>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</si>
  <si>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</si>
  <si>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</si>
  <si>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</si>
  <si>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</si>
  <si>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</si>
  <si>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</si>
  <si>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</si>
  <si>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</si>
  <si>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</si>
  <si>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</si>
  <si>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</si>
  <si>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</si>
  <si>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</si>
  <si>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</si>
  <si>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</si>
  <si>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</si>
  <si>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</si>
  <si>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</si>
  <si>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</si>
  <si>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</si>
  <si>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</si>
  <si>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</si>
  <si>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</si>
  <si>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</si>
  <si>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</si>
  <si>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</si>
  <si>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</si>
  <si>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</si>
  <si>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</si>
  <si>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</si>
  <si>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</si>
  <si>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</si>
  <si>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</si>
  <si>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</si>
  <si>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</si>
  <si>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</si>
  <si>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</si>
  <si>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</si>
  <si>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</si>
  <si>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</si>
  <si>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</si>
  <si>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</si>
  <si>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</si>
  <si>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</si>
  <si>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</si>
  <si>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</si>
  <si>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</si>
  <si>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</si>
  <si>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</si>
  <si>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</si>
  <si>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</si>
  <si>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</si>
  <si>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</si>
  <si>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</si>
  <si>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</si>
  <si>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</si>
  <si>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</si>
  <si>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</si>
  <si>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</si>
  <si>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</si>
  <si>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</si>
  <si>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</si>
  <si>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</si>
  <si>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</si>
  <si>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</si>
  <si>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</si>
  <si>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</si>
  <si>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</si>
  <si>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</si>
  <si>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</si>
  <si>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</si>
  <si>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</si>
  <si>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</si>
  <si>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</si>
  <si>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</si>
  <si>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</si>
  <si>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</si>
  <si>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</si>
  <si>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</si>
  <si>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</si>
  <si>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</si>
  <si>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</si>
  <si>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</si>
  <si>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</si>
  <si>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</si>
  <si>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</si>
  <si>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</si>
  <si>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</si>
  <si>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</si>
  <si>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</si>
  <si>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</si>
  <si>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</si>
  <si>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</si>
  <si>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</si>
  <si>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</si>
  <si>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</si>
  <si>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</si>
  <si>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</si>
  <si>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</si>
  <si>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</si>
  <si>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</si>
  <si>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</si>
  <si>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</si>
  <si>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</si>
  <si>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</si>
  <si>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</si>
  <si>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</si>
  <si>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</si>
  <si>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</si>
  <si>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</si>
  <si>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</si>
  <si>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</si>
  <si>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</si>
  <si>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</si>
  <si>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</si>
  <si>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</si>
  <si>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</si>
  <si>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</si>
  <si>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</si>
  <si>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</si>
  <si>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</si>
  <si>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</si>
  <si>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</si>
  <si>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</si>
  <si>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</si>
  <si>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</si>
  <si>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</si>
  <si>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</si>
  <si>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</si>
  <si>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</si>
  <si>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</si>
  <si>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</si>
  <si>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</si>
  <si>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</si>
  <si>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</si>
  <si>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</si>
  <si>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</si>
  <si>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</si>
  <si>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</si>
  <si>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</si>
  <si>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</si>
  <si>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</si>
  <si>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</si>
  <si>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</si>
  <si>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</si>
  <si>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</si>
  <si>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</si>
  <si>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</si>
  <si>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</si>
  <si>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</si>
  <si>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</si>
  <si>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</si>
  <si>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</si>
  <si>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</si>
  <si>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</si>
  <si>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</si>
  <si>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</si>
  <si>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</si>
  <si>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</si>
  <si>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</si>
  <si>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</si>
  <si>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</si>
  <si>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</si>
  <si>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</si>
  <si>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</si>
  <si>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</si>
  <si>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</si>
  <si>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</si>
  <si>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</si>
  <si>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</si>
  <si>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</si>
  <si>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</si>
  <si>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</si>
  <si>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</si>
  <si>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</si>
  <si>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</si>
  <si>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</si>
  <si>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</si>
  <si>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</si>
  <si>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</si>
  <si>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</si>
  <si>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</si>
  <si>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</si>
  <si>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</si>
  <si>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</si>
  <si>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</si>
  <si>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</si>
  <si>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</si>
  <si>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</si>
  <si>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</si>
  <si>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</si>
  <si>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</si>
  <si>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</si>
  <si>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</si>
  <si>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</si>
  <si>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</si>
  <si>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</si>
  <si>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</si>
  <si>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</si>
  <si>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</si>
  <si>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</si>
  <si>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</si>
  <si>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</si>
  <si>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</si>
  <si>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</si>
  <si>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</si>
  <si>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</si>
  <si>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</si>
  <si>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</si>
  <si>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</si>
  <si>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</si>
  <si>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</si>
  <si>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</si>
  <si>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</si>
  <si>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</si>
  <si>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</si>
  <si>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</si>
  <si>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</si>
  <si>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</si>
  <si>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</si>
  <si>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</si>
  <si>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</si>
  <si>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</si>
  <si>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</si>
  <si>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</si>
  <si>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</si>
  <si>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</si>
  <si>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</si>
  <si>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</si>
  <si>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</si>
  <si>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</si>
  <si>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</si>
  <si>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</si>
  <si>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</si>
  <si>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</si>
  <si>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</si>
  <si>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</si>
  <si>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</si>
  <si>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</si>
  <si>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</si>
  <si>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</si>
  <si>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</si>
  <si>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</si>
  <si>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</si>
  <si>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</si>
  <si>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</si>
  <si>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</si>
  <si>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</si>
  <si>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</si>
  <si>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</si>
  <si>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</si>
  <si>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</si>
  <si>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</si>
  <si>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</si>
  <si>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</si>
  <si>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</si>
  <si>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</si>
  <si>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</si>
  <si>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</si>
  <si>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</si>
  <si>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</si>
  <si>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</si>
  <si>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</si>
  <si>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</si>
  <si>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</si>
  <si>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</si>
  <si>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</si>
  <si>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</si>
  <si>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</si>
  <si>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</si>
  <si>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</si>
  <si>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</si>
  <si>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</si>
  <si>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</si>
  <si>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</si>
  <si>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</si>
  <si>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</si>
  <si>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</si>
  <si>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</si>
  <si>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</si>
  <si>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</si>
  <si>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</si>
  <si>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</si>
  <si>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</si>
  <si>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</si>
  <si>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</si>
  <si>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</si>
  <si>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</si>
  <si>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</si>
  <si>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</si>
  <si>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</si>
  <si>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</si>
  <si>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</si>
  <si>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</si>
  <si>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</si>
  <si>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</si>
  <si>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</si>
  <si>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</si>
  <si>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</si>
  <si>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</si>
  <si>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</si>
  <si>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</si>
  <si>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</si>
  <si>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</si>
  <si>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</si>
  <si>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</si>
  <si>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</si>
  <si>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</si>
  <si>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</si>
  <si>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</si>
  <si>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</si>
  <si>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</si>
  <si>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</si>
  <si>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</si>
  <si>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</si>
  <si>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</si>
  <si>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</si>
  <si>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</si>
  <si>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</si>
  <si>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</si>
  <si>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</si>
  <si>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SENT</t>
    <phoneticPr fontId="5" type="noConversion"/>
  </si>
  <si>
    <t>OFFER</t>
    <phoneticPr fontId="5" type="noConversion"/>
  </si>
  <si>
    <t>25-10 71+</t>
  </si>
  <si>
    <t>(17:37:39) Message Sent: 25-10 71- ㅎㅈ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</si>
</sst>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#,##0.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0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184" fontId="9" fillId="0" borderId="14" xfId="0" applyNumberFormat="1" applyFont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0" fontId="23" fillId="9" borderId="14" xfId="0" applyFont="1" applyFill="1" applyBorder="1" applyAlignment="1">
      <alignment horizontal="right"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79" fontId="23" fillId="0" borderId="14" xfId="1" applyNumberFormat="1" applyFont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right" vertical="center"/>
    </xf>
    <xf numFmtId="41" fontId="0" fillId="6" borderId="14" xfId="1" applyFont="1" applyFill="1" applyBorder="1" applyAlignment="1">
      <alignment horizontal="right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180" fontId="37" fillId="0" borderId="14" xfId="0" applyNumberFormat="1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right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190" fontId="36" fillId="6" borderId="14" xfId="0" applyNumberFormat="1" applyFont="1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180" fontId="0" fillId="9" borderId="14" xfId="0" applyNumberFormat="1" applyFont="1" applyFill="1" applyBorder="1" applyAlignment="1">
      <alignment horizontal="center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0" fontId="0" fillId="0" borderId="14" xfId="0" applyFont="1" applyFill="1" applyBorder="1" applyAlignment="1">
      <alignment horizontal="right" vertical="center"/>
    </xf>
    <xf numFmtId="41" fontId="0" fillId="0" borderId="14" xfId="1" applyFont="1" applyFill="1" applyBorder="1" applyAlignment="1">
      <alignment horizontal="right"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right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0" fontId="0" fillId="0" borderId="14" xfId="0" applyFont="1" applyFill="1" applyBorder="1">
      <alignment vertical="center"/>
    </xf>
    <xf numFmtId="41" fontId="0" fillId="0" borderId="14" xfId="1" applyFont="1" applyFill="1" applyBorder="1">
      <alignment vertical="center"/>
    </xf>
    <xf numFmtId="190" fontId="36" fillId="0" borderId="14" xfId="0" applyNumberFormat="1" applyFont="1" applyFill="1" applyBorder="1">
      <alignment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41" fontId="15" fillId="0" borderId="14" xfId="1" applyFont="1" applyFill="1" applyBorder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0" fontId="23" fillId="6" borderId="14" xfId="0" applyNumberFormat="1" applyFont="1" applyFill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41" fontId="36" fillId="6" borderId="14" xfId="1" applyFont="1" applyFill="1" applyBorder="1" applyAlignment="1">
      <alignment horizontal="center"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36" fillId="0" borderId="22" xfId="1" applyFont="1" applyBorder="1" applyAlignment="1">
      <alignment horizontal="center"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0" fontId="37" fillId="0" borderId="14" xfId="0" applyNumberFormat="1" applyFont="1" applyFill="1" applyBorder="1" applyAlignment="1">
      <alignment horizontal="right"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41" fontId="36" fillId="0" borderId="22" xfId="1" applyFont="1" applyFill="1" applyBorder="1" applyAlignment="1">
      <alignment horizontal="center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205" fontId="9" fillId="6" borderId="14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80" fontId="31" fillId="0" borderId="0" xfId="36" applyNumberFormat="1"/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0" fontId="12" fillId="9" borderId="0" xfId="0" applyFont="1" applyFill="1" applyAlignment="1">
      <alignment horizontal="center"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14" xfId="0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left" vertical="center"/>
    </xf>
    <xf numFmtId="3" fontId="0" fillId="0" borderId="14" xfId="1" applyNumberFormat="1" applyFont="1" applyFill="1" applyBorder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8" fillId="4" borderId="2" xfId="5" applyFont="1" applyFill="1" applyBorder="1" applyAlignment="1">
      <alignment horizontal="center" vertical="center"/>
    </xf>
    <xf numFmtId="0" fontId="1" fillId="4" borderId="2" xfId="5" applyFill="1" applyBorder="1">
      <alignment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V5" s="1"/>
        <tr r="F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>
        <v>6.4</v>
        <stp/>
        <stp>C</stp>
        <stp>0</stp>
        <stp>KR103502GF62</stp>
        <stp>경과세금</stp>
        <stp>46247</stp>
        <stp>4.185</stp>
        <stp>세전수익률</stp>
        <tr r="N21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10.4</v>
        <stp/>
        <stp>C</stp>
        <stp>0</stp>
        <stp>KR103503GG60</stp>
        <stp>경과세금</stp>
        <stp>46247</stp>
        <stp>4.224</stp>
        <stp>세전수익률</stp>
        <tr r="V21" s="1"/>
      </tp>
      <tp>
        <v>8.5</v>
        <stp/>
        <stp>C</stp>
        <stp>0</stp>
        <stp>KR103502GE63</stp>
        <stp>경과세금</stp>
        <stp>46247</stp>
        <stp>4.207</stp>
        <stp>세전수익률</stp>
        <tr r="T21" s="1"/>
      </tp>
      <tp>
        <v>7.9</v>
        <stp/>
        <stp>C</stp>
        <stp>0</stp>
        <stp>KR103502GFC1</stp>
        <stp>경과세금</stp>
        <stp>46247</stp>
        <stp>4.207</stp>
        <stp>세전수익률</stp>
        <tr r="L21" s="1"/>
      </tp>
      <tp>
        <v>0</v>
        <stp/>
        <stp>T</stp>
        <stp>x10.fQtO1</stp>
        <stp>10</stp>
        <stp>1583594</stp>
        <tr r="T33" s="1"/>
      </tp>
      <tp>
        <v>7</v>
        <stp/>
        <stp>C</stp>
        <stp>0</stp>
        <stp>KR103501GEC6</stp>
        <stp>경과세금</stp>
        <stp>46247</stp>
        <stp>3.991</stp>
        <stp>세전수익률</stp>
        <tr r="J21" s="1"/>
      </tp>
      <tp>
        <v>20</v>
        <stp/>
        <stp>C</stp>
        <stp>0</stp>
        <stp>KR103503GG37</stp>
        <stp>경과세금</stp>
        <stp>46247</stp>
        <stp>3.991</stp>
        <stp>세전수익률</stp>
        <tr r="R21" s="1"/>
      </tp>
      <tp>
        <v>14.8</v>
        <stp/>
        <stp>C</stp>
        <stp>0</stp>
        <stp>KR103503GF95</stp>
        <stp>경과세금</stp>
        <stp>46247</stp>
        <stp>3.927</stp>
        <stp>세전수익률</stp>
        <tr r="X21" s="1"/>
      </tp>
      <tp>
        <v>6.7</v>
        <stp/>
        <stp>C</stp>
        <stp>0</stp>
        <stp>KR103501GFC3</stp>
        <stp>경과세금</stp>
        <stp>46247</stp>
        <stp>3.68</stp>
        <stp>세전수익률</stp>
        <tr r="H21" s="1"/>
      </tp>
      <tp>
        <v>17250.157931999998</v>
        <stp/>
        <stp>C</stp>
        <stp>0</stp>
        <stp>KR103501GF63</stp>
        <stp>금액Duration</stp>
        <stp>46247</stp>
        <stp>3.6</stp>
        <stp>세전수익률</stp>
        <tr r="P23" s="1"/>
      </tp>
      <tp>
        <v>39192.696021999996</v>
        <stp/>
        <stp>C</stp>
        <stp>0</stp>
        <stp>KR103501GF63</stp>
        <stp>금액Convexity</stp>
        <stp>46247</stp>
        <stp>3.6</stp>
        <stp>세전수익률</stp>
        <tr r="P26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F6" s="1"/>
        <tr r="V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F7" s="1"/>
        <tr r="V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>
        <v>10037</v>
        <stp/>
        <stp>P</stp>
        <stp>0</stp>
        <stp>BND</stp>
        <stp>KR103503GG60</stp>
        <stp>장내국채-현재가격</stp>
        <stp/>
        <stp/>
        <tr r="C32" s="2"/>
      </tp>
      <tp>
        <v>9871.5</v>
        <stp/>
        <stp>P</stp>
        <stp>0</stp>
        <stp>BND</stp>
        <stp>KR103503GG37</stp>
        <stp>장내국채-현재가격</stp>
        <stp/>
        <stp/>
        <tr r="C51" s="2"/>
      </tp>
      <tp>
        <v>8260</v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48.087400000000002</v>
        <stp/>
        <stp>C</stp>
        <stp>0</stp>
        <stp>KR103501GFC3</stp>
        <stp>경과이자</stp>
        <stp>46247</stp>
        <stp>3.68</stp>
        <stp>세전수익률</stp>
        <tr r="H20" s="1"/>
      </tp>
      <tp>
        <v>9802.34</v>
        <stp/>
        <stp>C</stp>
        <stp>0</stp>
        <stp>KR103501GF63</stp>
        <stp>세전단가</stp>
        <stp>46247</stp>
        <stp>3.6</stp>
        <stp>세전수익률</stp>
        <tr r="P18" s="1"/>
      </tp>
      <tp>
        <v>850</v>
        <stp/>
        <stp>C</stp>
        <stp>0</stp>
        <stp>KR103501GFC3</stp>
        <stp>잔존일수</stp>
        <stp>46247</stp>
        <stp>3.68</stp>
        <stp>세전수익률</stp>
        <tr r="H28" s="1"/>
      </tp>
      <tp>
        <v>10.4</v>
        <stp/>
        <stp>C</stp>
        <stp>0</stp>
        <stp>KR103503GG60</stp>
        <stp>경과세금</stp>
        <stp>46247</stp>
        <stp>0</stp>
        <stp>세전수익률</stp>
        <tr r="F21" s="1"/>
      </tp>
      <tp>
        <v>21815.755034000002</v>
        <stp/>
        <stp>C</stp>
        <stp>0</stp>
        <stp>KR103501GFC3</stp>
        <stp>금액Duration</stp>
        <stp>46247</stp>
        <stp>3.68</stp>
        <stp>세전수익률</stp>
        <tr r="H23" s="1"/>
      </tp>
      <tp>
        <v>667</v>
        <stp/>
        <stp>C</stp>
        <stp>0</stp>
        <stp>KR103501GF63</stp>
        <stp>잔존일수</stp>
        <stp>46247</stp>
        <stp>3.6</stp>
        <stp>세전수익률</stp>
        <tr r="P28" s="1"/>
      </tp>
      <tp>
        <v>3.927</v>
        <stp/>
        <stp>C</stp>
        <stp>0</stp>
        <stp>KR103503GF95</stp>
        <stp>세전수익률</stp>
        <stp>46247</stp>
        <stp>3.927</stp>
        <stp>세전수익률</stp>
        <tr r="X17" s="1"/>
      </tp>
      <tp>
        <v>3589</v>
        <stp/>
        <stp>C</stp>
        <stp>0</stp>
        <stp>KR103503GG60</stp>
        <stp>잔존일수</stp>
        <stp>46247</stp>
        <stp>0</stp>
        <stp>세전수익률</stp>
        <tr r="F28" s="1"/>
      </tp>
      <tp>
        <v>0</v>
        <stp/>
        <stp>T</stp>
        <stp>x1.fQtO1</stp>
        <stp>1</stp>
        <stp>1583594</stp>
        <tr r="J33" s="1"/>
      </tp>
      <tp>
        <v>0</v>
        <stp/>
        <stp>T</stp>
        <stp>x2.fQtO1</stp>
        <stp>2</stp>
        <stp>1583594</stp>
        <tr r="V33" s="1"/>
      </tp>
      <tp>
        <v>0</v>
        <stp/>
        <stp>T</stp>
        <stp>x3.fQtO1</stp>
        <stp>3</stp>
        <stp>1583594</stp>
        <tr r="P33" s="1"/>
      </tp>
      <tp>
        <v>0</v>
        <stp/>
        <stp>T</stp>
        <stp>x4.fQtO1</stp>
        <stp>4</stp>
        <stp>1583594</stp>
        <tr r="N33" s="1"/>
      </tp>
      <tp>
        <v>0</v>
        <stp/>
        <stp>T</stp>
        <stp>x5.fQtO1</stp>
        <stp>5</stp>
        <stp>1583594</stp>
        <tr r="H33" s="1"/>
      </tp>
      <tp>
        <v>0</v>
        <stp/>
        <stp>T</stp>
        <stp>x6.fQtO1</stp>
        <stp>6</stp>
        <stp>1583594</stp>
        <tr r="F33" s="1"/>
      </tp>
      <tp>
        <v>0</v>
        <stp/>
        <stp>T</stp>
        <stp>x7.fQtO1</stp>
        <stp>7</stp>
        <stp>1583594</stp>
        <tr r="L33" s="1"/>
      </tp>
      <tp>
        <v>0</v>
        <stp/>
        <stp>T</stp>
        <stp>x8.fQtO1</stp>
        <stp>8</stp>
        <stp>1583594</stp>
        <tr r="R33" s="1"/>
      </tp>
      <tp>
        <v>0</v>
        <stp/>
        <stp>T</stp>
        <stp>x9.fQtO1</stp>
        <stp>9</stp>
        <stp>1583594</stp>
        <tr r="X33" s="1"/>
      </tp>
      <tp>
        <v>4.1849999999999996</v>
        <stp/>
        <stp>C</stp>
        <stp>0</stp>
        <stp>KR103502GF62</stp>
        <stp>세전수익률</stp>
        <stp>46247</stp>
        <stp>4.185</stp>
        <stp>세전수익률</stp>
        <tr r="N17" s="1"/>
      </tp>
      <tp>
        <v>4.2240000000000002</v>
        <stp/>
        <stp>C</stp>
        <stp>0</stp>
        <stp>KR103503GG60</stp>
        <stp>세전수익률</stp>
        <stp>46247</stp>
        <stp>4.224</stp>
        <stp>세전수익률</stp>
        <tr r="V17" s="1"/>
      </tp>
      <tp>
        <v>3.9910000000000001</v>
        <stp/>
        <stp>C</stp>
        <stp>0</stp>
        <stp>KR103501GEC6</stp>
        <stp>세전수익률</stp>
        <stp>46247</stp>
        <stp>3.991</stp>
        <stp>세전수익률</stp>
        <tr r="J17" s="1"/>
      </tp>
      <tp>
        <v>4.2069999999999999</v>
        <stp/>
        <stp>C</stp>
        <stp>0</stp>
        <stp>KR103502GE63</stp>
        <stp>세전수익률</stp>
        <stp>46247</stp>
        <stp>4.207</stp>
        <stp>세전수익률</stp>
        <tr r="T17" s="1"/>
      </tp>
      <tp>
        <v>3.9910000000000001</v>
        <stp/>
        <stp>C</stp>
        <stp>0</stp>
        <stp>KR103503GG37</stp>
        <stp>세전수익률</stp>
        <stp>46247</stp>
        <stp>3.991</stp>
        <stp>세전수익률</stp>
        <tr r="R17" s="1"/>
      </tp>
      <tp>
        <v>4.2069999999999999</v>
        <stp/>
        <stp>C</stp>
        <stp>0</stp>
        <stp>KR103502GFC1</stp>
        <stp>세전수익률</stp>
        <stp>46247</stp>
        <stp>4.207</stp>
        <stp>세전수익률</stp>
        <tr r="L17" s="1"/>
      </tp>
      <tp>
        <v>14239.6</v>
        <stp/>
        <stp>C</stp>
        <stp>0</stp>
        <stp>KR103503GG60</stp>
        <stp>세후단가</stp>
        <stp>46247</stp>
        <stp>0</stp>
        <stp>세전수익률</stp>
        <tr r="F19" s="1"/>
      </tp>
      <tp>
        <v>14250</v>
        <stp/>
        <stp>C</stp>
        <stp>0</stp>
        <stp>KR103503GG60</stp>
        <stp>세전단가</stp>
        <stp>46247</stp>
        <stp>0</stp>
        <stp>세전수익률</stp>
        <tr r="F18" s="1"/>
      </tp>
      <tp>
        <v>3.9E-2</v>
        <stp/>
        <stp>P</stp>
        <stp>0</stp>
        <stp>FUT</stp>
        <stp>A6769000</stp>
        <stp>저평가</stp>
        <stp/>
        <stp/>
        <tr r="H19" s="2"/>
      </tp>
      <tp>
        <v>-2.8000000000000001E-2</v>
        <stp/>
        <stp>P</stp>
        <stp>0</stp>
        <stp>FUT</stp>
        <stp>A6569000</stp>
        <stp>저평가</stp>
        <stp/>
        <stp/>
        <tr r="G41" s="2"/>
      </tp>
      <tp>
        <v>3.6</v>
        <stp/>
        <stp>C</stp>
        <stp>0</stp>
        <stp>KR103501GF63</stp>
        <stp>세전수익률</stp>
        <stp>46247</stp>
        <stp>3.6</stp>
        <stp>세전수익률</stp>
        <tr r="P17" s="1"/>
      </tp>
      <tp>
        <v>9558.1</v>
        <stp/>
        <stp>C</stp>
        <stp>0</stp>
        <stp>KR103503GF95</stp>
        <stp>세후단가</stp>
        <stp>46247</stp>
        <stp>3.927</stp>
        <stp>세전수익률</stp>
        <tr r="X19" s="1"/>
      </tp>
      <tp>
        <v>9572.9</v>
        <stp/>
        <stp>C</stp>
        <stp>0</stp>
        <stp>KR103503GF95</stp>
        <stp>세전단가</stp>
        <stp>46247</stp>
        <stp>3.927</stp>
        <stp>세전수익률</stp>
        <tr r="X18" s="1"/>
      </tp>
      <tp>
        <v>10083.6</v>
        <stp/>
        <stp>C</stp>
        <stp>0</stp>
        <stp>KR103503GG60</stp>
        <stp>세후단가</stp>
        <stp>46247</stp>
        <stp>4.224</stp>
        <stp>세전수익률</stp>
        <tr r="V19" s="1"/>
      </tp>
      <tp>
        <v>10094.040000000001</v>
        <stp/>
        <stp>C</stp>
        <stp>0</stp>
        <stp>KR103503GG60</stp>
        <stp>세전단가</stp>
        <stp>46247</stp>
        <stp>4.224</stp>
        <stp>세전수익률</stp>
        <tr r="V18" s="1"/>
      </tp>
      <tp>
        <v>8897.4</v>
        <stp/>
        <stp>C</stp>
        <stp>0</stp>
        <stp>KR103502GF62</stp>
        <stp>세후단가</stp>
        <stp>46247</stp>
        <stp>4.185</stp>
        <stp>세전수익률</stp>
        <tr r="N19" s="1"/>
      </tp>
      <tp>
        <v>8903.89</v>
        <stp/>
        <stp>C</stp>
        <stp>0</stp>
        <stp>KR103502GF62</stp>
        <stp>세전단가</stp>
        <stp>46247</stp>
        <stp>4.185</stp>
        <stp>세전수익률</stp>
        <tr r="N18" s="1"/>
      </tp>
      <tp>
        <v>9867.2000000000007</v>
        <stp/>
        <stp>C</stp>
        <stp>0</stp>
        <stp>KR103503GG37</stp>
        <stp>세후단가</stp>
        <stp>46247</stp>
        <stp>3.991</stp>
        <stp>세전수익률</stp>
        <tr r="R19" s="1"/>
      </tp>
      <tp>
        <v>9899.7999999999993</v>
        <stp/>
        <stp>C</stp>
        <stp>0</stp>
        <stp>KR103501GEC6</stp>
        <stp>세후단가</stp>
        <stp>46247</stp>
        <stp>3.991</stp>
        <stp>세전수익률</stp>
        <tr r="J19" s="1"/>
      </tp>
      <tp>
        <v>9906.85</v>
        <stp/>
        <stp>C</stp>
        <stp>0</stp>
        <stp>KR103501GEC6</stp>
        <stp>세전단가</stp>
        <stp>46247</stp>
        <stp>3.991</stp>
        <stp>세전수익률</stp>
        <tr r="J18" s="1"/>
      </tp>
      <tp>
        <v>9887.27</v>
        <stp/>
        <stp>C</stp>
        <stp>0</stp>
        <stp>KR103503GG37</stp>
        <stp>세전단가</stp>
        <stp>46247</stp>
        <stp>3.991</stp>
        <stp>세전수익률</stp>
        <tr r="R18" s="1"/>
      </tp>
      <tp>
        <v>9316.1</v>
        <stp/>
        <stp>C</stp>
        <stp>0</stp>
        <stp>KR103502GFC1</stp>
        <stp>세후단가</stp>
        <stp>46247</stp>
        <stp>4.207</stp>
        <stp>세전수익률</stp>
        <tr r="L19" s="1"/>
      </tp>
      <tp>
        <v>9584.5</v>
        <stp/>
        <stp>C</stp>
        <stp>0</stp>
        <stp>KR103502GE63</stp>
        <stp>세후단가</stp>
        <stp>46247</stp>
        <stp>4.207</stp>
        <stp>세전수익률</stp>
        <tr r="T19" s="1"/>
      </tp>
      <tp>
        <v>9593.0499999999993</v>
        <stp/>
        <stp>C</stp>
        <stp>0</stp>
        <stp>KR103502GE63</stp>
        <stp>세전단가</stp>
        <stp>46247</stp>
        <stp>4.207</stp>
        <stp>세전수익률</stp>
        <tr r="T18" s="1"/>
      </tp>
      <tp>
        <v>9324.07</v>
        <stp/>
        <stp>C</stp>
        <stp>0</stp>
        <stp>KR103502GFC1</stp>
        <stp>세전단가</stp>
        <stp>46247</stp>
        <stp>4.207</stp>
        <stp>세전수익률</stp>
        <tr r="L18" s="1"/>
      </tp>
      <tp>
        <v>484</v>
        <stp/>
        <stp>C</stp>
        <stp>0</stp>
        <stp>KR103501GEC6</stp>
        <stp>잔존일수</stp>
        <stp>46247</stp>
        <stp>3.991</stp>
        <stp>세전수익률</stp>
        <tr r="J28" s="1"/>
      </tp>
      <tp>
        <v>1670</v>
        <stp/>
        <stp>C</stp>
        <stp>0</stp>
        <stp>KR103503GG37</stp>
        <stp>잔존일수</stp>
        <stp>46247</stp>
        <stp>3.991</stp>
        <stp>세전수익률</stp>
        <tr r="R28" s="1"/>
      </tp>
      <tp>
        <v>2858</v>
        <stp/>
        <stp>C</stp>
        <stp>0</stp>
        <stp>KR103502GE63</stp>
        <stp>잔존일수</stp>
        <stp>46247</stp>
        <stp>4.207</stp>
        <stp>세전수익률</stp>
        <tr r="T28" s="1"/>
      </tp>
      <tp>
        <v>3406</v>
        <stp/>
        <stp>C</stp>
        <stp>0</stp>
        <stp>KR103502GFC1</stp>
        <stp>잔존일수</stp>
        <stp>46247</stp>
        <stp>4.207</stp>
        <stp>세전수익률</stp>
        <tr r="L2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3589</v>
        <stp/>
        <stp>C</stp>
        <stp>0</stp>
        <stp>KR103503GG60</stp>
        <stp>잔존일수</stp>
        <stp>46247</stp>
        <stp>4.224</stp>
        <stp>세전수익률</stp>
        <tr r="V28" s="1"/>
      </tp>
      <tp>
        <v>3223</v>
        <stp/>
        <stp>C</stp>
        <stp>0</stp>
        <stp>KR103502GF62</stp>
        <stp>잔존일수</stp>
        <stp>46247</stp>
        <stp>4.185</stp>
        <stp>세전수익률</stp>
        <tr r="N28" s="1"/>
      </tp>
      <tp>
        <v>0</v>
        <stp/>
        <stp>C</stp>
        <stp>0</stp>
        <stp>KR103503GG60</stp>
        <stp>세전수익률</stp>
        <stp>46247</stp>
        <stp>0</stp>
        <stp>세전수익률</stp>
        <tr r="F17" s="1"/>
      </tp>
      <tp>
        <v>1489</v>
        <stp/>
        <stp>C</stp>
        <stp>0</stp>
        <stp>KR103503GF95</stp>
        <stp>잔존일수</stp>
        <stp>46247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3.5150000000000001</v>
        <stp/>
        <stp>P</stp>
        <stp>0</stp>
        <stp>BND</stp>
        <stp>KR103501GEC6</stp>
        <stp>민평3사 수익률(산출일)</stp>
        <stp/>
        <stp/>
        <tr r="J14" s="1"/>
      </tp>
      <tp>
        <v>4.2389999999999999</v>
        <stp/>
        <stp>P</stp>
        <stp>0</stp>
        <stp>BND</stp>
        <stp>KR103502GE63</stp>
        <stp>민평3사 수익률(산출일)</stp>
        <stp/>
        <stp/>
        <tr r="T14" s="1"/>
      </tp>
      <tp>
        <v>3.7149999999999999</v>
        <stp/>
        <stp>P</stp>
        <stp>0</stp>
        <stp>BND</stp>
        <stp>KR103501GFC3</stp>
        <stp>민평3사 수익률(산출일)</stp>
        <stp/>
        <stp/>
        <tr r="H14" s="1"/>
      </tp>
      <tp>
        <v>4.2850000000000001</v>
        <stp/>
        <stp>P</stp>
        <stp>0</stp>
        <stp>BND</stp>
        <stp>KR103502GFC1</stp>
        <stp>민평3사 수익률(산출일)</stp>
        <stp/>
        <stp/>
        <tr r="L14" s="1"/>
      </tp>
      <tp>
        <v>3.9950000000000001</v>
        <stp/>
        <stp>P</stp>
        <stp>0</stp>
        <stp>BND</stp>
        <stp>KR103503GF95</stp>
        <stp>민평3사 수익률(산출일)</stp>
        <stp/>
        <stp/>
        <tr r="X14" s="1"/>
      </tp>
      <tp>
        <v>3.63</v>
        <stp/>
        <stp>P</stp>
        <stp>0</stp>
        <stp>BND</stp>
        <stp>KR103501GF63</stp>
        <stp>민평3사 수익률(산출일)</stp>
        <stp/>
        <stp/>
        <tr r="P14" s="1"/>
      </tp>
      <tp>
        <v>4.2619999999999996</v>
        <stp/>
        <stp>P</stp>
        <stp>0</stp>
        <stp>BND</stp>
        <stp>KR103502GF62</stp>
        <stp>민평3사 수익률(산출일)</stp>
        <stp/>
        <stp/>
        <tr r="N14" s="1"/>
      </tp>
      <tp>
        <v>4.2949999999999999</v>
        <stp/>
        <stp>P</stp>
        <stp>0</stp>
        <stp>BND</stp>
        <stp>KR103503GG60</stp>
        <stp>민평3사 수익률(산출일)</stp>
        <stp/>
        <stp/>
        <tr r="F14" s="1"/>
        <tr r="V14" s="1"/>
      </tp>
      <tp>
        <v>4.0350000000000001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F13" s="1"/>
        <tr r="V13" s="1"/>
      </tp>
      <tp>
        <v>1.7915000000000001</v>
        <stp/>
        <stp>C</stp>
        <stp>0</stp>
        <stp>KR103501GF63</stp>
        <stp>MacDuration</stp>
        <stp>46247</stp>
        <stp>3.6</stp>
        <stp>세전수익률</stp>
        <tr r="P24" s="1"/>
      </tp>
      <tp>
        <v>1.7598</v>
        <stp/>
        <stp>C</stp>
        <stp>0</stp>
        <stp>KR103501GF63</stp>
        <stp>ModDuration</stp>
        <stp>46247</stp>
        <stp>3.6</stp>
        <stp>세전수익률</stp>
        <tr r="P25" s="1"/>
      </tp>
      <tp>
        <v>9267.2466999999997</v>
        <stp/>
        <stp>C</stp>
        <stp>0</stp>
        <stp>KR103502GFC1</stp>
        <stp>Cleanprice</stp>
        <stp>46247</stp>
        <stp>4.207</stp>
        <stp>세전수익률</stp>
        <tr r="L22" s="1"/>
      </tp>
      <tp>
        <v>9856.5771999999997</v>
        <stp/>
        <stp>C</stp>
        <stp>0</stp>
        <stp>KR103501GEC6</stp>
        <stp>Cleanprice</stp>
        <stp>46247</stp>
        <stp>3.991</stp>
        <stp>세전수익률</stp>
        <tr r="J22" s="1"/>
      </tp>
      <tp>
        <v>71.789500000000004</v>
        <stp/>
        <stp>C</stp>
        <stp>0</stp>
        <stp>KR103502GFC1</stp>
        <stp>Convexity</stp>
        <stp>46247</stp>
        <stp>4.207</stp>
        <stp>세전수익률</stp>
        <tr r="L27" s="1"/>
      </tp>
      <tp>
        <v>20.078800000000001</v>
        <stp/>
        <stp>C</stp>
        <stp>0</stp>
        <stp>KR103503GG37</stp>
        <stp>Convexity</stp>
        <stp>46247</stp>
        <stp>3.991</stp>
        <stp>세전수익률</stp>
        <tr r="R27" s="1"/>
      </tp>
      <tp>
        <v>52.263399999999997</v>
        <stp/>
        <stp>C</stp>
        <stp>0</stp>
        <stp>KR103502GE63</stp>
        <stp>Convexity</stp>
        <stp>46247</stp>
        <stp>4.207</stp>
        <stp>세전수익률</stp>
        <tr r="T27" s="1"/>
      </tp>
      <tp>
        <v>2.2772999999999999</v>
        <stp/>
        <stp>C</stp>
        <stp>0</stp>
        <stp>KR103501GEC6</stp>
        <stp>Convexity</stp>
        <stp>46247</stp>
        <stp>3.991</stp>
        <stp>세전수익률</stp>
        <tr r="J27" s="1"/>
      </tp>
      <tp>
        <v>67.305999999999997</v>
        <stp/>
        <stp>C</stp>
        <stp>0</stp>
        <stp>KR103502GF62</stp>
        <stp>Convexity</stp>
        <stp>46247</stp>
        <stp>4.185</stp>
        <stp>세전수익률</stp>
        <tr r="N27" s="1"/>
      </tp>
      <tp>
        <v>74.764200000000002</v>
        <stp/>
        <stp>C</stp>
        <stp>0</stp>
        <stp>KR103503GG60</stp>
        <stp>Convexity</stp>
        <stp>46247</stp>
        <stp>4.224</stp>
        <stp>세전수익률</stp>
        <tr r="V27" s="1"/>
      </tp>
      <tp>
        <v>3.8220000000000001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4.2830000000000004</v>
        <stp/>
        <stp>P</stp>
        <stp>0</stp>
        <stp>FUT</stp>
        <stp>A6769000</stp>
        <stp>국채수익률</stp>
        <stp/>
        <stp/>
        <tr r="C6" s="2"/>
      </tp>
      <tp>
        <v>16.694800000000001</v>
        <stp/>
        <stp>C</stp>
        <stp>0</stp>
        <stp>KR103503GF95</stp>
        <stp>Convexity</stp>
        <stp>46247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F10" s="1"/>
        <tr r="V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45.901600000000002</v>
        <stp/>
        <stp>C</stp>
        <stp>0</stp>
        <stp>KR103502GF62</stp>
        <stp>경과이자</stp>
        <stp>46247</stp>
        <stp>4.185</stp>
        <stp>세전수익률</stp>
        <tr r="N20" s="1"/>
      </tp>
      <tp>
        <v>12663.926355</v>
        <stp/>
        <stp>C</stp>
        <stp>0</stp>
        <stp>KR103501GEC6</stp>
        <stp>금액Duration</stp>
        <stp>46247</stp>
        <stp>3.991</stp>
        <stp>세전수익률</stp>
        <tr r="J23" s="1"/>
      </tp>
      <tp>
        <v>74.316900000000004</v>
        <stp/>
        <stp>C</stp>
        <stp>0</stp>
        <stp>KR103503GG60</stp>
        <stp>경과이자</stp>
        <stp>46247</stp>
        <stp>4.224</stp>
        <stp>세전수익률</stp>
        <tr r="V20" s="1"/>
      </tp>
      <tp>
        <v>73179.030987999999</v>
        <stp/>
        <stp>C</stp>
        <stp>0</stp>
        <stp>KR103502GFC1</stp>
        <stp>금액Duration</stp>
        <stp>46247</stp>
        <stp>4.207</stp>
        <stp>세전수익률</stp>
        <tr r="L23" s="1"/>
      </tp>
      <tp>
        <v>61.202100000000002</v>
        <stp/>
        <stp>C</stp>
        <stp>0</stp>
        <stp>KR103502GE63</stp>
        <stp>경과이자</stp>
        <stp>46247</stp>
        <stp>4.207</stp>
        <stp>세전수익률</stp>
        <tr r="T20" s="1"/>
      </tp>
      <tp>
        <v>56.830599999999997</v>
        <stp/>
        <stp>C</stp>
        <stp>0</stp>
        <stp>KR103502GFC1</stp>
        <stp>경과이자</stp>
        <stp>46247</stp>
        <stp>4.207</stp>
        <stp>세전수익률</stp>
        <tr r="L20" s="1"/>
      </tp>
      <tp>
        <v>50.273200000000003</v>
        <stp/>
        <stp>C</stp>
        <stp>0</stp>
        <stp>KR103501GEC6</stp>
        <stp>경과이자</stp>
        <stp>46247</stp>
        <stp>3.991</stp>
        <stp>세전수익률</stp>
        <tr r="J20" s="1"/>
      </tp>
      <tp>
        <v>143.07060000000001</v>
        <stp/>
        <stp>C</stp>
        <stp>0</stp>
        <stp>KR103503GG37</stp>
        <stp>경과이자</stp>
        <stp>46247</stp>
        <stp>3.991</stp>
        <stp>세전수익률</stp>
        <tr r="R20" s="1"/>
      </tp>
      <tp>
        <v>105.9782</v>
        <stp/>
        <stp>C</stp>
        <stp>0</stp>
        <stp>KR103503GF95</stp>
        <stp>경과이자</stp>
        <stp>46247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3.68</v>
        <stp/>
        <stp>C</stp>
        <stp>0</stp>
        <stp>KR103501GFC3</stp>
        <stp>세전수익률</stp>
        <stp>46247</stp>
        <stp>3.68</stp>
        <stp>세전수익률</stp>
        <tr r="H17" s="1"/>
      </tp>
      <tp>
        <v>6.0956000000000001</v>
        <stp/>
        <stp>C</stp>
        <stp>0</stp>
        <stp>KR103501GFC3</stp>
        <stp>Convexity</stp>
        <stp>46247</stp>
        <stp>3.68</stp>
        <stp>세전수익률</stp>
        <tr r="H27" s="1"/>
      </tp>
      <tp>
        <v>3.7989999999999999</v>
        <stp/>
        <stp>P</stp>
        <stp>0</stp>
        <stp>BND</stp>
        <stp>KR103501GG62</stp>
        <stp>장내국채-현재수익률</stp>
        <stp/>
        <stp/>
        <tr r="J41" s="2"/>
      </tp>
      <tp>
        <v>4.2949999999999999</v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105.78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103.31</v>
        <stp/>
        <stp>P</stp>
        <stp>0</stp>
        <stp>FUT</stp>
        <stp>A6569000</stp>
        <stp>선물호가_현재가</stp>
        <stp/>
        <stp/>
        <tr r="E5" s="2"/>
        <tr r="C42" s="2"/>
      </tp>
      <tp>
        <v>4.6859999999999999</v>
        <stp/>
        <stp>P</stp>
        <stp>0</stp>
        <stp>BND</stp>
        <stp>KR103501GG39</stp>
        <stp>장내국채-현재수익률</stp>
        <stp/>
        <stp/>
        <tr r="C11" s="2"/>
      </tp>
      <tp>
        <v>4.0289999999999999</v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74.316900000000004</v>
        <stp/>
        <stp>C</stp>
        <stp>0</stp>
        <stp>KR103503GG60</stp>
        <stp>경과이자</stp>
        <stp>46247</stp>
        <stp>0</stp>
        <stp>세전수익률</stp>
        <tr r="F20" s="1"/>
      </tp>
      <tp>
        <v>9793.9038</v>
        <stp/>
        <stp>C</stp>
        <stp>0</stp>
        <stp>KR103501GFC3</stp>
        <stp>Cleanprice</stp>
        <stp>46247</stp>
        <stp>3.68</stp>
        <stp>세전수익률</stp>
        <tr r="H22" s="1"/>
      </tp>
      <tp>
        <v>59992.834243999998</v>
        <stp/>
        <stp>C</stp>
        <stp>0</stp>
        <stp>KR103501GFC3</stp>
        <stp>금액Convexity</stp>
        <stp>46247</stp>
        <stp>3.68</stp>
        <stp>세전수익률</stp>
        <tr r="H26" s="1"/>
      </tp>
      <tp>
        <v>9762.9971000000005</v>
        <stp/>
        <stp>C</stp>
        <stp>0</stp>
        <stp>KR103501GF63</stp>
        <stp>Cleanprice</stp>
        <stp>46247</stp>
        <stp>3.6</stp>
        <stp>세전수익률</stp>
        <tr r="P22" s="1"/>
      </tp>
      <tp>
        <v>1.7250000000000001</v>
        <stp/>
        <stp>C</stp>
        <stp>0</stp>
        <stp>KR103501GF63</stp>
        <stp>bpv</stp>
        <stp>46247</stp>
        <stp>3.6</stp>
        <stp>세전수익률</stp>
        <tr r="P29" s="1"/>
      </tp>
      <tp>
        <v>5.5</v>
        <stp/>
        <stp>C</stp>
        <stp>0</stp>
        <stp>KR103501GF63</stp>
        <stp>경과세금</stp>
        <stp>46247</stp>
        <stp>3.6</stp>
        <stp>세전수익률</stp>
        <tr r="P21" s="1"/>
      </tp>
      <tp>
        <v>2.1815000000000002</v>
        <stp/>
        <stp>C</stp>
        <stp>0</stp>
        <stp>KR103501GFC3</stp>
        <stp>bpv</stp>
        <stp>46247</stp>
        <stp>3.68</stp>
        <stp>세전수익률</stp>
        <tr r="H29" s="1"/>
      </tp>
      <tp>
        <v>39.344200000000001</v>
        <stp/>
        <stp>C</stp>
        <stp>0</stp>
        <stp>KR103501GF63</stp>
        <stp>경과이자</stp>
        <stp>46247</stp>
        <stp>3.6</stp>
        <stp>세전수익률</stp>
        <tr r="P20" s="1"/>
      </tp>
      <tp>
        <v>2.2166000000000001</v>
        <stp/>
        <stp>C</stp>
        <stp>0</stp>
        <stp>KR103501GFC3</stp>
        <stp>ModDuration</stp>
        <stp>46247</stp>
        <stp>3.68</stp>
        <stp>세전수익률</stp>
        <tr r="H25" s="1"/>
      </tp>
      <tp>
        <v>2.2980999999999998</v>
        <stp/>
        <stp>C</stp>
        <stp>0</stp>
        <stp>KR103501GFC3</stp>
        <stp>MacDuration</stp>
        <stp>46247</stp>
        <stp>3.68</stp>
        <stp>세전수익률</stp>
        <tr r="H24" s="1"/>
      </tp>
      <tp>
        <v>82.108000000000004</v>
        <stp/>
        <stp>C</stp>
        <stp>0</stp>
        <stp>KR103503GG60</stp>
        <stp>Convexity</stp>
        <stp>46247</stp>
        <stp>0</stp>
        <stp>세전수익률</stp>
        <tr r="F27" s="1"/>
      </tp>
      <tp>
        <v>3.9983</v>
        <stp/>
        <stp>C</stp>
        <stp>0</stp>
        <stp>KR103501GF63</stp>
        <stp>Convexity</stp>
        <stp>46247</stp>
        <stp>3.6</stp>
        <stp>세전수익률</stp>
        <tr r="P27" s="1"/>
      </tp>
      <tp>
        <v>14175.683000000001</v>
        <stp/>
        <stp>C</stp>
        <stp>0</stp>
        <stp>KR103503GG60</stp>
        <stp>Cleanprice</stp>
        <stp>46247</stp>
        <stp>0</stp>
        <stp>세전수익률</stp>
        <tr r="F22" s="1"/>
      </tp>
      <tp>
        <v>9841.99</v>
        <stp/>
        <stp>C</stp>
        <stp>0</stp>
        <stp>KR103501GFC3</stp>
        <stp>세전단가</stp>
        <stp>46247</stp>
        <stp>3.68</stp>
        <stp>세전수익률</stp>
        <tr r="H18" s="1"/>
      </tp>
      <tp>
        <v>9835.2000000000007</v>
        <stp/>
        <stp>C</stp>
        <stp>0</stp>
        <stp>KR103501GFC3</stp>
        <stp>세후단가</stp>
        <stp>46247</stp>
        <stp>3.68</stp>
        <stp>세전수익률</stp>
        <tr r="H19" s="1"/>
      </tp>
      <tp>
        <v>3.6164999999999998</v>
        <stp/>
        <stp>C</stp>
        <stp>0</stp>
        <stp>KR103503GF95</stp>
        <stp>bpv</stp>
        <stp>46247</stp>
        <stp>3.927</stp>
        <stp>세전수익률</stp>
        <tr r="X29" s="1"/>
      </tp>
      <tp>
        <v>6.4288999999999996</v>
        <stp/>
        <stp>C</stp>
        <stp>0</stp>
        <stp>KR103502GE63</stp>
        <stp>bpv</stp>
        <stp>46247</stp>
        <stp>4.207</stp>
        <stp>세전수익률</stp>
        <tr r="T29" s="1"/>
      </tp>
      <tp>
        <v>7.9843000000000002</v>
        <stp/>
        <stp>C</stp>
        <stp>0</stp>
        <stp>KR103503GG60</stp>
        <stp>bpv</stp>
        <stp>46247</stp>
        <stp>4.224</stp>
        <stp>세전수익률</stp>
        <tr r="V29" s="1"/>
      </tp>
      <tp>
        <v>7.3178999999999998</v>
        <stp/>
        <stp>C</stp>
        <stp>0</stp>
        <stp>KR103502GFC1</stp>
        <stp>bpv</stp>
        <stp>46247</stp>
        <stp>4.207</stp>
        <stp>세전수익률</stp>
        <tr r="L29" s="1"/>
      </tp>
      <tp>
        <v>6.8247999999999998</v>
        <stp/>
        <stp>C</stp>
        <stp>0</stp>
        <stp>KR103502GF62</stp>
        <stp>bpv</stp>
        <stp>46247</stp>
        <stp>4.185</stp>
        <stp>세전수익률</stp>
        <tr r="N29" s="1"/>
      </tp>
      <tp>
        <v>4.0835999999999997</v>
        <stp/>
        <stp>C</stp>
        <stp>0</stp>
        <stp>KR103503GG37</stp>
        <stp>bpv</stp>
        <stp>46247</stp>
        <stp>3.991</stp>
        <stp>세전수익률</stp>
        <tr r="R29" s="1"/>
      </tp>
      <tp>
        <v>1.2664</v>
        <stp/>
        <stp>C</stp>
        <stp>0</stp>
        <stp>KR103501GEC6</stp>
        <stp>bpv</stp>
        <stp>46247</stp>
        <stp>3.991</stp>
        <stp>세전수익률</stp>
        <tr r="J29" s="1"/>
      </tp>
      <tp>
        <v>8.1784999999999997</v>
        <stp/>
        <stp>C</stp>
        <stp>0</stp>
        <stp>KR103502GFC1</stp>
        <stp>MacDuration</stp>
        <stp>46247</stp>
        <stp>4.207</stp>
        <stp>세전수익률</stp>
        <tr r="L24" s="1"/>
      </tp>
      <tp>
        <v>1170039</v>
        <stp/>
        <stp>C</stp>
        <stp>0</stp>
        <stp>KR103503GG60</stp>
        <stp>금액Convexity</stp>
        <stp>46247</stp>
        <stp>0</stp>
        <stp>세전수익률</stp>
        <tr r="F26" s="1"/>
      </tp>
      <tp>
        <v>4.1300999999999997</v>
        <stp/>
        <stp>C</stp>
        <stp>0</stp>
        <stp>KR103503GG37</stp>
        <stp>ModDuration</stp>
        <stp>46247</stp>
        <stp>3.991</stp>
        <stp>세전수익률</stp>
        <tr r="R25" s="1"/>
      </tp>
      <tp>
        <v>7.9858000000000002</v>
        <stp/>
        <stp>C</stp>
        <stp>0</stp>
        <stp>KR103502GF62</stp>
        <stp>MacDuration</stp>
        <stp>46247</stp>
        <stp>4.185</stp>
        <stp>세전수익률</stp>
        <tr r="N24" s="1"/>
      </tp>
      <tp>
        <v>1.2783</v>
        <stp/>
        <stp>C</stp>
        <stp>0</stp>
        <stp>KR103501GEC6</stp>
        <stp>ModDuration</stp>
        <stp>46247</stp>
        <stp>3.991</stp>
        <stp>세전수익률</stp>
        <tr r="J25" s="1"/>
      </tp>
      <tp>
        <v>3.9262000000000001</v>
        <stp/>
        <stp>C</stp>
        <stp>0</stp>
        <stp>KR103503GF95</stp>
        <stp>MacDuration</stp>
        <stp>46247</stp>
        <stp>3.927</stp>
        <stp>세전수익률</stp>
        <tr r="X24" s="1"/>
      </tp>
      <tp>
        <v>6.9835000000000003</v>
        <stp/>
        <stp>C</stp>
        <stp>0</stp>
        <stp>KR103502GE63</stp>
        <stp>MacDuration</stp>
        <stp>46247</stp>
        <stp>4.207</stp>
        <stp>세전수익률</stp>
        <tr r="T24" s="1"/>
      </tp>
      <tp>
        <v>8.2439999999999998</v>
        <stp/>
        <stp>C</stp>
        <stp>0</stp>
        <stp>KR103503GG60</stp>
        <stp>MacDuration</stp>
        <stp>46247</stp>
        <stp>4.224</stp>
        <stp>세전수익률</stp>
        <tr r="V24" s="1"/>
      </tp>
      <tp>
        <v>7.9099000000000004</v>
        <stp/>
        <stp>C</stp>
        <stp>0</stp>
        <stp>KR103503GG60</stp>
        <stp>ModDuration</stp>
        <stp>46247</stp>
        <stp>4.224</stp>
        <stp>세전수익률</stp>
        <tr r="V25" s="1"/>
      </tp>
      <tp>
        <v>1.3038000000000001</v>
        <stp/>
        <stp>C</stp>
        <stp>0</stp>
        <stp>KR103501GEC6</stp>
        <stp>MacDuration</stp>
        <stp>46247</stp>
        <stp>3.991</stp>
        <stp>세전수익률</stp>
        <tr r="J24" s="1"/>
      </tp>
      <tp>
        <v>3.7778</v>
        <stp/>
        <stp>C</stp>
        <stp>0</stp>
        <stp>KR103503GF95</stp>
        <stp>ModDuration</stp>
        <stp>46247</stp>
        <stp>3.927</stp>
        <stp>세전수익률</stp>
        <tr r="X25" s="1"/>
      </tp>
      <tp>
        <v>6.7016</v>
        <stp/>
        <stp>C</stp>
        <stp>0</stp>
        <stp>KR103502GE63</stp>
        <stp>ModDuration</stp>
        <stp>46247</stp>
        <stp>4.207</stp>
        <stp>세전수익률</stp>
        <tr r="T25" s="1"/>
      </tp>
      <tp>
        <v>4.2949999999999999</v>
        <stp/>
        <stp>C</stp>
        <stp>0</stp>
        <stp>KR103503GG37</stp>
        <stp>MacDuration</stp>
        <stp>46247</stp>
        <stp>3.991</stp>
        <stp>세전수익률</stp>
        <tr r="R24" s="1"/>
      </tp>
      <tp>
        <v>7.665</v>
        <stp/>
        <stp>C</stp>
        <stp>0</stp>
        <stp>KR103502GF62</stp>
        <stp>ModDuration</stp>
        <stp>46247</stp>
        <stp>4.185</stp>
        <stp>세전수익률</stp>
        <tr r="N25" s="1"/>
      </tp>
      <tp>
        <v>119821.125</v>
        <stp/>
        <stp>C</stp>
        <stp>0</stp>
        <stp>KR103503GG60</stp>
        <stp>금액Duration</stp>
        <stp>46247</stp>
        <stp>0</stp>
        <stp>세전수익률</stp>
        <tr r="F23" s="1"/>
      </tp>
      <tp>
        <v>7.8483999999999998</v>
        <stp/>
        <stp>C</stp>
        <stp>0</stp>
        <stp>KR103502GFC1</stp>
        <stp>ModDuration</stp>
        <stp>46247</stp>
        <stp>4.207</stp>
        <stp>세전수익률</stp>
        <tr r="L25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40835.413826999997</v>
        <stp/>
        <stp>C</stp>
        <stp>0</stp>
        <stp>KR103503GG37</stp>
        <stp>금액Duration</stp>
        <stp>46247</stp>
        <stp>3.991</stp>
        <stp>세전수익률</stp>
        <tr r="R23" s="1"/>
      </tp>
      <tp>
        <v>754672.82536799996</v>
        <stp/>
        <stp>C</stp>
        <stp>0</stp>
        <stp>KR103503GG60</stp>
        <stp>금액Convexity</stp>
        <stp>46247</stp>
        <stp>4.224</stp>
        <stp>세전수익률</stp>
        <tr r="V26" s="1"/>
      </tp>
      <tp>
        <v>501365.40937000001</v>
        <stp/>
        <stp>C</stp>
        <stp>0</stp>
        <stp>KR103502GE63</stp>
        <stp>금액Convexity</stp>
        <stp>46247</stp>
        <stp>4.207</stp>
        <stp>세전수익률</stp>
        <tr r="T26" s="1"/>
      </tp>
      <tp>
        <v>159817.65091999999</v>
        <stp/>
        <stp>C</stp>
        <stp>0</stp>
        <stp>KR103503GF95</stp>
        <stp>금액Convexity</stp>
        <stp>46247</stp>
        <stp>3.927</stp>
        <stp>세전수익률</stp>
        <tr r="X26" s="1"/>
      </tp>
      <tp>
        <v>599285.22034</v>
        <stp/>
        <stp>C</stp>
        <stp>0</stp>
        <stp>KR103502GF62</stp>
        <stp>금액Convexity</stp>
        <stp>46247</stp>
        <stp>4.185</stp>
        <stp>세전수익률</stp>
        <tr r="N26" s="1"/>
      </tp>
      <tp>
        <v>8.4085000000000001</v>
        <stp/>
        <stp>C</stp>
        <stp>0</stp>
        <stp>KR103503GG60</stp>
        <stp>MacDuration</stp>
        <stp>46247</stp>
        <stp>0</stp>
        <stp>세전수익률</stp>
        <tr r="F24" s="1"/>
      </tp>
      <tp>
        <v>669370.32326500001</v>
        <stp/>
        <stp>C</stp>
        <stp>0</stp>
        <stp>KR103502GFC1</stp>
        <stp>금액Convexity</stp>
        <stp>46247</stp>
        <stp>4.207</stp>
        <stp>세전수익률</stp>
        <tr r="L26" s="1"/>
      </tp>
      <tp>
        <v>8.4085000000000001</v>
        <stp/>
        <stp>C</stp>
        <stp>0</stp>
        <stp>KR103503GG60</stp>
        <stp>ModDuration</stp>
        <stp>46247</stp>
        <stp>0</stp>
        <stp>세전수익률</stp>
        <tr r="F25" s="1"/>
      </tp>
      <tp>
        <v>64288.783880000003</v>
        <stp/>
        <stp>C</stp>
        <stp>0</stp>
        <stp>KR103502GE63</stp>
        <stp>금액Duration</stp>
        <stp>46247</stp>
        <stp>4.207</stp>
        <stp>세전수익률</stp>
        <tr r="T23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198524.51687600001</v>
        <stp/>
        <stp>C</stp>
        <stp>0</stp>
        <stp>KR103503GG37</stp>
        <stp>금액Convexity</stp>
        <stp>46247</stp>
        <stp>3.991</stp>
        <stp>세전수익률</stp>
        <tr r="R26" s="1"/>
      </tp>
      <tp>
        <v>68248.316850000003</v>
        <stp/>
        <stp>C</stp>
        <stp>0</stp>
        <stp>KR103502GF62</stp>
        <stp>금액Duration</stp>
        <stp>46247</stp>
        <stp>4.185</stp>
        <stp>세전수익률</stp>
        <tr r="N23" s="1"/>
      </tp>
      <tp>
        <v>22560.869504999999</v>
        <stp/>
        <stp>C</stp>
        <stp>0</stp>
        <stp>KR103501GEC6</stp>
        <stp>금액Convexity</stp>
        <stp>46247</stp>
        <stp>3.991</stp>
        <stp>세전수익률</stp>
        <tr r="J26" s="1"/>
      </tp>
      <tp>
        <v>79842.846995999993</v>
        <stp/>
        <stp>C</stp>
        <stp>0</stp>
        <stp>KR103503GG60</stp>
        <stp>금액Duration</stp>
        <stp>46247</stp>
        <stp>4.224</stp>
        <stp>세전수익률</stp>
        <tr r="V23" s="1"/>
      </tp>
      <tp>
        <v>36164.501620000003</v>
        <stp/>
        <stp>C</stp>
        <stp>0</stp>
        <stp>KR103503GF95</stp>
        <stp>금액Duration</stp>
        <stp>46247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V11" s="1"/>
        <tr r="F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10019.7268</v>
        <stp/>
        <stp>C</stp>
        <stp>0</stp>
        <stp>KR103503GG60</stp>
        <stp>Cleanprice</stp>
        <stp>46247</stp>
        <stp>4.224</stp>
        <stp>세전수익률</stp>
        <tr r="V22" s="1"/>
      </tp>
      <tp>
        <v>8857.9982</v>
        <stp/>
        <stp>C</stp>
        <stp>0</stp>
        <stp>KR103502GF62</stp>
        <stp>Cleanprice</stp>
        <stp>46247</stp>
        <stp>4.185</stp>
        <stp>세전수익률</stp>
        <tr r="N22" s="1"/>
      </tp>
      <tp>
        <v>9531.8551000000007</v>
        <stp/>
        <stp>C</stp>
        <stp>0</stp>
        <stp>KR103502GE63</stp>
        <stp>Cleanprice</stp>
        <stp>46247</stp>
        <stp>4.207</stp>
        <stp>세전수익률</stp>
        <tr r="T22" s="1"/>
      </tp>
      <tp>
        <v>9744.2044000000005</v>
        <stp/>
        <stp>C</stp>
        <stp>0</stp>
        <stp>KR103503GG37</stp>
        <stp>Cleanprice</stp>
        <stp>46247</stp>
        <stp>3.991</stp>
        <stp>세전수익률</stp>
        <tr r="R22" s="1"/>
      </tp>
      <tp>
        <v>9796.7999999999993</v>
        <stp/>
        <stp>C</stp>
        <stp>0</stp>
        <stp>KR103501GF63</stp>
        <stp>세후단가</stp>
        <stp>46247</stp>
        <stp>3.6</stp>
        <stp>세전수익률</stp>
        <tr r="P19" s="1"/>
      </tp>
      <tp>
        <v>11.982100000000001</v>
        <stp/>
        <stp>C</stp>
        <stp>0</stp>
        <stp>KR103503GG60</stp>
        <stp>bpv</stp>
        <stp>46247</stp>
        <stp>0</stp>
        <stp>세전수익률</stp>
        <tr r="F29" s="1"/>
      </tp>
      <tp>
        <v>9466.9222000000009</v>
        <stp/>
        <stp>C</stp>
        <stp>0</stp>
        <stp>KR103503GF95</stp>
        <stp>Cleanprice</stp>
        <stp>46247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694766</xdr:colOff>
      <xdr:row>0</xdr:row>
      <xdr:rowOff>56031</xdr:rowOff>
    </xdr:from>
    <xdr:to>
      <xdr:col>2</xdr:col>
      <xdr:colOff>414619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905001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526677</xdr:colOff>
      <xdr:row>0</xdr:row>
      <xdr:rowOff>67235</xdr:rowOff>
    </xdr:from>
    <xdr:to>
      <xdr:col>3</xdr:col>
      <xdr:colOff>647030</xdr:colOff>
      <xdr:row>1</xdr:row>
      <xdr:rowOff>214592</xdr:rowOff>
    </xdr:to>
    <xdr:sp macro="[0]!StartKBondWatcher" textlink="">
      <xdr:nvSpPr>
        <xdr:cNvPr id="5" name="빗면 4"/>
        <xdr:cNvSpPr/>
      </xdr:nvSpPr>
      <xdr:spPr>
        <a:xfrm>
          <a:off x="2723030" y="67235"/>
          <a:ext cx="972000" cy="315445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3</xdr:col>
      <xdr:colOff>768723</xdr:colOff>
      <xdr:row>0</xdr:row>
      <xdr:rowOff>62753</xdr:rowOff>
    </xdr:from>
    <xdr:to>
      <xdr:col>4</xdr:col>
      <xdr:colOff>664958</xdr:colOff>
      <xdr:row>1</xdr:row>
      <xdr:rowOff>210110</xdr:rowOff>
    </xdr:to>
    <xdr:sp macro="[0]!StopKBondWatcher" textlink="">
      <xdr:nvSpPr>
        <xdr:cNvPr id="6" name="빗면 5"/>
        <xdr:cNvSpPr/>
      </xdr:nvSpPr>
      <xdr:spPr>
        <a:xfrm>
          <a:off x="3816723" y="62753"/>
          <a:ext cx="972000" cy="31544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  <row r="25">
          <cell r="D25">
            <v>4.2069999999999999</v>
          </cell>
        </row>
        <row r="32">
          <cell r="D32">
            <v>4.2240000000000002</v>
          </cell>
        </row>
        <row r="41">
          <cell r="D41">
            <v>3.68</v>
          </cell>
        </row>
        <row r="46">
          <cell r="D46">
            <v>3.6</v>
          </cell>
        </row>
        <row r="51">
          <cell r="D51">
            <v>3.9910000000000001</v>
          </cell>
        </row>
        <row r="56">
          <cell r="D56">
            <v>3.927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P18">
            <v>9800.43</v>
          </cell>
          <cell r="R18" t="str">
            <v>...</v>
          </cell>
          <cell r="X18">
            <v>9570.86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>
      <selection activeCell="A4" sqref="A4"/>
    </sheetView>
  </sheetViews>
  <sheetFormatPr defaultRowHeight="13.5" x14ac:dyDescent="0.25"/>
  <cols>
    <col min="1" max="1" width="18.140625" customWidth="1"/>
    <col min="2" max="2" width="14.85546875" bestFit="1" customWidth="1"/>
    <col min="3" max="3" width="12.7109375" bestFit="1" customWidth="1"/>
    <col min="4" max="4" width="16.140625" bestFit="1" customWidth="1"/>
    <col min="5" max="5" width="10.7109375" bestFit="1" customWidth="1"/>
    <col min="6" max="6" width="19.28515625" bestFit="1" customWidth="1"/>
    <col min="7" max="10" width="14.855468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E1" s="36"/>
      <c r="F1" s="366" t="s">
        <v>334</v>
      </c>
      <c r="G1" s="366" t="s">
        <v>335</v>
      </c>
      <c r="H1" s="366" t="s">
        <v>331</v>
      </c>
      <c r="I1" s="366" t="s">
        <v>332</v>
      </c>
      <c r="J1" s="366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x14ac:dyDescent="0.25">
      <c r="A2" s="38"/>
      <c r="B2" s="39"/>
      <c r="C2" s="40"/>
      <c r="E2" s="38"/>
      <c r="F2" s="248" t="s">
        <v>336</v>
      </c>
      <c r="G2" s="248" t="s">
        <v>337</v>
      </c>
      <c r="H2" s="248" t="s">
        <v>338</v>
      </c>
      <c r="I2" s="368">
        <v>7232752.0584342778</v>
      </c>
      <c r="J2" s="367" t="s">
        <v>339</v>
      </c>
      <c r="M2" s="38"/>
      <c r="N2" s="28">
        <f ca="1">TODAY()</f>
        <v>46246</v>
      </c>
      <c r="O2" s="28">
        <v>45953</v>
      </c>
      <c r="P2">
        <f ca="1">O2-N2</f>
        <v>-293</v>
      </c>
      <c r="Q2" s="30">
        <v>640000</v>
      </c>
      <c r="R2" s="41">
        <f>Q2-O5</f>
        <v>-207030.1369863014</v>
      </c>
      <c r="S2" s="30">
        <f ca="1">R2*P2</f>
        <v>60659830.136986308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59">
        <v>3.794</v>
      </c>
      <c r="C5" s="60">
        <f>_xll.IMDP("FUT","A6569000","국채수익률")</f>
        <v>3.8220000000000001</v>
      </c>
      <c r="D5" s="61"/>
      <c r="E5" s="62">
        <f>_xll.IMDP("FUT","A6569000","선물호가_현재가")</f>
        <v>103.31</v>
      </c>
      <c r="F5" s="63"/>
      <c r="G5" s="64"/>
      <c r="H5" s="64"/>
      <c r="I5" s="65"/>
      <c r="J5" s="66"/>
      <c r="K5" s="44"/>
      <c r="L5" s="45"/>
      <c r="M5" s="63">
        <v>3.0916600000000001</v>
      </c>
      <c r="N5" s="67">
        <v>10000000000</v>
      </c>
      <c r="O5" s="68">
        <f>M5/100/365*N5</f>
        <v>847030.1369863014</v>
      </c>
      <c r="P5" s="69">
        <f ca="1">(M5/100-O88)/365*P66</f>
        <v>1.6596840182648426E-4</v>
      </c>
      <c r="Q5" s="30">
        <f ca="1">P5*50000000000</f>
        <v>8298420.091324213</v>
      </c>
      <c r="R5" s="70">
        <v>1</v>
      </c>
      <c r="S5" s="71">
        <v>9285</v>
      </c>
      <c r="U5" s="72">
        <v>45400</v>
      </c>
      <c r="V5" s="72">
        <f>U5+1</f>
        <v>45401</v>
      </c>
      <c r="W5" s="58">
        <v>500</v>
      </c>
      <c r="X5" s="58">
        <v>10004.75</v>
      </c>
      <c r="Y5" s="72">
        <v>45429</v>
      </c>
      <c r="Z5" s="73">
        <v>10033.91</v>
      </c>
      <c r="AA5" s="58">
        <f>Y5-V5</f>
        <v>28</v>
      </c>
      <c r="AB5" s="74">
        <f>O26*AA5*W5</f>
        <v>118584219.1780822</v>
      </c>
      <c r="AC5" s="75"/>
      <c r="AD5" s="51"/>
    </row>
    <row r="6" spans="1:30" x14ac:dyDescent="0.25">
      <c r="A6" s="76" t="s">
        <v>104</v>
      </c>
      <c r="B6" s="59">
        <v>4.2160000000000002</v>
      </c>
      <c r="C6" s="77">
        <f>_xll.IMDP("FUT","A6769000","국채수익률")</f>
        <v>4.2830000000000004</v>
      </c>
      <c r="D6" s="61"/>
      <c r="E6" s="62">
        <f>_xll.IMDP("FUT","A6769000","선물호가_현재가")</f>
        <v>105.78</v>
      </c>
      <c r="F6" s="63"/>
      <c r="G6" s="64"/>
      <c r="H6" s="64"/>
      <c r="I6" s="78">
        <f>-I5/3</f>
        <v>0</v>
      </c>
      <c r="J6" s="79">
        <f>-J5/9</f>
        <v>0</v>
      </c>
      <c r="K6" s="44"/>
      <c r="L6" s="45"/>
      <c r="O6" s="80"/>
      <c r="Q6" s="81"/>
      <c r="R6" s="82">
        <v>2</v>
      </c>
      <c r="S6" s="83">
        <v>9277</v>
      </c>
      <c r="U6" s="72">
        <v>45401</v>
      </c>
      <c r="V6" s="72">
        <f>U6+3</f>
        <v>45404</v>
      </c>
      <c r="W6" s="58">
        <v>300</v>
      </c>
      <c r="X6" s="58">
        <v>10005.75</v>
      </c>
      <c r="Y6" s="72">
        <v>45429</v>
      </c>
      <c r="Z6" s="73">
        <v>10033.92</v>
      </c>
      <c r="AA6" s="58">
        <f>Y6-V6</f>
        <v>25</v>
      </c>
      <c r="AB6" s="74">
        <f>O26*AA6*W6</f>
        <v>63527260.273972616</v>
      </c>
      <c r="AC6" s="75"/>
      <c r="AD6" s="84"/>
    </row>
    <row r="7" spans="1:30" x14ac:dyDescent="0.25">
      <c r="A7" s="76" t="s">
        <v>105</v>
      </c>
      <c r="B7" s="85">
        <f>(B6-B5)*100</f>
        <v>42.200000000000017</v>
      </c>
      <c r="C7" s="58">
        <f>(C6-C5)*100</f>
        <v>46.10000000000003</v>
      </c>
      <c r="D7" s="86">
        <f>C7-B7</f>
        <v>3.9000000000000128</v>
      </c>
      <c r="E7" s="87"/>
      <c r="F7" s="58">
        <f>(F6-F5)*100</f>
        <v>0</v>
      </c>
      <c r="G7" s="85">
        <f>C7-F7</f>
        <v>46.10000000000003</v>
      </c>
      <c r="H7" s="87" t="str">
        <f>IF(G7&gt;0,"스팁","플랫")</f>
        <v>스팁</v>
      </c>
      <c r="I7" s="88"/>
      <c r="J7" s="89">
        <f>J6-I6</f>
        <v>0</v>
      </c>
      <c r="K7" s="44"/>
      <c r="L7" s="45"/>
      <c r="R7" s="90" t="s">
        <v>106</v>
      </c>
      <c r="S7" s="91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2">
        <f>SUMPRODUCT(W5:W6,Z5:Z6)/W7</f>
        <v>10033.91375</v>
      </c>
      <c r="AA7" s="58"/>
      <c r="AB7" s="74">
        <f>SUM(AB5:AB6)</f>
        <v>182111479.4520548</v>
      </c>
      <c r="AC7" s="93">
        <f>(Z7-X7)*W7*10000-AB7</f>
        <v>48198520.547942877</v>
      </c>
    </row>
    <row r="8" spans="1:30" x14ac:dyDescent="0.25">
      <c r="A8" s="42" t="s">
        <v>107</v>
      </c>
      <c r="B8" s="58"/>
      <c r="C8" s="58"/>
      <c r="D8" s="86"/>
      <c r="E8" s="87"/>
      <c r="F8" s="94"/>
      <c r="G8" s="95"/>
      <c r="H8" s="96"/>
      <c r="I8" s="96"/>
      <c r="J8" s="97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8">
        <v>9285</v>
      </c>
      <c r="U8" s="94"/>
      <c r="V8" s="94"/>
      <c r="W8" s="94"/>
      <c r="X8" s="94"/>
      <c r="Y8" s="94"/>
      <c r="Z8" s="99"/>
      <c r="AA8" s="94"/>
      <c r="AB8" s="100"/>
      <c r="AC8" s="101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3"/>
      <c r="N9" s="63"/>
      <c r="O9" s="102">
        <f>D25</f>
        <v>4.2069999999999999</v>
      </c>
      <c r="P9" s="103"/>
      <c r="R9" s="91" t="s">
        <v>116</v>
      </c>
      <c r="S9" s="91">
        <f>AVERAGE(S7:S8)</f>
        <v>9283</v>
      </c>
      <c r="T9" s="104"/>
      <c r="U9" s="94">
        <v>9495</v>
      </c>
      <c r="V9" s="94"/>
      <c r="W9" s="94"/>
      <c r="X9" s="94"/>
      <c r="Y9" s="94"/>
      <c r="Z9" s="99"/>
      <c r="AA9" s="94"/>
      <c r="AB9" s="100"/>
      <c r="AC9" s="101"/>
    </row>
    <row r="10" spans="1:30" x14ac:dyDescent="0.25">
      <c r="A10" s="76" t="s">
        <v>117</v>
      </c>
      <c r="B10" s="58">
        <f>B6</f>
        <v>4.2160000000000002</v>
      </c>
      <c r="C10" s="87">
        <f>C6</f>
        <v>4.2830000000000004</v>
      </c>
      <c r="D10" s="86"/>
      <c r="E10" s="87">
        <f>E6</f>
        <v>105.78</v>
      </c>
      <c r="F10" s="76">
        <f>F6</f>
        <v>0</v>
      </c>
      <c r="G10" s="105"/>
      <c r="H10" s="106">
        <f>C10</f>
        <v>4.2830000000000004</v>
      </c>
      <c r="I10" s="107">
        <v>-10.3</v>
      </c>
      <c r="J10" s="108"/>
      <c r="K10" s="44"/>
      <c r="L10" s="45"/>
      <c r="M10" s="58" t="s">
        <v>118</v>
      </c>
      <c r="N10" s="58">
        <f>N9-M9</f>
        <v>0</v>
      </c>
      <c r="O10" s="102">
        <f>O9-N10/0.09/100</f>
        <v>4.2069999999999999</v>
      </c>
      <c r="P10" s="109">
        <f>(P9-O10)*100</f>
        <v>-420.7</v>
      </c>
      <c r="R10" s="110"/>
      <c r="U10" s="94"/>
      <c r="V10" s="94"/>
      <c r="W10" s="94"/>
      <c r="X10" s="94"/>
      <c r="Y10" s="94"/>
      <c r="Z10" s="99"/>
      <c r="AA10" s="94"/>
      <c r="AB10" s="100"/>
      <c r="AC10" s="101"/>
    </row>
    <row r="11" spans="1:30" x14ac:dyDescent="0.25">
      <c r="A11" s="111" t="s">
        <v>119</v>
      </c>
      <c r="B11" s="112">
        <v>4.5220000000000002</v>
      </c>
      <c r="C11" s="87">
        <f>_xll.IMDP("BND","KR103501GG39","장내국채-현재수익률")</f>
        <v>4.6859999999999999</v>
      </c>
      <c r="D11" s="113"/>
      <c r="E11" s="87">
        <f>_xll.IMDP("BND","KR103501GG39","장내국채-현재가격")</f>
        <v>8260</v>
      </c>
      <c r="F11" s="63"/>
      <c r="G11" s="105"/>
      <c r="H11" s="63">
        <v>2.8820000000000001</v>
      </c>
      <c r="I11" s="52" t="s">
        <v>120</v>
      </c>
      <c r="J11" s="114"/>
      <c r="K11" s="44"/>
      <c r="L11" s="45"/>
      <c r="Q11" s="115"/>
      <c r="R11" s="28">
        <v>46570</v>
      </c>
      <c r="S11" s="28">
        <v>46178</v>
      </c>
      <c r="U11" s="94"/>
      <c r="V11" s="94"/>
      <c r="W11" s="94"/>
      <c r="X11" s="94"/>
      <c r="Y11" s="94"/>
      <c r="Z11" s="99"/>
      <c r="AA11" s="94"/>
      <c r="AB11" s="100"/>
      <c r="AC11" s="101"/>
    </row>
    <row r="12" spans="1:30" ht="16.5" x14ac:dyDescent="0.25">
      <c r="A12" s="76" t="s">
        <v>121</v>
      </c>
      <c r="B12" s="116">
        <f>(B11-B10)*100</f>
        <v>30.600000000000005</v>
      </c>
      <c r="C12" s="85">
        <f>(C11-C10)*100</f>
        <v>40.299999999999955</v>
      </c>
      <c r="D12" s="86">
        <f>C12-B12</f>
        <v>9.6999999999999496</v>
      </c>
      <c r="E12" s="87"/>
      <c r="F12" s="58">
        <f>(F11-F10)*100</f>
        <v>0</v>
      </c>
      <c r="G12" s="85">
        <f>C12-F12</f>
        <v>40.299999999999955</v>
      </c>
      <c r="H12" s="58">
        <f>(H11-H10)*100</f>
        <v>-140.10000000000002</v>
      </c>
      <c r="I12" s="85">
        <f>H12-B12</f>
        <v>-170.70000000000002</v>
      </c>
      <c r="J12" s="117">
        <f>I12*21*9</f>
        <v>-32262.300000000003</v>
      </c>
      <c r="K12" s="44"/>
      <c r="L12" s="45"/>
      <c r="Q12" s="115"/>
      <c r="R12" s="118">
        <f ca="1">TODAY()</f>
        <v>46246</v>
      </c>
      <c r="S12" s="30">
        <f>R11-S11</f>
        <v>392</v>
      </c>
      <c r="U12" s="94"/>
      <c r="V12" s="94"/>
      <c r="W12" s="94"/>
      <c r="X12" s="94"/>
      <c r="Y12" s="94"/>
      <c r="Z12" s="99"/>
      <c r="AA12" s="94"/>
      <c r="AB12" s="100"/>
      <c r="AC12" s="101"/>
    </row>
    <row r="13" spans="1:30" x14ac:dyDescent="0.25">
      <c r="A13" s="45"/>
      <c r="B13" s="94">
        <v>3.49</v>
      </c>
      <c r="C13" s="94">
        <f>(B13-C10)*100</f>
        <v>-79.300000000000011</v>
      </c>
      <c r="D13" s="119">
        <f>-(B12-C13)</f>
        <v>-109.90000000000002</v>
      </c>
      <c r="E13" s="96"/>
      <c r="F13" s="94">
        <f>180*1.3</f>
        <v>234</v>
      </c>
      <c r="G13" s="95">
        <f>8476-8456.73</f>
        <v>19.270000000000437</v>
      </c>
      <c r="H13" s="96">
        <f>G13*10</f>
        <v>192.70000000000437</v>
      </c>
      <c r="I13" s="96">
        <f>H13-1520</f>
        <v>-1327.2999999999956</v>
      </c>
      <c r="J13" s="97"/>
      <c r="K13" s="44"/>
      <c r="L13" s="45"/>
      <c r="M13" s="52" t="s">
        <v>122</v>
      </c>
      <c r="N13" s="120"/>
      <c r="O13" s="121" t="s">
        <v>123</v>
      </c>
      <c r="P13" s="121" t="s">
        <v>124</v>
      </c>
      <c r="Q13" s="121" t="s">
        <v>125</v>
      </c>
      <c r="R13" s="122"/>
      <c r="S13" s="30"/>
      <c r="U13" s="50" t="s">
        <v>126</v>
      </c>
    </row>
    <row r="14" spans="1:30" x14ac:dyDescent="0.25">
      <c r="A14" s="44"/>
      <c r="B14" s="44"/>
      <c r="C14" s="44"/>
      <c r="D14" s="123"/>
      <c r="E14" s="44"/>
      <c r="F14" s="44"/>
      <c r="G14" s="44"/>
      <c r="H14" s="124"/>
      <c r="I14" s="37"/>
      <c r="J14" s="37"/>
      <c r="M14" s="58" t="s">
        <v>127</v>
      </c>
      <c r="N14" s="103"/>
      <c r="O14" s="125">
        <f>Q14-0.031</f>
        <v>4.2640000000000002</v>
      </c>
      <c r="P14" s="126">
        <f>Q14-0.009</f>
        <v>4.2859999999999996</v>
      </c>
      <c r="Q14" s="127">
        <f>_xll.IMDP("BND","KR103503GG60","장내국채-현재수익률")</f>
        <v>4.2949999999999999</v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8" t="s">
        <v>129</v>
      </c>
    </row>
    <row r="15" spans="1:30" x14ac:dyDescent="0.25">
      <c r="B15" s="129"/>
      <c r="C15" s="81"/>
      <c r="G15">
        <v>200</v>
      </c>
      <c r="H15" s="130">
        <v>4.0000000000000001E-3</v>
      </c>
      <c r="I15">
        <f>G15*H15/4</f>
        <v>0.2</v>
      </c>
      <c r="O15" s="91"/>
      <c r="P15" s="122"/>
      <c r="Q15" s="30"/>
      <c r="R15" s="131"/>
      <c r="S15" s="30"/>
      <c r="T15" s="130"/>
      <c r="U15" s="72">
        <v>46037</v>
      </c>
      <c r="V15" s="72">
        <v>46038</v>
      </c>
      <c r="W15" s="58">
        <v>100</v>
      </c>
      <c r="X15" s="58">
        <v>10057.5</v>
      </c>
      <c r="Y15" s="132"/>
      <c r="Z15" s="133"/>
      <c r="AA15" s="58">
        <f t="shared" ref="AA15" si="0">Y15-V15</f>
        <v>-46038</v>
      </c>
      <c r="AB15" s="68">
        <f>O26*AA15*$W$15</f>
        <v>-38995573446.575348</v>
      </c>
      <c r="AC15" s="134">
        <f>($Z$15-$X$15)*W15*10000-AB15</f>
        <v>28938073446.575348</v>
      </c>
      <c r="AD15" s="135"/>
    </row>
    <row r="16" spans="1:30" ht="16.5" x14ac:dyDescent="0.25">
      <c r="A16" s="50" t="s">
        <v>130</v>
      </c>
      <c r="B16" s="129"/>
      <c r="F16">
        <f>E20*1.5</f>
        <v>123</v>
      </c>
      <c r="J16" s="136"/>
      <c r="M16" s="137" t="s">
        <v>131</v>
      </c>
      <c r="T16" s="91"/>
      <c r="U16" s="72"/>
      <c r="V16" s="72"/>
      <c r="W16" s="58"/>
      <c r="X16" s="58"/>
      <c r="Y16" s="72"/>
      <c r="Z16" s="92"/>
      <c r="AA16" s="58"/>
      <c r="AB16" s="68">
        <f>$O$26*$AA$15*W16</f>
        <v>0</v>
      </c>
      <c r="AC16" s="134">
        <f>($Z$15-$X$15)*W16*10000-AB16</f>
        <v>0</v>
      </c>
    </row>
    <row r="17" spans="1:30" x14ac:dyDescent="0.25">
      <c r="C17" t="s">
        <v>132</v>
      </c>
      <c r="D17" s="138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8" t="s">
        <v>138</v>
      </c>
      <c r="U17" s="72"/>
      <c r="V17" s="72"/>
      <c r="W17" s="58"/>
      <c r="X17" s="58"/>
      <c r="Y17" s="72"/>
      <c r="Z17" s="92"/>
      <c r="AA17" s="58"/>
      <c r="AB17" s="68"/>
      <c r="AC17" s="134"/>
      <c r="AD17" s="135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2">
        <v>100</v>
      </c>
      <c r="J18" s="139">
        <v>88</v>
      </c>
      <c r="M18" s="58" t="s">
        <v>140</v>
      </c>
      <c r="N18" s="140">
        <f>B25</f>
        <v>9318.7900000000009</v>
      </c>
      <c r="O18" s="141">
        <v>9320.9</v>
      </c>
      <c r="P18" s="142"/>
      <c r="Q18" s="143">
        <v>-150</v>
      </c>
      <c r="R18" s="144">
        <f>(O18-N18)*Q18*10000</f>
        <v>-3164999.9999981448</v>
      </c>
      <c r="S18" s="369">
        <f>R21/10000/Q19</f>
        <v>61.489875467000111</v>
      </c>
      <c r="T18">
        <v>2</v>
      </c>
      <c r="U18" s="72"/>
      <c r="V18" s="72"/>
      <c r="W18" s="58"/>
      <c r="X18" s="58"/>
      <c r="Y18" s="132"/>
      <c r="Z18" s="145"/>
      <c r="AA18" s="58"/>
      <c r="AB18" s="68"/>
      <c r="AC18" s="134"/>
    </row>
    <row r="19" spans="1:30" ht="17.25" x14ac:dyDescent="0.25">
      <c r="A19" s="106" t="s">
        <v>141</v>
      </c>
      <c r="B19" s="146">
        <v>8898.8799999999992</v>
      </c>
      <c r="C19" s="147">
        <f>ROUNDDOWN([1]채권단가계산표!N18,0)-0.5</f>
        <v>8900.5</v>
      </c>
      <c r="D19" s="148">
        <v>4.24</v>
      </c>
      <c r="E19" s="149">
        <v>-100</v>
      </c>
      <c r="F19" s="150">
        <f>(C19-B19)*E19*10000</f>
        <v>-1620000.0000008005</v>
      </c>
      <c r="G19" s="372">
        <f>F22/10000/E20</f>
        <v>6.123280988973014</v>
      </c>
      <c r="H19" s="151">
        <f>_xll.IMDP("FUT","A6769000","저평가")*100</f>
        <v>3.9</v>
      </c>
      <c r="I19">
        <v>90</v>
      </c>
      <c r="J19" s="41">
        <f>J18*I19/I18</f>
        <v>79.2</v>
      </c>
      <c r="K19" s="152"/>
      <c r="L19" s="153"/>
      <c r="M19" s="58" t="s">
        <v>142</v>
      </c>
      <c r="N19" s="154">
        <f>B26</f>
        <v>105.73</v>
      </c>
      <c r="O19" s="155">
        <v>106.34</v>
      </c>
      <c r="P19" s="156"/>
      <c r="Q19" s="157">
        <f>-Q18*0.88</f>
        <v>132</v>
      </c>
      <c r="R19" s="144">
        <f>(O19-N19)*Q19*1000000</f>
        <v>80519999.999999925</v>
      </c>
      <c r="S19" s="370"/>
      <c r="U19" s="72"/>
      <c r="V19" s="72"/>
      <c r="W19" s="58"/>
      <c r="X19" s="58"/>
      <c r="Y19" s="72"/>
      <c r="Z19" s="92"/>
      <c r="AA19" s="58"/>
      <c r="AB19" s="68"/>
      <c r="AC19" s="134"/>
    </row>
    <row r="20" spans="1:30" x14ac:dyDescent="0.25">
      <c r="A20" s="106" t="s">
        <v>117</v>
      </c>
      <c r="B20" s="154">
        <f>B26</f>
        <v>105.73</v>
      </c>
      <c r="C20" s="158">
        <f>_xll.IMDP("FUT","A6769000","선물호가_현재가")</f>
        <v>105.78</v>
      </c>
      <c r="D20" s="159">
        <f>C6</f>
        <v>4.2830000000000004</v>
      </c>
      <c r="E20" s="160">
        <v>82</v>
      </c>
      <c r="F20" s="150">
        <f>(C20-B20)*E20*1000000</f>
        <v>4099999.9999997672</v>
      </c>
      <c r="G20" s="372"/>
      <c r="I20">
        <v>80</v>
      </c>
      <c r="J20" s="41">
        <f t="shared" ref="J20:J28" si="1">J19*I20/I19</f>
        <v>70.400000000000006</v>
      </c>
      <c r="M20" s="58" t="s">
        <v>101</v>
      </c>
      <c r="N20" s="161"/>
      <c r="O20" s="162">
        <f>$M$5/100/365*100000000</f>
        <v>8470.3013698630148</v>
      </c>
      <c r="P20" s="102"/>
      <c r="Q20" s="163">
        <f>Q18</f>
        <v>-150</v>
      </c>
      <c r="R20" s="67">
        <f>-O20*Q20*$D$17</f>
        <v>3811635.6164383562</v>
      </c>
      <c r="S20" s="370"/>
      <c r="U20" s="164"/>
      <c r="V20" s="164"/>
      <c r="W20" s="165"/>
      <c r="X20" s="165"/>
      <c r="Y20" s="72"/>
      <c r="Z20" s="92"/>
      <c r="AA20" s="58"/>
      <c r="AB20" s="68"/>
      <c r="AC20" s="134"/>
    </row>
    <row r="21" spans="1:30" x14ac:dyDescent="0.25">
      <c r="A21" s="106" t="s">
        <v>101</v>
      </c>
      <c r="B21" s="163"/>
      <c r="C21" s="162">
        <f>$M$5/100/365*100000000</f>
        <v>8470.3013698630148</v>
      </c>
      <c r="D21" s="166">
        <f>(D20-D19)*100</f>
        <v>4.3000000000000149</v>
      </c>
      <c r="E21" s="163">
        <f>E19</f>
        <v>-100</v>
      </c>
      <c r="F21" s="162">
        <f>-C21*E21*$D$17</f>
        <v>2541090.4109589048</v>
      </c>
      <c r="G21" s="372"/>
      <c r="I21">
        <v>70</v>
      </c>
      <c r="J21" s="41">
        <f t="shared" si="1"/>
        <v>61.6</v>
      </c>
      <c r="M21" s="58" t="s">
        <v>143</v>
      </c>
      <c r="N21" s="161"/>
      <c r="O21" s="161"/>
      <c r="P21" s="58"/>
      <c r="Q21" s="161"/>
      <c r="R21" s="67">
        <f>SUM(R18:R20)</f>
        <v>81166635.616440147</v>
      </c>
      <c r="S21" s="371"/>
      <c r="U21" s="58"/>
      <c r="V21" s="58"/>
      <c r="W21" s="58"/>
      <c r="X21" s="85"/>
      <c r="Y21" s="58"/>
      <c r="Z21" s="92"/>
      <c r="AA21" s="58"/>
      <c r="AB21" s="68"/>
      <c r="AC21" s="68"/>
    </row>
    <row r="22" spans="1:30" x14ac:dyDescent="0.25">
      <c r="A22" s="106" t="s">
        <v>143</v>
      </c>
      <c r="B22" s="163"/>
      <c r="C22" s="163"/>
      <c r="D22" s="106"/>
      <c r="E22" s="163"/>
      <c r="F22" s="162">
        <f>SUM(F19:F21)</f>
        <v>5021090.410957871</v>
      </c>
      <c r="G22" s="372"/>
      <c r="I22">
        <v>60</v>
      </c>
      <c r="J22" s="41">
        <f t="shared" si="1"/>
        <v>52.8</v>
      </c>
      <c r="M22" s="167" t="s">
        <v>144</v>
      </c>
      <c r="R22" t="s">
        <v>145</v>
      </c>
      <c r="U22" s="50" t="s">
        <v>146</v>
      </c>
      <c r="W22" t="s">
        <v>147</v>
      </c>
      <c r="X22" s="168">
        <v>2</v>
      </c>
    </row>
    <row r="23" spans="1:30" x14ac:dyDescent="0.25">
      <c r="A23" s="94"/>
      <c r="B23" s="169"/>
      <c r="C23" s="169"/>
      <c r="D23" s="94"/>
      <c r="E23" s="169"/>
      <c r="F23" s="170"/>
      <c r="G23" s="171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8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40">
        <f>B19</f>
        <v>8898.8799999999992</v>
      </c>
      <c r="O24" s="141">
        <v>8900.8799999999992</v>
      </c>
      <c r="P24" s="142"/>
      <c r="Q24" s="172">
        <v>-100</v>
      </c>
      <c r="R24" s="144">
        <f>(O24-N24)*Q24*10000</f>
        <v>-2000000</v>
      </c>
      <c r="S24" s="369">
        <f>R27/10000/Q25</f>
        <v>61.659866354827876</v>
      </c>
      <c r="T24">
        <v>1</v>
      </c>
      <c r="U24" s="58" t="s">
        <v>149</v>
      </c>
      <c r="V24" s="63">
        <v>10065.030000000001</v>
      </c>
      <c r="W24" s="63">
        <v>10066.59</v>
      </c>
      <c r="X24" s="173">
        <v>100</v>
      </c>
      <c r="Y24" s="144">
        <f>(W24-V24)*X24*10000</f>
        <v>1559999.9999994906</v>
      </c>
    </row>
    <row r="25" spans="1:30" x14ac:dyDescent="0.25">
      <c r="A25" s="106" t="s">
        <v>150</v>
      </c>
      <c r="B25" s="146">
        <v>9318.7900000000009</v>
      </c>
      <c r="C25" s="147">
        <f>ROUNDDOWN([1]채권단가계산표!L18,0)-0.5</f>
        <v>9320.5</v>
      </c>
      <c r="D25" s="148">
        <v>4.2069999999999999</v>
      </c>
      <c r="E25" s="172">
        <v>-100</v>
      </c>
      <c r="F25" s="144">
        <f>(C25-B25)*E25*10000</f>
        <v>-1709999.9999991269</v>
      </c>
      <c r="G25" s="369">
        <f>F28/10000/E26</f>
        <v>5.9444209215449169</v>
      </c>
      <c r="I25">
        <v>30</v>
      </c>
      <c r="J25" s="41">
        <f t="shared" si="1"/>
        <v>26.4</v>
      </c>
      <c r="M25" s="58" t="s">
        <v>142</v>
      </c>
      <c r="N25" s="154">
        <f>B26</f>
        <v>105.73</v>
      </c>
      <c r="O25" s="174">
        <f>O19</f>
        <v>106.34</v>
      </c>
      <c r="P25" s="156"/>
      <c r="Q25" s="175">
        <f>-Q24*0.82</f>
        <v>82</v>
      </c>
      <c r="R25" s="144">
        <f>(O25-N25)*Q25*1000000</f>
        <v>50019999.999999955</v>
      </c>
      <c r="S25" s="370"/>
      <c r="T25" s="42"/>
      <c r="U25" s="58" t="s">
        <v>101</v>
      </c>
      <c r="V25" s="58"/>
      <c r="W25" s="76"/>
      <c r="X25" s="173"/>
      <c r="Y25" s="68">
        <f>-$O$26*X24*X22</f>
        <v>-1694060.273972603</v>
      </c>
    </row>
    <row r="26" spans="1:30" x14ac:dyDescent="0.25">
      <c r="A26" s="58" t="s">
        <v>117</v>
      </c>
      <c r="B26" s="176">
        <v>105.73</v>
      </c>
      <c r="C26" s="158">
        <f>C20</f>
        <v>105.78</v>
      </c>
      <c r="D26" s="156">
        <f>D20</f>
        <v>4.2830000000000004</v>
      </c>
      <c r="E26" s="157">
        <v>88</v>
      </c>
      <c r="F26" s="144">
        <f>(C26-B26)*E26*1000000</f>
        <v>4399999.9999997495</v>
      </c>
      <c r="G26" s="370"/>
      <c r="I26">
        <v>20</v>
      </c>
      <c r="J26" s="41">
        <f t="shared" si="1"/>
        <v>17.600000000000001</v>
      </c>
      <c r="M26" s="58" t="s">
        <v>101</v>
      </c>
      <c r="N26" s="161"/>
      <c r="O26" s="162">
        <f>$M$5/100/365*100000000</f>
        <v>8470.3013698630148</v>
      </c>
      <c r="P26" s="102">
        <f>(P25-P24)*100</f>
        <v>0</v>
      </c>
      <c r="Q26" s="163">
        <f>Q24</f>
        <v>-100</v>
      </c>
      <c r="R26" s="67">
        <f>-O26*Q26*$D$17</f>
        <v>2541090.4109589048</v>
      </c>
      <c r="S26" s="370"/>
      <c r="U26" s="58"/>
      <c r="V26" s="58"/>
      <c r="W26" s="58"/>
      <c r="X26" s="58"/>
      <c r="Y26" s="177">
        <f>Y24+Y25</f>
        <v>-134060.27397311246</v>
      </c>
    </row>
    <row r="27" spans="1:30" x14ac:dyDescent="0.25">
      <c r="A27" s="58" t="s">
        <v>101</v>
      </c>
      <c r="B27" s="161"/>
      <c r="C27" s="162">
        <f>$M$5/100/365*100000000</f>
        <v>8470.3013698630148</v>
      </c>
      <c r="D27" s="86">
        <f>(D26-D25)*100</f>
        <v>7.6000000000000512</v>
      </c>
      <c r="E27" s="163">
        <f>E25</f>
        <v>-100</v>
      </c>
      <c r="F27" s="67">
        <f>-C27*E27*$D$17</f>
        <v>2541090.4109589048</v>
      </c>
      <c r="G27" s="370"/>
      <c r="H27" s="129"/>
      <c r="I27" s="178">
        <v>10</v>
      </c>
      <c r="J27" s="41">
        <f t="shared" si="1"/>
        <v>8.8000000000000007</v>
      </c>
      <c r="M27" s="58" t="s">
        <v>143</v>
      </c>
      <c r="N27" s="161"/>
      <c r="O27" s="161"/>
      <c r="P27" s="58"/>
      <c r="Q27" s="161"/>
      <c r="R27" s="67">
        <f>SUM(R24:R26)</f>
        <v>50561090.410958856</v>
      </c>
      <c r="S27" s="371"/>
      <c r="U27" s="42" t="s">
        <v>151</v>
      </c>
    </row>
    <row r="28" spans="1:30" x14ac:dyDescent="0.25">
      <c r="A28" s="58" t="s">
        <v>143</v>
      </c>
      <c r="B28" s="161"/>
      <c r="C28" s="161"/>
      <c r="D28" s="58"/>
      <c r="E28" s="161"/>
      <c r="F28" s="67">
        <f>SUM(F25:F27)</f>
        <v>5231090.4109595269</v>
      </c>
      <c r="G28" s="371"/>
      <c r="H28" s="129"/>
      <c r="I28" s="178">
        <v>300</v>
      </c>
      <c r="J28" s="41">
        <f t="shared" si="1"/>
        <v>264</v>
      </c>
      <c r="P28" s="81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9"/>
      <c r="I29" s="129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5" t="s">
        <v>164</v>
      </c>
      <c r="S29" t="s">
        <v>165</v>
      </c>
      <c r="T29" s="36"/>
      <c r="U29" s="179" t="s">
        <v>166</v>
      </c>
      <c r="V29" s="59"/>
      <c r="W29" s="63"/>
      <c r="X29" s="58">
        <f>(V29-W29)</f>
        <v>0</v>
      </c>
      <c r="Y29" s="63"/>
      <c r="Z29" s="180" t="e">
        <f>ROUNDDOWN(Y30,0)-ROUNDDOWN(Y29,0)</f>
        <v>#VALUE!</v>
      </c>
    </row>
    <row r="30" spans="1:30" x14ac:dyDescent="0.25">
      <c r="D30" s="181">
        <f>D25-D19</f>
        <v>-3.3000000000000362E-2</v>
      </c>
      <c r="F30">
        <v>0.86</v>
      </c>
      <c r="G30" s="81"/>
      <c r="M30" s="182" t="s">
        <v>123</v>
      </c>
      <c r="N30">
        <v>100</v>
      </c>
      <c r="O30" s="183">
        <v>5.0000000000000001E-3</v>
      </c>
      <c r="P30" s="184">
        <f ca="1">N30*O30/365*$P$66</f>
        <v>4.5205479452054796E-2</v>
      </c>
      <c r="Q30" s="36">
        <f ca="1">N30*$O$88/365*$P$66</f>
        <v>0.26292310502283106</v>
      </c>
      <c r="R30" s="36">
        <f ca="1">N30*$M$5%/365*$P$66</f>
        <v>0.27951994520547951</v>
      </c>
      <c r="S30" s="36">
        <f ca="1">P32+Q32-R32</f>
        <v>4.0039196347031902E-2</v>
      </c>
      <c r="U30" s="179" t="s">
        <v>167</v>
      </c>
      <c r="V30" s="185"/>
      <c r="W30" s="186">
        <f>V30-AVERAGE(X29:X30)</f>
        <v>0</v>
      </c>
      <c r="X30" s="187"/>
      <c r="Y30" s="188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9" t="s">
        <v>169</v>
      </c>
      <c r="N31" s="41">
        <v>100</v>
      </c>
      <c r="O31" s="183">
        <v>3.0999999999999999E-3</v>
      </c>
      <c r="P31" s="184">
        <f ca="1">N31*O31/365*P66</f>
        <v>2.8027397260273975E-2</v>
      </c>
      <c r="Q31" s="36">
        <f ca="1">N31*$O$88/365*$P$66</f>
        <v>0.26292310502283106</v>
      </c>
      <c r="R31" s="36">
        <f ca="1">N31*$M$5%/365*$P$66</f>
        <v>0.27951994520547951</v>
      </c>
      <c r="S31" s="190">
        <f ca="1">S30/0.0168</f>
        <v>2.3832854968471371</v>
      </c>
    </row>
    <row r="32" spans="1:30" x14ac:dyDescent="0.25">
      <c r="A32" s="76" t="s">
        <v>170</v>
      </c>
      <c r="B32" s="146">
        <v>10095.5</v>
      </c>
      <c r="C32" s="147">
        <f>_xll.IMDP("BND","KR103503GG60","장내국채-현재가격")</f>
        <v>10037</v>
      </c>
      <c r="D32" s="127">
        <f>_xll.IMDP("BND","KR103503GG60","장내국채-현재수익률")</f>
        <v>4.2949999999999999</v>
      </c>
      <c r="E32" s="191">
        <v>-100</v>
      </c>
      <c r="F32" s="192">
        <f>(C32-B32)*E32*10000</f>
        <v>58500000</v>
      </c>
      <c r="G32" s="373">
        <f>F35/10000/E33</f>
        <v>73.585494843773759</v>
      </c>
      <c r="I32" s="63">
        <v>2.5525000000000002</v>
      </c>
      <c r="M32" s="193"/>
      <c r="N32" s="30"/>
      <c r="P32" s="194">
        <f ca="1">SUM(P30:P31)</f>
        <v>7.3232876712328768E-2</v>
      </c>
      <c r="Q32" s="194">
        <f ca="1">SUM(Q30:Q31)</f>
        <v>0.52584621004566212</v>
      </c>
      <c r="R32" s="194">
        <f ca="1">SUM(R30:R31)</f>
        <v>0.55903989041095903</v>
      </c>
      <c r="S32" s="195"/>
      <c r="U32" s="41">
        <f>U33/170</f>
        <v>25.035294117647059</v>
      </c>
    </row>
    <row r="33" spans="1:32" x14ac:dyDescent="0.25">
      <c r="A33" s="76" t="s">
        <v>117</v>
      </c>
      <c r="B33" s="154">
        <f>B26</f>
        <v>105.73</v>
      </c>
      <c r="C33" s="158">
        <f>_xll.IMDP("FUT","A6769000","선물호가_현재가")</f>
        <v>105.78</v>
      </c>
      <c r="D33" s="196">
        <f>D26</f>
        <v>4.2830000000000004</v>
      </c>
      <c r="E33" s="197">
        <v>89</v>
      </c>
      <c r="F33" s="192">
        <f>(C33-B33)*E33*1000000</f>
        <v>4449999.9999997467</v>
      </c>
      <c r="G33" s="374"/>
      <c r="I33" s="52" t="s">
        <v>171</v>
      </c>
      <c r="J33">
        <f>14*5</f>
        <v>70</v>
      </c>
      <c r="M33">
        <f>7.8944/2.7725</f>
        <v>2.8473940486925158</v>
      </c>
      <c r="N33" s="198">
        <f ca="1">P32/P66</f>
        <v>2.2191780821917808E-3</v>
      </c>
      <c r="O33" s="91" t="s">
        <v>172</v>
      </c>
      <c r="P33" s="199">
        <f ca="1">-P32/0.0168</f>
        <v>-4.3590998043052842</v>
      </c>
      <c r="R33">
        <f ca="1">R32/P66</f>
        <v>1.6940602739726029E-2</v>
      </c>
      <c r="T33">
        <f>76*7</f>
        <v>532</v>
      </c>
      <c r="U33">
        <f>T33*8</f>
        <v>4256</v>
      </c>
    </row>
    <row r="34" spans="1:32" ht="17.25" x14ac:dyDescent="0.25">
      <c r="A34" s="76" t="s">
        <v>101</v>
      </c>
      <c r="B34" s="200"/>
      <c r="C34" s="201">
        <f>$M$5/100/365*100000000</f>
        <v>8470.3013698630148</v>
      </c>
      <c r="D34" s="202">
        <f>(D33-D32)*100</f>
        <v>-1.1999999999999567</v>
      </c>
      <c r="E34" s="200">
        <f>E32</f>
        <v>-100</v>
      </c>
      <c r="F34" s="201">
        <f>-C34*E34*$D$17</f>
        <v>2541090.4109589048</v>
      </c>
      <c r="G34" s="374"/>
      <c r="I34" s="203">
        <f>I32-P14</f>
        <v>-1.7334999999999994</v>
      </c>
      <c r="M34" s="204" t="s">
        <v>173</v>
      </c>
      <c r="P34" s="42"/>
      <c r="W34" s="137" t="s">
        <v>174</v>
      </c>
    </row>
    <row r="35" spans="1:32" x14ac:dyDescent="0.25">
      <c r="A35" s="76" t="s">
        <v>143</v>
      </c>
      <c r="B35" s="200"/>
      <c r="C35" s="200"/>
      <c r="D35" s="76"/>
      <c r="E35" s="200"/>
      <c r="F35" s="205">
        <f>SUM(F32:F34)</f>
        <v>65491090.410958648</v>
      </c>
      <c r="G35" s="375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206" t="s">
        <v>178</v>
      </c>
      <c r="X35" s="206" t="s">
        <v>179</v>
      </c>
      <c r="Y35" s="206" t="s">
        <v>180</v>
      </c>
      <c r="Z35" s="206" t="s">
        <v>96</v>
      </c>
      <c r="AA35" s="206" t="s">
        <v>147</v>
      </c>
      <c r="AB35" s="206" t="s">
        <v>181</v>
      </c>
      <c r="AC35" s="206" t="s">
        <v>182</v>
      </c>
      <c r="AD35" s="206" t="s">
        <v>183</v>
      </c>
      <c r="AE35" s="206" t="s">
        <v>115</v>
      </c>
      <c r="AF35" s="206" t="s">
        <v>184</v>
      </c>
    </row>
    <row r="36" spans="1:32" x14ac:dyDescent="0.25">
      <c r="D36" s="207">
        <f>(D32-D25)*100</f>
        <v>8.8000000000000078</v>
      </c>
      <c r="M36" s="208" t="s">
        <v>185</v>
      </c>
      <c r="N36" s="209"/>
      <c r="O36" s="210">
        <v>10080.120000000001</v>
      </c>
      <c r="P36" s="211"/>
      <c r="Q36" s="59">
        <v>90</v>
      </c>
      <c r="R36" s="212">
        <f>(O36-N36)*Q36*10000</f>
        <v>9072108000</v>
      </c>
      <c r="S36" s="87">
        <v>8.1300000000000008</v>
      </c>
      <c r="T36" s="213">
        <f>S36*O36*100</f>
        <v>8195137.5600000015</v>
      </c>
      <c r="U36" s="214">
        <f>T37/T36</f>
        <v>0.90193406100678042</v>
      </c>
      <c r="V36" s="215" t="s">
        <v>186</v>
      </c>
      <c r="W36" s="138">
        <f>V24</f>
        <v>10065.030000000001</v>
      </c>
      <c r="X36" s="216"/>
      <c r="Y36" s="168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M37" s="218" t="s">
        <v>124</v>
      </c>
      <c r="N37" s="209">
        <f>B25</f>
        <v>9318.7900000000009</v>
      </c>
      <c r="O37" s="219">
        <f>O18</f>
        <v>9320.9</v>
      </c>
      <c r="P37" s="220"/>
      <c r="Q37" s="221">
        <v>-100</v>
      </c>
      <c r="R37" s="212">
        <f>(O37-N37)*Q37*10000</f>
        <v>-2109999.9999987632</v>
      </c>
      <c r="S37" s="87">
        <v>7.93</v>
      </c>
      <c r="T37" s="213">
        <f>S37*O37*100</f>
        <v>7391473.6999999993</v>
      </c>
      <c r="V37" s="222"/>
      <c r="X37" s="138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20" t="s">
        <v>153</v>
      </c>
      <c r="H38" s="223" t="s">
        <v>187</v>
      </c>
      <c r="I38" s="223" t="s">
        <v>188</v>
      </c>
      <c r="J38" s="223" t="s">
        <v>189</v>
      </c>
      <c r="M38" s="87" t="s">
        <v>101</v>
      </c>
      <c r="N38" s="87"/>
      <c r="O38" s="224"/>
      <c r="P38" s="225"/>
      <c r="Q38" s="213"/>
      <c r="R38" s="226"/>
      <c r="V38" s="215" t="s">
        <v>190</v>
      </c>
      <c r="W38" s="227">
        <f>B47</f>
        <v>103.25</v>
      </c>
      <c r="X38" s="138"/>
      <c r="Y38" s="168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138">
        <f>J41-0.129</f>
        <v>3.67</v>
      </c>
      <c r="H39" s="138">
        <f>J41-0.837</f>
        <v>2.9619999999999997</v>
      </c>
      <c r="I39" s="138">
        <f>J41-0.512</f>
        <v>3.2869999999999999</v>
      </c>
      <c r="J39" s="228">
        <f>J43+0.185</f>
        <v>4.2139999999999995</v>
      </c>
      <c r="M39" s="87" t="s">
        <v>192</v>
      </c>
      <c r="N39" s="87"/>
      <c r="O39" s="87"/>
      <c r="P39" s="229">
        <f>(P36-P37)*100</f>
        <v>0</v>
      </c>
      <c r="Q39" s="87"/>
      <c r="R39" s="230">
        <f>R36+R37</f>
        <v>9069998000.0000019</v>
      </c>
      <c r="S39" s="52" t="s">
        <v>193</v>
      </c>
      <c r="T39" s="63">
        <v>-1.2</v>
      </c>
      <c r="W39" t="s">
        <v>194</v>
      </c>
      <c r="AA39" s="135">
        <f>AA36+AA37</f>
        <v>0</v>
      </c>
      <c r="AB39" s="135"/>
      <c r="AD39" s="135">
        <f>AA39+AB39+AC38</f>
        <v>0</v>
      </c>
      <c r="AE39" s="135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31" t="s">
        <v>195</v>
      </c>
      <c r="I40" s="223" t="s">
        <v>196</v>
      </c>
      <c r="J40" s="223" t="s">
        <v>197</v>
      </c>
      <c r="O40" t="s">
        <v>198</v>
      </c>
      <c r="P40" s="136">
        <v>-1.1999999999999567</v>
      </c>
      <c r="S40" s="52" t="s">
        <v>199</v>
      </c>
      <c r="T40" s="168"/>
      <c r="V40" s="164"/>
      <c r="W40" s="51"/>
      <c r="X40" s="51"/>
      <c r="Y40" s="51"/>
      <c r="Z40" s="51"/>
    </row>
    <row r="41" spans="1:32" ht="17.25" x14ac:dyDescent="0.25">
      <c r="A41" s="232" t="s">
        <v>200</v>
      </c>
      <c r="B41" s="228">
        <v>9839.73</v>
      </c>
      <c r="C41" s="233">
        <f>ROUNDDOWN([1]채권단가계산표!H18,0)-0.5</f>
        <v>9839.5</v>
      </c>
      <c r="D41" s="234">
        <v>3.71</v>
      </c>
      <c r="E41" s="235">
        <v>-100</v>
      </c>
      <c r="F41" s="236">
        <f>(C41-B41)*E41*10000</f>
        <v>229999.99999956344</v>
      </c>
      <c r="G41" s="151">
        <f>_xll.IMDP("FUT","A6569000","저평가")*100</f>
        <v>-2.8000000000000003</v>
      </c>
      <c r="H41" s="237">
        <f>J43-0.296</f>
        <v>3.7330000000000001</v>
      </c>
      <c r="I41" s="142">
        <f>J41-0.078</f>
        <v>3.7210000000000001</v>
      </c>
      <c r="J41" s="66">
        <f>_xll.IMDP("BND","KR103501GG62","장내국채-현재수익률")</f>
        <v>3.7989999999999999</v>
      </c>
      <c r="M41" s="42" t="s">
        <v>201</v>
      </c>
      <c r="R41" s="238" t="s">
        <v>202</v>
      </c>
      <c r="S41" s="103"/>
      <c r="T41" s="28"/>
      <c r="W41" s="45"/>
      <c r="X41" s="45"/>
      <c r="Y41" s="45"/>
      <c r="Z41" s="45"/>
      <c r="AC41" t="s">
        <v>203</v>
      </c>
      <c r="AD41" t="s">
        <v>204</v>
      </c>
      <c r="AE41" s="135">
        <f>AE36+AE37</f>
        <v>0</v>
      </c>
    </row>
    <row r="42" spans="1:32" x14ac:dyDescent="0.25">
      <c r="A42" s="232" t="s">
        <v>205</v>
      </c>
      <c r="B42" s="239">
        <f>B47</f>
        <v>103.25</v>
      </c>
      <c r="C42" s="158">
        <f>_xll.IMDP("FUT","A6569000","선물호가_현재가")</f>
        <v>103.31</v>
      </c>
      <c r="D42" s="62">
        <f>_xll.IMDP("FUT","A6569000","국채수익률")</f>
        <v>3.8220000000000001</v>
      </c>
      <c r="E42" s="240">
        <f ca="1">N50</f>
        <v>74.361027457927364</v>
      </c>
      <c r="F42" s="236">
        <f ca="1">(C42-B42)*E42*1000000</f>
        <v>4461661.6474758107</v>
      </c>
      <c r="G42" s="241"/>
      <c r="H42" s="231" t="s">
        <v>206</v>
      </c>
      <c r="I42" s="223" t="s">
        <v>207</v>
      </c>
      <c r="J42" s="223" t="s">
        <v>208</v>
      </c>
      <c r="M42" s="52" t="s">
        <v>209</v>
      </c>
      <c r="N42" s="52" t="s">
        <v>210</v>
      </c>
      <c r="O42" s="242" t="s">
        <v>211</v>
      </c>
      <c r="P42" s="52" t="s">
        <v>212</v>
      </c>
      <c r="R42" s="243" t="s">
        <v>124</v>
      </c>
      <c r="S42" s="63"/>
      <c r="T42" s="244"/>
      <c r="U42" s="244"/>
      <c r="AD42" t="s">
        <v>213</v>
      </c>
      <c r="AE42" s="135">
        <f>AD39</f>
        <v>0</v>
      </c>
    </row>
    <row r="43" spans="1:32" x14ac:dyDescent="0.25">
      <c r="A43" s="232" t="s">
        <v>101</v>
      </c>
      <c r="B43" s="232"/>
      <c r="C43" s="245">
        <f>$O$5</f>
        <v>847030.1369863014</v>
      </c>
      <c r="D43" s="86"/>
      <c r="E43" s="232">
        <f>E41/100</f>
        <v>-1</v>
      </c>
      <c r="F43" s="236">
        <f>-C43*D39*$E$43</f>
        <v>2541090.4109589043</v>
      </c>
      <c r="G43" s="246"/>
      <c r="H43" s="237">
        <f>J43-0.038</f>
        <v>3.9910000000000001</v>
      </c>
      <c r="I43" s="247">
        <f>J41-0.158</f>
        <v>3.641</v>
      </c>
      <c r="J43" s="66">
        <f>_xll.IMDP("BND","KR103503GG37","장내국채-현재수익률")</f>
        <v>4.0289999999999999</v>
      </c>
      <c r="M43" s="248" t="str">
        <f>M71</f>
        <v>국고25-10</v>
      </c>
      <c r="N43" s="136">
        <f ca="1">O71</f>
        <v>72.94688524590164</v>
      </c>
      <c r="O43" s="138"/>
      <c r="P43" s="249">
        <f ca="1">N43*O43</f>
        <v>0</v>
      </c>
      <c r="R43" t="s">
        <v>214</v>
      </c>
      <c r="S43" s="85">
        <f>(S41-S42)*100</f>
        <v>0</v>
      </c>
      <c r="T43" s="250">
        <f>0.3*T36*2</f>
        <v>4917082.5360000003</v>
      </c>
      <c r="U43" s="251"/>
      <c r="V43" s="244"/>
      <c r="AD43" t="s">
        <v>215</v>
      </c>
      <c r="AE43" s="252">
        <v>-1655347</v>
      </c>
    </row>
    <row r="44" spans="1:32" x14ac:dyDescent="0.25">
      <c r="A44" s="232" t="s">
        <v>192</v>
      </c>
      <c r="B44" s="232"/>
      <c r="C44" s="232"/>
      <c r="D44" s="232"/>
      <c r="E44" s="232"/>
      <c r="F44" s="253">
        <f ca="1">SUM(F41:F43)</f>
        <v>7232752.0584342778</v>
      </c>
      <c r="G44" s="70"/>
      <c r="I44">
        <v>100</v>
      </c>
      <c r="J44" s="254">
        <v>146</v>
      </c>
      <c r="M44" s="248" t="s">
        <v>216</v>
      </c>
      <c r="N44" s="255">
        <f ca="1">O73</f>
        <v>58.662950819672133</v>
      </c>
      <c r="O44" s="63"/>
      <c r="P44" s="249">
        <f ca="1">N44*O44</f>
        <v>0</v>
      </c>
      <c r="R44" s="136"/>
      <c r="U44" s="41"/>
      <c r="V44" s="244"/>
      <c r="Y44" s="135"/>
      <c r="AD44" t="s">
        <v>217</v>
      </c>
      <c r="AE44" s="256"/>
    </row>
    <row r="45" spans="1:32" x14ac:dyDescent="0.25">
      <c r="D45">
        <f>D41-D46</f>
        <v>0.10999999999999988</v>
      </c>
      <c r="F45" s="30"/>
      <c r="G45" s="45"/>
      <c r="I45" s="82">
        <v>90</v>
      </c>
      <c r="J45" s="41">
        <f>J44*I45/I44</f>
        <v>131.4</v>
      </c>
      <c r="M45" s="248" t="str">
        <f>M70</f>
        <v>국고25-8</v>
      </c>
      <c r="N45" s="255">
        <f ca="1">O70</f>
        <v>114.18163934426229</v>
      </c>
      <c r="O45" s="63"/>
      <c r="P45" s="249">
        <f ca="1">N45*O45</f>
        <v>0</v>
      </c>
      <c r="Q45" s="41"/>
      <c r="U45" s="41"/>
      <c r="W45" s="36"/>
      <c r="X45" s="30"/>
      <c r="AD45" t="s">
        <v>218</v>
      </c>
      <c r="AE45" s="135">
        <f>SUM(AE41:AE44)</f>
        <v>-1655347</v>
      </c>
    </row>
    <row r="46" spans="1:32" x14ac:dyDescent="0.25">
      <c r="A46" s="248" t="s">
        <v>216</v>
      </c>
      <c r="B46" s="59">
        <v>9799.48</v>
      </c>
      <c r="C46" s="233">
        <f>ROUNDDOWN([1]채권단가계산표!P18,0)-0.5</f>
        <v>9799.5</v>
      </c>
      <c r="D46" s="234">
        <v>3.6</v>
      </c>
      <c r="E46" s="87">
        <v>-100</v>
      </c>
      <c r="F46" s="213">
        <f>(C46-B46)*E46*10000</f>
        <v>-20000.000000436557</v>
      </c>
      <c r="G46" s="257"/>
      <c r="H46" s="257">
        <f>115-62</f>
        <v>53</v>
      </c>
      <c r="I46" s="82">
        <f>I45-10</f>
        <v>80</v>
      </c>
      <c r="J46" s="41">
        <f>J45*I46/I45</f>
        <v>116.8</v>
      </c>
      <c r="M46" s="248" t="str">
        <f>M72</f>
        <v>26-03</v>
      </c>
      <c r="N46" s="136">
        <f ca="1">O72</f>
        <v>132.86754098360655</v>
      </c>
      <c r="O46" s="258"/>
      <c r="P46" s="249">
        <f ca="1">N46*O46</f>
        <v>0</v>
      </c>
      <c r="Q46" s="259"/>
      <c r="R46" t="s">
        <v>219</v>
      </c>
      <c r="S46">
        <v>3.4849999999999999</v>
      </c>
      <c r="T46">
        <v>3.2570000000000001</v>
      </c>
      <c r="U46" s="81">
        <f>T46-S46</f>
        <v>-0.22799999999999976</v>
      </c>
    </row>
    <row r="47" spans="1:32" x14ac:dyDescent="0.25">
      <c r="A47" s="248" t="s">
        <v>220</v>
      </c>
      <c r="B47" s="59">
        <v>103.25</v>
      </c>
      <c r="C47" s="158">
        <f>C42</f>
        <v>103.31</v>
      </c>
      <c r="D47" s="79">
        <f>D42</f>
        <v>3.8220000000000001</v>
      </c>
      <c r="E47" s="260">
        <f ca="1">N53</f>
        <v>58.828697962798941</v>
      </c>
      <c r="F47" s="213">
        <f ca="1">(C47-B47)*E47*1000000</f>
        <v>3529721.87776807</v>
      </c>
      <c r="G47" s="261"/>
      <c r="H47" s="262">
        <f>0.58*19</f>
        <v>11.02</v>
      </c>
      <c r="I47" s="82">
        <f t="shared" ref="I47:I54" si="2">I46-10</f>
        <v>70</v>
      </c>
      <c r="J47" s="41">
        <f t="shared" ref="J47:J54" si="3">J46*I47/I46</f>
        <v>102.2</v>
      </c>
      <c r="M47" s="248" t="s">
        <v>221</v>
      </c>
      <c r="N47" s="85">
        <f ca="1">SUM(N43:N45)</f>
        <v>245.79147540983607</v>
      </c>
      <c r="O47" s="58">
        <f>SUM(O43:O46)</f>
        <v>0</v>
      </c>
      <c r="P47" s="263">
        <f ca="1">SUM(P43:P46)</f>
        <v>0</v>
      </c>
      <c r="Q47" s="41"/>
      <c r="R47" s="41" t="s">
        <v>222</v>
      </c>
      <c r="S47">
        <v>3.5339999999999998</v>
      </c>
      <c r="U47" s="81">
        <f>T46-S47</f>
        <v>-0.27699999999999969</v>
      </c>
    </row>
    <row r="48" spans="1:32" x14ac:dyDescent="0.25">
      <c r="A48" s="248" t="s">
        <v>223</v>
      </c>
      <c r="B48" s="87"/>
      <c r="C48" s="224">
        <f>$O$5</f>
        <v>847030.1369863014</v>
      </c>
      <c r="D48" s="87"/>
      <c r="E48" s="87">
        <f>E46/100</f>
        <v>-1</v>
      </c>
      <c r="F48" s="213">
        <f>-C48*D39*E48</f>
        <v>2541090.4109589043</v>
      </c>
      <c r="G48" s="264"/>
      <c r="H48" s="257">
        <f>H46-5.5</f>
        <v>47.5</v>
      </c>
      <c r="I48" s="82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48" t="s">
        <v>225</v>
      </c>
      <c r="B49" s="87"/>
      <c r="C49" s="87"/>
      <c r="D49" s="87"/>
      <c r="E49" s="87"/>
      <c r="F49" s="265">
        <f ca="1">SUM(F46:F48)</f>
        <v>6050812.2887265384</v>
      </c>
      <c r="G49" s="266"/>
      <c r="H49" s="257"/>
      <c r="I49" s="82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42" t="s">
        <v>228</v>
      </c>
      <c r="P49" s="52" t="s">
        <v>229</v>
      </c>
      <c r="Q49" s="267" t="s">
        <v>230</v>
      </c>
      <c r="R49" s="267" t="s">
        <v>231</v>
      </c>
      <c r="S49" s="52" t="s">
        <v>232</v>
      </c>
      <c r="U49" s="41"/>
    </row>
    <row r="50" spans="1:25" x14ac:dyDescent="0.25">
      <c r="D50">
        <f>D41-D51</f>
        <v>-0.31899999999999995</v>
      </c>
      <c r="F50" s="30"/>
      <c r="G50" s="268"/>
      <c r="H50" s="51" t="str">
        <f>_xll.IMDP("BND","KR103503GF38","장내국채-현재가격")</f>
        <v/>
      </c>
      <c r="I50" s="82">
        <f t="shared" si="2"/>
        <v>40</v>
      </c>
      <c r="J50" s="41">
        <f t="shared" si="3"/>
        <v>58.4</v>
      </c>
      <c r="M50" s="248" t="s">
        <v>233</v>
      </c>
      <c r="N50" s="136">
        <f ca="1">O59</f>
        <v>74.361027457927364</v>
      </c>
      <c r="O50" s="138">
        <v>6</v>
      </c>
      <c r="P50" s="249">
        <f ca="1">N50*O50</f>
        <v>446.16616474756415</v>
      </c>
      <c r="Q50">
        <f>R50-O50</f>
        <v>6</v>
      </c>
      <c r="R50">
        <v>12</v>
      </c>
      <c r="S50" s="58">
        <f ca="1">O61/O60</f>
        <v>0.88539482879105535</v>
      </c>
      <c r="U50" s="41">
        <v>7.8</v>
      </c>
    </row>
    <row r="51" spans="1:25" x14ac:dyDescent="0.25">
      <c r="A51" s="248" t="s">
        <v>234</v>
      </c>
      <c r="B51" s="59">
        <v>9892.58</v>
      </c>
      <c r="C51" s="233">
        <f>_xll.IMDP("BND","KR103503GG37","장내국채-현재가격")</f>
        <v>9871.5</v>
      </c>
      <c r="D51" s="127">
        <f>_xll.IMDP("BND","KR103503GG37","장내국채-현재수익률")</f>
        <v>4.0289999999999999</v>
      </c>
      <c r="E51" s="248">
        <v>-100</v>
      </c>
      <c r="F51" s="269">
        <f>(C51-B51)*E51*10000</f>
        <v>21079999.999999925</v>
      </c>
      <c r="G51" s="45"/>
      <c r="I51" s="82">
        <f t="shared" si="2"/>
        <v>30</v>
      </c>
      <c r="J51" s="41">
        <f t="shared" si="3"/>
        <v>43.8</v>
      </c>
      <c r="M51" s="208" t="s">
        <v>235</v>
      </c>
      <c r="N51" s="255">
        <f ca="1">O60</f>
        <v>138.91727192205491</v>
      </c>
      <c r="O51" s="63">
        <v>3.5</v>
      </c>
      <c r="P51" s="249">
        <f ca="1">N51*O51</f>
        <v>486.21045172719221</v>
      </c>
      <c r="Q51" s="270">
        <f>R51-O51</f>
        <v>2.5</v>
      </c>
      <c r="R51" s="271">
        <v>6</v>
      </c>
      <c r="S51">
        <f>O51*65</f>
        <v>227.5</v>
      </c>
      <c r="U51" s="41">
        <v>0</v>
      </c>
    </row>
    <row r="52" spans="1:25" x14ac:dyDescent="0.25">
      <c r="A52" s="248" t="s">
        <v>220</v>
      </c>
      <c r="B52" s="248">
        <f>B47</f>
        <v>103.25</v>
      </c>
      <c r="C52" s="272">
        <f>C47</f>
        <v>103.31</v>
      </c>
      <c r="D52" s="33">
        <f>D47</f>
        <v>3.8220000000000001</v>
      </c>
      <c r="E52" s="273">
        <f ca="1">N51</f>
        <v>138.91727192205491</v>
      </c>
      <c r="F52" s="269">
        <f ca="1">(C52-B52)*E52*1000000</f>
        <v>8335036.3153236099</v>
      </c>
      <c r="H52" s="231" t="s">
        <v>236</v>
      </c>
      <c r="I52" s="82">
        <f t="shared" si="2"/>
        <v>20</v>
      </c>
      <c r="J52" s="41">
        <f t="shared" si="3"/>
        <v>29.2</v>
      </c>
      <c r="M52" s="208" t="s">
        <v>237</v>
      </c>
      <c r="N52" s="255">
        <f ca="1">O61</f>
        <v>122.99663418954829</v>
      </c>
      <c r="O52" s="63">
        <v>0</v>
      </c>
      <c r="P52" s="249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48" t="s">
        <v>223</v>
      </c>
      <c r="B53" s="248"/>
      <c r="C53" s="274">
        <f>$O$5</f>
        <v>847030.1369863014</v>
      </c>
      <c r="D53" s="248"/>
      <c r="E53" s="248">
        <f>E51/100</f>
        <v>-1</v>
      </c>
      <c r="F53" s="269">
        <f>-C53*$D$39*E53</f>
        <v>2541090.4109589043</v>
      </c>
      <c r="H53" s="275">
        <v>3.0070000000000001</v>
      </c>
      <c r="I53" s="82">
        <f t="shared" si="2"/>
        <v>10</v>
      </c>
      <c r="J53" s="41">
        <f t="shared" si="3"/>
        <v>14.6</v>
      </c>
      <c r="M53" s="248" t="s">
        <v>238</v>
      </c>
      <c r="N53" s="255">
        <f ca="1">O62</f>
        <v>58.828697962798941</v>
      </c>
      <c r="O53" s="63">
        <v>4</v>
      </c>
      <c r="P53" s="249">
        <f ca="1">N53*O53</f>
        <v>235.31479185119576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48" t="s">
        <v>225</v>
      </c>
      <c r="B54" s="248"/>
      <c r="C54" s="248"/>
      <c r="D54" s="248"/>
      <c r="E54" s="248"/>
      <c r="F54" s="276">
        <f ca="1">SUM(F51:F53)</f>
        <v>31956126.72628244</v>
      </c>
      <c r="G54" s="30"/>
      <c r="H54" s="231" t="s">
        <v>239</v>
      </c>
      <c r="I54" s="82">
        <f t="shared" si="2"/>
        <v>0</v>
      </c>
      <c r="J54" s="41">
        <f t="shared" si="3"/>
        <v>0</v>
      </c>
      <c r="M54" s="248" t="s">
        <v>221</v>
      </c>
      <c r="N54" s="58"/>
      <c r="O54" s="58">
        <f>SUM(O50:O53)</f>
        <v>13.5</v>
      </c>
      <c r="P54" s="263">
        <f ca="1">SUM(P50:P53)</f>
        <v>1167.6914083259521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77"/>
      <c r="B55" s="278" t="s">
        <v>240</v>
      </c>
      <c r="C55" s="279"/>
      <c r="D55" s="279"/>
      <c r="E55" s="280"/>
      <c r="F55" s="281"/>
      <c r="H55" s="58">
        <f>H53-J41</f>
        <v>-0.79199999999999982</v>
      </c>
      <c r="O55" s="259"/>
      <c r="Q55" s="270" t="s">
        <v>241</v>
      </c>
    </row>
    <row r="56" spans="1:25" x14ac:dyDescent="0.25">
      <c r="A56" s="248" t="s">
        <v>242</v>
      </c>
      <c r="B56" s="59">
        <v>9567.81</v>
      </c>
      <c r="C56" s="282">
        <f>ROUNDDOWN([1]채권단가계산표!X18,0)-0.5</f>
        <v>9569.5</v>
      </c>
      <c r="D56" s="234">
        <v>3.927</v>
      </c>
      <c r="E56" s="248">
        <v>-100</v>
      </c>
      <c r="F56" s="269">
        <f>(C56-B56)*E56*10000</f>
        <v>-1690000.0000005094</v>
      </c>
      <c r="H56" s="45"/>
      <c r="I56">
        <v>100</v>
      </c>
      <c r="J56" s="254">
        <v>137</v>
      </c>
      <c r="N56" s="283"/>
      <c r="P56" s="41">
        <f ca="1">P54*2.4</f>
        <v>2802.4593799822851</v>
      </c>
      <c r="Q56" t="s">
        <v>243</v>
      </c>
      <c r="S56" s="30"/>
      <c r="T56" s="30"/>
      <c r="W56" s="41"/>
    </row>
    <row r="57" spans="1:25" ht="16.5" x14ac:dyDescent="0.3">
      <c r="A57" s="248" t="s">
        <v>220</v>
      </c>
      <c r="B57" s="232">
        <f>B47</f>
        <v>103.25</v>
      </c>
      <c r="C57" s="272">
        <f>C47</f>
        <v>103.31</v>
      </c>
      <c r="D57" s="284">
        <f>D52</f>
        <v>3.8220000000000001</v>
      </c>
      <c r="E57" s="273">
        <f ca="1">N52</f>
        <v>122.99663418954829</v>
      </c>
      <c r="F57" s="269">
        <f ca="1">(C57-B57)*E57*1000000</f>
        <v>7379798.0513731772</v>
      </c>
      <c r="I57" s="82">
        <v>90</v>
      </c>
      <c r="J57" s="41">
        <f>J56*I57/I56</f>
        <v>123.3</v>
      </c>
      <c r="M57" s="137" t="s">
        <v>244</v>
      </c>
      <c r="Q57" t="s">
        <v>245</v>
      </c>
      <c r="T57" s="30">
        <f>200000000*0.045</f>
        <v>9000000</v>
      </c>
      <c r="U57" s="91">
        <f>T57</f>
        <v>9000000</v>
      </c>
      <c r="W57" s="41"/>
    </row>
    <row r="58" spans="1:25" x14ac:dyDescent="0.25">
      <c r="A58" s="248" t="s">
        <v>223</v>
      </c>
      <c r="B58" s="248"/>
      <c r="C58" s="274">
        <f>$O$5</f>
        <v>847030.1369863014</v>
      </c>
      <c r="D58" s="248"/>
      <c r="E58" s="248">
        <f>E56/100</f>
        <v>-1</v>
      </c>
      <c r="F58" s="269">
        <f>-C58*D39*E58</f>
        <v>2541090.4109589043</v>
      </c>
      <c r="H58">
        <f>30*170</f>
        <v>5100</v>
      </c>
      <c r="I58" s="82">
        <f>I57-10</f>
        <v>80</v>
      </c>
      <c r="J58" s="41">
        <f>J57*I58/I57</f>
        <v>109.6</v>
      </c>
      <c r="M58" s="285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86"/>
      <c r="W58" s="41"/>
    </row>
    <row r="59" spans="1:25" x14ac:dyDescent="0.25">
      <c r="A59" s="248" t="s">
        <v>225</v>
      </c>
      <c r="B59" s="248"/>
      <c r="C59" s="248"/>
      <c r="D59" s="248"/>
      <c r="E59" s="248"/>
      <c r="F59" s="276">
        <f ca="1">SUM(F56:F58)</f>
        <v>8230888.4623315725</v>
      </c>
      <c r="G59" s="41"/>
      <c r="I59" s="82">
        <f t="shared" ref="I59:I66" si="4">I58-10</f>
        <v>70</v>
      </c>
      <c r="J59" s="41">
        <f t="shared" ref="J59:J66" si="5">J58*I59/I58</f>
        <v>95.9</v>
      </c>
      <c r="M59" s="248" t="s">
        <v>233</v>
      </c>
      <c r="N59" s="59">
        <v>76.599999999999994</v>
      </c>
      <c r="O59" s="225">
        <f ca="1">N59*$P$65/$Q$65</f>
        <v>74.361027457927364</v>
      </c>
      <c r="P59" s="87">
        <v>2</v>
      </c>
      <c r="Q59" s="287">
        <f ca="1">O59*P59</f>
        <v>148.72205491585473</v>
      </c>
      <c r="S59" s="36"/>
      <c r="W59" s="41"/>
      <c r="Y59" s="41"/>
    </row>
    <row r="60" spans="1:25" x14ac:dyDescent="0.25">
      <c r="H60">
        <f>22*170</f>
        <v>3740</v>
      </c>
      <c r="I60" s="82">
        <f t="shared" si="4"/>
        <v>60</v>
      </c>
      <c r="J60" s="41">
        <f t="shared" si="5"/>
        <v>82.2</v>
      </c>
      <c r="M60" s="208" t="s">
        <v>235</v>
      </c>
      <c r="N60" s="59">
        <v>143.1</v>
      </c>
      <c r="O60" s="225">
        <f ca="1">N60*$P$65/$Q$65</f>
        <v>138.91727192205491</v>
      </c>
      <c r="P60" s="87">
        <v>1</v>
      </c>
      <c r="Q60" s="287">
        <f ca="1">O60*P60</f>
        <v>138.91727192205491</v>
      </c>
      <c r="S60" s="36"/>
      <c r="T60" s="288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2">
        <f t="shared" si="4"/>
        <v>50</v>
      </c>
      <c r="J61" s="41">
        <f t="shared" si="5"/>
        <v>68.5</v>
      </c>
      <c r="M61" s="208" t="s">
        <v>237</v>
      </c>
      <c r="N61" s="289">
        <v>126.7</v>
      </c>
      <c r="O61" s="225">
        <f ca="1">N61*$P$65/$Q$65</f>
        <v>122.99663418954829</v>
      </c>
      <c r="P61" s="87">
        <v>1</v>
      </c>
      <c r="Q61" s="287">
        <f ca="1">O61*P61</f>
        <v>122.99663418954829</v>
      </c>
      <c r="S61" s="36"/>
      <c r="Y61" s="41"/>
    </row>
    <row r="62" spans="1:25" x14ac:dyDescent="0.25">
      <c r="A62" s="290" t="s">
        <v>257</v>
      </c>
      <c r="B62">
        <v>200</v>
      </c>
      <c r="C62" s="183">
        <v>3.0000000000000001E-3</v>
      </c>
      <c r="D62" s="291">
        <f ca="1">B62*C62/365*$P$66</f>
        <v>5.4246575342465748E-2</v>
      </c>
      <c r="E62" s="36">
        <f ca="1">B62*$O$88/365*$P$66</f>
        <v>0.52584621004566212</v>
      </c>
      <c r="F62" s="36">
        <f ca="1">B62*M5%/365*$P$66</f>
        <v>0.55903989041095903</v>
      </c>
      <c r="G62" s="292">
        <f ca="1">D65+E65-F65</f>
        <v>9.3317168949771601E-2</v>
      </c>
      <c r="H62" s="42"/>
      <c r="I62" s="82">
        <f t="shared" si="4"/>
        <v>40</v>
      </c>
      <c r="J62" s="41">
        <f t="shared" si="5"/>
        <v>54.8</v>
      </c>
      <c r="M62" s="248" t="s">
        <v>238</v>
      </c>
      <c r="N62" s="293">
        <v>60.6</v>
      </c>
      <c r="O62" s="225">
        <f ca="1">N62*$P$65/$Q$65</f>
        <v>58.828697962798941</v>
      </c>
      <c r="P62" s="87">
        <v>2</v>
      </c>
      <c r="Q62" s="287">
        <f ca="1">O62*P62</f>
        <v>117.65739592559788</v>
      </c>
      <c r="R62" s="41">
        <f ca="1">Q59+Q61+Q62</f>
        <v>389.37608503100091</v>
      </c>
      <c r="S62" s="36"/>
    </row>
    <row r="63" spans="1:25" x14ac:dyDescent="0.25">
      <c r="A63" s="294" t="s">
        <v>258</v>
      </c>
      <c r="B63">
        <v>200</v>
      </c>
      <c r="C63" s="183">
        <v>4.4999999999999997E-3</v>
      </c>
      <c r="D63" s="291">
        <f ca="1">B63*C63/365*$P$66</f>
        <v>8.1369863013698626E-2</v>
      </c>
      <c r="E63" s="36">
        <f ca="1">B63*$O$88/365*$P$66</f>
        <v>0.52584621004566212</v>
      </c>
      <c r="F63" s="36">
        <f ca="1">B63*M5%/365*$P$66</f>
        <v>0.55903989041095903</v>
      </c>
      <c r="G63" s="190">
        <f ca="1">G62/0.0426</f>
        <v>2.190543872060366</v>
      </c>
      <c r="I63" s="82">
        <f t="shared" si="4"/>
        <v>30</v>
      </c>
      <c r="J63" s="41">
        <f t="shared" si="5"/>
        <v>41.1</v>
      </c>
      <c r="R63" s="41"/>
      <c r="S63" s="36"/>
      <c r="T63" s="295"/>
    </row>
    <row r="64" spans="1:25" x14ac:dyDescent="0.25">
      <c r="A64" s="294" t="s">
        <v>237</v>
      </c>
      <c r="B64">
        <v>100</v>
      </c>
      <c r="C64" s="183">
        <v>4.4999999999999997E-3</v>
      </c>
      <c r="D64" s="296">
        <f ca="1">B64*C64/365*$P$66</f>
        <v>4.0684931506849313E-2</v>
      </c>
      <c r="E64" s="36">
        <f ca="1">B64*$O$88/365*$P$66</f>
        <v>0.26292310502283106</v>
      </c>
      <c r="F64" s="36">
        <f ca="1">B64*M5%/365*$P$66</f>
        <v>0.27951994520547951</v>
      </c>
      <c r="H64" t="s">
        <v>259</v>
      </c>
      <c r="I64" s="82">
        <f t="shared" si="4"/>
        <v>20</v>
      </c>
      <c r="J64" s="41">
        <f t="shared" si="5"/>
        <v>27.4</v>
      </c>
      <c r="M64" s="52" t="s">
        <v>260</v>
      </c>
      <c r="N64" s="297" t="s">
        <v>261</v>
      </c>
      <c r="O64" s="297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98">
        <f>SUMPRODUCT(B62:B64,C62:C64)/B65</f>
        <v>3.8999999999999998E-3</v>
      </c>
      <c r="D65" s="296">
        <f ca="1">SUM(D62:D64)</f>
        <v>0.1763013698630137</v>
      </c>
      <c r="E65" s="36">
        <f ca="1">SUM(E62:E64)</f>
        <v>1.3146155251141554</v>
      </c>
      <c r="F65" s="36">
        <f ca="1">SUM(F62:F64)</f>
        <v>1.3975997260273976</v>
      </c>
      <c r="H65">
        <f ca="1">G62/P66</f>
        <v>2.8277929984779275E-3</v>
      </c>
      <c r="I65" s="82">
        <f t="shared" si="4"/>
        <v>10</v>
      </c>
      <c r="J65" s="41">
        <f t="shared" si="5"/>
        <v>13.7</v>
      </c>
      <c r="M65" s="87" t="s">
        <v>266</v>
      </c>
      <c r="N65" s="299">
        <f ca="1">TODAY()</f>
        <v>46246</v>
      </c>
      <c r="O65" s="299">
        <f ca="1">EDATE(N65,36)</f>
        <v>47342</v>
      </c>
      <c r="P65" s="87">
        <f ca="1">O65-N65</f>
        <v>1096</v>
      </c>
      <c r="Q65" s="87">
        <f ca="1">P65+P66</f>
        <v>1129</v>
      </c>
      <c r="T65" s="136">
        <v>2500</v>
      </c>
      <c r="U65">
        <v>2252</v>
      </c>
      <c r="W65" s="41"/>
    </row>
    <row r="66" spans="1:25" x14ac:dyDescent="0.25">
      <c r="D66" s="300">
        <f ca="1">D65/P66</f>
        <v>5.342465753424658E-3</v>
      </c>
      <c r="E66">
        <f ca="1">E65/P66</f>
        <v>3.9836834094368341E-2</v>
      </c>
      <c r="F66" s="81">
        <f ca="1">F65/P66</f>
        <v>4.2351506849315081E-2</v>
      </c>
      <c r="I66" s="82">
        <f t="shared" si="4"/>
        <v>0</v>
      </c>
      <c r="J66" s="41">
        <f t="shared" si="5"/>
        <v>0</v>
      </c>
      <c r="M66" s="87" t="s">
        <v>267</v>
      </c>
      <c r="N66" s="299">
        <f ca="1">TODAY()+1</f>
        <v>46247</v>
      </c>
      <c r="O66" s="301">
        <v>46280</v>
      </c>
      <c r="P66" s="87">
        <f ca="1">O66-N66</f>
        <v>33</v>
      </c>
      <c r="Q66" s="87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88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302"/>
      <c r="F68" s="37"/>
      <c r="G68" s="37"/>
      <c r="H68" s="303"/>
      <c r="I68" s="303"/>
      <c r="J68" s="37"/>
      <c r="M68" s="137" t="s">
        <v>270</v>
      </c>
      <c r="R68">
        <f>3020*0.4%/365</f>
        <v>3.3095890410958902E-2</v>
      </c>
      <c r="U68" s="288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54"/>
      <c r="F69" s="38"/>
      <c r="G69" s="38"/>
      <c r="H69" s="268"/>
      <c r="I69" s="304"/>
      <c r="M69" s="285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48" t="s">
        <v>277</v>
      </c>
      <c r="B70" s="59">
        <f>B46</f>
        <v>9799.48</v>
      </c>
      <c r="C70" s="305">
        <v>10261</v>
      </c>
      <c r="D70" s="306"/>
      <c r="E70" s="87">
        <v>100</v>
      </c>
      <c r="F70" s="213">
        <f>(C70-B70)*E70*10000</f>
        <v>461520000.00000042</v>
      </c>
      <c r="G70" s="38"/>
      <c r="H70" s="45">
        <v>100</v>
      </c>
      <c r="I70" s="307">
        <v>3.0000000000000001E-3</v>
      </c>
      <c r="J70">
        <f>H70*I70/365</f>
        <v>8.2191780821917802E-4</v>
      </c>
      <c r="M70" s="248" t="s">
        <v>278</v>
      </c>
      <c r="N70" s="59">
        <v>127.1</v>
      </c>
      <c r="O70" s="225">
        <f ca="1">N70*$P$76/$Q$76</f>
        <v>114.18163934426229</v>
      </c>
      <c r="P70" s="87">
        <v>1</v>
      </c>
      <c r="Q70" s="287">
        <f ca="1">O70*P70</f>
        <v>114.18163934426229</v>
      </c>
    </row>
    <row r="71" spans="1:25" x14ac:dyDescent="0.25">
      <c r="A71" s="248" t="s">
        <v>205</v>
      </c>
      <c r="B71" s="232">
        <f>B47</f>
        <v>103.25</v>
      </c>
      <c r="C71" s="308">
        <v>106.99</v>
      </c>
      <c r="D71" s="87"/>
      <c r="E71" s="309">
        <v>-138.92635658914728</v>
      </c>
      <c r="F71" s="310">
        <f>(C71-B71)*E71*1000000</f>
        <v>-519584573.64341009</v>
      </c>
      <c r="G71" s="38"/>
      <c r="H71">
        <v>0</v>
      </c>
      <c r="I71" s="298">
        <v>2.5000000000000001E-3</v>
      </c>
      <c r="J71">
        <f>H71*I71/365</f>
        <v>0</v>
      </c>
      <c r="M71" s="248" t="s">
        <v>279</v>
      </c>
      <c r="N71" s="59">
        <v>81.2</v>
      </c>
      <c r="O71" s="225">
        <f ca="1">N71*$P$76/$Q$76</f>
        <v>72.94688524590164</v>
      </c>
      <c r="P71" s="87">
        <v>2</v>
      </c>
      <c r="Q71" s="287">
        <f ca="1">O71*P71</f>
        <v>145.89377049180328</v>
      </c>
    </row>
    <row r="72" spans="1:25" x14ac:dyDescent="0.25">
      <c r="A72" s="248" t="s">
        <v>101</v>
      </c>
      <c r="B72" s="58"/>
      <c r="C72" s="224">
        <f>C48</f>
        <v>847030.1369863014</v>
      </c>
      <c r="D72" s="87"/>
      <c r="E72" s="87">
        <f>E70/100</f>
        <v>1</v>
      </c>
      <c r="F72" s="311">
        <f>-C72*D39*$E$72</f>
        <v>-2541090.4109589043</v>
      </c>
      <c r="G72" s="38"/>
      <c r="H72">
        <v>250</v>
      </c>
      <c r="I72" s="298">
        <v>3.5000000000000001E-3</v>
      </c>
      <c r="J72">
        <f>H72*I72/365</f>
        <v>2.3972602739726029E-3</v>
      </c>
      <c r="M72" s="208" t="s">
        <v>208</v>
      </c>
      <c r="N72" s="289">
        <v>147.9</v>
      </c>
      <c r="O72" s="225">
        <f ca="1">N72*$P$76/$Q$76</f>
        <v>132.86754098360655</v>
      </c>
      <c r="P72" s="87">
        <v>1</v>
      </c>
      <c r="Q72" s="287">
        <f ca="1">O72*P72</f>
        <v>132.86754098360655</v>
      </c>
      <c r="W72" s="41"/>
    </row>
    <row r="73" spans="1:25" x14ac:dyDescent="0.25">
      <c r="A73" s="248" t="s">
        <v>192</v>
      </c>
      <c r="B73" s="58"/>
      <c r="C73" s="68"/>
      <c r="D73" s="58"/>
      <c r="E73" s="58"/>
      <c r="F73" s="312">
        <f>SUM(F70:F72)</f>
        <v>-60605664.05436857</v>
      </c>
      <c r="G73" s="38"/>
      <c r="I73" s="36"/>
      <c r="J73" s="313">
        <f>SUM(J70:J72)</f>
        <v>3.2191780821917808E-3</v>
      </c>
      <c r="M73" s="248" t="s">
        <v>216</v>
      </c>
      <c r="N73" s="293">
        <v>65.3</v>
      </c>
      <c r="O73" s="225">
        <f ca="1">N73*$P$76/$Q$76</f>
        <v>58.662950819672133</v>
      </c>
      <c r="P73" s="87">
        <v>2</v>
      </c>
      <c r="Q73" s="287">
        <f ca="1">O73*P73</f>
        <v>117.32590163934427</v>
      </c>
      <c r="R73" s="41">
        <f ca="1">Q72+Q71+Q73</f>
        <v>396.08721311475404</v>
      </c>
      <c r="W73" s="41"/>
    </row>
    <row r="74" spans="1:25" x14ac:dyDescent="0.25">
      <c r="A74" s="38"/>
      <c r="B74" s="38"/>
      <c r="C74" s="38"/>
      <c r="D74" s="38"/>
      <c r="E74" s="254"/>
      <c r="F74" s="38"/>
      <c r="G74" s="38"/>
      <c r="I74" s="41"/>
      <c r="T74">
        <v>2000</v>
      </c>
      <c r="W74" s="41"/>
      <c r="Y74" s="41"/>
    </row>
    <row r="75" spans="1:25" x14ac:dyDescent="0.25">
      <c r="A75" s="248" t="s">
        <v>280</v>
      </c>
      <c r="B75" s="314">
        <v>10167.85</v>
      </c>
      <c r="C75" s="315">
        <f>ROUNDDOWN([1]채권단가계산표!L18,0)-0.5</f>
        <v>9320.5</v>
      </c>
      <c r="D75" s="316">
        <v>3.23</v>
      </c>
      <c r="E75" s="87">
        <v>100</v>
      </c>
      <c r="F75" s="213">
        <f>(C75-B75)*E75*10000</f>
        <v>-847350000.00000024</v>
      </c>
      <c r="G75" s="38"/>
      <c r="I75" s="41">
        <f>4*82</f>
        <v>328</v>
      </c>
      <c r="M75" s="52" t="s">
        <v>79</v>
      </c>
      <c r="N75" s="297" t="s">
        <v>281</v>
      </c>
      <c r="O75" s="297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48" t="s">
        <v>284</v>
      </c>
      <c r="B76" s="59">
        <f>B47</f>
        <v>103.25</v>
      </c>
      <c r="C76" s="317">
        <v>105.18</v>
      </c>
      <c r="D76" s="87">
        <v>3.42</v>
      </c>
      <c r="E76" s="309">
        <v>-74.950381679389309</v>
      </c>
      <c r="F76" s="213">
        <f>(C76-B76)*E76*1000000</f>
        <v>-144654236.64122188</v>
      </c>
      <c r="G76" s="38"/>
      <c r="I76" s="41"/>
      <c r="M76" s="87" t="s">
        <v>285</v>
      </c>
      <c r="N76" s="299">
        <f ca="1">TODAY()</f>
        <v>46246</v>
      </c>
      <c r="O76" s="299">
        <f ca="1">EDATE(N76,36)</f>
        <v>47342</v>
      </c>
      <c r="P76" s="87">
        <f ca="1">O76-N76</f>
        <v>1096</v>
      </c>
      <c r="Q76" s="87">
        <f ca="1">P76+P77</f>
        <v>1220</v>
      </c>
      <c r="T76">
        <f>T75/4</f>
        <v>15</v>
      </c>
      <c r="W76" s="41"/>
    </row>
    <row r="77" spans="1:25" x14ac:dyDescent="0.25">
      <c r="A77" s="87" t="s">
        <v>101</v>
      </c>
      <c r="B77" s="87"/>
      <c r="C77" s="224">
        <v>986857.5342465752</v>
      </c>
      <c r="D77" s="87"/>
      <c r="E77" s="87"/>
      <c r="F77" s="224">
        <f>$F$43</f>
        <v>2541090.4109589043</v>
      </c>
      <c r="G77" s="38"/>
      <c r="I77" s="41"/>
      <c r="M77" s="87" t="s">
        <v>267</v>
      </c>
      <c r="N77" s="299">
        <f ca="1">TODAY()+1</f>
        <v>46247</v>
      </c>
      <c r="O77" s="301">
        <v>46371</v>
      </c>
      <c r="P77" s="87">
        <f ca="1">O77-N77</f>
        <v>124</v>
      </c>
      <c r="Q77" s="87"/>
    </row>
    <row r="78" spans="1:25" x14ac:dyDescent="0.25">
      <c r="A78" s="87" t="s">
        <v>192</v>
      </c>
      <c r="B78" s="87"/>
      <c r="C78" s="87"/>
      <c r="D78" s="87"/>
      <c r="E78" s="87"/>
      <c r="F78" s="312">
        <f>SUM(F75:F77)</f>
        <v>-989463146.23026323</v>
      </c>
      <c r="I78" s="41"/>
      <c r="T78" t="s">
        <v>286</v>
      </c>
      <c r="X78" s="82">
        <v>100</v>
      </c>
      <c r="Y78" s="254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48" t="s">
        <v>288</v>
      </c>
      <c r="B80" s="59">
        <f>B56</f>
        <v>9567.81</v>
      </c>
      <c r="C80" s="318">
        <v>10201.5</v>
      </c>
      <c r="D80" s="319"/>
      <c r="E80" s="87">
        <v>100</v>
      </c>
      <c r="F80" s="212">
        <f>(C80-B80)*E80*10000</f>
        <v>633690000.00000048</v>
      </c>
      <c r="I80" s="41"/>
      <c r="M80" s="320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48" t="s">
        <v>284</v>
      </c>
      <c r="B81" s="232">
        <f>B71</f>
        <v>103.25</v>
      </c>
      <c r="C81" s="308">
        <v>105.79</v>
      </c>
      <c r="D81" s="87" t="str">
        <f>_xll.IMDP("FUT","165TC000","국채수익률")</f>
        <v/>
      </c>
      <c r="E81" s="309">
        <v>-82</v>
      </c>
      <c r="F81" s="212">
        <f>(C81-B81)*E81*1000000</f>
        <v>-208280000.00000051</v>
      </c>
      <c r="I81" s="41"/>
      <c r="M81" s="52" t="s">
        <v>290</v>
      </c>
      <c r="N81" s="321">
        <f ca="1">TODAY()+1</f>
        <v>46247</v>
      </c>
      <c r="O81" s="322"/>
      <c r="P81" s="323"/>
      <c r="Q81" s="323"/>
      <c r="R81" s="323"/>
      <c r="X81">
        <v>70</v>
      </c>
      <c r="Y81" s="41">
        <f t="shared" si="6"/>
        <v>0</v>
      </c>
    </row>
    <row r="82" spans="1:25" ht="14.25" thickBot="1" x14ac:dyDescent="0.3">
      <c r="A82" s="87" t="s">
        <v>291</v>
      </c>
      <c r="B82" s="87"/>
      <c r="C82" s="224">
        <v>986857.5342465752</v>
      </c>
      <c r="D82" s="87"/>
      <c r="E82" s="87">
        <f>E80/100</f>
        <v>1</v>
      </c>
      <c r="F82" s="324">
        <f>-C82*D39*E82</f>
        <v>-2960572.6027397257</v>
      </c>
      <c r="G82" s="30"/>
      <c r="I82" s="41"/>
      <c r="M82" s="52" t="s">
        <v>292</v>
      </c>
      <c r="N82" s="321">
        <f>$O$66</f>
        <v>46280</v>
      </c>
      <c r="O82" s="322"/>
      <c r="P82" s="323"/>
      <c r="Q82" s="323"/>
      <c r="R82" s="323"/>
      <c r="X82">
        <v>60</v>
      </c>
      <c r="Y82" s="41">
        <f t="shared" si="6"/>
        <v>0</v>
      </c>
    </row>
    <row r="83" spans="1:25" x14ac:dyDescent="0.15">
      <c r="A83" s="87" t="s">
        <v>293</v>
      </c>
      <c r="B83" s="87"/>
      <c r="C83" s="87"/>
      <c r="D83" s="87"/>
      <c r="E83" s="87"/>
      <c r="F83" s="230">
        <f>SUM(F80:F82)</f>
        <v>422449427.39726025</v>
      </c>
      <c r="H83" s="325"/>
      <c r="I83" s="41"/>
      <c r="M83" s="326"/>
      <c r="N83" s="327"/>
      <c r="O83" s="328"/>
      <c r="P83" s="323"/>
      <c r="Q83" s="323"/>
      <c r="R83" s="323"/>
      <c r="X83">
        <v>50</v>
      </c>
      <c r="Y83" s="41">
        <f t="shared" si="6"/>
        <v>0</v>
      </c>
    </row>
    <row r="84" spans="1:25" x14ac:dyDescent="0.25">
      <c r="A84" s="124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323" t="s">
        <v>105</v>
      </c>
      <c r="Q84" s="323"/>
      <c r="R84" s="323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8">
        <v>1</v>
      </c>
      <c r="H85" s="84"/>
      <c r="I85" s="41"/>
      <c r="M85" s="329" t="s">
        <v>298</v>
      </c>
      <c r="N85" s="330">
        <f>1/365</f>
        <v>2.7397260273972603E-3</v>
      </c>
      <c r="O85" s="331">
        <v>2.896E-2</v>
      </c>
      <c r="P85" s="323"/>
      <c r="Q85" s="332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33" t="s">
        <v>102</v>
      </c>
      <c r="G86" s="52" t="s">
        <v>139</v>
      </c>
      <c r="J86" s="41"/>
      <c r="M86" s="329" t="s">
        <v>299</v>
      </c>
      <c r="N86" s="334">
        <f>91/365</f>
        <v>0.24931506849315069</v>
      </c>
      <c r="O86" s="335">
        <v>2.93E-2</v>
      </c>
      <c r="P86" s="336"/>
      <c r="Q86" s="332"/>
      <c r="X86">
        <v>20</v>
      </c>
      <c r="Y86" s="41">
        <f t="shared" si="6"/>
        <v>0</v>
      </c>
    </row>
    <row r="87" spans="1:25" ht="17.25" x14ac:dyDescent="0.25">
      <c r="A87" s="248" t="s">
        <v>300</v>
      </c>
      <c r="B87" s="59">
        <v>9675.64</v>
      </c>
      <c r="C87" s="337">
        <f>ROUNDDOWN([1]채권단가계산표!N18,0)-0.5</f>
        <v>8900.5</v>
      </c>
      <c r="D87" s="148">
        <v>3.39</v>
      </c>
      <c r="E87" s="87">
        <v>100</v>
      </c>
      <c r="F87" s="212">
        <f>(C87-B87)*E87*10000</f>
        <v>-775139999.9999994</v>
      </c>
      <c r="G87" s="338" t="e">
        <f>_xll.IMDP("FUT","170V3000","저평가")*100</f>
        <v>#VALUE!</v>
      </c>
      <c r="M87" s="339" t="s">
        <v>301</v>
      </c>
      <c r="N87" s="340">
        <v>1</v>
      </c>
      <c r="O87" s="341">
        <v>3.2480000000000002E-2</v>
      </c>
      <c r="P87" s="323"/>
      <c r="Q87" s="332"/>
      <c r="X87">
        <v>10</v>
      </c>
      <c r="Y87" s="41">
        <f t="shared" si="6"/>
        <v>0</v>
      </c>
    </row>
    <row r="88" spans="1:25" x14ac:dyDescent="0.15">
      <c r="A88" s="248" t="s">
        <v>302</v>
      </c>
      <c r="B88" s="59">
        <v>129.56</v>
      </c>
      <c r="C88" s="342" t="str">
        <f>_xll.IMDP("FUT","170V6000","선물호가_현재가")</f>
        <v/>
      </c>
      <c r="D88" s="87" t="str">
        <f>_xll.IMDP("FUT","165V3000","국채수익률")</f>
        <v/>
      </c>
      <c r="E88" s="309">
        <v>-79.7</v>
      </c>
      <c r="F88" s="212" t="e">
        <f>(C88-B88)*E88*1000000</f>
        <v>#VALUE!</v>
      </c>
      <c r="M88" s="343" t="s">
        <v>303</v>
      </c>
      <c r="N88" s="344">
        <f ca="1">(N82-N81)/365</f>
        <v>9.0410958904109592E-2</v>
      </c>
      <c r="O88" s="345">
        <f ca="1">((N88-N85)/(N86-N85))*(O86-O85)+O85</f>
        <v>2.9080888888888889E-2</v>
      </c>
      <c r="P88" s="323" t="s">
        <v>304</v>
      </c>
      <c r="Q88" s="332"/>
      <c r="R88" s="323"/>
      <c r="S88" s="36">
        <f ca="1">O88/365*100000000</f>
        <v>7967.3668188736674</v>
      </c>
    </row>
    <row r="89" spans="1:25" x14ac:dyDescent="0.15">
      <c r="A89" s="87" t="s">
        <v>101</v>
      </c>
      <c r="B89" s="87"/>
      <c r="C89" s="224">
        <f>$O$5</f>
        <v>847030.1369863014</v>
      </c>
      <c r="D89" s="87"/>
      <c r="E89" s="87">
        <f>E87/100</f>
        <v>1</v>
      </c>
      <c r="F89" s="324">
        <f>-C89*D85*E89</f>
        <v>-847030.1369863014</v>
      </c>
      <c r="M89" s="346"/>
      <c r="N89" s="347"/>
      <c r="O89" s="347"/>
      <c r="P89" s="347"/>
      <c r="Q89" s="347"/>
      <c r="R89" s="347"/>
      <c r="V89" s="30"/>
    </row>
    <row r="90" spans="1:25" x14ac:dyDescent="0.15">
      <c r="A90" s="87" t="s">
        <v>192</v>
      </c>
      <c r="B90" s="87"/>
      <c r="C90" s="87"/>
      <c r="D90" s="87"/>
      <c r="E90" s="87"/>
      <c r="F90" s="230" t="e">
        <f>SUM(F87:F89)</f>
        <v>#VALUE!</v>
      </c>
      <c r="M90" s="346"/>
      <c r="N90" s="347"/>
      <c r="O90" s="347"/>
      <c r="P90" s="347"/>
      <c r="Q90" s="347"/>
      <c r="R90" s="347"/>
    </row>
    <row r="91" spans="1:25" x14ac:dyDescent="0.25">
      <c r="A91" s="42"/>
      <c r="D91" s="168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48"/>
      <c r="V91" s="94"/>
    </row>
    <row r="92" spans="1:25" x14ac:dyDescent="0.15">
      <c r="A92" s="248" t="s">
        <v>312</v>
      </c>
      <c r="B92" s="59">
        <v>10376.14</v>
      </c>
      <c r="C92" s="337" t="str">
        <f>_xll.IMDP("BND","KR103502GD98","장내국채-현재가격")</f>
        <v/>
      </c>
      <c r="D92" s="349" t="str">
        <f>_xll.IMDP("BND","KR103502GD98","장내국채-현재수익률")</f>
        <v/>
      </c>
      <c r="E92" s="87">
        <v>100</v>
      </c>
      <c r="F92" s="213" t="e">
        <f>(C92-B92)*E92*10000</f>
        <v>#VALUE!</v>
      </c>
      <c r="H92" s="129"/>
      <c r="M92" s="350" t="s">
        <v>313</v>
      </c>
      <c r="N92" s="351">
        <v>45818</v>
      </c>
      <c r="O92" s="351">
        <v>46914</v>
      </c>
      <c r="P92" s="352">
        <v>2.2499999999999999E-2</v>
      </c>
      <c r="Q92" s="353">
        <v>6</v>
      </c>
      <c r="R92" s="354">
        <f>C46</f>
        <v>9799.5</v>
      </c>
      <c r="S92" s="67">
        <f>R92*E41*2*10000</f>
        <v>-19599000000</v>
      </c>
      <c r="T92" s="68">
        <f ca="1">S92*$M$5/100/365*$N$88*365</f>
        <v>-54783114.060821921</v>
      </c>
      <c r="V92" s="91"/>
    </row>
    <row r="93" spans="1:25" x14ac:dyDescent="0.15">
      <c r="A93" s="248" t="s">
        <v>302</v>
      </c>
      <c r="B93" s="232">
        <f>B88</f>
        <v>129.56</v>
      </c>
      <c r="C93" s="342" t="str">
        <f>_xll.IMDP("FUT","170V3000","선물호가_현재가")</f>
        <v/>
      </c>
      <c r="D93" s="87" t="str">
        <f>_xll.IMDP("FUT","165V3000","국채수익률")</f>
        <v/>
      </c>
      <c r="E93" s="309">
        <v>-80</v>
      </c>
      <c r="F93" s="213" t="e">
        <f>(C93-B93)*E93*1000000</f>
        <v>#VALUE!</v>
      </c>
      <c r="M93" s="355" t="s">
        <v>314</v>
      </c>
      <c r="N93" s="351">
        <v>45726</v>
      </c>
      <c r="O93" s="351">
        <v>47552</v>
      </c>
      <c r="P93" s="356">
        <v>2.6249999999999999E-2</v>
      </c>
      <c r="Q93" s="353">
        <v>6</v>
      </c>
      <c r="R93" s="357">
        <f>C41</f>
        <v>9839.5</v>
      </c>
      <c r="S93" s="67">
        <f>R93*E46*10000</f>
        <v>-9839500000</v>
      </c>
      <c r="T93" s="68">
        <f ca="1">S93*$M$5/100/365*$N$88*365</f>
        <v>-27503365.008493152</v>
      </c>
    </row>
    <row r="94" spans="1:25" x14ac:dyDescent="0.15">
      <c r="A94" s="87" t="s">
        <v>101</v>
      </c>
      <c r="B94" s="87"/>
      <c r="C94" s="224">
        <f>$O$5</f>
        <v>847030.1369863014</v>
      </c>
      <c r="D94" s="87"/>
      <c r="E94" s="87">
        <f>E92/100</f>
        <v>1</v>
      </c>
      <c r="F94" s="224">
        <f>-C94*D85*E94</f>
        <v>-847030.1369863014</v>
      </c>
      <c r="M94" s="350" t="s">
        <v>315</v>
      </c>
      <c r="N94" s="351">
        <v>45636</v>
      </c>
      <c r="O94" s="351">
        <v>46731</v>
      </c>
      <c r="P94" s="352">
        <v>2.8750000000000001E-2</v>
      </c>
      <c r="Q94" s="353">
        <v>6</v>
      </c>
      <c r="R94" s="354">
        <f>C51</f>
        <v>9871.5</v>
      </c>
      <c r="S94" s="67">
        <f>R94*E51*2*10000</f>
        <v>-19743000000</v>
      </c>
      <c r="T94" s="68">
        <f ca="1">S94*$M$5/100/365*$N$88*365</f>
        <v>-55185622.781917803</v>
      </c>
    </row>
    <row r="95" spans="1:25" x14ac:dyDescent="0.25">
      <c r="A95" s="87" t="s">
        <v>192</v>
      </c>
      <c r="B95" s="87"/>
      <c r="C95" s="87"/>
      <c r="D95" s="87"/>
      <c r="E95" s="87"/>
      <c r="F95" s="312" t="e">
        <f>SUM(F92:F94)</f>
        <v>#VALUE!</v>
      </c>
    </row>
    <row r="96" spans="1:25" x14ac:dyDescent="0.25">
      <c r="M96" s="358"/>
      <c r="N96" s="358"/>
      <c r="O96" s="358"/>
      <c r="P96" s="358"/>
      <c r="Q96" s="358"/>
      <c r="R96" s="358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59">
        <v>46001</v>
      </c>
      <c r="N98" s="360">
        <f ca="1">(M98-$N$81)/365</f>
        <v>-0.67397260273972603</v>
      </c>
      <c r="O98" s="361">
        <f ca="1">(N98-N86)/(N87-N86)*(O87-O86)+O86</f>
        <v>2.5388832116788319E-2</v>
      </c>
      <c r="P98" s="362">
        <f>IF($N$82&gt;M98,10000*P92/(12/Q92),0)</f>
        <v>112.5</v>
      </c>
      <c r="Q98" s="362">
        <f ca="1">P98/(1+O98*N98)</f>
        <v>114.45854331556289</v>
      </c>
      <c r="R98" s="362">
        <f ca="1">(R92-Q98)*(1+$O$88*$N$88)</f>
        <v>9710.5056684050996</v>
      </c>
      <c r="S98" s="67">
        <f ca="1">R98*E56*2*10000</f>
        <v>-19421011336.8102</v>
      </c>
      <c r="T98" s="363">
        <f ca="1">S98-S92</f>
        <v>177988663.18980026</v>
      </c>
      <c r="U98" s="67">
        <f>P98*E56*2*10000</f>
        <v>-225000000</v>
      </c>
      <c r="V98" s="67">
        <f>U98*$M$5/100/365*($N$82-M98)</f>
        <v>-5317231.6849315073</v>
      </c>
    </row>
    <row r="99" spans="3:22" x14ac:dyDescent="0.25">
      <c r="M99" s="359">
        <v>46091</v>
      </c>
      <c r="N99" s="360">
        <f ca="1">(M99-$N$81)/365</f>
        <v>-0.42739726027397262</v>
      </c>
      <c r="O99" s="361">
        <f ca="1">(N99-N85)/(N86-N85)*(O86-O85)+O85</f>
        <v>2.8366888888888889E-2</v>
      </c>
      <c r="P99" s="362">
        <f>IF($N$82&gt;M99,10000*P93/(12/Q93),0)</f>
        <v>131.25</v>
      </c>
      <c r="Q99" s="362">
        <f ca="1">P99/(1+O99*N99)</f>
        <v>132.86079505789337</v>
      </c>
      <c r="R99" s="362">
        <f ca="1">(R93-Q99)*(1+$O$88*$N$88)</f>
        <v>9732.1602021331037</v>
      </c>
      <c r="S99" s="67">
        <f ca="1">R99*E46*10000</f>
        <v>-9732160202.1331043</v>
      </c>
      <c r="T99" s="363">
        <f ca="1">S99-S93</f>
        <v>107339797.86689568</v>
      </c>
      <c r="U99" s="67">
        <f>P99*E46*10000</f>
        <v>-131250000</v>
      </c>
      <c r="V99" s="67">
        <f>U99*$M$5/100/365*($N$82-M99)</f>
        <v>-2101164.1335616438</v>
      </c>
    </row>
    <row r="100" spans="3:22" x14ac:dyDescent="0.25">
      <c r="M100" s="359">
        <v>46001</v>
      </c>
      <c r="N100" s="360">
        <f ca="1">(M100-$N$81)/365</f>
        <v>-0.67397260273972603</v>
      </c>
      <c r="O100" s="361">
        <f ca="1">(N100-N86)/(N87-N86)*(O87-O86)+O86</f>
        <v>2.5388832116788319E-2</v>
      </c>
      <c r="P100" s="362">
        <f>IF($N$82&gt;M100,10000*P94/(12/Q94),0)</f>
        <v>143.75</v>
      </c>
      <c r="Q100" s="362">
        <f ca="1">P100/(1+O100*N100)</f>
        <v>146.25258312544148</v>
      </c>
      <c r="R100" s="362">
        <f ca="1">(R94-Q100)*(1+$O$88*$N$88)</f>
        <v>9750.8173393541583</v>
      </c>
      <c r="S100" s="67">
        <f ca="1">R100*E51*2*10000</f>
        <v>-19501634678.708317</v>
      </c>
      <c r="T100" s="363">
        <f ca="1">S100-S94</f>
        <v>241365321.2916832</v>
      </c>
      <c r="U100" s="67">
        <f>P100*E51*2*10000</f>
        <v>-287500000</v>
      </c>
      <c r="V100" s="67">
        <f>U100*$M$5/100/365*($N$82-M100)</f>
        <v>-6794240.486301369</v>
      </c>
    </row>
    <row r="101" spans="3:22" x14ac:dyDescent="0.25">
      <c r="R101" s="323"/>
    </row>
    <row r="102" spans="3:22" ht="16.5" x14ac:dyDescent="0.25">
      <c r="M102" s="137" t="s">
        <v>326</v>
      </c>
      <c r="N102" s="323"/>
      <c r="O102" s="323"/>
      <c r="P102" s="323"/>
      <c r="Q102" s="323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64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63">
        <f ca="1">T98+U98+V98-T92</f>
        <v>2454545.5656906739</v>
      </c>
      <c r="O104" s="363">
        <f ca="1">T99+U99+V99-T93</f>
        <v>1491998.7418271825</v>
      </c>
      <c r="P104" s="363">
        <f ca="1">T100+U100+V100-T94</f>
        <v>2256703.58729963</v>
      </c>
      <c r="Q104" s="363">
        <f ca="1">SUM(N104:P104)</f>
        <v>6203247.8948174864</v>
      </c>
    </row>
    <row r="105" spans="3:22" x14ac:dyDescent="0.25">
      <c r="E105" s="41"/>
      <c r="M105" s="76" t="s">
        <v>329</v>
      </c>
      <c r="N105" s="67">
        <f ca="1">-E57*$G$41*2*10000</f>
        <v>6887811.514614705</v>
      </c>
      <c r="O105" s="67">
        <f ca="1">-E47*$G$41*10000</f>
        <v>1647203.5429583704</v>
      </c>
      <c r="P105" s="67">
        <f ca="1">-E52*2*$G$41*10000</f>
        <v>7779367.2276350753</v>
      </c>
      <c r="Q105" s="173">
        <f ca="1">SUM(N105:P105)</f>
        <v>16314382.285208151</v>
      </c>
    </row>
    <row r="106" spans="3:22" ht="17.25" x14ac:dyDescent="0.25">
      <c r="M106" s="76" t="s">
        <v>330</v>
      </c>
      <c r="N106" s="363">
        <f ca="1">SUM(N104:N105)</f>
        <v>9342357.0803053789</v>
      </c>
      <c r="O106" s="363">
        <f ca="1">SUM(O104:O105)</f>
        <v>3139202.2847855529</v>
      </c>
      <c r="P106" s="363">
        <f ca="1">SUM(P104:P105)</f>
        <v>10036070.814934704</v>
      </c>
      <c r="Q106" s="365">
        <f ca="1">SUM(Q104:Q105)</f>
        <v>22517630.180025637</v>
      </c>
    </row>
    <row r="107" spans="3:22" x14ac:dyDescent="0.25">
      <c r="R107" s="30">
        <f ca="1">Q106*5</f>
        <v>112588150.90012819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7" priority="1" operator="equal">
      <formula>"SENT"</formula>
    </cfRule>
    <cfRule type="cellIs" dxfId="6" priority="2" operator="equal">
      <formula>"WATCHING"</formula>
    </cfRule>
    <cfRule type="cellIs" dxfId="5" priority="3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 activeCell="D41" sqref="D41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400" t="s">
        <v>1</v>
      </c>
      <c r="E4" s="10" t="s">
        <v>2</v>
      </c>
      <c r="F4" s="418" t="s">
        <v>3</v>
      </c>
      <c r="G4" s="419"/>
      <c r="H4" s="418" t="s">
        <v>4</v>
      </c>
      <c r="I4" s="419"/>
      <c r="J4" s="418" t="s">
        <v>5</v>
      </c>
      <c r="K4" s="419"/>
      <c r="L4" s="418" t="s">
        <v>6</v>
      </c>
      <c r="M4" s="419"/>
      <c r="N4" s="418" t="s">
        <v>7</v>
      </c>
      <c r="O4" s="419"/>
      <c r="P4" s="418" t="s">
        <v>8</v>
      </c>
      <c r="Q4" s="419"/>
      <c r="R4" s="418" t="s">
        <v>9</v>
      </c>
      <c r="S4" s="419"/>
      <c r="T4" s="418" t="s">
        <v>10</v>
      </c>
      <c r="U4" s="419"/>
      <c r="V4" s="418" t="s">
        <v>3</v>
      </c>
      <c r="W4" s="419"/>
      <c r="X4" s="418" t="s">
        <v>11</v>
      </c>
      <c r="Y4" s="419"/>
    </row>
    <row r="5" spans="2:26" x14ac:dyDescent="0.25">
      <c r="B5" s="9" t="s">
        <v>12</v>
      </c>
      <c r="C5" s="11" t="s">
        <v>13</v>
      </c>
      <c r="D5" s="402"/>
      <c r="E5" s="12" t="s">
        <v>14</v>
      </c>
      <c r="F5" s="420" t="str">
        <f>_xll.IMDP("BND",F$4,"한글종목명")</f>
        <v>국고04250-3606(26-6)</v>
      </c>
      <c r="G5" s="421"/>
      <c r="H5" s="422" t="str">
        <f>_xll.IMDP("BND",H$4,"한글종목명")</f>
        <v>국고02750-2812(25-10)</v>
      </c>
      <c r="I5" s="423"/>
      <c r="J5" s="424" t="str">
        <f>_xll.IMDP("BND",J$4,"한글종목명")</f>
        <v>국고02875-2712(24-12)</v>
      </c>
      <c r="K5" s="425"/>
      <c r="L5" s="426" t="str">
        <f>_xll.IMDP("BND",L$4,"한글종목명")</f>
        <v>국고03250-3512(25-11)</v>
      </c>
      <c r="M5" s="427"/>
      <c r="N5" s="422" t="str">
        <f>_xll.IMDP("BND",N$4,"한글종목명")</f>
        <v>국고02625-3506(25-5)</v>
      </c>
      <c r="O5" s="423"/>
      <c r="P5" s="428" t="str">
        <f>_xll.IMDP("BND",P$4,"한글종목명")</f>
        <v>국고02250-2806(25-4)</v>
      </c>
      <c r="Q5" s="429"/>
      <c r="R5" s="426" t="str">
        <f>_xll.IMDP("BND",R$4,"한글종목명")</f>
        <v>국고03375-3103(26-3)</v>
      </c>
      <c r="S5" s="427"/>
      <c r="T5" s="424" t="str">
        <f>_xll.IMDP("BND",T$4,"한글종목명")</f>
        <v>국고03500-3406(24-5)</v>
      </c>
      <c r="U5" s="425"/>
      <c r="V5" s="424" t="str">
        <f>_xll.IMDP("BND",V$4,"한글종목명")</f>
        <v>국고04250-3606(26-6)</v>
      </c>
      <c r="W5" s="425"/>
      <c r="X5" s="422" t="str">
        <f>_xll.IMDP("BND",X$4,"한글종목명")</f>
        <v>국고02500-3009(25-8)</v>
      </c>
      <c r="Y5" s="423"/>
    </row>
    <row r="6" spans="2:26" x14ac:dyDescent="0.25">
      <c r="B6" s="11" t="s">
        <v>15</v>
      </c>
      <c r="C6" s="11" t="s">
        <v>16</v>
      </c>
      <c r="D6" s="400" t="s">
        <v>17</v>
      </c>
      <c r="E6" s="13" t="s">
        <v>18</v>
      </c>
      <c r="F6" s="403">
        <f>_xll.IMDP("BND",F$4,"발행일")</f>
        <v>20260610</v>
      </c>
      <c r="G6" s="404"/>
      <c r="H6" s="405">
        <f>_xll.IMDP("BND",H$4,"발행일")</f>
        <v>20251210</v>
      </c>
      <c r="I6" s="406"/>
      <c r="J6" s="405">
        <f>_xll.IMDP("BND",J$4,"발행일")</f>
        <v>20241210</v>
      </c>
      <c r="K6" s="406"/>
      <c r="L6" s="405">
        <f>_xll.IMDP("BND",L$4,"발행일")</f>
        <v>20251210</v>
      </c>
      <c r="M6" s="406"/>
      <c r="N6" s="405">
        <f>_xll.IMDP("BND",N$4,"발행일")</f>
        <v>20250610</v>
      </c>
      <c r="O6" s="406"/>
      <c r="P6" s="405">
        <f>_xll.IMDP("BND",P$4,"발행일")</f>
        <v>20250610</v>
      </c>
      <c r="Q6" s="406"/>
      <c r="R6" s="405">
        <f>_xll.IMDP("BND",R$4,"발행일")</f>
        <v>20260310</v>
      </c>
      <c r="S6" s="406"/>
      <c r="T6" s="405">
        <f>_xll.IMDP("BND",T$4,"발행일")</f>
        <v>20240610</v>
      </c>
      <c r="U6" s="406"/>
      <c r="V6" s="405">
        <f>_xll.IMDP("BND",V$4,"발행일")</f>
        <v>20260610</v>
      </c>
      <c r="W6" s="406"/>
      <c r="X6" s="405">
        <f>_xll.IMDP("BND",X$4,"발행일")</f>
        <v>20250910</v>
      </c>
      <c r="Y6" s="406"/>
    </row>
    <row r="7" spans="2:26" x14ac:dyDescent="0.25">
      <c r="B7" s="11" t="s">
        <v>19</v>
      </c>
      <c r="C7" s="11" t="s">
        <v>20</v>
      </c>
      <c r="D7" s="402"/>
      <c r="E7" s="13" t="s">
        <v>21</v>
      </c>
      <c r="F7" s="403">
        <f>_xll.IMDP("BND",F$4,"만기일")</f>
        <v>20360610</v>
      </c>
      <c r="G7" s="404"/>
      <c r="H7" s="405">
        <f>_xll.IMDP("BND",H$4,"만기일")</f>
        <v>20281210</v>
      </c>
      <c r="I7" s="406"/>
      <c r="J7" s="405">
        <f>_xll.IMDP("BND",J$4,"만기일")</f>
        <v>20271210</v>
      </c>
      <c r="K7" s="406"/>
      <c r="L7" s="405">
        <f>_xll.IMDP("BND",L$4,"만기일")</f>
        <v>20351210</v>
      </c>
      <c r="M7" s="406"/>
      <c r="N7" s="405">
        <f>_xll.IMDP("BND",N$4,"만기일")</f>
        <v>20350610</v>
      </c>
      <c r="O7" s="406"/>
      <c r="P7" s="405">
        <f>_xll.IMDP("BND",P$4,"만기일")</f>
        <v>20280610</v>
      </c>
      <c r="Q7" s="406"/>
      <c r="R7" s="405">
        <f>_xll.IMDP("BND",R$4,"만기일")</f>
        <v>20310310</v>
      </c>
      <c r="S7" s="406"/>
      <c r="T7" s="405">
        <f>_xll.IMDP("BND",T$4,"만기일")</f>
        <v>20340610</v>
      </c>
      <c r="U7" s="406"/>
      <c r="V7" s="405">
        <f>_xll.IMDP("BND",V$4,"만기일")</f>
        <v>20360610</v>
      </c>
      <c r="W7" s="406"/>
      <c r="X7" s="405">
        <f>_xll.IMDP("BND",X$4,"만기일")</f>
        <v>20300910</v>
      </c>
      <c r="Y7" s="406"/>
    </row>
    <row r="8" spans="2:26" x14ac:dyDescent="0.25">
      <c r="B8" s="11" t="s">
        <v>22</v>
      </c>
      <c r="C8" s="11" t="s">
        <v>23</v>
      </c>
      <c r="D8" s="402"/>
      <c r="E8" s="13" t="s">
        <v>24</v>
      </c>
      <c r="F8" s="416" t="str">
        <f>ROUNDDOWN((DATE(LEFT(F7,4),MID(F7,5,2),RIGHT(F7,2))-DATE(LEFT(F6,4),MID(F6,5,2),RIGHT(F6,2)))/365,0)&amp;"Y"</f>
        <v>10Y</v>
      </c>
      <c r="G8" s="417"/>
      <c r="H8" s="414" t="str">
        <f t="shared" ref="H8:T8" si="0">ROUNDDOWN((DATE(LEFT(H7,4),MID(H7,5,2),RIGHT(H7,2))-DATE(LEFT(H6,4),MID(H6,5,2),RIGHT(H6,2)))/365,0)&amp;"Y"</f>
        <v>3Y</v>
      </c>
      <c r="I8" s="415"/>
      <c r="J8" s="414" t="str">
        <f t="shared" si="0"/>
        <v>3Y</v>
      </c>
      <c r="K8" s="415"/>
      <c r="L8" s="414" t="str">
        <f t="shared" si="0"/>
        <v>10Y</v>
      </c>
      <c r="M8" s="415"/>
      <c r="N8" s="414" t="str">
        <f t="shared" si="0"/>
        <v>10Y</v>
      </c>
      <c r="O8" s="415"/>
      <c r="P8" s="414" t="str">
        <f t="shared" si="0"/>
        <v>3Y</v>
      </c>
      <c r="Q8" s="415"/>
      <c r="R8" s="414" t="str">
        <f t="shared" si="0"/>
        <v>5Y</v>
      </c>
      <c r="S8" s="415"/>
      <c r="T8" s="414" t="str">
        <f t="shared" si="0"/>
        <v>10Y</v>
      </c>
      <c r="U8" s="415"/>
      <c r="V8" s="414" t="str">
        <f>ROUNDDOWN((DATE(LEFT(V7,4),MID(V7,5,2),RIGHT(V7,2))-DATE(LEFT(V6,4),MID(V6,5,2),RIGHT(V6,2)))/365,0)&amp;"Y"</f>
        <v>10Y</v>
      </c>
      <c r="W8" s="415"/>
      <c r="X8" s="414" t="str">
        <f>ROUNDDOWN((DATE(LEFT(X7,4),MID(X7,5,2),RIGHT(X7,2))-DATE(LEFT(X6,4),MID(X6,5,2),RIGHT(X6,2)))/365,0)&amp;"Y"</f>
        <v>5Y</v>
      </c>
      <c r="Y8" s="415"/>
    </row>
    <row r="9" spans="2:26" x14ac:dyDescent="0.25">
      <c r="B9" s="11" t="s">
        <v>25</v>
      </c>
      <c r="C9" s="11" t="s">
        <v>26</v>
      </c>
      <c r="D9" s="402"/>
      <c r="E9" s="13" t="s">
        <v>27</v>
      </c>
      <c r="F9" s="416">
        <f ca="1">DATE(LEFT(F7,4),MID(F7,5,2),RIGHT(F7,2))-TODAY()</f>
        <v>3590</v>
      </c>
      <c r="G9" s="417"/>
      <c r="H9" s="414">
        <f ca="1">DATE(LEFT(H7,4),MID(H7,5,2),RIGHT(H7,2))-TODAY()</f>
        <v>851</v>
      </c>
      <c r="I9" s="415"/>
      <c r="J9" s="414">
        <f t="shared" ref="J9:T9" ca="1" si="1">DATE(LEFT(J7,4),MID(J7,5,2),RIGHT(J7,2))-TODAY()</f>
        <v>485</v>
      </c>
      <c r="K9" s="415"/>
      <c r="L9" s="414">
        <f t="shared" ca="1" si="1"/>
        <v>3407</v>
      </c>
      <c r="M9" s="415"/>
      <c r="N9" s="414">
        <f t="shared" ca="1" si="1"/>
        <v>3224</v>
      </c>
      <c r="O9" s="415"/>
      <c r="P9" s="414">
        <f t="shared" ca="1" si="1"/>
        <v>668</v>
      </c>
      <c r="Q9" s="415"/>
      <c r="R9" s="414">
        <f t="shared" ca="1" si="1"/>
        <v>1671</v>
      </c>
      <c r="S9" s="415"/>
      <c r="T9" s="414">
        <f t="shared" ca="1" si="1"/>
        <v>2859</v>
      </c>
      <c r="U9" s="415"/>
      <c r="V9" s="414">
        <f ca="1">DATE(LEFT(V7,4),MID(V7,5,2),RIGHT(V7,2))-TODAY()</f>
        <v>3590</v>
      </c>
      <c r="W9" s="415"/>
      <c r="X9" s="414">
        <f ca="1">DATE(LEFT(X7,4),MID(X7,5,2),RIGHT(X7,2))-TODAY()</f>
        <v>1490</v>
      </c>
      <c r="Y9" s="415"/>
    </row>
    <row r="10" spans="2:26" x14ac:dyDescent="0.25">
      <c r="B10" s="11" t="s">
        <v>28</v>
      </c>
      <c r="C10" s="11" t="s">
        <v>29</v>
      </c>
      <c r="D10" s="402"/>
      <c r="E10" s="13" t="s">
        <v>30</v>
      </c>
      <c r="F10" s="403" t="str">
        <f>_xll.IMDP("BND",F$4,"이자종류")</f>
        <v>이표채</v>
      </c>
      <c r="G10" s="404"/>
      <c r="H10" s="405" t="str">
        <f>_xll.IMDP("BND",H$4,"이자종류")</f>
        <v>이표채</v>
      </c>
      <c r="I10" s="406"/>
      <c r="J10" s="405" t="str">
        <f>_xll.IMDP("BND",J$4,"이자종류")</f>
        <v>이표채</v>
      </c>
      <c r="K10" s="406"/>
      <c r="L10" s="405" t="str">
        <f>_xll.IMDP("BND",L$4,"이자종류")</f>
        <v>이표채</v>
      </c>
      <c r="M10" s="406"/>
      <c r="N10" s="405" t="str">
        <f>_xll.IMDP("BND",N$4,"이자종류")</f>
        <v>이표채</v>
      </c>
      <c r="O10" s="406"/>
      <c r="P10" s="405" t="str">
        <f>_xll.IMDP("BND",P$4,"이자종류")</f>
        <v>이표채</v>
      </c>
      <c r="Q10" s="406"/>
      <c r="R10" s="405" t="str">
        <f>_xll.IMDP("BND",R$4,"이자종류")</f>
        <v>이표채</v>
      </c>
      <c r="S10" s="406"/>
      <c r="T10" s="405" t="str">
        <f>_xll.IMDP("BND",T$4,"이자종류")</f>
        <v>이표채</v>
      </c>
      <c r="U10" s="406"/>
      <c r="V10" s="405" t="str">
        <f>_xll.IMDP("BND",V$4,"이자종류")</f>
        <v>이표채</v>
      </c>
      <c r="W10" s="406"/>
      <c r="X10" s="405" t="str">
        <f>_xll.IMDP("BND",X$4,"이자종류")</f>
        <v>이표채</v>
      </c>
      <c r="Y10" s="406"/>
    </row>
    <row r="11" spans="2:26" x14ac:dyDescent="0.25">
      <c r="D11" s="402"/>
      <c r="E11" s="13" t="s">
        <v>31</v>
      </c>
      <c r="F11" s="403">
        <f>_xll.IMDP("BND",F$4,"표면이율")</f>
        <v>4.25</v>
      </c>
      <c r="G11" s="404"/>
      <c r="H11" s="403">
        <f>_xll.IMDP("BND",H$4,"표면이율")</f>
        <v>2.75</v>
      </c>
      <c r="I11" s="404"/>
      <c r="J11" s="403">
        <f>_xll.IMDP("BND",J$4,"표면이율")</f>
        <v>2.875</v>
      </c>
      <c r="K11" s="404"/>
      <c r="L11" s="403">
        <f>_xll.IMDP("BND",L$4,"표면이율")</f>
        <v>3.25</v>
      </c>
      <c r="M11" s="404"/>
      <c r="N11" s="403">
        <f>_xll.IMDP("BND",N$4,"표면이율")</f>
        <v>2.625</v>
      </c>
      <c r="O11" s="404"/>
      <c r="P11" s="403">
        <f>_xll.IMDP("BND",P$4,"표면이율")</f>
        <v>2.25</v>
      </c>
      <c r="Q11" s="404"/>
      <c r="R11" s="403">
        <f>_xll.IMDP("BND",R$4,"표면이율")</f>
        <v>3.375</v>
      </c>
      <c r="S11" s="404"/>
      <c r="T11" s="403">
        <f>_xll.IMDP("BND",T$4,"표면이율")</f>
        <v>3.5</v>
      </c>
      <c r="U11" s="404"/>
      <c r="V11" s="403">
        <f>_xll.IMDP("BND",V$4,"표면이율")</f>
        <v>4.25</v>
      </c>
      <c r="W11" s="404"/>
      <c r="X11" s="403">
        <f>_xll.IMDP("BND",X$4,"표면이율")</f>
        <v>2.5</v>
      </c>
      <c r="Y11" s="404"/>
    </row>
    <row r="12" spans="2:26" x14ac:dyDescent="0.25">
      <c r="D12" s="402"/>
      <c r="E12" s="13" t="s">
        <v>32</v>
      </c>
      <c r="F12" s="411">
        <f>F35</f>
        <v>46366</v>
      </c>
      <c r="G12" s="412"/>
      <c r="H12" s="411">
        <f>H35</f>
        <v>46366</v>
      </c>
      <c r="I12" s="412"/>
      <c r="J12" s="413">
        <f>J35</f>
        <v>46366</v>
      </c>
      <c r="K12" s="406"/>
      <c r="L12" s="413">
        <f>L35</f>
        <v>46366</v>
      </c>
      <c r="M12" s="406"/>
      <c r="N12" s="413">
        <f>N35</f>
        <v>46366</v>
      </c>
      <c r="O12" s="406"/>
      <c r="P12" s="413">
        <f>P35</f>
        <v>46366</v>
      </c>
      <c r="Q12" s="406"/>
      <c r="R12" s="413">
        <f>R35</f>
        <v>46275</v>
      </c>
      <c r="S12" s="406"/>
      <c r="T12" s="413">
        <f>T35</f>
        <v>46366</v>
      </c>
      <c r="U12" s="406"/>
      <c r="V12" s="413">
        <f>V35</f>
        <v>46366</v>
      </c>
      <c r="W12" s="406"/>
      <c r="X12" s="413">
        <f>X35</f>
        <v>46275</v>
      </c>
      <c r="Y12" s="406"/>
    </row>
    <row r="13" spans="2:26" x14ac:dyDescent="0.25">
      <c r="D13" s="402"/>
      <c r="E13" s="13" t="s">
        <v>33</v>
      </c>
      <c r="F13" s="403" t="str">
        <f>_xll.IMDP("BND",F$4,"이자지급기간")</f>
        <v>06M</v>
      </c>
      <c r="G13" s="404"/>
      <c r="H13" s="405" t="str">
        <f>_xll.IMDP("BND",H$4,"이자지급기간")</f>
        <v>06M</v>
      </c>
      <c r="I13" s="406"/>
      <c r="J13" s="405" t="str">
        <f>_xll.IMDP("BND",J$4,"이자지급기간")</f>
        <v>06M</v>
      </c>
      <c r="K13" s="406"/>
      <c r="L13" s="405" t="str">
        <f>_xll.IMDP("BND",L$4,"이자지급기간")</f>
        <v>06M</v>
      </c>
      <c r="M13" s="406"/>
      <c r="N13" s="405" t="str">
        <f>_xll.IMDP("BND",N$4,"이자지급기간")</f>
        <v>06M</v>
      </c>
      <c r="O13" s="406"/>
      <c r="P13" s="405" t="str">
        <f>_xll.IMDP("BND",P$4,"이자지급기간")</f>
        <v>06M</v>
      </c>
      <c r="Q13" s="406"/>
      <c r="R13" s="405" t="str">
        <f>_xll.IMDP("BND",R$4,"이자지급기간")</f>
        <v>06M</v>
      </c>
      <c r="S13" s="406"/>
      <c r="T13" s="405" t="str">
        <f>_xll.IMDP("BND",T$4,"이자지급기간")</f>
        <v>06M</v>
      </c>
      <c r="U13" s="406"/>
      <c r="V13" s="405" t="str">
        <f>_xll.IMDP("BND",V$4,"이자지급기간")</f>
        <v>06M</v>
      </c>
      <c r="W13" s="406"/>
      <c r="X13" s="405" t="str">
        <f>_xll.IMDP("BND",X$4,"이자지급기간")</f>
        <v>06M</v>
      </c>
      <c r="Y13" s="406"/>
    </row>
    <row r="14" spans="2:26" ht="17.25" customHeight="1" thickBot="1" x14ac:dyDescent="0.3">
      <c r="D14" s="402"/>
      <c r="E14" s="13" t="s">
        <v>34</v>
      </c>
      <c r="F14" s="407">
        <f>_xll.IMDP("BND",F$4,INDEX($B$5:$C$10,$B$4,2))</f>
        <v>4.2949999999999999</v>
      </c>
      <c r="G14" s="408"/>
      <c r="H14" s="409">
        <f>_xll.IMDP("BND",H$4,INDEX($B$5:$C$10,$B$4,2))</f>
        <v>3.7149999999999999</v>
      </c>
      <c r="I14" s="410"/>
      <c r="J14" s="409">
        <f>_xll.IMDP("BND",J$4,INDEX($B$5:$C$10,$B$4,2))</f>
        <v>3.5150000000000001</v>
      </c>
      <c r="K14" s="410"/>
      <c r="L14" s="409">
        <f>_xll.IMDP("BND",L$4,INDEX($B$5:$C$10,$B$4,2))</f>
        <v>4.2850000000000001</v>
      </c>
      <c r="M14" s="410"/>
      <c r="N14" s="409">
        <f>_xll.IMDP("BND",N$4,INDEX($B$5:$C$10,$B$4,2))</f>
        <v>4.2619999999999996</v>
      </c>
      <c r="O14" s="410"/>
      <c r="P14" s="409">
        <f>_xll.IMDP("BND",P$4,INDEX($B$5:$C$10,$B$4,2))</f>
        <v>3.63</v>
      </c>
      <c r="Q14" s="410"/>
      <c r="R14" s="409">
        <f>_xll.IMDP("BND",R$4,INDEX($B$5:$C$10,$B$4,2))</f>
        <v>4.0350000000000001</v>
      </c>
      <c r="S14" s="410"/>
      <c r="T14" s="409">
        <f>_xll.IMDP("BND",T$4,INDEX($B$5:$C$10,$B$4,2))</f>
        <v>4.2389999999999999</v>
      </c>
      <c r="U14" s="410"/>
      <c r="V14" s="409">
        <f>_xll.IMDP("BND",V$4,INDEX($B$5:$C$10,$B$4,2))</f>
        <v>4.2949999999999999</v>
      </c>
      <c r="W14" s="410"/>
      <c r="X14" s="409">
        <f>_xll.IMDP("BND",X$4,INDEX($B$5:$C$10,$B$4,2))</f>
        <v>3.9950000000000001</v>
      </c>
      <c r="Y14" s="410"/>
      <c r="Z14" s="14" t="s">
        <v>35</v>
      </c>
    </row>
    <row r="15" spans="2:26" ht="14.25" thickBot="1" x14ac:dyDescent="0.3">
      <c r="D15" s="400" t="s">
        <v>36</v>
      </c>
      <c r="E15" s="13" t="s">
        <v>37</v>
      </c>
      <c r="F15" s="397">
        <f ca="1">$Z$15</f>
        <v>46247</v>
      </c>
      <c r="G15" s="398"/>
      <c r="H15" s="397">
        <f ca="1">$Z$15</f>
        <v>46247</v>
      </c>
      <c r="I15" s="398"/>
      <c r="J15" s="397">
        <f ca="1">$Z$15</f>
        <v>46247</v>
      </c>
      <c r="K15" s="398"/>
      <c r="L15" s="397">
        <f ca="1">$Z$15</f>
        <v>46247</v>
      </c>
      <c r="M15" s="398"/>
      <c r="N15" s="397">
        <f ca="1">$Z$15</f>
        <v>46247</v>
      </c>
      <c r="O15" s="398"/>
      <c r="P15" s="397">
        <f ca="1">$Z$15</f>
        <v>46247</v>
      </c>
      <c r="Q15" s="398"/>
      <c r="R15" s="397">
        <f ca="1">$Z$15</f>
        <v>46247</v>
      </c>
      <c r="S15" s="398"/>
      <c r="T15" s="397">
        <f ca="1">$Z$15</f>
        <v>46247</v>
      </c>
      <c r="U15" s="398"/>
      <c r="V15" s="397">
        <f ca="1">$Z$15</f>
        <v>46247</v>
      </c>
      <c r="W15" s="399"/>
      <c r="X15" s="397">
        <f ca="1">$Z$15</f>
        <v>46247</v>
      </c>
      <c r="Y15" s="399"/>
      <c r="Z15" s="15">
        <f ca="1">WORKDAY(TODAY(),1)</f>
        <v>46247</v>
      </c>
    </row>
    <row r="16" spans="2:26" ht="18" customHeight="1" x14ac:dyDescent="0.25">
      <c r="C16" s="1" t="str">
        <f>INDEX($C$18:$C$26,$C$17,1)</f>
        <v>세전수익률</v>
      </c>
      <c r="D16" s="401"/>
      <c r="E16" s="13"/>
      <c r="F16" s="395">
        <f>[1]트레이딩!P36</f>
        <v>0</v>
      </c>
      <c r="G16" s="396"/>
      <c r="H16" s="395">
        <f>[1]트레이딩!D41</f>
        <v>3.68</v>
      </c>
      <c r="I16" s="396"/>
      <c r="J16" s="395">
        <f>[1]트레이딩!D51</f>
        <v>3.9910000000000001</v>
      </c>
      <c r="K16" s="396"/>
      <c r="L16" s="395">
        <f>[1]트레이딩!D25</f>
        <v>4.2069999999999999</v>
      </c>
      <c r="M16" s="396"/>
      <c r="N16" s="395">
        <f>[1]트레이딩!D19</f>
        <v>4.1849999999999996</v>
      </c>
      <c r="O16" s="396"/>
      <c r="P16" s="395">
        <f>[1]트레이딩!D46</f>
        <v>3.6</v>
      </c>
      <c r="Q16" s="396"/>
      <c r="R16" s="395">
        <f>[1]트레이딩!D51</f>
        <v>3.9910000000000001</v>
      </c>
      <c r="S16" s="396"/>
      <c r="T16" s="395">
        <f>[1]트레이딩!D25</f>
        <v>4.2069999999999999</v>
      </c>
      <c r="U16" s="396"/>
      <c r="V16" s="395">
        <f>[1]트레이딩!D32</f>
        <v>4.2240000000000002</v>
      </c>
      <c r="W16" s="396"/>
      <c r="X16" s="395">
        <f>[1]트레이딩!D56</f>
        <v>3.927</v>
      </c>
      <c r="Y16" s="396"/>
    </row>
    <row r="17" spans="3:28" x14ac:dyDescent="0.25">
      <c r="C17" s="16">
        <v>1</v>
      </c>
      <c r="D17" s="384" t="s">
        <v>38</v>
      </c>
      <c r="E17" s="13" t="s">
        <v>39</v>
      </c>
      <c r="F17" s="387">
        <f ca="1">_xll.IMBC(F$4,$E17,F$15,F$16,$C$16)</f>
        <v>0</v>
      </c>
      <c r="G17" s="388"/>
      <c r="H17" s="387">
        <f ca="1">_xll.IMBC(H$4,$E17,H$15,H$16,$C$16)</f>
        <v>3.68</v>
      </c>
      <c r="I17" s="388"/>
      <c r="J17" s="387">
        <f ca="1">_xll.IMBC(J$4,$E17,J$15,J$16,$C$16)</f>
        <v>3.9910000000000001</v>
      </c>
      <c r="K17" s="388"/>
      <c r="L17" s="387">
        <f ca="1">_xll.IMBC(L$4,$E17,L$15,L$16,$C$16)</f>
        <v>4.2069999999999999</v>
      </c>
      <c r="M17" s="388"/>
      <c r="N17" s="387">
        <f ca="1">_xll.IMBC(N$4,$E17,N$15,N$16,$C$16)</f>
        <v>4.1849999999999996</v>
      </c>
      <c r="O17" s="388"/>
      <c r="P17" s="387">
        <f ca="1">_xll.IMBC(P$4,$E17,P$15,P$16,$C$16)</f>
        <v>3.6</v>
      </c>
      <c r="Q17" s="388"/>
      <c r="R17" s="387">
        <f ca="1">_xll.IMBC(R$4,$E17,R$15,R$16,$C$16)</f>
        <v>3.9910000000000001</v>
      </c>
      <c r="S17" s="388"/>
      <c r="T17" s="387">
        <f ca="1">_xll.IMBC(T$4,$E17,T$15,T$16,$C$16)</f>
        <v>4.2069999999999999</v>
      </c>
      <c r="U17" s="388"/>
      <c r="V17" s="387">
        <f ca="1">_xll.IMBC(V$4,$E17,V$15,V$16,$C$16)</f>
        <v>4.2240000000000002</v>
      </c>
      <c r="W17" s="388"/>
      <c r="X17" s="387">
        <f ca="1">_xll.IMBC(X$4,$E17,X$15,X$16,$C$16)</f>
        <v>3.927</v>
      </c>
      <c r="Y17" s="388"/>
    </row>
    <row r="18" spans="3:28" x14ac:dyDescent="0.25">
      <c r="C18" s="1" t="s">
        <v>40</v>
      </c>
      <c r="D18" s="385"/>
      <c r="E18" s="13" t="s">
        <v>41</v>
      </c>
      <c r="F18" s="391">
        <f ca="1">_xll.IMBC(F$4,$E18,F$15,F$16,$C$16)</f>
        <v>14250</v>
      </c>
      <c r="G18" s="392"/>
      <c r="H18" s="391">
        <f ca="1">_xll.IMBC(H$4,$E18,H$15,H$16,$C$16)</f>
        <v>9841.99</v>
      </c>
      <c r="I18" s="392"/>
      <c r="J18" s="391">
        <f ca="1">_xll.IMBC(J$4,$E18,J$15,J$16,$C$16)</f>
        <v>9906.85</v>
      </c>
      <c r="K18" s="392"/>
      <c r="L18" s="393">
        <f ca="1">_xll.IMBC(L$4,$E18,L$15,L$16,$C$16)</f>
        <v>9324.07</v>
      </c>
      <c r="M18" s="394"/>
      <c r="N18" s="391">
        <f ca="1">_xll.IMBC(N$4,$E18,N$15,N$16,$C$16)</f>
        <v>8903.89</v>
      </c>
      <c r="O18" s="392"/>
      <c r="P18" s="391">
        <f ca="1">_xll.IMBC(P$4,$E18,P$15,P$16,$C$16)</f>
        <v>9802.34</v>
      </c>
      <c r="Q18" s="392"/>
      <c r="R18" s="389">
        <f ca="1">_xll.IMBC(R$4,$E18,R$15,R$16,$C$16)</f>
        <v>9887.27</v>
      </c>
      <c r="S18" s="390"/>
      <c r="T18" s="391">
        <f ca="1">_xll.IMBC(T$4,$E18,T$15,T$16,$C$16)</f>
        <v>9593.0499999999993</v>
      </c>
      <c r="U18" s="392"/>
      <c r="V18" s="391">
        <f ca="1">_xll.IMBC(V$4,$E18,V$15,V$16,$C$16)</f>
        <v>10094.040000000001</v>
      </c>
      <c r="W18" s="392"/>
      <c r="X18" s="391">
        <f ca="1">_xll.IMBC(X$4,$E18,X$15,X$16,$C$16)</f>
        <v>9572.9</v>
      </c>
      <c r="Y18" s="392"/>
      <c r="AA18">
        <v>10510</v>
      </c>
      <c r="AB18">
        <v>10510</v>
      </c>
    </row>
    <row r="19" spans="3:28" x14ac:dyDescent="0.25">
      <c r="C19" s="1" t="s">
        <v>41</v>
      </c>
      <c r="D19" s="385"/>
      <c r="E19" s="13" t="s">
        <v>42</v>
      </c>
      <c r="F19" s="389">
        <f ca="1">_xll.IMBC(F$4,$E19,F$15,F$16,$C$16)</f>
        <v>14239.6</v>
      </c>
      <c r="G19" s="390"/>
      <c r="H19" s="389">
        <f ca="1">_xll.IMBC(H$4,$E19,H$15,H$16,$C$16)</f>
        <v>9835.2000000000007</v>
      </c>
      <c r="I19" s="390"/>
      <c r="J19" s="389">
        <f ca="1">_xll.IMBC(J$4,$E19,J$15,J$16,$C$16)</f>
        <v>9899.7999999999993</v>
      </c>
      <c r="K19" s="390"/>
      <c r="L19" s="389">
        <f ca="1">_xll.IMBC(L$4,$E19,L$15,L$16,$C$16)</f>
        <v>9316.1</v>
      </c>
      <c r="M19" s="390"/>
      <c r="N19" s="389">
        <f ca="1">_xll.IMBC(N$4,$E19,N$15,N$16,$C$16)</f>
        <v>8897.4</v>
      </c>
      <c r="O19" s="390"/>
      <c r="P19" s="389">
        <f ca="1">_xll.IMBC(P$4,$E19,P$15,P$16,$C$16)</f>
        <v>9796.7999999999993</v>
      </c>
      <c r="Q19" s="390"/>
      <c r="R19" s="389">
        <f ca="1">_xll.IMBC(R$4,$E19,R$15,R$16,$C$16)</f>
        <v>9867.2000000000007</v>
      </c>
      <c r="S19" s="390"/>
      <c r="T19" s="389">
        <f ca="1">_xll.IMBC(T$4,$E19,T$15,T$16,$C$16)</f>
        <v>9584.5</v>
      </c>
      <c r="U19" s="390"/>
      <c r="V19" s="389">
        <f ca="1">_xll.IMBC(V$4,$E19,V$15,V$16,$C$16)</f>
        <v>10083.6</v>
      </c>
      <c r="W19" s="390"/>
      <c r="X19" s="389">
        <f ca="1">_xll.IMBC(X$4,$E19,X$15,X$16,$C$16)</f>
        <v>9558.1</v>
      </c>
      <c r="Y19" s="390"/>
      <c r="AA19">
        <v>10510</v>
      </c>
      <c r="AB19">
        <v>10510</v>
      </c>
    </row>
    <row r="20" spans="3:28" x14ac:dyDescent="0.25">
      <c r="C20" s="1" t="s">
        <v>42</v>
      </c>
      <c r="D20" s="385"/>
      <c r="E20" s="13" t="s">
        <v>43</v>
      </c>
      <c r="F20" s="389">
        <f ca="1">_xll.IMBC(F$4,$E20,F$15,F$16,$C$16)</f>
        <v>74.316900000000004</v>
      </c>
      <c r="G20" s="390"/>
      <c r="H20" s="389">
        <f ca="1">_xll.IMBC(H$4,$E20,H$15,H$16,$C$16)</f>
        <v>48.087400000000002</v>
      </c>
      <c r="I20" s="390"/>
      <c r="J20" s="389">
        <f ca="1">_xll.IMBC(J$4,$E20,J$15,J$16,$C$16)</f>
        <v>50.273200000000003</v>
      </c>
      <c r="K20" s="390"/>
      <c r="L20" s="389">
        <f ca="1">_xll.IMBC(L$4,$E20,L$15,L$16,$C$16)</f>
        <v>56.830599999999997</v>
      </c>
      <c r="M20" s="390"/>
      <c r="N20" s="389">
        <f ca="1">_xll.IMBC(N$4,$E20,N$15,N$16,$C$16)</f>
        <v>45.901600000000002</v>
      </c>
      <c r="O20" s="390"/>
      <c r="P20" s="389">
        <f ca="1">_xll.IMBC(P$4,$E20,P$15,P$16,$C$16)</f>
        <v>39.344200000000001</v>
      </c>
      <c r="Q20" s="390"/>
      <c r="R20" s="389">
        <f ca="1">_xll.IMBC(R$4,$E20,R$15,R$16,$C$16)</f>
        <v>143.07060000000001</v>
      </c>
      <c r="S20" s="390"/>
      <c r="T20" s="389">
        <f ca="1">_xll.IMBC(T$4,$E20,T$15,T$16,$C$16)</f>
        <v>61.202100000000002</v>
      </c>
      <c r="U20" s="390"/>
      <c r="V20" s="389">
        <f ca="1">_xll.IMBC(V$4,$E20,V$15,V$16,$C$16)</f>
        <v>74.316900000000004</v>
      </c>
      <c r="W20" s="390"/>
      <c r="X20" s="389">
        <f ca="1">_xll.IMBC(X$4,$E20,X$15,X$16,$C$16)</f>
        <v>105.9782</v>
      </c>
      <c r="Y20" s="390"/>
      <c r="AA20">
        <v>505</v>
      </c>
      <c r="AB20">
        <v>10005</v>
      </c>
    </row>
    <row r="21" spans="3:28" x14ac:dyDescent="0.25">
      <c r="C21" s="1" t="s">
        <v>44</v>
      </c>
      <c r="D21" s="385"/>
      <c r="E21" s="13" t="s">
        <v>45</v>
      </c>
      <c r="F21" s="389">
        <f ca="1">_xll.IMBC(F$4,$E21,F$15,F$16,$C$16)</f>
        <v>10.4</v>
      </c>
      <c r="G21" s="390"/>
      <c r="H21" s="389">
        <f ca="1">_xll.IMBC(H$4,$E21,H$15,H$16,$C$16)</f>
        <v>6.7</v>
      </c>
      <c r="I21" s="390"/>
      <c r="J21" s="389">
        <f ca="1">_xll.IMBC(J$4,$E21,J$15,J$16,$C$16)</f>
        <v>7</v>
      </c>
      <c r="K21" s="390"/>
      <c r="L21" s="389">
        <f ca="1">_xll.IMBC(L$4,$E21,L$15,L$16,$C$16)</f>
        <v>7.9</v>
      </c>
      <c r="M21" s="390"/>
      <c r="N21" s="389">
        <f ca="1">_xll.IMBC(N$4,$E21,N$15,N$16,$C$16)</f>
        <v>6.4</v>
      </c>
      <c r="O21" s="390"/>
      <c r="P21" s="389">
        <f ca="1">_xll.IMBC(P$4,$E21,P$15,P$16,$C$16)</f>
        <v>5.5</v>
      </c>
      <c r="Q21" s="390"/>
      <c r="R21" s="389">
        <f ca="1">_xll.IMBC(R$4,$E21,R$15,R$16,$C$16)</f>
        <v>20</v>
      </c>
      <c r="S21" s="390"/>
      <c r="T21" s="389">
        <f ca="1">_xll.IMBC(T$4,$E21,T$15,T$16,$C$16)</f>
        <v>8.5</v>
      </c>
      <c r="U21" s="390"/>
      <c r="V21" s="389">
        <f ca="1">_xll.IMBC(V$4,$E21,V$15,V$16,$C$16)</f>
        <v>10.4</v>
      </c>
      <c r="W21" s="390"/>
      <c r="X21" s="389">
        <f ca="1">_xll.IMBC(X$4,$E21,X$15,X$16,$C$16)</f>
        <v>14.8</v>
      </c>
      <c r="Y21" s="390"/>
    </row>
    <row r="22" spans="3:28" x14ac:dyDescent="0.25">
      <c r="C22" s="1" t="s">
        <v>46</v>
      </c>
      <c r="D22" s="385"/>
      <c r="E22" s="13" t="s">
        <v>47</v>
      </c>
      <c r="F22" s="382">
        <f ca="1">_xll.IMBC(F$4,$E22,F$15,F$16,$C$16)</f>
        <v>14175.683000000001</v>
      </c>
      <c r="G22" s="383"/>
      <c r="H22" s="382">
        <f ca="1">_xll.IMBC(H$4,$E22,H$15,H$16,$C$16)</f>
        <v>9793.9038</v>
      </c>
      <c r="I22" s="383"/>
      <c r="J22" s="382">
        <f ca="1">_xll.IMBC(J$4,$E22,J$15,J$16,$C$16)</f>
        <v>9856.5771999999997</v>
      </c>
      <c r="K22" s="383"/>
      <c r="L22" s="382">
        <f ca="1">_xll.IMBC(L$4,$E22,L$15,L$16,$C$16)</f>
        <v>9267.2466999999997</v>
      </c>
      <c r="M22" s="383"/>
      <c r="N22" s="382">
        <f ca="1">_xll.IMBC(N$4,$E22,N$15,N$16,$C$16)</f>
        <v>8857.9982</v>
      </c>
      <c r="O22" s="383"/>
      <c r="P22" s="382">
        <f ca="1">_xll.IMBC(P$4,$E22,P$15,P$16,$C$16)</f>
        <v>9762.9971000000005</v>
      </c>
      <c r="Q22" s="383"/>
      <c r="R22" s="382">
        <f ca="1">_xll.IMBC(R$4,$E22,R$15,R$16,$C$16)</f>
        <v>9744.2044000000005</v>
      </c>
      <c r="S22" s="383"/>
      <c r="T22" s="382">
        <f ca="1">_xll.IMBC(T$4,$E22,T$15,T$16,$C$16)</f>
        <v>9531.8551000000007</v>
      </c>
      <c r="U22" s="383"/>
      <c r="V22" s="382">
        <f ca="1">_xll.IMBC(V$4,$E22,V$15,V$16,$C$16)</f>
        <v>10019.7268</v>
      </c>
      <c r="W22" s="383"/>
      <c r="X22" s="382">
        <f ca="1">_xll.IMBC(X$4,$E22,X$15,X$16,$C$16)</f>
        <v>9466.9222000000009</v>
      </c>
      <c r="Y22" s="383"/>
    </row>
    <row r="23" spans="3:28" x14ac:dyDescent="0.25">
      <c r="C23" s="1" t="s">
        <v>48</v>
      </c>
      <c r="D23" s="385"/>
      <c r="E23" s="13" t="s">
        <v>49</v>
      </c>
      <c r="F23" s="382">
        <f ca="1">_xll.IMBC(F$4,$E23,F$15,F$16,$C$16)</f>
        <v>119821.125</v>
      </c>
      <c r="G23" s="383"/>
      <c r="H23" s="382">
        <f ca="1">_xll.IMBC(H$4,$E23,H$15,H$16,$C$16)</f>
        <v>21815.755034000002</v>
      </c>
      <c r="I23" s="383"/>
      <c r="J23" s="382">
        <f ca="1">_xll.IMBC(J$4,$E23,J$15,J$16,$C$16)</f>
        <v>12663.926355</v>
      </c>
      <c r="K23" s="383"/>
      <c r="L23" s="382">
        <f ca="1">_xll.IMBC(L$4,$E23,L$15,L$16,$C$16)</f>
        <v>73179.030987999999</v>
      </c>
      <c r="M23" s="383"/>
      <c r="N23" s="382">
        <f ca="1">_xll.IMBC(N$4,$E23,N$15,N$16,$C$16)</f>
        <v>68248.316850000003</v>
      </c>
      <c r="O23" s="383"/>
      <c r="P23" s="382">
        <f ca="1">_xll.IMBC(P$4,$E23,P$15,P$16,$C$16)</f>
        <v>17250.157931999998</v>
      </c>
      <c r="Q23" s="383"/>
      <c r="R23" s="382">
        <f ca="1">_xll.IMBC(R$4,$E23,R$15,R$16,$C$16)</f>
        <v>40835.413826999997</v>
      </c>
      <c r="S23" s="383"/>
      <c r="T23" s="382">
        <f ca="1">_xll.IMBC(T$4,$E23,T$15,T$16,$C$16)</f>
        <v>64288.783880000003</v>
      </c>
      <c r="U23" s="383"/>
      <c r="V23" s="382">
        <f ca="1">_xll.IMBC(V$4,$E23,V$15,V$16,$C$16)</f>
        <v>79842.846995999993</v>
      </c>
      <c r="W23" s="383"/>
      <c r="X23" s="382">
        <f ca="1">_xll.IMBC(X$4,$E23,X$15,X$16,$C$16)</f>
        <v>36164.501620000003</v>
      </c>
      <c r="Y23" s="383"/>
    </row>
    <row r="24" spans="3:28" x14ac:dyDescent="0.25">
      <c r="C24" s="1" t="s">
        <v>50</v>
      </c>
      <c r="D24" s="385"/>
      <c r="E24" s="13" t="s">
        <v>51</v>
      </c>
      <c r="F24" s="382">
        <f ca="1">_xll.IMBC(F$4,$E24,F$15,F$16,$C$16)</f>
        <v>8.4085000000000001</v>
      </c>
      <c r="G24" s="383"/>
      <c r="H24" s="382">
        <f ca="1">_xll.IMBC(H$4,$E24,H$15,H$16,$C$16)</f>
        <v>2.2980999999999998</v>
      </c>
      <c r="I24" s="383"/>
      <c r="J24" s="382">
        <f ca="1">_xll.IMBC(J$4,$E24,J$15,J$16,$C$16)</f>
        <v>1.3038000000000001</v>
      </c>
      <c r="K24" s="383"/>
      <c r="L24" s="382">
        <f ca="1">_xll.IMBC(L$4,$E24,L$15,L$16,$C$16)</f>
        <v>8.1784999999999997</v>
      </c>
      <c r="M24" s="383"/>
      <c r="N24" s="382">
        <f ca="1">_xll.IMBC(N$4,$E24,N$15,N$16,$C$16)</f>
        <v>7.9858000000000002</v>
      </c>
      <c r="O24" s="383"/>
      <c r="P24" s="382">
        <f ca="1">_xll.IMBC(P$4,$E24,P$15,P$16,$C$16)</f>
        <v>1.7915000000000001</v>
      </c>
      <c r="Q24" s="383"/>
      <c r="R24" s="382">
        <f ca="1">_xll.IMBC(R$4,$E24,R$15,R$16,$C$16)</f>
        <v>4.2949999999999999</v>
      </c>
      <c r="S24" s="383"/>
      <c r="T24" s="382">
        <f ca="1">_xll.IMBC(T$4,$E24,T$15,T$16,$C$16)</f>
        <v>6.9835000000000003</v>
      </c>
      <c r="U24" s="383"/>
      <c r="V24" s="382">
        <f ca="1">_xll.IMBC(V$4,$E24,V$15,V$16,$C$16)</f>
        <v>8.2439999999999998</v>
      </c>
      <c r="W24" s="383"/>
      <c r="X24" s="382">
        <f ca="1">_xll.IMBC(X$4,$E24,X$15,X$16,$C$16)</f>
        <v>3.9262000000000001</v>
      </c>
      <c r="Y24" s="383"/>
    </row>
    <row r="25" spans="3:28" x14ac:dyDescent="0.25">
      <c r="C25" s="1" t="s">
        <v>52</v>
      </c>
      <c r="D25" s="385"/>
      <c r="E25" s="13" t="s">
        <v>53</v>
      </c>
      <c r="F25" s="382">
        <f ca="1">_xll.IMBC(F$4,$E25,F$15,F$16,$C$16)</f>
        <v>8.4085000000000001</v>
      </c>
      <c r="G25" s="383"/>
      <c r="H25" s="382">
        <f ca="1">_xll.IMBC(H$4,$E25,H$15,H$16,$C$16)</f>
        <v>2.2166000000000001</v>
      </c>
      <c r="I25" s="383"/>
      <c r="J25" s="382">
        <f ca="1">_xll.IMBC(J$4,$E25,J$15,J$16,$C$16)</f>
        <v>1.2783</v>
      </c>
      <c r="K25" s="383"/>
      <c r="L25" s="382">
        <f ca="1">_xll.IMBC(L$4,$E25,L$15,L$16,$C$16)</f>
        <v>7.8483999999999998</v>
      </c>
      <c r="M25" s="383"/>
      <c r="N25" s="382">
        <f ca="1">_xll.IMBC(N$4,$E25,N$15,N$16,$C$16)</f>
        <v>7.665</v>
      </c>
      <c r="O25" s="383"/>
      <c r="P25" s="382">
        <f ca="1">_xll.IMBC(P$4,$E25,P$15,P$16,$C$16)</f>
        <v>1.7598</v>
      </c>
      <c r="Q25" s="383"/>
      <c r="R25" s="382">
        <f ca="1">_xll.IMBC(R$4,$E25,R$15,R$16,$C$16)</f>
        <v>4.1300999999999997</v>
      </c>
      <c r="S25" s="383"/>
      <c r="T25" s="382">
        <f ca="1">_xll.IMBC(T$4,$E25,T$15,T$16,$C$16)</f>
        <v>6.7016</v>
      </c>
      <c r="U25" s="383"/>
      <c r="V25" s="382">
        <f ca="1">_xll.IMBC(V$4,$E25,V$15,V$16,$C$16)</f>
        <v>7.9099000000000004</v>
      </c>
      <c r="W25" s="383"/>
      <c r="X25" s="382">
        <f ca="1">_xll.IMBC(X$4,$E25,X$15,X$16,$C$16)</f>
        <v>3.7778</v>
      </c>
      <c r="Y25" s="383"/>
    </row>
    <row r="26" spans="3:28" x14ac:dyDescent="0.25">
      <c r="C26" s="1" t="s">
        <v>54</v>
      </c>
      <c r="D26" s="385"/>
      <c r="E26" s="13" t="s">
        <v>55</v>
      </c>
      <c r="F26" s="382">
        <f ca="1">_xll.IMBC(F$4,$E26,F$15,F$16,$C$16)</f>
        <v>1170039</v>
      </c>
      <c r="G26" s="383"/>
      <c r="H26" s="382">
        <f ca="1">_xll.IMBC(H$4,$E26,H$15,H$16,$C$16)</f>
        <v>59992.834243999998</v>
      </c>
      <c r="I26" s="383"/>
      <c r="J26" s="382">
        <f ca="1">_xll.IMBC(J$4,$E26,J$15,J$16,$C$16)</f>
        <v>22560.869504999999</v>
      </c>
      <c r="K26" s="383"/>
      <c r="L26" s="382">
        <f ca="1">_xll.IMBC(L$4,$E26,L$15,L$16,$C$16)</f>
        <v>669370.32326500001</v>
      </c>
      <c r="M26" s="383"/>
      <c r="N26" s="382">
        <f ca="1">_xll.IMBC(N$4,$E26,N$15,N$16,$C$16)</f>
        <v>599285.22034</v>
      </c>
      <c r="O26" s="383"/>
      <c r="P26" s="382">
        <f ca="1">_xll.IMBC(P$4,$E26,P$15,P$16,$C$16)</f>
        <v>39192.696021999996</v>
      </c>
      <c r="Q26" s="383"/>
      <c r="R26" s="382">
        <f ca="1">_xll.IMBC(R$4,$E26,R$15,R$16,$C$16)</f>
        <v>198524.51687600001</v>
      </c>
      <c r="S26" s="383"/>
      <c r="T26" s="382">
        <f ca="1">_xll.IMBC(T$4,$E26,T$15,T$16,$C$16)</f>
        <v>501365.40937000001</v>
      </c>
      <c r="U26" s="383"/>
      <c r="V26" s="382">
        <f ca="1">_xll.IMBC(V$4,$E26,V$15,V$16,$C$16)</f>
        <v>754672.82536799996</v>
      </c>
      <c r="W26" s="383"/>
      <c r="X26" s="382">
        <f ca="1">_xll.IMBC(X$4,$E26,X$15,X$16,$C$16)</f>
        <v>159817.65091999999</v>
      </c>
      <c r="Y26" s="383"/>
    </row>
    <row r="27" spans="3:28" x14ac:dyDescent="0.25">
      <c r="D27" s="385"/>
      <c r="E27" s="13" t="s">
        <v>56</v>
      </c>
      <c r="F27" s="382">
        <f ca="1">_xll.IMBC(F$4,$E27,F$15,F$16,$C$16)</f>
        <v>82.108000000000004</v>
      </c>
      <c r="G27" s="383"/>
      <c r="H27" s="382">
        <f ca="1">_xll.IMBC(H$4,$E27,H$15,H$16,$C$16)</f>
        <v>6.0956000000000001</v>
      </c>
      <c r="I27" s="383"/>
      <c r="J27" s="382">
        <f ca="1">_xll.IMBC(J$4,$E27,J$15,J$16,$C$16)</f>
        <v>2.2772999999999999</v>
      </c>
      <c r="K27" s="383"/>
      <c r="L27" s="382">
        <f ca="1">_xll.IMBC(L$4,$E27,L$15,L$16,$C$16)</f>
        <v>71.789500000000004</v>
      </c>
      <c r="M27" s="383"/>
      <c r="N27" s="382">
        <f ca="1">_xll.IMBC(N$4,$E27,N$15,N$16,$C$16)</f>
        <v>67.305999999999997</v>
      </c>
      <c r="O27" s="383"/>
      <c r="P27" s="382">
        <f ca="1">_xll.IMBC(P$4,$E27,P$15,P$16,$C$16)</f>
        <v>3.9983</v>
      </c>
      <c r="Q27" s="383"/>
      <c r="R27" s="382">
        <f ca="1">_xll.IMBC(R$4,$E27,R$15,R$16,$C$16)</f>
        <v>20.078800000000001</v>
      </c>
      <c r="S27" s="383"/>
      <c r="T27" s="382">
        <f ca="1">_xll.IMBC(T$4,$E27,T$15,T$16,$C$16)</f>
        <v>52.263399999999997</v>
      </c>
      <c r="U27" s="383"/>
      <c r="V27" s="382">
        <f ca="1">_xll.IMBC(V$4,$E27,V$15,V$16,$C$16)</f>
        <v>74.764200000000002</v>
      </c>
      <c r="W27" s="383"/>
      <c r="X27" s="382">
        <f ca="1">_xll.IMBC(X$4,$E27,X$15,X$16,$C$16)</f>
        <v>16.694800000000001</v>
      </c>
      <c r="Y27" s="383"/>
    </row>
    <row r="28" spans="3:28" x14ac:dyDescent="0.25">
      <c r="D28" s="385"/>
      <c r="E28" s="13" t="s">
        <v>57</v>
      </c>
      <c r="F28" s="380">
        <f ca="1">_xll.IMBC(F$4,$E28,F$15,F$16,$C$16)</f>
        <v>3589</v>
      </c>
      <c r="G28" s="381"/>
      <c r="H28" s="380">
        <f ca="1">_xll.IMBC(H$4,$E28,H$15,H$16,$C$16)</f>
        <v>850</v>
      </c>
      <c r="I28" s="381"/>
      <c r="J28" s="380">
        <f ca="1">_xll.IMBC(J$4,$E28,J$15,J$16,$C$16)</f>
        <v>484</v>
      </c>
      <c r="K28" s="381"/>
      <c r="L28" s="380">
        <f ca="1">_xll.IMBC(L$4,$E28,L$15,L$16,$C$16)</f>
        <v>3406</v>
      </c>
      <c r="M28" s="381"/>
      <c r="N28" s="380">
        <f ca="1">_xll.IMBC(N$4,$E28,N$15,N$16,$C$16)</f>
        <v>3223</v>
      </c>
      <c r="O28" s="381"/>
      <c r="P28" s="380">
        <f ca="1">_xll.IMBC(P$4,$E28,P$15,P$16,$C$16)</f>
        <v>667</v>
      </c>
      <c r="Q28" s="381"/>
      <c r="R28" s="380">
        <f ca="1">_xll.IMBC(R$4,$E28,R$15,R$16,$C$16)</f>
        <v>1670</v>
      </c>
      <c r="S28" s="381"/>
      <c r="T28" s="380">
        <f ca="1">_xll.IMBC(T$4,$E28,T$15,T$16,$C$16)</f>
        <v>2858</v>
      </c>
      <c r="U28" s="381"/>
      <c r="V28" s="380">
        <f ca="1">_xll.IMBC(V$4,$E28,V$15,V$16,$C$16)</f>
        <v>3589</v>
      </c>
      <c r="W28" s="381"/>
      <c r="X28" s="380">
        <f ca="1">_xll.IMBC(X$4,$E28,X$15,X$16,$C$16)</f>
        <v>1489</v>
      </c>
      <c r="Y28" s="381"/>
    </row>
    <row r="29" spans="3:28" x14ac:dyDescent="0.25">
      <c r="D29" s="386"/>
      <c r="E29" s="13" t="s">
        <v>58</v>
      </c>
      <c r="F29" s="382">
        <f ca="1">_xll.IMBC(F$4,$E29,F$15,F$16,$C$16)</f>
        <v>11.982100000000001</v>
      </c>
      <c r="G29" s="383"/>
      <c r="H29" s="382">
        <f ca="1">_xll.IMBC(H$4,$E29,H$15,H$16,$C$16)</f>
        <v>2.1815000000000002</v>
      </c>
      <c r="I29" s="383"/>
      <c r="J29" s="382">
        <f ca="1">_xll.IMBC(J$4,$E29,J$15,J$16,$C$16)</f>
        <v>1.2664</v>
      </c>
      <c r="K29" s="383"/>
      <c r="L29" s="382">
        <f ca="1">_xll.IMBC(L$4,$E29,L$15,L$16,$C$16)</f>
        <v>7.3178999999999998</v>
      </c>
      <c r="M29" s="383"/>
      <c r="N29" s="382">
        <f ca="1">_xll.IMBC(N$4,$E29,N$15,N$16,$C$16)</f>
        <v>6.8247999999999998</v>
      </c>
      <c r="O29" s="383"/>
      <c r="P29" s="382">
        <f ca="1">_xll.IMBC(P$4,$E29,P$15,P$16,$C$16)</f>
        <v>1.7250000000000001</v>
      </c>
      <c r="Q29" s="383"/>
      <c r="R29" s="382">
        <f ca="1">_xll.IMBC(R$4,$E29,R$15,R$16,$C$16)</f>
        <v>4.0835999999999997</v>
      </c>
      <c r="S29" s="383"/>
      <c r="T29" s="382">
        <f ca="1">_xll.IMBC(T$4,$E29,T$15,T$16,$C$16)</f>
        <v>6.4288999999999996</v>
      </c>
      <c r="U29" s="383"/>
      <c r="V29" s="382">
        <f ca="1">_xll.IMBC(V$4,$E29,V$15,V$16,$C$16)</f>
        <v>7.9843000000000002</v>
      </c>
      <c r="W29" s="383"/>
      <c r="X29" s="382">
        <f ca="1">_xll.IMBC(X$4,$E29,X$15,X$16,$C$16)</f>
        <v>3.6164999999999998</v>
      </c>
      <c r="Y29" s="383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376" t="s">
        <v>60</v>
      </c>
      <c r="E33" s="377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378"/>
      <c r="E34" s="379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4:D5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2026-08-12T08:50:34Z</dcterms:modified>
</cp:coreProperties>
</file>